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isil-my.sharepoint.com/personal/lokeshk_ad_crisil_com/Documents/1_Team_Fixed Income (Credit)/Bara Model Work/Bara - Model Update/WIP/Aug 2026 - PTT EP/2Q26/"/>
    </mc:Choice>
  </mc:AlternateContent>
  <xr:revisionPtr revIDLastSave="0" documentId="8_{0D76CC02-A3B9-4FE9-91BC-62262DA353D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apitalisation" sheetId="22" r:id="rId1"/>
    <sheet name="Model" sheetId="23" r:id="rId2"/>
    <sheet name="KPIs" sheetId="2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2">MonthlyOpStats</definedName>
    <definedName name="_01_30_04">MonthlyOpStats</definedName>
    <definedName name="_1_30_01" localSheetId="2">MonthlyOpStats</definedName>
    <definedName name="_1_30_01">MonthlyOpStats</definedName>
    <definedName name="_1_30_02" localSheetId="2">MonthlyOpStats</definedName>
    <definedName name="_1_30_02">MonthlyOpStats</definedName>
    <definedName name="_1_31_01" localSheetId="2">MonthlyOpStats</definedName>
    <definedName name="_1_31_01">MonthlyOpStats</definedName>
    <definedName name="_1_31_02" localSheetId="2">MonthlyOpStats</definedName>
    <definedName name="_1_31_02">MonthlyOpStats</definedName>
    <definedName name="_12_31_05" localSheetId="2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hidden="1">[2]FxdChg!#REF!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>#REF!</definedName>
    <definedName name="AllBH">#REF!</definedName>
    <definedName name="allProjects">#REF!</definedName>
    <definedName name="amort">[5]Inputs!#REF!</definedName>
    <definedName name="AP_Sales">'[4]Tanning Assumptions'!#REF!</definedName>
    <definedName name="AR_Other_Sales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>#REF!</definedName>
    <definedName name="Cash_Sales">'[4]Tanning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BHC">#REF!</definedName>
    <definedName name="cfl">#REF!</definedName>
    <definedName name="ChartDataRange">#REF!</definedName>
    <definedName name="CINC">#REF!</definedName>
    <definedName name="CIQWBGuid" hidden="1">"a2053d85-6815-447c-8989-5e6595ddfa94"</definedName>
    <definedName name="circ">[5]Inputs!#REF!</definedName>
    <definedName name="CircRev">#REF!</definedName>
    <definedName name="Class_3_Agg_Cash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>#REF!</definedName>
    <definedName name="closing_date">#REF!</definedName>
    <definedName name="closingttmrevenue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>'[14]Portfolio Input'!#REF!</definedName>
    <definedName name="counter2">'[14]Portfolio Input'!#REF!</definedName>
    <definedName name="Coupon">[15]Inputs!$J$30</definedName>
    <definedName name="CSEnd">#REF!</definedName>
    <definedName name="CSHO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>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2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44297.3725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>'[9]S&amp;U'!#REF!</definedName>
    <definedName name="left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[10]Revolver!#REF!</definedName>
    <definedName name="Libor_Minus_2SD">[10]Revolver!#REF!</definedName>
    <definedName name="Libor_Plus_0SD">[10]Revolver!#REF!</definedName>
    <definedName name="Libor_Plus_1SD">[10]Revolver!#REF!</definedName>
    <definedName name="Libor_Plus_2SD">[10]Revolver!#REF!</definedName>
    <definedName name="Libor_Scenario">#REF!</definedName>
    <definedName name="Libor_Up">#REF!</definedName>
    <definedName name="longterm">[5]Inputs!#REF!</definedName>
    <definedName name="LTM_DATE">#REF!</definedName>
    <definedName name="Marketable_securities">'[22]Fly-by-night - problem 5'!#REF!</definedName>
    <definedName name="MaxMarkDate">[7]SaleData!$M$3</definedName>
    <definedName name="mcs03g.ReqArray" localSheetId="2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>#REF!</definedName>
    <definedName name="MONTHLYSALES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>'[22]Fly-by-night - problem 5'!#REF!</definedName>
    <definedName name="Other_current_liabilities_Sales">'[4]Tanning Assumptions'!#REF!</definedName>
    <definedName name="Other_long_term_liabilities">'[4]Tanning Assumptions'!#REF!</definedName>
    <definedName name="OtherRev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'[24]VeCTOR Import'!#REF!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'[4]Tanning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>'[20]LBO Summary'!#REF!</definedName>
    <definedName name="RoyaltyRev">#REF!</definedName>
    <definedName name="rptData">#REF!</definedName>
    <definedName name="rr">'[20]LBO Summary'!#REF!</definedName>
    <definedName name="s">#REF!</definedName>
    <definedName name="s.outstand">[5]Inputs!#REF!</definedName>
    <definedName name="SALES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>[5]Inputs!#REF!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>'[14]Portfolio Input'!#REF!</definedName>
    <definedName name="StartYear">[6]Selections!$P$1</definedName>
    <definedName name="Strip_Amount">#REF!</definedName>
    <definedName name="Strip_PV">#REF!</definedName>
    <definedName name="stub">#REF!</definedName>
    <definedName name="stubmonths">'[29]D&amp;A'!$C$5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>#REF!</definedName>
    <definedName name="summary">#REF!</definedName>
    <definedName name="support">#REF!</definedName>
    <definedName name="sweep___9">[30]COVS_ACTUAL!#REF!</definedName>
    <definedName name="target">#REF!</definedName>
    <definedName name="tax">[31]ISCF!#REF!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>#REF!</definedName>
    <definedName name="WORKING_CAPITAL___0">#REF!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ummary." localSheetId="2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2" hidden="1">{#N/A,#N/A,FALSE,"Combo"}</definedName>
    <definedName name="wrn.Weekly._.Inventory._.Report." hidden="1">{#N/A,#N/A,FALSE,"Combo"}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2" l="1"/>
  <c r="C21" i="22"/>
  <c r="C19" i="22"/>
  <c r="C28" i="22" s="1"/>
  <c r="C18" i="22"/>
  <c r="C27" i="22" s="1"/>
  <c r="C15" i="22"/>
  <c r="C14" i="22"/>
  <c r="C11" i="22"/>
  <c r="C10" i="22" s="1"/>
  <c r="C8" i="22"/>
  <c r="C7" i="22" s="1"/>
  <c r="J60" i="25"/>
  <c r="J59" i="25"/>
  <c r="J55" i="25"/>
  <c r="J54" i="25"/>
  <c r="J50" i="25"/>
  <c r="J49" i="25"/>
  <c r="J48" i="25"/>
  <c r="J47" i="25"/>
  <c r="J30" i="25"/>
  <c r="J29" i="25"/>
  <c r="J28" i="25"/>
  <c r="J24" i="25"/>
  <c r="J23" i="25"/>
  <c r="J17" i="25"/>
  <c r="J16" i="25"/>
  <c r="J15" i="25"/>
  <c r="J14" i="25"/>
  <c r="J13" i="25"/>
  <c r="J12" i="25"/>
  <c r="J11" i="25"/>
  <c r="J10" i="25"/>
  <c r="J3" i="25"/>
  <c r="AG61" i="25"/>
  <c r="AG56" i="25"/>
  <c r="AG42" i="25"/>
  <c r="AG41" i="25"/>
  <c r="AG40" i="25"/>
  <c r="AG31" i="25"/>
  <c r="AG35" i="25" s="1"/>
  <c r="AG25" i="25"/>
  <c r="AG9" i="25"/>
  <c r="AG7" i="25"/>
  <c r="AG19" i="25" s="1"/>
  <c r="AG106" i="23"/>
  <c r="AG108" i="23" s="1"/>
  <c r="AG98" i="23"/>
  <c r="J98" i="23"/>
  <c r="J124" i="23"/>
  <c r="J120" i="23"/>
  <c r="J119" i="23"/>
  <c r="J112" i="23"/>
  <c r="J111" i="23"/>
  <c r="J107" i="23"/>
  <c r="J101" i="23"/>
  <c r="J100" i="23"/>
  <c r="J99" i="23"/>
  <c r="AG79" i="23"/>
  <c r="AG180" i="23" s="1"/>
  <c r="AG76" i="23"/>
  <c r="AG177" i="23" s="1"/>
  <c r="AG75" i="23"/>
  <c r="AG240" i="23" s="1"/>
  <c r="AG74" i="23"/>
  <c r="AG73" i="23"/>
  <c r="AG238" i="23" s="1"/>
  <c r="AG69" i="23"/>
  <c r="AG170" i="23" s="1"/>
  <c r="AG66" i="23"/>
  <c r="AG231" i="23" s="1"/>
  <c r="AG65" i="23"/>
  <c r="AG230" i="23" s="1"/>
  <c r="J55" i="23"/>
  <c r="AG28" i="23"/>
  <c r="AG25" i="23"/>
  <c r="AG17" i="23"/>
  <c r="AG18" i="23"/>
  <c r="AG22" i="23"/>
  <c r="AG16" i="23"/>
  <c r="AG49" i="23" s="1"/>
  <c r="AG15" i="23"/>
  <c r="AG14" i="23"/>
  <c r="AG13" i="23"/>
  <c r="AG12" i="23"/>
  <c r="AG23" i="23"/>
  <c r="AG26" i="23"/>
  <c r="AG9" i="23"/>
  <c r="AG8" i="23"/>
  <c r="J3" i="23"/>
  <c r="AG258" i="23"/>
  <c r="AG254" i="23"/>
  <c r="AG248" i="23"/>
  <c r="AG239" i="23"/>
  <c r="AG234" i="23"/>
  <c r="AG224" i="23"/>
  <c r="AG218" i="23"/>
  <c r="AG207" i="23"/>
  <c r="AG205" i="23"/>
  <c r="AG184" i="23"/>
  <c r="AG175" i="23"/>
  <c r="AG160" i="23"/>
  <c r="AG154" i="23"/>
  <c r="AG148" i="23"/>
  <c r="AG212" i="23" s="1"/>
  <c r="AG143" i="23"/>
  <c r="AG127" i="23"/>
  <c r="AG117" i="23"/>
  <c r="AG102" i="23"/>
  <c r="AG96" i="23"/>
  <c r="AG86" i="23"/>
  <c r="AG70" i="23"/>
  <c r="AG171" i="23" s="1"/>
  <c r="AG63" i="23"/>
  <c r="AG164" i="23" s="1"/>
  <c r="AG62" i="23"/>
  <c r="AG56" i="23"/>
  <c r="AG161" i="23" s="1"/>
  <c r="AG47" i="23"/>
  <c r="AG27" i="23"/>
  <c r="AG21" i="23"/>
  <c r="AG20" i="23"/>
  <c r="AG19" i="23"/>
  <c r="C102" i="22"/>
  <c r="C83" i="22"/>
  <c r="C81" i="22"/>
  <c r="C103" i="22" s="1"/>
  <c r="C80" i="22"/>
  <c r="C77" i="22"/>
  <c r="C76" i="22"/>
  <c r="C73" i="22"/>
  <c r="C72" i="22" s="1"/>
  <c r="C97" i="22"/>
  <c r="AF61" i="25"/>
  <c r="AF56" i="25"/>
  <c r="AF42" i="25"/>
  <c r="AF41" i="25"/>
  <c r="AF40" i="25"/>
  <c r="AF31" i="25"/>
  <c r="AF25" i="25"/>
  <c r="AF9" i="25"/>
  <c r="AF7" i="25"/>
  <c r="AF19" i="25" s="1"/>
  <c r="AF106" i="23"/>
  <c r="C70" i="22" s="1"/>
  <c r="C69" i="22" s="1"/>
  <c r="AF98" i="23"/>
  <c r="AF72" i="23"/>
  <c r="AG72" i="23" s="1"/>
  <c r="AF68" i="23"/>
  <c r="AG68" i="23" s="1"/>
  <c r="AF64" i="23"/>
  <c r="AG64" i="23" s="1"/>
  <c r="AF30" i="23"/>
  <c r="AG30" i="23" s="1"/>
  <c r="AF258" i="23"/>
  <c r="AF255" i="23"/>
  <c r="AF254" i="23"/>
  <c r="AF248" i="23"/>
  <c r="AF244" i="23"/>
  <c r="AF241" i="23"/>
  <c r="AF240" i="23"/>
  <c r="AF239" i="23"/>
  <c r="AF238" i="23"/>
  <c r="AF235" i="23"/>
  <c r="AF234" i="23"/>
  <c r="AF231" i="23"/>
  <c r="AF230" i="23"/>
  <c r="AF224" i="23"/>
  <c r="AF218" i="23"/>
  <c r="AF207" i="23"/>
  <c r="AF205" i="23"/>
  <c r="AF184" i="23"/>
  <c r="AF180" i="23"/>
  <c r="AF177" i="23"/>
  <c r="AF176" i="23"/>
  <c r="AF175" i="23"/>
  <c r="AF174" i="23"/>
  <c r="AF171" i="23"/>
  <c r="AF170" i="23"/>
  <c r="AF167" i="23"/>
  <c r="AF166" i="23"/>
  <c r="AF160" i="23"/>
  <c r="AF154" i="23"/>
  <c r="AF148" i="23"/>
  <c r="AF212" i="23" s="1"/>
  <c r="AF143" i="23"/>
  <c r="AF127" i="23"/>
  <c r="AF117" i="23"/>
  <c r="AF113" i="23"/>
  <c r="AF102" i="23"/>
  <c r="AF96" i="23"/>
  <c r="AF86" i="23"/>
  <c r="AF63" i="23"/>
  <c r="AF62" i="23"/>
  <c r="AF56" i="23"/>
  <c r="AF161" i="23" s="1"/>
  <c r="AF49" i="23"/>
  <c r="AF47" i="23"/>
  <c r="AF7" i="23"/>
  <c r="C142" i="22"/>
  <c r="AE42" i="25"/>
  <c r="AD42" i="25"/>
  <c r="AC42" i="25"/>
  <c r="AB42" i="25"/>
  <c r="AA42" i="25"/>
  <c r="Z42" i="25"/>
  <c r="Y42" i="25"/>
  <c r="X42" i="25"/>
  <c r="V42" i="25"/>
  <c r="U42" i="25"/>
  <c r="T42" i="25"/>
  <c r="R42" i="25"/>
  <c r="Q42" i="25"/>
  <c r="AE41" i="25"/>
  <c r="AD41" i="25"/>
  <c r="AC41" i="25"/>
  <c r="AB41" i="25"/>
  <c r="AA41" i="25"/>
  <c r="Z41" i="25"/>
  <c r="Y41" i="25"/>
  <c r="X41" i="25"/>
  <c r="V41" i="25"/>
  <c r="U41" i="25"/>
  <c r="T41" i="25"/>
  <c r="R41" i="25"/>
  <c r="Q41" i="25"/>
  <c r="AE40" i="25"/>
  <c r="AD40" i="25"/>
  <c r="AC40" i="25"/>
  <c r="AB40" i="25"/>
  <c r="AA40" i="25"/>
  <c r="Z40" i="25"/>
  <c r="Y40" i="25"/>
  <c r="X40" i="25"/>
  <c r="V40" i="25"/>
  <c r="U40" i="25"/>
  <c r="T40" i="25"/>
  <c r="R40" i="25"/>
  <c r="Q40" i="25"/>
  <c r="P42" i="25"/>
  <c r="P41" i="25"/>
  <c r="P40" i="25"/>
  <c r="I42" i="25"/>
  <c r="H42" i="25"/>
  <c r="G42" i="25"/>
  <c r="F42" i="25"/>
  <c r="E42" i="25"/>
  <c r="I41" i="25"/>
  <c r="H41" i="25"/>
  <c r="G41" i="25"/>
  <c r="F41" i="25"/>
  <c r="E41" i="25"/>
  <c r="I40" i="25"/>
  <c r="H40" i="25"/>
  <c r="G40" i="25"/>
  <c r="F40" i="25"/>
  <c r="E40" i="25"/>
  <c r="D41" i="25"/>
  <c r="D42" i="25"/>
  <c r="D40" i="25"/>
  <c r="AB35" i="25"/>
  <c r="AE17" i="25"/>
  <c r="AE16" i="25"/>
  <c r="AE15" i="25"/>
  <c r="AE12" i="25"/>
  <c r="AE11" i="25"/>
  <c r="AE10" i="25"/>
  <c r="AE61" i="25"/>
  <c r="AE56" i="25"/>
  <c r="AE31" i="25"/>
  <c r="AE25" i="25"/>
  <c r="I77" i="25"/>
  <c r="I79" i="25" s="1"/>
  <c r="I75" i="25"/>
  <c r="I74" i="25"/>
  <c r="I68" i="25"/>
  <c r="I70" i="25" s="1"/>
  <c r="I66" i="25"/>
  <c r="I65" i="25"/>
  <c r="I61" i="25"/>
  <c r="I56" i="25"/>
  <c r="I31" i="25"/>
  <c r="I25" i="25"/>
  <c r="I9" i="25"/>
  <c r="I7" i="25"/>
  <c r="I19" i="25" s="1"/>
  <c r="J205" i="23"/>
  <c r="I106" i="23"/>
  <c r="AE106" i="23" s="1"/>
  <c r="C115" i="22" s="1"/>
  <c r="C114" i="22" s="1"/>
  <c r="AE124" i="23"/>
  <c r="AE258" i="23" s="1"/>
  <c r="AE120" i="23"/>
  <c r="C126" i="22" s="1"/>
  <c r="C148" i="22" s="1"/>
  <c r="AE119" i="23"/>
  <c r="C125" i="22" s="1"/>
  <c r="C147" i="22" s="1"/>
  <c r="AE112" i="23"/>
  <c r="C122" i="22" s="1"/>
  <c r="AE111" i="23"/>
  <c r="C121" i="22" s="1"/>
  <c r="AE107" i="23"/>
  <c r="C118" i="22" s="1"/>
  <c r="C117" i="22" s="1"/>
  <c r="AE101" i="23"/>
  <c r="AE100" i="23"/>
  <c r="AE99" i="23"/>
  <c r="I98" i="23"/>
  <c r="AE98" i="23" s="1"/>
  <c r="I72" i="23"/>
  <c r="I70" i="23"/>
  <c r="I171" i="23" s="1"/>
  <c r="I69" i="23"/>
  <c r="I234" i="23" s="1"/>
  <c r="I68" i="23"/>
  <c r="I64" i="23"/>
  <c r="I165" i="23" s="1"/>
  <c r="AE55" i="23"/>
  <c r="AG90" i="23" s="1"/>
  <c r="I23" i="23"/>
  <c r="AE218" i="23"/>
  <c r="AE207" i="23"/>
  <c r="AE205" i="23"/>
  <c r="AE154" i="23"/>
  <c r="AE143" i="23"/>
  <c r="AE127" i="23"/>
  <c r="AE96" i="23"/>
  <c r="AE86" i="23"/>
  <c r="AE62" i="23"/>
  <c r="AE47" i="23"/>
  <c r="I258" i="23"/>
  <c r="I255" i="23"/>
  <c r="I254" i="23"/>
  <c r="I248" i="23"/>
  <c r="I244" i="23"/>
  <c r="I241" i="23"/>
  <c r="I240" i="23"/>
  <c r="I239" i="23"/>
  <c r="I238" i="23"/>
  <c r="I231" i="23"/>
  <c r="I230" i="23"/>
  <c r="I229" i="23"/>
  <c r="I224" i="23"/>
  <c r="I260" i="23" s="1"/>
  <c r="I218" i="23"/>
  <c r="I207" i="23"/>
  <c r="I205" i="23"/>
  <c r="I184" i="23"/>
  <c r="I180" i="23"/>
  <c r="I177" i="23"/>
  <c r="I176" i="23"/>
  <c r="I175" i="23"/>
  <c r="I174" i="23"/>
  <c r="I167" i="23"/>
  <c r="I166" i="23"/>
  <c r="I160" i="23"/>
  <c r="I154" i="23"/>
  <c r="I148" i="23"/>
  <c r="I212" i="23" s="1"/>
  <c r="I143" i="23"/>
  <c r="I127" i="23"/>
  <c r="I117" i="23"/>
  <c r="I113" i="23"/>
  <c r="I102" i="23"/>
  <c r="I96" i="23"/>
  <c r="I91" i="23"/>
  <c r="I90" i="23"/>
  <c r="I86" i="23"/>
  <c r="I63" i="23"/>
  <c r="I164" i="23" s="1"/>
  <c r="I62" i="23"/>
  <c r="I56" i="23"/>
  <c r="I161" i="23" s="1"/>
  <c r="I49" i="23"/>
  <c r="I47" i="23"/>
  <c r="I40" i="23"/>
  <c r="I7" i="23"/>
  <c r="I87" i="23" s="1"/>
  <c r="C174" i="22"/>
  <c r="C172" i="22"/>
  <c r="C194" i="22" s="1"/>
  <c r="C171" i="22"/>
  <c r="C193" i="22" s="1"/>
  <c r="C168" i="22"/>
  <c r="C167" i="22"/>
  <c r="C164" i="22"/>
  <c r="C163" i="22" s="1"/>
  <c r="C188" i="22"/>
  <c r="AD61" i="25"/>
  <c r="AD56" i="25"/>
  <c r="AD31" i="25"/>
  <c r="AD25" i="25"/>
  <c r="AD9" i="25"/>
  <c r="AD7" i="25"/>
  <c r="AD19" i="25" s="1"/>
  <c r="AD205" i="23"/>
  <c r="AC205" i="23"/>
  <c r="AB205" i="23"/>
  <c r="AA205" i="23"/>
  <c r="Z205" i="23"/>
  <c r="Y205" i="23"/>
  <c r="X205" i="23"/>
  <c r="W205" i="23"/>
  <c r="V205" i="23"/>
  <c r="U205" i="23"/>
  <c r="T205" i="23"/>
  <c r="S205" i="23"/>
  <c r="R205" i="23"/>
  <c r="Q205" i="23"/>
  <c r="P205" i="23"/>
  <c r="O205" i="23"/>
  <c r="N205" i="23"/>
  <c r="M205" i="23"/>
  <c r="AD106" i="23"/>
  <c r="AD116" i="23" s="1"/>
  <c r="AD98" i="23"/>
  <c r="AD258" i="23"/>
  <c r="AD255" i="23"/>
  <c r="AD254" i="23"/>
  <c r="AD248" i="23"/>
  <c r="AD224" i="23"/>
  <c r="AD218" i="23"/>
  <c r="AD207" i="23"/>
  <c r="AD184" i="23"/>
  <c r="AD160" i="23"/>
  <c r="AD154" i="23"/>
  <c r="AD148" i="23"/>
  <c r="AD212" i="23" s="1"/>
  <c r="AD143" i="23"/>
  <c r="AD127" i="23"/>
  <c r="AD117" i="23"/>
  <c r="AD113" i="23"/>
  <c r="AD102" i="23"/>
  <c r="AD96" i="23"/>
  <c r="AD86" i="23"/>
  <c r="AD63" i="23"/>
  <c r="AD164" i="23" s="1"/>
  <c r="AD62" i="23"/>
  <c r="AD56" i="23"/>
  <c r="AD161" i="23" s="1"/>
  <c r="AD49" i="23"/>
  <c r="AD47" i="23"/>
  <c r="AD7" i="23"/>
  <c r="AD57" i="23" s="1"/>
  <c r="AD162" i="23" s="1"/>
  <c r="C219" i="22"/>
  <c r="C217" i="22"/>
  <c r="C239" i="22" s="1"/>
  <c r="C216" i="22"/>
  <c r="C238" i="22" s="1"/>
  <c r="C211" i="22"/>
  <c r="C208" i="22"/>
  <c r="C205" i="22"/>
  <c r="C233" i="22"/>
  <c r="AC61" i="25"/>
  <c r="AC56" i="25"/>
  <c r="AC31" i="25"/>
  <c r="AC25" i="25"/>
  <c r="AC9" i="25"/>
  <c r="AC7" i="25"/>
  <c r="AC19" i="25" s="1"/>
  <c r="AC112" i="23"/>
  <c r="AC117" i="23" s="1"/>
  <c r="AC106" i="23"/>
  <c r="AC116" i="23" s="1"/>
  <c r="AC98" i="23"/>
  <c r="AC79" i="23"/>
  <c r="AC180" i="23" s="1"/>
  <c r="Y76" i="23"/>
  <c r="AC76" i="23"/>
  <c r="AC74" i="23"/>
  <c r="AC175" i="23" s="1"/>
  <c r="AC75" i="23"/>
  <c r="AC176" i="23" s="1"/>
  <c r="AC69" i="23"/>
  <c r="AC170" i="23" s="1"/>
  <c r="AC66" i="23"/>
  <c r="AC65" i="23"/>
  <c r="AC166" i="23" s="1"/>
  <c r="H40" i="23"/>
  <c r="G40" i="23"/>
  <c r="F40" i="23"/>
  <c r="E40" i="23"/>
  <c r="D40" i="23"/>
  <c r="C40" i="23"/>
  <c r="AC30" i="23"/>
  <c r="AC27" i="23"/>
  <c r="AC21" i="23"/>
  <c r="AC20" i="23"/>
  <c r="AC19" i="23"/>
  <c r="AC18" i="23"/>
  <c r="AC28" i="23"/>
  <c r="AC25" i="23"/>
  <c r="AC16" i="23"/>
  <c r="AC15" i="23"/>
  <c r="AC14" i="23"/>
  <c r="AC12" i="23"/>
  <c r="AC13" i="23"/>
  <c r="AC23" i="23"/>
  <c r="AC17" i="23"/>
  <c r="AC22" i="23"/>
  <c r="AC26" i="23"/>
  <c r="AC9" i="23"/>
  <c r="AC8" i="23"/>
  <c r="AC258" i="23"/>
  <c r="AC254" i="23"/>
  <c r="AC248" i="23"/>
  <c r="AC224" i="23"/>
  <c r="AC218" i="23"/>
  <c r="AC207" i="23"/>
  <c r="AC184" i="23"/>
  <c r="AC160" i="23"/>
  <c r="AC154" i="23"/>
  <c r="AC148" i="23"/>
  <c r="AC212" i="23" s="1"/>
  <c r="AC143" i="23"/>
  <c r="AC127" i="23"/>
  <c r="AC102" i="23"/>
  <c r="AC96" i="23"/>
  <c r="AC86" i="23"/>
  <c r="AC73" i="23"/>
  <c r="AC238" i="23" s="1"/>
  <c r="AC70" i="23"/>
  <c r="AC171" i="23" s="1"/>
  <c r="AC63" i="23"/>
  <c r="AC164" i="23" s="1"/>
  <c r="AC62" i="23"/>
  <c r="AC56" i="23"/>
  <c r="AC161" i="23" s="1"/>
  <c r="AC47" i="23"/>
  <c r="C253" i="22"/>
  <c r="C251" i="22"/>
  <c r="C269" i="22" s="1"/>
  <c r="C250" i="22"/>
  <c r="C268" i="22" s="1"/>
  <c r="C263" i="22"/>
  <c r="C264" i="22" s="1"/>
  <c r="C245" i="22"/>
  <c r="AB61" i="25"/>
  <c r="AB56" i="25"/>
  <c r="AB31" i="25"/>
  <c r="AB25" i="25"/>
  <c r="AB9" i="25"/>
  <c r="AB7" i="25"/>
  <c r="AB19" i="25" s="1"/>
  <c r="AB258" i="23"/>
  <c r="Z258" i="23"/>
  <c r="Y258" i="23"/>
  <c r="X258" i="23"/>
  <c r="V258" i="23"/>
  <c r="U258" i="23"/>
  <c r="T258" i="23"/>
  <c r="R258" i="23"/>
  <c r="Q258" i="23"/>
  <c r="P258" i="23"/>
  <c r="N258" i="23"/>
  <c r="M258" i="23"/>
  <c r="AB255" i="23"/>
  <c r="Z255" i="23"/>
  <c r="Y255" i="23"/>
  <c r="X255" i="23"/>
  <c r="V255" i="23"/>
  <c r="U255" i="23"/>
  <c r="T255" i="23"/>
  <c r="R255" i="23"/>
  <c r="Q255" i="23"/>
  <c r="P255" i="23"/>
  <c r="N255" i="23"/>
  <c r="M255" i="23"/>
  <c r="AB254" i="23"/>
  <c r="Z254" i="23"/>
  <c r="Y254" i="23"/>
  <c r="X254" i="23"/>
  <c r="V254" i="23"/>
  <c r="U254" i="23"/>
  <c r="T254" i="23"/>
  <c r="R254" i="23"/>
  <c r="Q254" i="23"/>
  <c r="P254" i="23"/>
  <c r="N254" i="23"/>
  <c r="M254" i="23"/>
  <c r="L258" i="23"/>
  <c r="L255" i="23"/>
  <c r="L254" i="23"/>
  <c r="H258" i="23"/>
  <c r="G258" i="23"/>
  <c r="F258" i="23"/>
  <c r="E258" i="23"/>
  <c r="D258" i="23"/>
  <c r="C258" i="23"/>
  <c r="H255" i="23"/>
  <c r="G255" i="23"/>
  <c r="F255" i="23"/>
  <c r="E255" i="23"/>
  <c r="D255" i="23"/>
  <c r="C255" i="23"/>
  <c r="H254" i="23"/>
  <c r="G254" i="23"/>
  <c r="F254" i="23"/>
  <c r="E254" i="23"/>
  <c r="D254" i="23"/>
  <c r="C254" i="23"/>
  <c r="C13" i="22" l="1"/>
  <c r="C17" i="22" s="1"/>
  <c r="C24" i="22" s="1"/>
  <c r="C29" i="22"/>
  <c r="C104" i="22"/>
  <c r="AG36" i="25"/>
  <c r="AG43" i="25"/>
  <c r="AG34" i="25"/>
  <c r="AG37" i="25" s="1"/>
  <c r="J106" i="23"/>
  <c r="J116" i="23" s="1"/>
  <c r="AF108" i="23"/>
  <c r="AF256" i="23"/>
  <c r="AG241" i="23"/>
  <c r="C149" i="22"/>
  <c r="AG255" i="23"/>
  <c r="AG256" i="23" s="1"/>
  <c r="AD256" i="23"/>
  <c r="C128" i="22"/>
  <c r="AG235" i="23"/>
  <c r="AG176" i="23"/>
  <c r="AG167" i="23"/>
  <c r="AG225" i="23"/>
  <c r="AG7" i="23"/>
  <c r="AG35" i="23" s="1"/>
  <c r="AG145" i="23"/>
  <c r="AG229" i="23"/>
  <c r="AG44" i="23"/>
  <c r="AG165" i="23"/>
  <c r="AG169" i="23"/>
  <c r="AG233" i="23"/>
  <c r="I170" i="23"/>
  <c r="AF90" i="23"/>
  <c r="C85" i="22" s="1"/>
  <c r="AG113" i="23"/>
  <c r="AG116" i="23"/>
  <c r="AG118" i="23" s="1"/>
  <c r="AG166" i="23"/>
  <c r="AG174" i="23"/>
  <c r="I108" i="23"/>
  <c r="AG228" i="23"/>
  <c r="AG244" i="23"/>
  <c r="I116" i="23"/>
  <c r="AG67" i="23"/>
  <c r="C75" i="22"/>
  <c r="C79" i="22" s="1"/>
  <c r="AF43" i="25"/>
  <c r="AF36" i="25"/>
  <c r="AF35" i="25"/>
  <c r="AF34" i="25"/>
  <c r="AE36" i="25"/>
  <c r="AE35" i="25"/>
  <c r="AE34" i="25"/>
  <c r="AE37" i="25" s="1"/>
  <c r="I36" i="25"/>
  <c r="I35" i="25"/>
  <c r="I34" i="25"/>
  <c r="AD35" i="25"/>
  <c r="AC36" i="25"/>
  <c r="AB36" i="25"/>
  <c r="AF116" i="23"/>
  <c r="AF118" i="23" s="1"/>
  <c r="C120" i="22"/>
  <c r="C124" i="22" s="1"/>
  <c r="AF164" i="23"/>
  <c r="AF228" i="23"/>
  <c r="AF67" i="23"/>
  <c r="AF233" i="23"/>
  <c r="AF169" i="23"/>
  <c r="AF229" i="23"/>
  <c r="AF165" i="23"/>
  <c r="AE30" i="23"/>
  <c r="J30" i="23" s="1"/>
  <c r="AE27" i="23"/>
  <c r="J27" i="23" s="1"/>
  <c r="AE25" i="23"/>
  <c r="J25" i="23" s="1"/>
  <c r="AC49" i="23"/>
  <c r="AE15" i="23"/>
  <c r="J15" i="23" s="1"/>
  <c r="AE14" i="23"/>
  <c r="J14" i="23" s="1"/>
  <c r="AE12" i="23"/>
  <c r="J12" i="23" s="1"/>
  <c r="AE17" i="23"/>
  <c r="J17" i="23" s="1"/>
  <c r="AE22" i="23"/>
  <c r="J22" i="23" s="1"/>
  <c r="AE9" i="23"/>
  <c r="J9" i="23" s="1"/>
  <c r="AE8" i="23"/>
  <c r="AF157" i="23"/>
  <c r="AF221" i="23"/>
  <c r="AF226" i="23" s="1"/>
  <c r="AF60" i="23"/>
  <c r="AF59" i="23"/>
  <c r="AF57" i="23"/>
  <c r="AF162" i="23" s="1"/>
  <c r="AF45" i="23"/>
  <c r="AF44" i="23"/>
  <c r="AF41" i="23"/>
  <c r="AF38" i="23"/>
  <c r="AF37" i="23"/>
  <c r="AF36" i="23"/>
  <c r="AF35" i="23"/>
  <c r="AF24" i="23"/>
  <c r="AC231" i="23"/>
  <c r="AE26" i="23"/>
  <c r="J26" i="23" s="1"/>
  <c r="C234" i="22"/>
  <c r="AC35" i="25"/>
  <c r="AD34" i="25"/>
  <c r="AD36" i="25"/>
  <c r="I37" i="25"/>
  <c r="AB34" i="25"/>
  <c r="AB37" i="25" s="1"/>
  <c r="AC34" i="25"/>
  <c r="AC37" i="25" s="1"/>
  <c r="I69" i="25"/>
  <c r="AE9" i="25"/>
  <c r="AE7" i="25"/>
  <c r="AE19" i="25" s="1"/>
  <c r="I78" i="25"/>
  <c r="AE18" i="23"/>
  <c r="J18" i="23" s="1"/>
  <c r="AE20" i="23"/>
  <c r="J20" i="23" s="1"/>
  <c r="J258" i="23"/>
  <c r="I41" i="23"/>
  <c r="I271" i="23"/>
  <c r="AE23" i="23"/>
  <c r="J23" i="23" s="1"/>
  <c r="AE248" i="23"/>
  <c r="AE63" i="23"/>
  <c r="AE160" i="23"/>
  <c r="AE19" i="23"/>
  <c r="J19" i="23" s="1"/>
  <c r="AE28" i="23"/>
  <c r="J28" i="23" s="1"/>
  <c r="AE90" i="23"/>
  <c r="AE13" i="23"/>
  <c r="J13" i="23" s="1"/>
  <c r="AE21" i="23"/>
  <c r="J21" i="23" s="1"/>
  <c r="I256" i="23"/>
  <c r="AC7" i="23"/>
  <c r="AD75" i="23"/>
  <c r="AE75" i="23" s="1"/>
  <c r="AE224" i="23"/>
  <c r="AF260" i="23" s="1"/>
  <c r="AE102" i="23"/>
  <c r="I24" i="23"/>
  <c r="AE16" i="23"/>
  <c r="J16" i="23" s="1"/>
  <c r="AE148" i="23"/>
  <c r="AE212" i="23" s="1"/>
  <c r="AE184" i="23"/>
  <c r="AE255" i="23"/>
  <c r="AE113" i="23"/>
  <c r="AE254" i="23"/>
  <c r="AE116" i="23"/>
  <c r="I235" i="23"/>
  <c r="I173" i="23"/>
  <c r="I138" i="23"/>
  <c r="I198" i="23" s="1"/>
  <c r="I57" i="23"/>
  <c r="I162" i="23" s="1"/>
  <c r="I38" i="23"/>
  <c r="I157" i="23"/>
  <c r="X256" i="23"/>
  <c r="I118" i="23"/>
  <c r="I130" i="23" s="1"/>
  <c r="I190" i="23" s="1"/>
  <c r="I37" i="23"/>
  <c r="I60" i="23"/>
  <c r="AD69" i="23"/>
  <c r="AE69" i="23" s="1"/>
  <c r="I169" i="23"/>
  <c r="I233" i="23"/>
  <c r="I270" i="23" s="1"/>
  <c r="I144" i="23"/>
  <c r="I208" i="23" s="1"/>
  <c r="I103" i="23"/>
  <c r="I35" i="23"/>
  <c r="I44" i="23"/>
  <c r="I67" i="23"/>
  <c r="I221" i="23"/>
  <c r="C161" i="22"/>
  <c r="C160" i="22" s="1"/>
  <c r="I36" i="23"/>
  <c r="I45" i="23"/>
  <c r="I93" i="23"/>
  <c r="I137" i="23" s="1"/>
  <c r="I197" i="23" s="1"/>
  <c r="I145" i="23"/>
  <c r="AD74" i="23"/>
  <c r="I59" i="23"/>
  <c r="I228" i="23"/>
  <c r="C195" i="22"/>
  <c r="C166" i="22"/>
  <c r="AD65" i="23"/>
  <c r="AD66" i="23"/>
  <c r="AD79" i="23"/>
  <c r="D256" i="23"/>
  <c r="AD70" i="23"/>
  <c r="AD108" i="23"/>
  <c r="AD118" i="23"/>
  <c r="AD183" i="23" s="1"/>
  <c r="AD37" i="23"/>
  <c r="AD35" i="23"/>
  <c r="AD221" i="23"/>
  <c r="AD226" i="23" s="1"/>
  <c r="AD36" i="23"/>
  <c r="AD38" i="23"/>
  <c r="AD24" i="23"/>
  <c r="AD228" i="23"/>
  <c r="AD157" i="23"/>
  <c r="AD41" i="23"/>
  <c r="AD73" i="23"/>
  <c r="AC108" i="23"/>
  <c r="J254" i="23"/>
  <c r="Y256" i="23"/>
  <c r="P256" i="23"/>
  <c r="Z256" i="23"/>
  <c r="AC113" i="23"/>
  <c r="AC174" i="23"/>
  <c r="J255" i="23"/>
  <c r="N256" i="23"/>
  <c r="C256" i="23"/>
  <c r="AC255" i="23"/>
  <c r="AC256" i="23" s="1"/>
  <c r="E256" i="23"/>
  <c r="AB256" i="23"/>
  <c r="F256" i="23"/>
  <c r="R256" i="23"/>
  <c r="T256" i="23"/>
  <c r="Q256" i="23"/>
  <c r="G256" i="23"/>
  <c r="C215" i="22"/>
  <c r="C240" i="22"/>
  <c r="AC118" i="23"/>
  <c r="J117" i="23"/>
  <c r="AC239" i="23"/>
  <c r="AC230" i="23"/>
  <c r="AC167" i="23"/>
  <c r="U256" i="23"/>
  <c r="M256" i="23"/>
  <c r="V256" i="23"/>
  <c r="H256" i="23"/>
  <c r="AC240" i="23"/>
  <c r="AC234" i="23"/>
  <c r="AC37" i="23"/>
  <c r="L256" i="23"/>
  <c r="AC235" i="23"/>
  <c r="AC41" i="23"/>
  <c r="AC228" i="23"/>
  <c r="AC244" i="23"/>
  <c r="C271" i="22"/>
  <c r="D17" i="22" l="1"/>
  <c r="C20" i="22"/>
  <c r="D20" i="22" s="1"/>
  <c r="AG57" i="23"/>
  <c r="AG162" i="23" s="1"/>
  <c r="AF40" i="23"/>
  <c r="C86" i="22"/>
  <c r="AE40" i="23"/>
  <c r="AE79" i="23"/>
  <c r="J79" i="23" s="1"/>
  <c r="AE7" i="23"/>
  <c r="AE35" i="23" s="1"/>
  <c r="J8" i="23"/>
  <c r="AE65" i="23"/>
  <c r="J65" i="23" s="1"/>
  <c r="J69" i="23"/>
  <c r="J75" i="23"/>
  <c r="AF145" i="23"/>
  <c r="AE70" i="23"/>
  <c r="J70" i="23" s="1"/>
  <c r="AG173" i="23"/>
  <c r="AG237" i="23"/>
  <c r="AG59" i="23"/>
  <c r="AG41" i="23"/>
  <c r="AG45" i="23"/>
  <c r="AG221" i="23"/>
  <c r="AG10" i="23"/>
  <c r="AG38" i="23"/>
  <c r="AG36" i="23"/>
  <c r="AG157" i="23"/>
  <c r="AG37" i="23"/>
  <c r="AG24" i="23"/>
  <c r="AG29" i="23" s="1"/>
  <c r="AG60" i="23"/>
  <c r="AG71" i="23"/>
  <c r="AG168" i="23"/>
  <c r="AG232" i="23"/>
  <c r="AD239" i="23"/>
  <c r="AG40" i="23"/>
  <c r="AG209" i="23"/>
  <c r="AG247" i="23"/>
  <c r="AG125" i="23"/>
  <c r="AG133" i="23"/>
  <c r="AG147" i="23"/>
  <c r="AG121" i="23"/>
  <c r="AG183" i="23"/>
  <c r="AG130" i="23"/>
  <c r="AG190" i="23" s="1"/>
  <c r="AG39" i="23"/>
  <c r="AG260" i="23"/>
  <c r="C82" i="22"/>
  <c r="D79" i="22"/>
  <c r="AF37" i="25"/>
  <c r="AF130" i="23"/>
  <c r="AF190" i="23" s="1"/>
  <c r="AF247" i="23"/>
  <c r="AF249" i="23" s="1"/>
  <c r="AF133" i="23"/>
  <c r="AF150" i="23" s="1"/>
  <c r="AF39" i="23"/>
  <c r="AF147" i="23"/>
  <c r="AF149" i="23" s="1"/>
  <c r="AF213" i="23" s="1"/>
  <c r="AF183" i="23"/>
  <c r="AF125" i="23"/>
  <c r="AF121" i="23"/>
  <c r="AF237" i="23"/>
  <c r="AF173" i="23"/>
  <c r="AF232" i="23"/>
  <c r="AF168" i="23"/>
  <c r="AF71" i="23"/>
  <c r="AF172" i="23" s="1"/>
  <c r="AC35" i="23"/>
  <c r="AC36" i="23"/>
  <c r="AC221" i="23"/>
  <c r="AC226" i="23" s="1"/>
  <c r="AC38" i="23"/>
  <c r="AC157" i="23"/>
  <c r="AC57" i="23"/>
  <c r="AC162" i="23" s="1"/>
  <c r="AC24" i="23"/>
  <c r="AC29" i="23" s="1"/>
  <c r="AF209" i="23"/>
  <c r="AF29" i="23"/>
  <c r="AF48" i="23"/>
  <c r="AF50" i="23" s="1"/>
  <c r="AE228" i="23"/>
  <c r="AE164" i="23"/>
  <c r="AE145" i="23"/>
  <c r="AE209" i="23" s="1"/>
  <c r="C130" i="22"/>
  <c r="D124" i="22" s="1"/>
  <c r="I88" i="23"/>
  <c r="I29" i="23"/>
  <c r="I42" i="23" s="1"/>
  <c r="I48" i="23"/>
  <c r="I50" i="23" s="1"/>
  <c r="I52" i="23" s="1"/>
  <c r="C127" i="22"/>
  <c r="C129" i="22" s="1"/>
  <c r="AD37" i="25"/>
  <c r="AE49" i="23"/>
  <c r="AD76" i="23"/>
  <c r="AE73" i="23"/>
  <c r="J73" i="23" s="1"/>
  <c r="AD175" i="23"/>
  <c r="AE74" i="23"/>
  <c r="AE239" i="23" s="1"/>
  <c r="AE66" i="23"/>
  <c r="AG91" i="23" s="1"/>
  <c r="AG138" i="23" s="1"/>
  <c r="AG198" i="23" s="1"/>
  <c r="AE256" i="23"/>
  <c r="I183" i="23"/>
  <c r="I237" i="23"/>
  <c r="AE244" i="23"/>
  <c r="AE180" i="23"/>
  <c r="AE171" i="23"/>
  <c r="AE235" i="23"/>
  <c r="I125" i="23"/>
  <c r="I133" i="23"/>
  <c r="I150" i="23" s="1"/>
  <c r="I121" i="23"/>
  <c r="I140" i="23" s="1"/>
  <c r="I200" i="23" s="1"/>
  <c r="AE176" i="23"/>
  <c r="AE240" i="23"/>
  <c r="AD170" i="23"/>
  <c r="AD234" i="23"/>
  <c r="AE221" i="23"/>
  <c r="I39" i="23"/>
  <c r="I147" i="23"/>
  <c r="I149" i="23" s="1"/>
  <c r="I213" i="23" s="1"/>
  <c r="C170" i="22"/>
  <c r="C177" i="22" s="1"/>
  <c r="I247" i="23"/>
  <c r="AE38" i="23"/>
  <c r="I226" i="23"/>
  <c r="I168" i="23"/>
  <c r="I71" i="23"/>
  <c r="I232" i="23"/>
  <c r="I146" i="23"/>
  <c r="I209" i="23"/>
  <c r="I210" i="23" s="1"/>
  <c r="AD230" i="23"/>
  <c r="AD166" i="23"/>
  <c r="AD147" i="23"/>
  <c r="AD125" i="23"/>
  <c r="AD247" i="23"/>
  <c r="AD121" i="23"/>
  <c r="AD140" i="23" s="1"/>
  <c r="AD200" i="23" s="1"/>
  <c r="AD167" i="23"/>
  <c r="AD231" i="23"/>
  <c r="AD29" i="23"/>
  <c r="AD48" i="23"/>
  <c r="AD50" i="23" s="1"/>
  <c r="AD180" i="23"/>
  <c r="AD244" i="23"/>
  <c r="AD176" i="23"/>
  <c r="AD240" i="23"/>
  <c r="AD171" i="23"/>
  <c r="AD235" i="23"/>
  <c r="J256" i="23"/>
  <c r="AD238" i="23"/>
  <c r="AD174" i="23"/>
  <c r="C222" i="22"/>
  <c r="C218" i="22"/>
  <c r="AC147" i="23"/>
  <c r="AC149" i="23" s="1"/>
  <c r="AC213" i="23" s="1"/>
  <c r="AC247" i="23"/>
  <c r="AC183" i="23"/>
  <c r="AC121" i="23"/>
  <c r="AC140" i="23" s="1"/>
  <c r="AC200" i="23" s="1"/>
  <c r="AC125" i="23"/>
  <c r="AC177" i="23"/>
  <c r="AC241" i="23"/>
  <c r="C22" i="22" l="1"/>
  <c r="AE41" i="23"/>
  <c r="AE157" i="23"/>
  <c r="AE37" i="23"/>
  <c r="AE36" i="23"/>
  <c r="AE24" i="23"/>
  <c r="AG88" i="23" s="1"/>
  <c r="AE57" i="23"/>
  <c r="AE162" i="23" s="1"/>
  <c r="AF266" i="23"/>
  <c r="AG87" i="23"/>
  <c r="AG144" i="23" s="1"/>
  <c r="AG222" i="23"/>
  <c r="AF263" i="23"/>
  <c r="AC48" i="23"/>
  <c r="AC50" i="23" s="1"/>
  <c r="AC54" i="23" s="1"/>
  <c r="AG226" i="23"/>
  <c r="AF211" i="23"/>
  <c r="AF193" i="23"/>
  <c r="AF88" i="23"/>
  <c r="AF87" i="23"/>
  <c r="AF103" i="23" s="1"/>
  <c r="AE166" i="23"/>
  <c r="I31" i="23"/>
  <c r="I32" i="23" s="1"/>
  <c r="AE230" i="23"/>
  <c r="J74" i="23"/>
  <c r="J66" i="23"/>
  <c r="AG48" i="23"/>
  <c r="AG50" i="23" s="1"/>
  <c r="AG54" i="23" s="1"/>
  <c r="AG158" i="23"/>
  <c r="AG31" i="23"/>
  <c r="AG32" i="23" s="1"/>
  <c r="AG42" i="23"/>
  <c r="AG172" i="23"/>
  <c r="AG236" i="23"/>
  <c r="AG77" i="23"/>
  <c r="I54" i="23"/>
  <c r="AG140" i="23"/>
  <c r="AG200" i="23" s="1"/>
  <c r="AG123" i="23"/>
  <c r="J123" i="23" s="1"/>
  <c r="AG132" i="23"/>
  <c r="AG185" i="23"/>
  <c r="AG129" i="23"/>
  <c r="AG189" i="23" s="1"/>
  <c r="I89" i="23"/>
  <c r="AG149" i="23"/>
  <c r="AG213" i="23" s="1"/>
  <c r="AG215" i="23" s="1"/>
  <c r="AG211" i="23"/>
  <c r="AG214" i="23" s="1"/>
  <c r="AE175" i="23"/>
  <c r="AG150" i="23"/>
  <c r="AG193" i="23"/>
  <c r="AG266" i="23"/>
  <c r="AG263" i="23"/>
  <c r="AG249" i="23"/>
  <c r="D82" i="22"/>
  <c r="C84" i="22"/>
  <c r="AF132" i="23"/>
  <c r="AF140" i="23"/>
  <c r="AF200" i="23" s="1"/>
  <c r="AF185" i="23"/>
  <c r="AF129" i="23"/>
  <c r="AF189" i="23" s="1"/>
  <c r="AF123" i="23"/>
  <c r="AF77" i="23"/>
  <c r="AF78" i="23" s="1"/>
  <c r="AF84" i="23" s="1"/>
  <c r="AF236" i="23"/>
  <c r="D127" i="22"/>
  <c r="AF262" i="23"/>
  <c r="AF265" i="23"/>
  <c r="AF273" i="23"/>
  <c r="AF31" i="23"/>
  <c r="AF32" i="23" s="1"/>
  <c r="AF42" i="23"/>
  <c r="AF52" i="23"/>
  <c r="AF54" i="23"/>
  <c r="AF214" i="23"/>
  <c r="AF215" i="23"/>
  <c r="AF91" i="23"/>
  <c r="AF138" i="23" s="1"/>
  <c r="AF198" i="23" s="1"/>
  <c r="I249" i="23"/>
  <c r="I263" i="23"/>
  <c r="AD211" i="23"/>
  <c r="AD149" i="23"/>
  <c r="AD213" i="23" s="1"/>
  <c r="AD249" i="23"/>
  <c r="AD273" i="23" s="1"/>
  <c r="AC249" i="23"/>
  <c r="AC273" i="23" s="1"/>
  <c r="C173" i="22"/>
  <c r="C175" i="22" s="1"/>
  <c r="AE76" i="23"/>
  <c r="J76" i="23" s="1"/>
  <c r="I211" i="23"/>
  <c r="I214" i="23" s="1"/>
  <c r="I266" i="23"/>
  <c r="I215" i="23"/>
  <c r="I129" i="23"/>
  <c r="I189" i="23" s="1"/>
  <c r="AE29" i="23"/>
  <c r="AE48" i="23"/>
  <c r="AE50" i="23" s="1"/>
  <c r="AF89" i="23" s="1"/>
  <c r="I193" i="23"/>
  <c r="I185" i="23"/>
  <c r="I92" i="23"/>
  <c r="AE226" i="23"/>
  <c r="I123" i="23"/>
  <c r="AE238" i="23"/>
  <c r="AE174" i="23"/>
  <c r="I132" i="23"/>
  <c r="I192" i="23" s="1"/>
  <c r="AE170" i="23"/>
  <c r="AE234" i="23"/>
  <c r="I172" i="23"/>
  <c r="I236" i="23"/>
  <c r="I77" i="23"/>
  <c r="I78" i="23" s="1"/>
  <c r="I94" i="23"/>
  <c r="AD185" i="23"/>
  <c r="AC211" i="23"/>
  <c r="AD123" i="23"/>
  <c r="AD52" i="23"/>
  <c r="AD54" i="23"/>
  <c r="AD42" i="23"/>
  <c r="AD31" i="23"/>
  <c r="AD241" i="23"/>
  <c r="AD177" i="23"/>
  <c r="C220" i="22"/>
  <c r="AC129" i="23"/>
  <c r="AC189" i="23" s="1"/>
  <c r="AC185" i="23"/>
  <c r="AC123" i="23"/>
  <c r="AC42" i="23"/>
  <c r="AC31" i="23"/>
  <c r="AB98" i="23"/>
  <c r="AB68" i="23"/>
  <c r="AB64" i="23"/>
  <c r="AB248" i="23"/>
  <c r="AB244" i="23"/>
  <c r="AB241" i="23"/>
  <c r="AB239" i="23"/>
  <c r="AB238" i="23"/>
  <c r="AB235" i="23"/>
  <c r="AB234" i="23"/>
  <c r="AB231" i="23"/>
  <c r="AB230" i="23"/>
  <c r="AB224" i="23"/>
  <c r="AE260" i="23" s="1"/>
  <c r="AB218" i="23"/>
  <c r="AB207" i="23"/>
  <c r="AB184" i="23"/>
  <c r="AB180" i="23"/>
  <c r="AB177" i="23"/>
  <c r="AB175" i="23"/>
  <c r="AB174" i="23"/>
  <c r="AB171" i="23"/>
  <c r="AB170" i="23"/>
  <c r="AB167" i="23"/>
  <c r="AB166" i="23"/>
  <c r="AB160" i="23"/>
  <c r="AB154" i="23"/>
  <c r="AB148" i="23"/>
  <c r="AB212" i="23" s="1"/>
  <c r="AB143" i="23"/>
  <c r="AB127" i="23"/>
  <c r="AB117" i="23"/>
  <c r="AB116" i="23"/>
  <c r="AB113" i="23"/>
  <c r="C248" i="22" s="1"/>
  <c r="C249" i="22" s="1"/>
  <c r="AB108" i="23"/>
  <c r="AB102" i="23"/>
  <c r="AB96" i="23"/>
  <c r="AB86" i="23"/>
  <c r="AB240" i="23"/>
  <c r="AB63" i="23"/>
  <c r="AB228" i="23" s="1"/>
  <c r="AB62" i="23"/>
  <c r="AB56" i="23"/>
  <c r="AB161" i="23" s="1"/>
  <c r="AB49" i="23"/>
  <c r="AB47" i="23"/>
  <c r="AB7" i="23"/>
  <c r="AF10" i="23" s="1"/>
  <c r="AG103" i="23" l="1"/>
  <c r="AC52" i="23"/>
  <c r="AF144" i="23"/>
  <c r="AG78" i="23"/>
  <c r="AG84" i="23" s="1"/>
  <c r="AG52" i="23"/>
  <c r="AG51" i="23"/>
  <c r="AG89" i="23"/>
  <c r="AG178" i="23"/>
  <c r="AG242" i="23"/>
  <c r="AD32" i="23"/>
  <c r="AG192" i="23"/>
  <c r="AG151" i="23"/>
  <c r="AG187" i="23"/>
  <c r="AG135" i="23"/>
  <c r="AG195" i="23" s="1"/>
  <c r="AG251" i="23"/>
  <c r="AG268" i="23" s="1"/>
  <c r="AG273" i="23"/>
  <c r="AG265" i="23"/>
  <c r="AG262" i="23"/>
  <c r="AG208" i="23"/>
  <c r="AG210" i="23" s="1"/>
  <c r="AG146" i="23"/>
  <c r="AF192" i="23"/>
  <c r="AF151" i="23"/>
  <c r="AF187" i="23"/>
  <c r="AF251" i="23"/>
  <c r="AF268" i="23" s="1"/>
  <c r="AF135" i="23"/>
  <c r="AF195" i="23" s="1"/>
  <c r="AF242" i="23"/>
  <c r="AF178" i="23"/>
  <c r="I273" i="23"/>
  <c r="I265" i="23"/>
  <c r="I262" i="23"/>
  <c r="AC32" i="23"/>
  <c r="I84" i="23"/>
  <c r="I251" i="23"/>
  <c r="I268" i="23" s="1"/>
  <c r="I135" i="23"/>
  <c r="I195" i="23" s="1"/>
  <c r="I187" i="23"/>
  <c r="I151" i="23"/>
  <c r="AE52" i="23"/>
  <c r="AE54" i="23"/>
  <c r="AE31" i="23"/>
  <c r="AG92" i="23" s="1"/>
  <c r="AE42" i="23"/>
  <c r="AB221" i="23"/>
  <c r="AE87" i="23"/>
  <c r="I178" i="23"/>
  <c r="I242" i="23"/>
  <c r="AD251" i="23"/>
  <c r="AD187" i="23"/>
  <c r="AC64" i="23"/>
  <c r="AC68" i="23"/>
  <c r="AC187" i="23"/>
  <c r="AC251" i="23"/>
  <c r="AB229" i="23"/>
  <c r="C252" i="22"/>
  <c r="AB72" i="23"/>
  <c r="AB169" i="23"/>
  <c r="AB165" i="23"/>
  <c r="AB118" i="23"/>
  <c r="AB147" i="23" s="1"/>
  <c r="AB233" i="23"/>
  <c r="AB41" i="23"/>
  <c r="AB35" i="23"/>
  <c r="AB44" i="23"/>
  <c r="AB38" i="23"/>
  <c r="AB59" i="23"/>
  <c r="AB157" i="23"/>
  <c r="AF158" i="23" s="1"/>
  <c r="AB164" i="23"/>
  <c r="AB37" i="23"/>
  <c r="AB24" i="23"/>
  <c r="AE88" i="23" s="1"/>
  <c r="AB60" i="23"/>
  <c r="AB176" i="23"/>
  <c r="AB67" i="23"/>
  <c r="AB57" i="23"/>
  <c r="AB162" i="23" s="1"/>
  <c r="AB36" i="23"/>
  <c r="AB45" i="23"/>
  <c r="AF208" i="23" l="1"/>
  <c r="AF210" i="23" s="1"/>
  <c r="AF146" i="23"/>
  <c r="AG179" i="23"/>
  <c r="AG243" i="23"/>
  <c r="AG80" i="23"/>
  <c r="AD64" i="23"/>
  <c r="AF80" i="23"/>
  <c r="AF179" i="23"/>
  <c r="AF243" i="23"/>
  <c r="AE32" i="23"/>
  <c r="AF92" i="23"/>
  <c r="AB226" i="23"/>
  <c r="AF222" i="23"/>
  <c r="AD68" i="23"/>
  <c r="AE144" i="23"/>
  <c r="AE103" i="23"/>
  <c r="I179" i="23"/>
  <c r="I243" i="23"/>
  <c r="I80" i="23"/>
  <c r="AC72" i="23"/>
  <c r="C256" i="22"/>
  <c r="AB121" i="23"/>
  <c r="C254" i="22"/>
  <c r="AC44" i="23"/>
  <c r="AC229" i="23"/>
  <c r="AC67" i="23"/>
  <c r="AC60" i="23"/>
  <c r="AC165" i="23"/>
  <c r="AC169" i="23"/>
  <c r="AC233" i="23"/>
  <c r="AC59" i="23"/>
  <c r="AC45" i="23"/>
  <c r="AB183" i="23"/>
  <c r="AB247" i="23"/>
  <c r="AB125" i="23"/>
  <c r="AB29" i="23"/>
  <c r="AB48" i="23"/>
  <c r="AB50" i="23" s="1"/>
  <c r="AB211" i="23"/>
  <c r="AB149" i="23"/>
  <c r="AB213" i="23" s="1"/>
  <c r="AB232" i="23"/>
  <c r="AB168" i="23"/>
  <c r="AB71" i="23"/>
  <c r="AB173" i="23"/>
  <c r="AB237" i="23"/>
  <c r="AD229" i="23" l="1"/>
  <c r="AD44" i="23"/>
  <c r="AD233" i="23"/>
  <c r="AD72" i="23"/>
  <c r="AG245" i="23"/>
  <c r="AG181" i="23"/>
  <c r="AD59" i="23"/>
  <c r="AD165" i="23"/>
  <c r="AE68" i="23"/>
  <c r="AF93" i="23" s="1"/>
  <c r="AF137" i="23" s="1"/>
  <c r="AF197" i="23" s="1"/>
  <c r="AD60" i="23"/>
  <c r="AD67" i="23"/>
  <c r="AD232" i="23" s="1"/>
  <c r="AE64" i="23"/>
  <c r="J64" i="23" s="1"/>
  <c r="AD169" i="23"/>
  <c r="AD45" i="23"/>
  <c r="AF245" i="23"/>
  <c r="AF181" i="23"/>
  <c r="AB129" i="23"/>
  <c r="AB189" i="23" s="1"/>
  <c r="AB123" i="23"/>
  <c r="AB251" i="23" s="1"/>
  <c r="AE89" i="23"/>
  <c r="AF51" i="23"/>
  <c r="AE208" i="23"/>
  <c r="AE210" i="23" s="1"/>
  <c r="AE146" i="23"/>
  <c r="I181" i="23"/>
  <c r="I245" i="23"/>
  <c r="AB132" i="23"/>
  <c r="AB151" i="23" s="1"/>
  <c r="AB140" i="23"/>
  <c r="AB200" i="23" s="1"/>
  <c r="AB185" i="23"/>
  <c r="AC237" i="23"/>
  <c r="AC173" i="23"/>
  <c r="AC71" i="23"/>
  <c r="AC168" i="23"/>
  <c r="AC232" i="23"/>
  <c r="AB249" i="23"/>
  <c r="AB54" i="23"/>
  <c r="AB52" i="23"/>
  <c r="AB236" i="23"/>
  <c r="AB77" i="23"/>
  <c r="AB78" i="23" s="1"/>
  <c r="AB172" i="23"/>
  <c r="AB187" i="23"/>
  <c r="AB42" i="23"/>
  <c r="AB31" i="23"/>
  <c r="AD168" i="23" l="1"/>
  <c r="AD71" i="23"/>
  <c r="AG93" i="23"/>
  <c r="AG137" i="23" s="1"/>
  <c r="AG197" i="23" s="1"/>
  <c r="J68" i="23"/>
  <c r="AD173" i="23"/>
  <c r="AD237" i="23"/>
  <c r="AE72" i="23"/>
  <c r="J72" i="23" s="1"/>
  <c r="AB84" i="23"/>
  <c r="AB32" i="23"/>
  <c r="AE92" i="23"/>
  <c r="AB192" i="23"/>
  <c r="AD172" i="23"/>
  <c r="AD236" i="23"/>
  <c r="AD77" i="23"/>
  <c r="AC172" i="23"/>
  <c r="AC236" i="23"/>
  <c r="AC77" i="23"/>
  <c r="AC78" i="23" s="1"/>
  <c r="AB273" i="23"/>
  <c r="AB178" i="23"/>
  <c r="AB242" i="23"/>
  <c r="AC84" i="23" l="1"/>
  <c r="AD78" i="23"/>
  <c r="AD178" i="23"/>
  <c r="AD242" i="23"/>
  <c r="AC178" i="23"/>
  <c r="AC242" i="23"/>
  <c r="AB243" i="23"/>
  <c r="AB179" i="23"/>
  <c r="AB80" i="23"/>
  <c r="AD84" i="23" l="1"/>
  <c r="AE78" i="23"/>
  <c r="J78" i="23" s="1"/>
  <c r="AD179" i="23"/>
  <c r="AD243" i="23"/>
  <c r="AD80" i="23"/>
  <c r="AC179" i="23"/>
  <c r="AC243" i="23"/>
  <c r="AC80" i="23"/>
  <c r="AB181" i="23"/>
  <c r="AB245" i="23"/>
  <c r="AD245" i="23" l="1"/>
  <c r="AD181" i="23"/>
  <c r="AC245" i="23"/>
  <c r="AC181" i="23"/>
  <c r="C294" i="22"/>
  <c r="C295" i="22"/>
  <c r="C276" i="22"/>
  <c r="W31" i="25"/>
  <c r="AA17" i="25"/>
  <c r="AA16" i="25"/>
  <c r="AA15" i="25"/>
  <c r="AA14" i="25"/>
  <c r="AA13" i="25"/>
  <c r="AA12" i="25"/>
  <c r="AA11" i="25"/>
  <c r="AA10" i="25"/>
  <c r="AA61" i="25"/>
  <c r="AA56" i="25"/>
  <c r="AA31" i="25"/>
  <c r="AA25" i="25"/>
  <c r="H75" i="25"/>
  <c r="H74" i="25"/>
  <c r="H66" i="25"/>
  <c r="H65" i="25"/>
  <c r="H77" i="25"/>
  <c r="H79" i="25" s="1"/>
  <c r="H68" i="25"/>
  <c r="H70" i="25" s="1"/>
  <c r="H61" i="25"/>
  <c r="H56" i="25"/>
  <c r="H31" i="25"/>
  <c r="H25" i="25"/>
  <c r="H9" i="25"/>
  <c r="H7" i="25"/>
  <c r="H19" i="25" s="1"/>
  <c r="AA43" i="25" l="1"/>
  <c r="AE43" i="25"/>
  <c r="I43" i="25"/>
  <c r="H36" i="25"/>
  <c r="H35" i="25"/>
  <c r="H34" i="25"/>
  <c r="W34" i="25"/>
  <c r="W35" i="25"/>
  <c r="W36" i="25"/>
  <c r="AA36" i="25"/>
  <c r="AA34" i="25"/>
  <c r="AA35" i="25"/>
  <c r="AA9" i="25"/>
  <c r="AA7" i="25"/>
  <c r="AA19" i="25" s="1"/>
  <c r="H69" i="25"/>
  <c r="H78" i="25"/>
  <c r="AA124" i="23"/>
  <c r="AA120" i="23"/>
  <c r="AA119" i="23"/>
  <c r="C281" i="22" s="1"/>
  <c r="C299" i="22" s="1"/>
  <c r="AA112" i="23"/>
  <c r="AA255" i="23" s="1"/>
  <c r="AA111" i="23"/>
  <c r="AA254" i="23" s="1"/>
  <c r="AA107" i="23"/>
  <c r="AA106" i="23"/>
  <c r="AA101" i="23"/>
  <c r="AA100" i="23"/>
  <c r="AA99" i="23"/>
  <c r="AA55" i="23"/>
  <c r="AA30" i="23"/>
  <c r="AA28" i="23"/>
  <c r="AA27" i="23"/>
  <c r="AA26" i="23"/>
  <c r="AA25" i="23"/>
  <c r="AA22" i="23"/>
  <c r="AA21" i="23"/>
  <c r="AA20" i="23"/>
  <c r="AA19" i="23"/>
  <c r="AA18" i="23"/>
  <c r="AA17" i="23"/>
  <c r="AA16" i="23"/>
  <c r="AA15" i="23"/>
  <c r="AA14" i="23"/>
  <c r="AA13" i="23"/>
  <c r="AA12" i="23"/>
  <c r="AA9" i="23"/>
  <c r="AA8" i="23"/>
  <c r="AA218" i="23"/>
  <c r="AA207" i="23"/>
  <c r="AA154" i="23"/>
  <c r="AA143" i="23"/>
  <c r="AA127" i="23"/>
  <c r="AA96" i="23"/>
  <c r="AA86" i="23"/>
  <c r="AA62" i="23"/>
  <c r="AA47" i="23"/>
  <c r="H98" i="23"/>
  <c r="AA98" i="23" s="1"/>
  <c r="H68" i="23"/>
  <c r="H233" i="23" s="1"/>
  <c r="H64" i="23"/>
  <c r="H165" i="23" s="1"/>
  <c r="H23" i="23"/>
  <c r="AA23" i="23" s="1"/>
  <c r="H248" i="23"/>
  <c r="H244" i="23"/>
  <c r="H241" i="23"/>
  <c r="H239" i="23"/>
  <c r="H238" i="23"/>
  <c r="H235" i="23"/>
  <c r="H234" i="23"/>
  <c r="H231" i="23"/>
  <c r="H230" i="23"/>
  <c r="H224" i="23"/>
  <c r="H218" i="23"/>
  <c r="H207" i="23"/>
  <c r="H205" i="23"/>
  <c r="H184" i="23"/>
  <c r="H180" i="23"/>
  <c r="H177" i="23"/>
  <c r="H175" i="23"/>
  <c r="H174" i="23"/>
  <c r="H171" i="23"/>
  <c r="H170" i="23"/>
  <c r="H167" i="23"/>
  <c r="H166" i="23"/>
  <c r="H160" i="23"/>
  <c r="H154" i="23"/>
  <c r="H148" i="23"/>
  <c r="H212" i="23" s="1"/>
  <c r="H143" i="23"/>
  <c r="H127" i="23"/>
  <c r="H117" i="23"/>
  <c r="H116" i="23"/>
  <c r="H113" i="23"/>
  <c r="H108" i="23"/>
  <c r="H102" i="23"/>
  <c r="H96" i="23"/>
  <c r="H91" i="23"/>
  <c r="H90" i="23"/>
  <c r="H145" i="23" s="1"/>
  <c r="H86" i="23"/>
  <c r="H240" i="23"/>
  <c r="H63" i="23"/>
  <c r="H164" i="23" s="1"/>
  <c r="H62" i="23"/>
  <c r="H56" i="23"/>
  <c r="H161" i="23" s="1"/>
  <c r="H49" i="23"/>
  <c r="H47" i="23"/>
  <c r="H7" i="23"/>
  <c r="C356" i="22"/>
  <c r="C355" i="22"/>
  <c r="C315" i="22"/>
  <c r="C313" i="22"/>
  <c r="C331" i="22" s="1"/>
  <c r="C312" i="22"/>
  <c r="C330" i="22" s="1"/>
  <c r="C325" i="22"/>
  <c r="C324" i="22"/>
  <c r="C307" i="22"/>
  <c r="Z61" i="25"/>
  <c r="Z56" i="25"/>
  <c r="Z31" i="25"/>
  <c r="Z25" i="25"/>
  <c r="Z9" i="25"/>
  <c r="Z7" i="25"/>
  <c r="Z19" i="25" s="1"/>
  <c r="J218" i="23"/>
  <c r="J207" i="23"/>
  <c r="J154" i="23"/>
  <c r="J143" i="23"/>
  <c r="J127" i="23"/>
  <c r="J96" i="23"/>
  <c r="J86" i="23"/>
  <c r="J62" i="23"/>
  <c r="J47" i="23"/>
  <c r="Z98" i="23"/>
  <c r="Z117" i="23"/>
  <c r="Z116" i="23"/>
  <c r="Z113" i="23"/>
  <c r="C310" i="22" s="1"/>
  <c r="Z108" i="23"/>
  <c r="Z102" i="23"/>
  <c r="Z248" i="23"/>
  <c r="Z234" i="23"/>
  <c r="Z224" i="23"/>
  <c r="AD225" i="23" s="1"/>
  <c r="Z218" i="23"/>
  <c r="Z207" i="23"/>
  <c r="Z184" i="23"/>
  <c r="Z170" i="23"/>
  <c r="Z160" i="23"/>
  <c r="Z154" i="23"/>
  <c r="Z148" i="23"/>
  <c r="Z212" i="23" s="1"/>
  <c r="Z143" i="23"/>
  <c r="Z127" i="23"/>
  <c r="Z96" i="23"/>
  <c r="Z86" i="23"/>
  <c r="Z63" i="23"/>
  <c r="Z164" i="23" s="1"/>
  <c r="Z62" i="23"/>
  <c r="Z56" i="23"/>
  <c r="Z161" i="23" s="1"/>
  <c r="Z49" i="23"/>
  <c r="Z47" i="23"/>
  <c r="Z7" i="23"/>
  <c r="AD10" i="23" s="1"/>
  <c r="C346" i="22"/>
  <c r="C344" i="22"/>
  <c r="C362" i="22" s="1"/>
  <c r="C343" i="22"/>
  <c r="C361" i="22" s="1"/>
  <c r="C338" i="22"/>
  <c r="Y61" i="25"/>
  <c r="Y56" i="25"/>
  <c r="Y31" i="25"/>
  <c r="Y25" i="25"/>
  <c r="Y117" i="23"/>
  <c r="Y116" i="23"/>
  <c r="Y113" i="23"/>
  <c r="C341" i="22" s="1"/>
  <c r="Y98" i="23"/>
  <c r="Y79" i="23"/>
  <c r="Y74" i="23"/>
  <c r="Y69" i="23"/>
  <c r="Y66" i="23"/>
  <c r="Y65" i="23"/>
  <c r="Y248" i="23"/>
  <c r="Y224" i="23"/>
  <c r="Y218" i="23"/>
  <c r="Y207" i="23"/>
  <c r="Y184" i="23"/>
  <c r="Y160" i="23"/>
  <c r="Y154" i="23"/>
  <c r="Y148" i="23"/>
  <c r="Y212" i="23" s="1"/>
  <c r="Y143" i="23"/>
  <c r="Y127" i="23"/>
  <c r="Y108" i="23"/>
  <c r="Y102" i="23"/>
  <c r="Y96" i="23"/>
  <c r="Y86" i="23"/>
  <c r="Y73" i="23"/>
  <c r="Y70" i="23"/>
  <c r="Y63" i="23"/>
  <c r="Y62" i="23"/>
  <c r="Y56" i="23"/>
  <c r="Y161" i="23" s="1"/>
  <c r="Y49" i="23"/>
  <c r="Y47" i="23"/>
  <c r="Y7" i="23"/>
  <c r="AC10" i="23" s="1"/>
  <c r="C386" i="22"/>
  <c r="C387" i="22"/>
  <c r="C377" i="22"/>
  <c r="C375" i="22"/>
  <c r="C393" i="22" s="1"/>
  <c r="C374" i="22"/>
  <c r="C392" i="22" s="1"/>
  <c r="C369" i="22"/>
  <c r="X56" i="25"/>
  <c r="X61" i="25"/>
  <c r="X31" i="25"/>
  <c r="X25" i="25"/>
  <c r="X9" i="25"/>
  <c r="X7" i="25"/>
  <c r="X19" i="25" s="1"/>
  <c r="X98" i="23"/>
  <c r="X75" i="23"/>
  <c r="X240" i="23" s="1"/>
  <c r="X68" i="23"/>
  <c r="Y68" i="23" s="1"/>
  <c r="X64" i="23"/>
  <c r="X165" i="23" s="1"/>
  <c r="X7" i="23"/>
  <c r="X248" i="23"/>
  <c r="X244" i="23"/>
  <c r="X241" i="23"/>
  <c r="X239" i="23"/>
  <c r="X238" i="23"/>
  <c r="X235" i="23"/>
  <c r="X234" i="23"/>
  <c r="X231" i="23"/>
  <c r="X230" i="23"/>
  <c r="X224" i="23"/>
  <c r="X218" i="23"/>
  <c r="X207" i="23"/>
  <c r="X184" i="23"/>
  <c r="X180" i="23"/>
  <c r="X177" i="23"/>
  <c r="X175" i="23"/>
  <c r="X174" i="23"/>
  <c r="X171" i="23"/>
  <c r="X170" i="23"/>
  <c r="X167" i="23"/>
  <c r="X166" i="23"/>
  <c r="X160" i="23"/>
  <c r="X154" i="23"/>
  <c r="X148" i="23"/>
  <c r="X212" i="23" s="1"/>
  <c r="X143" i="23"/>
  <c r="X127" i="23"/>
  <c r="X117" i="23"/>
  <c r="X116" i="23"/>
  <c r="X113" i="23"/>
  <c r="C372" i="22" s="1"/>
  <c r="X108" i="23"/>
  <c r="X102" i="23"/>
  <c r="X96" i="23"/>
  <c r="X86" i="23"/>
  <c r="X63" i="23"/>
  <c r="X164" i="23" s="1"/>
  <c r="X62" i="23"/>
  <c r="X56" i="23"/>
  <c r="X161" i="23" s="1"/>
  <c r="X49" i="23"/>
  <c r="X47" i="23"/>
  <c r="C417" i="22"/>
  <c r="C408" i="22"/>
  <c r="C406" i="22"/>
  <c r="C405" i="22"/>
  <c r="C423" i="22" s="1"/>
  <c r="C418" i="22"/>
  <c r="C400" i="22"/>
  <c r="C439" i="22"/>
  <c r="C437" i="22"/>
  <c r="C455" i="22" s="1"/>
  <c r="C436" i="22"/>
  <c r="C454" i="22" s="1"/>
  <c r="G66" i="25"/>
  <c r="G65" i="25"/>
  <c r="G68" i="25"/>
  <c r="G70" i="25" s="1"/>
  <c r="W17" i="25"/>
  <c r="W16" i="25"/>
  <c r="W15" i="25"/>
  <c r="W14" i="25"/>
  <c r="W13" i="25"/>
  <c r="W12" i="25"/>
  <c r="W11" i="25"/>
  <c r="W10" i="25"/>
  <c r="W61" i="25"/>
  <c r="W56" i="25"/>
  <c r="G61" i="25"/>
  <c r="G56" i="25"/>
  <c r="G31" i="25"/>
  <c r="G25" i="25"/>
  <c r="G9" i="25"/>
  <c r="G7" i="25"/>
  <c r="G19" i="25" s="1"/>
  <c r="G98" i="23"/>
  <c r="W98" i="23" s="1"/>
  <c r="G75" i="23"/>
  <c r="G68" i="23"/>
  <c r="G72" i="23" s="1"/>
  <c r="G64" i="23"/>
  <c r="G23" i="23"/>
  <c r="W23" i="23" s="1"/>
  <c r="W124" i="23"/>
  <c r="W258" i="23" s="1"/>
  <c r="W120" i="23"/>
  <c r="W119" i="23"/>
  <c r="W184" i="23" s="1"/>
  <c r="W112" i="23"/>
  <c r="W255" i="23" s="1"/>
  <c r="W111" i="23"/>
  <c r="W254" i="23" s="1"/>
  <c r="W107" i="23"/>
  <c r="W106" i="23"/>
  <c r="W101" i="23"/>
  <c r="W100" i="23"/>
  <c r="W99" i="23"/>
  <c r="W55" i="23"/>
  <c r="W30" i="23"/>
  <c r="W28" i="23"/>
  <c r="W27" i="23"/>
  <c r="W26" i="23"/>
  <c r="W25" i="23"/>
  <c r="W22" i="23"/>
  <c r="W21" i="23"/>
  <c r="W20" i="23"/>
  <c r="W19" i="23"/>
  <c r="W18" i="23"/>
  <c r="W17" i="23"/>
  <c r="W16" i="23"/>
  <c r="W49" i="23" s="1"/>
  <c r="W15" i="23"/>
  <c r="W14" i="23"/>
  <c r="W13" i="23"/>
  <c r="W12" i="23"/>
  <c r="W9" i="23"/>
  <c r="W8" i="23"/>
  <c r="W218" i="23"/>
  <c r="W207" i="23"/>
  <c r="W154" i="23"/>
  <c r="W143" i="23"/>
  <c r="W127" i="23"/>
  <c r="W96" i="23"/>
  <c r="W86" i="23"/>
  <c r="W62" i="23"/>
  <c r="W47" i="23"/>
  <c r="G248" i="23"/>
  <c r="G244" i="23"/>
  <c r="G239" i="23"/>
  <c r="G238" i="23"/>
  <c r="G235" i="23"/>
  <c r="G234" i="23"/>
  <c r="G230" i="23"/>
  <c r="G224" i="23"/>
  <c r="G260" i="23" s="1"/>
  <c r="G218" i="23"/>
  <c r="G207" i="23"/>
  <c r="G205" i="23"/>
  <c r="G184" i="23"/>
  <c r="G180" i="23"/>
  <c r="G175" i="23"/>
  <c r="G174" i="23"/>
  <c r="G171" i="23"/>
  <c r="G170" i="23"/>
  <c r="G166" i="23"/>
  <c r="G160" i="23"/>
  <c r="G154" i="23"/>
  <c r="G148" i="23"/>
  <c r="G212" i="23" s="1"/>
  <c r="G143" i="23"/>
  <c r="G127" i="23"/>
  <c r="G117" i="23"/>
  <c r="G116" i="23"/>
  <c r="G113" i="23"/>
  <c r="C403" i="22" s="1"/>
  <c r="G108" i="23"/>
  <c r="G102" i="23"/>
  <c r="G96" i="23"/>
  <c r="G90" i="23"/>
  <c r="G145" i="23" s="1"/>
  <c r="G86" i="23"/>
  <c r="G167" i="23"/>
  <c r="G63" i="23"/>
  <c r="G164" i="23" s="1"/>
  <c r="G62" i="23"/>
  <c r="G56" i="23"/>
  <c r="G161" i="23" s="1"/>
  <c r="G49" i="23"/>
  <c r="G47" i="23"/>
  <c r="G7" i="23"/>
  <c r="G157" i="23" s="1"/>
  <c r="C449" i="22"/>
  <c r="C448" i="22"/>
  <c r="C431" i="22"/>
  <c r="V61" i="25"/>
  <c r="V56" i="25"/>
  <c r="V31" i="25"/>
  <c r="V25" i="25"/>
  <c r="V9" i="25"/>
  <c r="V7" i="25"/>
  <c r="V19" i="25" s="1"/>
  <c r="V108" i="23"/>
  <c r="V98" i="23"/>
  <c r="V248" i="23"/>
  <c r="V234" i="23"/>
  <c r="V224" i="23"/>
  <c r="V218" i="23"/>
  <c r="V207" i="23"/>
  <c r="V184" i="23"/>
  <c r="V170" i="23"/>
  <c r="V160" i="23"/>
  <c r="V154" i="23"/>
  <c r="V148" i="23"/>
  <c r="V212" i="23" s="1"/>
  <c r="V143" i="23"/>
  <c r="V127" i="23"/>
  <c r="V117" i="23"/>
  <c r="V116" i="23"/>
  <c r="V113" i="23"/>
  <c r="C434" i="22" s="1"/>
  <c r="V102" i="23"/>
  <c r="V96" i="23"/>
  <c r="V86" i="23"/>
  <c r="V63" i="23"/>
  <c r="V62" i="23"/>
  <c r="V56" i="23"/>
  <c r="V161" i="23" s="1"/>
  <c r="V49" i="23"/>
  <c r="V47" i="23"/>
  <c r="V7" i="23"/>
  <c r="V157" i="23" s="1"/>
  <c r="C480" i="22"/>
  <c r="C479" i="22"/>
  <c r="C470" i="22"/>
  <c r="C468" i="22"/>
  <c r="C486" i="22" s="1"/>
  <c r="C467" i="22"/>
  <c r="C485" i="22" s="1"/>
  <c r="C462" i="22"/>
  <c r="S24" i="25"/>
  <c r="S23" i="25"/>
  <c r="U61" i="25"/>
  <c r="U56" i="25"/>
  <c r="U31" i="25"/>
  <c r="U25" i="25"/>
  <c r="U9" i="25"/>
  <c r="U7" i="25"/>
  <c r="U19" i="25" s="1"/>
  <c r="U98" i="23"/>
  <c r="Q69" i="23"/>
  <c r="U79" i="23"/>
  <c r="U180" i="23" s="1"/>
  <c r="U74" i="23"/>
  <c r="U239" i="23" s="1"/>
  <c r="U69" i="23"/>
  <c r="U170" i="23" s="1"/>
  <c r="U66" i="23"/>
  <c r="U167" i="23" s="1"/>
  <c r="U65" i="23"/>
  <c r="U166" i="23" s="1"/>
  <c r="U248" i="23"/>
  <c r="U224" i="23"/>
  <c r="U218" i="23"/>
  <c r="U207" i="23"/>
  <c r="U184" i="23"/>
  <c r="U160" i="23"/>
  <c r="U154" i="23"/>
  <c r="U148" i="23"/>
  <c r="U212" i="23" s="1"/>
  <c r="U143" i="23"/>
  <c r="U127" i="23"/>
  <c r="U117" i="23"/>
  <c r="U116" i="23"/>
  <c r="U113" i="23"/>
  <c r="C465" i="22" s="1"/>
  <c r="U108" i="23"/>
  <c r="U102" i="23"/>
  <c r="U96" i="23"/>
  <c r="U86" i="23"/>
  <c r="U73" i="23"/>
  <c r="U238" i="23" s="1"/>
  <c r="U70" i="23"/>
  <c r="U171" i="23" s="1"/>
  <c r="U63" i="23"/>
  <c r="U62" i="23"/>
  <c r="U56" i="23"/>
  <c r="U161" i="23" s="1"/>
  <c r="U49" i="23"/>
  <c r="U47" i="23"/>
  <c r="U7" i="23"/>
  <c r="U221" i="23" s="1"/>
  <c r="C529" i="22"/>
  <c r="S111" i="23"/>
  <c r="S254" i="23" s="1"/>
  <c r="O111" i="23"/>
  <c r="O254" i="23" s="1"/>
  <c r="R116" i="23"/>
  <c r="Q116" i="23"/>
  <c r="T117" i="23"/>
  <c r="T116" i="23"/>
  <c r="C562" i="22"/>
  <c r="F116" i="23"/>
  <c r="W37" i="25" l="1"/>
  <c r="H37" i="25"/>
  <c r="AA37" i="25"/>
  <c r="Z43" i="25"/>
  <c r="AD43" i="25"/>
  <c r="Y43" i="25"/>
  <c r="AC43" i="25"/>
  <c r="AB43" i="25"/>
  <c r="H43" i="25"/>
  <c r="Z36" i="25"/>
  <c r="Z34" i="25"/>
  <c r="Z35" i="25"/>
  <c r="U36" i="25"/>
  <c r="U34" i="25"/>
  <c r="U35" i="25"/>
  <c r="X35" i="25"/>
  <c r="X36" i="25"/>
  <c r="X34" i="25"/>
  <c r="G35" i="25"/>
  <c r="G36" i="25"/>
  <c r="G34" i="25"/>
  <c r="G37" i="25" s="1"/>
  <c r="Y35" i="25"/>
  <c r="Y36" i="25"/>
  <c r="Y34" i="25"/>
  <c r="Y37" i="25" s="1"/>
  <c r="V35" i="25"/>
  <c r="V36" i="25"/>
  <c r="V34" i="25"/>
  <c r="AD39" i="23"/>
  <c r="AC39" i="23"/>
  <c r="AB39" i="23"/>
  <c r="W40" i="23"/>
  <c r="X40" i="23"/>
  <c r="Z40" i="23"/>
  <c r="Y40" i="23"/>
  <c r="AD40" i="23"/>
  <c r="AA40" i="23"/>
  <c r="AC40" i="23"/>
  <c r="AB40" i="23"/>
  <c r="AE56" i="23"/>
  <c r="AE161" i="23" s="1"/>
  <c r="H157" i="23"/>
  <c r="I158" i="23" s="1"/>
  <c r="I10" i="23"/>
  <c r="AA49" i="23"/>
  <c r="H260" i="23"/>
  <c r="H270" i="23" s="1"/>
  <c r="I225" i="23"/>
  <c r="AD90" i="23"/>
  <c r="C176" i="22" s="1"/>
  <c r="W256" i="23"/>
  <c r="J40" i="23"/>
  <c r="Y171" i="23"/>
  <c r="AC90" i="23"/>
  <c r="Y174" i="23"/>
  <c r="Y166" i="23"/>
  <c r="Z157" i="23"/>
  <c r="C284" i="22"/>
  <c r="AA258" i="23"/>
  <c r="AC225" i="23"/>
  <c r="Y170" i="23"/>
  <c r="Z74" i="23"/>
  <c r="Z79" i="23"/>
  <c r="AA79" i="23" s="1"/>
  <c r="H271" i="23"/>
  <c r="AA256" i="23"/>
  <c r="AA116" i="23"/>
  <c r="AA113" i="23"/>
  <c r="C279" i="22" s="1"/>
  <c r="C280" i="22" s="1"/>
  <c r="AA102" i="23"/>
  <c r="AA184" i="23"/>
  <c r="J102" i="23"/>
  <c r="AA69" i="23"/>
  <c r="J113" i="23"/>
  <c r="Y57" i="23"/>
  <c r="Y162" i="23" s="1"/>
  <c r="Y231" i="23"/>
  <c r="AA148" i="23"/>
  <c r="AA212" i="23" s="1"/>
  <c r="C282" i="22"/>
  <c r="C300" i="22" s="1"/>
  <c r="C302" i="22" s="1"/>
  <c r="AA160" i="23"/>
  <c r="AB90" i="23"/>
  <c r="C255" i="22" s="1"/>
  <c r="J184" i="23"/>
  <c r="X221" i="23"/>
  <c r="AB222" i="23" s="1"/>
  <c r="AB10" i="23"/>
  <c r="AA7" i="23"/>
  <c r="AE10" i="23" s="1"/>
  <c r="AA248" i="23"/>
  <c r="C388" i="22"/>
  <c r="C326" i="22"/>
  <c r="W9" i="25"/>
  <c r="J31" i="25"/>
  <c r="J56" i="25"/>
  <c r="J61" i="25"/>
  <c r="J25" i="25"/>
  <c r="AA117" i="23"/>
  <c r="J118" i="23" s="1"/>
  <c r="AA56" i="23"/>
  <c r="AA161" i="23" s="1"/>
  <c r="AA224" i="23"/>
  <c r="AA63" i="23"/>
  <c r="AA90" i="23"/>
  <c r="AA108" i="23"/>
  <c r="H169" i="23"/>
  <c r="H72" i="23"/>
  <c r="X35" i="23"/>
  <c r="X57" i="23"/>
  <c r="X162" i="23" s="1"/>
  <c r="X36" i="23"/>
  <c r="X60" i="23"/>
  <c r="X37" i="23"/>
  <c r="H225" i="23"/>
  <c r="X44" i="23"/>
  <c r="H118" i="23"/>
  <c r="H67" i="23"/>
  <c r="H24" i="23"/>
  <c r="H48" i="23" s="1"/>
  <c r="H50" i="23" s="1"/>
  <c r="I51" i="23" s="1"/>
  <c r="H60" i="23"/>
  <c r="H87" i="23"/>
  <c r="H144" i="23" s="1"/>
  <c r="H208" i="23" s="1"/>
  <c r="H38" i="23"/>
  <c r="H209" i="23"/>
  <c r="H176" i="23"/>
  <c r="H41" i="23"/>
  <c r="H228" i="23"/>
  <c r="H138" i="23"/>
  <c r="H198" i="23" s="1"/>
  <c r="H229" i="23"/>
  <c r="H35" i="23"/>
  <c r="H44" i="23"/>
  <c r="H36" i="23"/>
  <c r="H45" i="23"/>
  <c r="H221" i="23"/>
  <c r="I222" i="23" s="1"/>
  <c r="H10" i="23"/>
  <c r="H37" i="23"/>
  <c r="H57" i="23"/>
  <c r="H162" i="23" s="1"/>
  <c r="H93" i="23"/>
  <c r="H137" i="23" s="1"/>
  <c r="H197" i="23" s="1"/>
  <c r="H59" i="23"/>
  <c r="Z70" i="23"/>
  <c r="Y180" i="23"/>
  <c r="X229" i="23"/>
  <c r="C333" i="22"/>
  <c r="C311" i="22"/>
  <c r="C419" i="22"/>
  <c r="C357" i="22"/>
  <c r="Y175" i="23"/>
  <c r="Z66" i="23"/>
  <c r="J108" i="23"/>
  <c r="W117" i="23"/>
  <c r="Z228" i="23"/>
  <c r="Y64" i="23"/>
  <c r="Z90" i="23"/>
  <c r="X176" i="23"/>
  <c r="X228" i="23"/>
  <c r="Z65" i="23"/>
  <c r="J49" i="23"/>
  <c r="Z73" i="23"/>
  <c r="Z68" i="23"/>
  <c r="J248" i="23"/>
  <c r="Z225" i="23"/>
  <c r="Z118" i="23"/>
  <c r="Z39" i="23" s="1"/>
  <c r="Z10" i="23"/>
  <c r="Z38" i="23"/>
  <c r="Z35" i="23"/>
  <c r="Z24" i="23"/>
  <c r="Z41" i="23"/>
  <c r="Z221" i="23"/>
  <c r="AD222" i="23" s="1"/>
  <c r="Z36" i="23"/>
  <c r="Z37" i="23"/>
  <c r="Z57" i="23"/>
  <c r="Z162" i="23" s="1"/>
  <c r="X72" i="23"/>
  <c r="X157" i="23"/>
  <c r="AB158" i="23" s="1"/>
  <c r="Y233" i="23"/>
  <c r="T118" i="23"/>
  <c r="W148" i="23"/>
  <c r="W212" i="23" s="1"/>
  <c r="C410" i="22"/>
  <c r="W224" i="23"/>
  <c r="Z260" i="23" s="1"/>
  <c r="X90" i="23"/>
  <c r="Y90" i="23"/>
  <c r="Y225" i="23"/>
  <c r="Y167" i="23"/>
  <c r="Y75" i="23"/>
  <c r="C364" i="22"/>
  <c r="C342" i="22"/>
  <c r="Y9" i="25"/>
  <c r="Y7" i="25"/>
  <c r="Y19" i="25" s="1"/>
  <c r="Y118" i="23"/>
  <c r="Y39" i="23" s="1"/>
  <c r="Y239" i="23"/>
  <c r="Y36" i="23"/>
  <c r="Y24" i="23"/>
  <c r="Y59" i="23"/>
  <c r="Y35" i="23"/>
  <c r="Y157" i="23"/>
  <c r="AC158" i="23" s="1"/>
  <c r="Y38" i="23"/>
  <c r="Y41" i="23"/>
  <c r="Y10" i="23"/>
  <c r="Y234" i="23"/>
  <c r="Y169" i="23"/>
  <c r="Y235" i="23"/>
  <c r="Y228" i="23"/>
  <c r="Y244" i="23"/>
  <c r="Y164" i="23"/>
  <c r="Y230" i="23"/>
  <c r="Y238" i="23"/>
  <c r="Y45" i="23"/>
  <c r="Y221" i="23"/>
  <c r="Y37" i="23"/>
  <c r="C395" i="22"/>
  <c r="C373" i="22"/>
  <c r="C450" i="22"/>
  <c r="X118" i="23"/>
  <c r="X39" i="23" s="1"/>
  <c r="X169" i="23"/>
  <c r="X233" i="23"/>
  <c r="X45" i="23"/>
  <c r="X67" i="23"/>
  <c r="X38" i="23"/>
  <c r="X24" i="23"/>
  <c r="X41" i="23"/>
  <c r="X59" i="23"/>
  <c r="C424" i="22"/>
  <c r="C426" i="22" s="1"/>
  <c r="C404" i="22"/>
  <c r="G69" i="25"/>
  <c r="W25" i="25"/>
  <c r="W7" i="25"/>
  <c r="W19" i="25" s="1"/>
  <c r="G169" i="23"/>
  <c r="U175" i="23"/>
  <c r="U38" i="23"/>
  <c r="G233" i="23"/>
  <c r="W113" i="23"/>
  <c r="W69" i="23"/>
  <c r="V66" i="23"/>
  <c r="V79" i="23"/>
  <c r="W248" i="23"/>
  <c r="W108" i="23"/>
  <c r="G118" i="23"/>
  <c r="W116" i="23"/>
  <c r="W102" i="23"/>
  <c r="G240" i="23"/>
  <c r="W7" i="23"/>
  <c r="W36" i="23" s="1"/>
  <c r="G38" i="23"/>
  <c r="G36" i="23"/>
  <c r="G59" i="23"/>
  <c r="W63" i="23"/>
  <c r="W90" i="23"/>
  <c r="W160" i="23"/>
  <c r="G228" i="23"/>
  <c r="G44" i="23"/>
  <c r="G45" i="23"/>
  <c r="G60" i="23"/>
  <c r="G24" i="23"/>
  <c r="G88" i="23" s="1"/>
  <c r="G35" i="23"/>
  <c r="G209" i="23"/>
  <c r="G41" i="23"/>
  <c r="G87" i="23"/>
  <c r="G144" i="23" s="1"/>
  <c r="G208" i="23" s="1"/>
  <c r="G176" i="23"/>
  <c r="G67" i="23"/>
  <c r="G229" i="23"/>
  <c r="U24" i="23"/>
  <c r="U231" i="23"/>
  <c r="V74" i="23"/>
  <c r="V239" i="23" s="1"/>
  <c r="G37" i="23"/>
  <c r="G57" i="23"/>
  <c r="G162" i="23" s="1"/>
  <c r="G91" i="23"/>
  <c r="G138" i="23" s="1"/>
  <c r="G198" i="23" s="1"/>
  <c r="G165" i="23"/>
  <c r="G221" i="23"/>
  <c r="G231" i="23"/>
  <c r="G271" i="23" s="1"/>
  <c r="U235" i="23"/>
  <c r="V73" i="23"/>
  <c r="G93" i="23"/>
  <c r="V70" i="23"/>
  <c r="V235" i="23" s="1"/>
  <c r="U174" i="23"/>
  <c r="V65" i="23"/>
  <c r="C457" i="22"/>
  <c r="C435" i="22"/>
  <c r="V118" i="23"/>
  <c r="V228" i="23"/>
  <c r="V41" i="23"/>
  <c r="V36" i="23"/>
  <c r="V35" i="23"/>
  <c r="V164" i="23"/>
  <c r="V37" i="23"/>
  <c r="V57" i="23"/>
  <c r="V162" i="23" s="1"/>
  <c r="V221" i="23"/>
  <c r="V38" i="23"/>
  <c r="V24" i="23"/>
  <c r="C481" i="22"/>
  <c r="C466" i="22"/>
  <c r="C488" i="22"/>
  <c r="U118" i="23"/>
  <c r="U230" i="23"/>
  <c r="U157" i="23"/>
  <c r="U41" i="23"/>
  <c r="U226" i="23"/>
  <c r="U234" i="23"/>
  <c r="U228" i="23"/>
  <c r="U244" i="23"/>
  <c r="U35" i="23"/>
  <c r="U36" i="23"/>
  <c r="U164" i="23"/>
  <c r="U37" i="23"/>
  <c r="U57" i="23"/>
  <c r="U162" i="23" s="1"/>
  <c r="C502" i="22"/>
  <c r="C500" i="22"/>
  <c r="C518" i="22" s="1"/>
  <c r="C499" i="22"/>
  <c r="C517" i="22" s="1"/>
  <c r="C512" i="22"/>
  <c r="C511" i="22"/>
  <c r="C494" i="22"/>
  <c r="S30" i="25"/>
  <c r="S29" i="25"/>
  <c r="S28" i="25"/>
  <c r="T9" i="25"/>
  <c r="T61" i="25"/>
  <c r="T56" i="25"/>
  <c r="T31" i="25"/>
  <c r="T25" i="25"/>
  <c r="T7" i="25"/>
  <c r="T19" i="25" s="1"/>
  <c r="T248" i="23"/>
  <c r="T244" i="23"/>
  <c r="T241" i="23"/>
  <c r="T239" i="23"/>
  <c r="T238" i="23"/>
  <c r="T235" i="23"/>
  <c r="T234" i="23"/>
  <c r="T231" i="23"/>
  <c r="T230" i="23"/>
  <c r="T224" i="23"/>
  <c r="T218" i="23"/>
  <c r="T207" i="23"/>
  <c r="T184" i="23"/>
  <c r="T180" i="23"/>
  <c r="T177" i="23"/>
  <c r="T175" i="23"/>
  <c r="T174" i="23"/>
  <c r="T171" i="23"/>
  <c r="T170" i="23"/>
  <c r="T167" i="23"/>
  <c r="T166" i="23"/>
  <c r="T160" i="23"/>
  <c r="T154" i="23"/>
  <c r="T148" i="23"/>
  <c r="T212" i="23" s="1"/>
  <c r="T143" i="23"/>
  <c r="T127" i="23"/>
  <c r="T98" i="23"/>
  <c r="T113" i="23"/>
  <c r="C497" i="22" s="1"/>
  <c r="T108" i="23"/>
  <c r="T102" i="23"/>
  <c r="T96" i="23"/>
  <c r="T86" i="23"/>
  <c r="T75" i="23"/>
  <c r="T68" i="23"/>
  <c r="T64" i="23"/>
  <c r="T56" i="23"/>
  <c r="T161" i="23" s="1"/>
  <c r="T63" i="23"/>
  <c r="T228" i="23" s="1"/>
  <c r="T62" i="23"/>
  <c r="T49" i="23"/>
  <c r="T47" i="23"/>
  <c r="T7" i="23"/>
  <c r="C544" i="22"/>
  <c r="C536" i="22"/>
  <c r="C534" i="22"/>
  <c r="C532" i="22"/>
  <c r="C531" i="22"/>
  <c r="C549" i="22" s="1"/>
  <c r="C552" i="22" s="1"/>
  <c r="C543" i="22"/>
  <c r="C526" i="22"/>
  <c r="S11" i="25"/>
  <c r="S12" i="25"/>
  <c r="S13" i="25"/>
  <c r="S14" i="25"/>
  <c r="S15" i="25"/>
  <c r="S16" i="25"/>
  <c r="S17" i="25"/>
  <c r="S10" i="25"/>
  <c r="F75" i="25"/>
  <c r="F74" i="25"/>
  <c r="F66" i="25"/>
  <c r="F65" i="25"/>
  <c r="S124" i="23"/>
  <c r="S258" i="23" s="1"/>
  <c r="S119" i="23"/>
  <c r="O120" i="23"/>
  <c r="S120" i="23"/>
  <c r="S112" i="23"/>
  <c r="S255" i="23" s="1"/>
  <c r="S256" i="23" s="1"/>
  <c r="S107" i="23"/>
  <c r="S106" i="23"/>
  <c r="S99" i="23"/>
  <c r="S100" i="23"/>
  <c r="S101" i="23"/>
  <c r="S55" i="23"/>
  <c r="W56" i="23" s="1"/>
  <c r="W161" i="23" s="1"/>
  <c r="S30" i="23"/>
  <c r="S26" i="23"/>
  <c r="S27" i="23"/>
  <c r="S28" i="23"/>
  <c r="S25" i="23"/>
  <c r="S13" i="23"/>
  <c r="S14" i="23"/>
  <c r="S15" i="23"/>
  <c r="S16" i="23"/>
  <c r="S17" i="23"/>
  <c r="S18" i="23"/>
  <c r="S19" i="23"/>
  <c r="S20" i="23"/>
  <c r="S21" i="23"/>
  <c r="S22" i="23"/>
  <c r="S23" i="23"/>
  <c r="S12" i="23"/>
  <c r="S9" i="23"/>
  <c r="S8" i="23"/>
  <c r="F98" i="23"/>
  <c r="S98" i="23" s="1"/>
  <c r="F75" i="23"/>
  <c r="F68" i="23"/>
  <c r="F72" i="23" s="1"/>
  <c r="F66" i="23"/>
  <c r="F64" i="23"/>
  <c r="Z37" i="25" l="1"/>
  <c r="W42" i="25"/>
  <c r="W41" i="25"/>
  <c r="W40" i="25"/>
  <c r="X43" i="25"/>
  <c r="J39" i="23"/>
  <c r="U37" i="25"/>
  <c r="V37" i="25"/>
  <c r="T36" i="25"/>
  <c r="T34" i="25"/>
  <c r="T35" i="25"/>
  <c r="J36" i="25"/>
  <c r="J34" i="25"/>
  <c r="J35" i="25"/>
  <c r="X37" i="25"/>
  <c r="S40" i="23"/>
  <c r="V40" i="23"/>
  <c r="U40" i="23"/>
  <c r="T40" i="23"/>
  <c r="V39" i="23"/>
  <c r="U39" i="23"/>
  <c r="T39" i="23"/>
  <c r="W260" i="23"/>
  <c r="D170" i="22"/>
  <c r="D173" i="22"/>
  <c r="Z244" i="23"/>
  <c r="H158" i="23"/>
  <c r="AA180" i="23"/>
  <c r="AD132" i="23"/>
  <c r="AD129" i="23"/>
  <c r="AD189" i="23" s="1"/>
  <c r="AB87" i="23"/>
  <c r="AB144" i="23" s="1"/>
  <c r="AB208" i="23" s="1"/>
  <c r="AD87" i="23"/>
  <c r="AA260" i="23"/>
  <c r="AD260" i="23"/>
  <c r="AD263" i="23" s="1"/>
  <c r="Z158" i="23"/>
  <c r="AD158" i="23"/>
  <c r="AD145" i="23"/>
  <c r="AD133" i="23"/>
  <c r="AD130" i="23"/>
  <c r="AD190" i="23" s="1"/>
  <c r="AD135" i="23"/>
  <c r="AD195" i="23" s="1"/>
  <c r="H183" i="23"/>
  <c r="H39" i="23"/>
  <c r="Z175" i="23"/>
  <c r="U125" i="23"/>
  <c r="C221" i="22"/>
  <c r="AC132" i="23"/>
  <c r="Z239" i="23"/>
  <c r="AA170" i="23"/>
  <c r="J234" i="23"/>
  <c r="Y260" i="23"/>
  <c r="Z171" i="23"/>
  <c r="Z125" i="23"/>
  <c r="AC87" i="23"/>
  <c r="AC144" i="23" s="1"/>
  <c r="AC208" i="23" s="1"/>
  <c r="G270" i="23"/>
  <c r="Z166" i="23"/>
  <c r="V183" i="23"/>
  <c r="G147" i="23"/>
  <c r="G211" i="23" s="1"/>
  <c r="G214" i="23" s="1"/>
  <c r="G39" i="23"/>
  <c r="X121" i="23"/>
  <c r="X185" i="23" s="1"/>
  <c r="Y125" i="23"/>
  <c r="AA73" i="23"/>
  <c r="Z180" i="23"/>
  <c r="D249" i="22"/>
  <c r="D252" i="22"/>
  <c r="Z75" i="23"/>
  <c r="X260" i="23"/>
  <c r="AA74" i="23"/>
  <c r="AC145" i="23"/>
  <c r="AC130" i="23"/>
  <c r="AC190" i="23" s="1"/>
  <c r="AC133" i="23"/>
  <c r="AC135" i="23"/>
  <c r="AC195" i="23" s="1"/>
  <c r="Y222" i="23"/>
  <c r="AC222" i="23"/>
  <c r="AB260" i="23"/>
  <c r="AB263" i="23" s="1"/>
  <c r="AA68" i="23"/>
  <c r="AC260" i="23"/>
  <c r="AC263" i="23" s="1"/>
  <c r="AA244" i="23"/>
  <c r="J148" i="23"/>
  <c r="J212" i="23" s="1"/>
  <c r="Z238" i="23"/>
  <c r="AA10" i="23"/>
  <c r="Y72" i="23"/>
  <c r="Z72" i="23" s="1"/>
  <c r="Z167" i="23"/>
  <c r="AA36" i="23"/>
  <c r="AA65" i="23"/>
  <c r="C286" i="22"/>
  <c r="D280" i="22" s="1"/>
  <c r="X226" i="23"/>
  <c r="AA234" i="23"/>
  <c r="AA221" i="23"/>
  <c r="AE222" i="23" s="1"/>
  <c r="Y165" i="23"/>
  <c r="AA57" i="23"/>
  <c r="AA162" i="23" s="1"/>
  <c r="AA70" i="23"/>
  <c r="C283" i="22"/>
  <c r="AA38" i="23"/>
  <c r="AA157" i="23"/>
  <c r="AE158" i="23" s="1"/>
  <c r="AA66" i="23"/>
  <c r="AA41" i="23"/>
  <c r="X237" i="23"/>
  <c r="Y48" i="23"/>
  <c r="Y50" i="23" s="1"/>
  <c r="AC51" i="23" s="1"/>
  <c r="AA37" i="23"/>
  <c r="AA24" i="23"/>
  <c r="AA87" i="23"/>
  <c r="AA144" i="23" s="1"/>
  <c r="AA208" i="23" s="1"/>
  <c r="AA118" i="23"/>
  <c r="AA39" i="23" s="1"/>
  <c r="AA35" i="23"/>
  <c r="AB145" i="23"/>
  <c r="AB133" i="23"/>
  <c r="AB130" i="23"/>
  <c r="AB190" i="23" s="1"/>
  <c r="AB135" i="23"/>
  <c r="AB195" i="23" s="1"/>
  <c r="AA164" i="23"/>
  <c r="AA228" i="23"/>
  <c r="AA145" i="23"/>
  <c r="AA209" i="23" s="1"/>
  <c r="H71" i="23"/>
  <c r="H94" i="23" s="1"/>
  <c r="Z235" i="23"/>
  <c r="H121" i="23"/>
  <c r="H129" i="23" s="1"/>
  <c r="H189" i="23" s="1"/>
  <c r="H125" i="23"/>
  <c r="H130" i="23"/>
  <c r="H190" i="23" s="1"/>
  <c r="H147" i="23"/>
  <c r="H211" i="23" s="1"/>
  <c r="H214" i="23" s="1"/>
  <c r="H247" i="23"/>
  <c r="H263" i="23" s="1"/>
  <c r="H133" i="23"/>
  <c r="H193" i="23" s="1"/>
  <c r="H232" i="23"/>
  <c r="H168" i="23"/>
  <c r="H52" i="23"/>
  <c r="H88" i="23"/>
  <c r="H89" i="23"/>
  <c r="H54" i="23"/>
  <c r="H29" i="23"/>
  <c r="H31" i="23" s="1"/>
  <c r="H210" i="23"/>
  <c r="H146" i="23"/>
  <c r="H103" i="23"/>
  <c r="H222" i="23"/>
  <c r="H226" i="23"/>
  <c r="H173" i="23"/>
  <c r="H237" i="23"/>
  <c r="Z145" i="23"/>
  <c r="Z209" i="23" s="1"/>
  <c r="C317" i="22"/>
  <c r="D311" i="22" s="1"/>
  <c r="C314" i="22"/>
  <c r="C318" i="22"/>
  <c r="Y60" i="23"/>
  <c r="J9" i="25"/>
  <c r="J7" i="25"/>
  <c r="J19" i="25" s="1"/>
  <c r="X173" i="23"/>
  <c r="J7" i="23"/>
  <c r="J38" i="23" s="1"/>
  <c r="Z64" i="23"/>
  <c r="Z231" i="23"/>
  <c r="D404" i="22"/>
  <c r="Z222" i="23"/>
  <c r="W38" i="23"/>
  <c r="Y229" i="23"/>
  <c r="Y44" i="23"/>
  <c r="Z87" i="23"/>
  <c r="Z144" i="23" s="1"/>
  <c r="Z208" i="23" s="1"/>
  <c r="Z230" i="23"/>
  <c r="Y67" i="23"/>
  <c r="Y168" i="23" s="1"/>
  <c r="Z233" i="23"/>
  <c r="Z169" i="23"/>
  <c r="Z174" i="23"/>
  <c r="Z45" i="23"/>
  <c r="J90" i="23"/>
  <c r="J63" i="23"/>
  <c r="J160" i="23"/>
  <c r="J224" i="23"/>
  <c r="J260" i="23" s="1"/>
  <c r="J183" i="23"/>
  <c r="J125" i="23"/>
  <c r="J247" i="23"/>
  <c r="J147" i="23"/>
  <c r="J121" i="23"/>
  <c r="Z59" i="23"/>
  <c r="Z147" i="23"/>
  <c r="Z149" i="23" s="1"/>
  <c r="Z213" i="23" s="1"/>
  <c r="Z133" i="23"/>
  <c r="Z150" i="23" s="1"/>
  <c r="Z247" i="23"/>
  <c r="Z263" i="23" s="1"/>
  <c r="Z183" i="23"/>
  <c r="Z130" i="23"/>
  <c r="Z190" i="23" s="1"/>
  <c r="Z121" i="23"/>
  <c r="Z123" i="23" s="1"/>
  <c r="Z226" i="23"/>
  <c r="Z29" i="23"/>
  <c r="Z48" i="23"/>
  <c r="Z50" i="23" s="1"/>
  <c r="AD51" i="23" s="1"/>
  <c r="V171" i="23"/>
  <c r="W157" i="23"/>
  <c r="W35" i="23"/>
  <c r="V175" i="23"/>
  <c r="V244" i="23"/>
  <c r="W70" i="23"/>
  <c r="W171" i="23" s="1"/>
  <c r="C349" i="22"/>
  <c r="C442" i="22"/>
  <c r="V166" i="23"/>
  <c r="V230" i="23"/>
  <c r="G130" i="23"/>
  <c r="G190" i="23" s="1"/>
  <c r="G247" i="23"/>
  <c r="G263" i="23" s="1"/>
  <c r="G125" i="23"/>
  <c r="Y145" i="23"/>
  <c r="Y209" i="23" s="1"/>
  <c r="C348" i="22"/>
  <c r="D342" i="22" s="1"/>
  <c r="X87" i="23"/>
  <c r="V174" i="23"/>
  <c r="X145" i="23"/>
  <c r="C379" i="22"/>
  <c r="D373" i="22" s="1"/>
  <c r="Y158" i="23"/>
  <c r="T157" i="23"/>
  <c r="X158" i="23" s="1"/>
  <c r="X10" i="23"/>
  <c r="V180" i="23"/>
  <c r="W24" i="23"/>
  <c r="Z88" i="23" s="1"/>
  <c r="W170" i="23"/>
  <c r="X232" i="23"/>
  <c r="Y87" i="23"/>
  <c r="Y144" i="23" s="1"/>
  <c r="Y240" i="23"/>
  <c r="Y176" i="23"/>
  <c r="C345" i="22"/>
  <c r="C376" i="22"/>
  <c r="C380" i="22"/>
  <c r="Y130" i="23"/>
  <c r="Y190" i="23" s="1"/>
  <c r="Y133" i="23"/>
  <c r="Y193" i="23" s="1"/>
  <c r="Y147" i="23"/>
  <c r="Y211" i="23" s="1"/>
  <c r="Y183" i="23"/>
  <c r="Y247" i="23"/>
  <c r="Y121" i="23"/>
  <c r="Y123" i="23" s="1"/>
  <c r="Y29" i="23"/>
  <c r="Y31" i="23" s="1"/>
  <c r="Y226" i="23"/>
  <c r="C513" i="22"/>
  <c r="X133" i="23"/>
  <c r="X193" i="23" s="1"/>
  <c r="X147" i="23"/>
  <c r="X149" i="23" s="1"/>
  <c r="X213" i="23" s="1"/>
  <c r="X125" i="23"/>
  <c r="X247" i="23"/>
  <c r="X263" i="23" s="1"/>
  <c r="X130" i="23"/>
  <c r="X190" i="23" s="1"/>
  <c r="X183" i="23"/>
  <c r="X168" i="23"/>
  <c r="X71" i="23"/>
  <c r="X172" i="23" s="1"/>
  <c r="X48" i="23"/>
  <c r="X50" i="23" s="1"/>
  <c r="AB51" i="23" s="1"/>
  <c r="X29" i="23"/>
  <c r="C407" i="22"/>
  <c r="C409" i="22" s="1"/>
  <c r="C411" i="22"/>
  <c r="W65" i="23"/>
  <c r="G121" i="23"/>
  <c r="G140" i="23" s="1"/>
  <c r="G200" i="23" s="1"/>
  <c r="W234" i="23"/>
  <c r="G183" i="23"/>
  <c r="W57" i="23"/>
  <c r="W162" i="23" s="1"/>
  <c r="W37" i="23"/>
  <c r="G133" i="23"/>
  <c r="G193" i="23" s="1"/>
  <c r="W41" i="23"/>
  <c r="C498" i="22"/>
  <c r="C501" i="22" s="1"/>
  <c r="V231" i="23"/>
  <c r="W118" i="23"/>
  <c r="W39" i="23" s="1"/>
  <c r="W74" i="23"/>
  <c r="W221" i="23"/>
  <c r="W226" i="23" s="1"/>
  <c r="W79" i="23"/>
  <c r="V167" i="23"/>
  <c r="W66" i="23"/>
  <c r="W87" i="23"/>
  <c r="W144" i="23" s="1"/>
  <c r="W208" i="23" s="1"/>
  <c r="W73" i="23"/>
  <c r="G103" i="23"/>
  <c r="G210" i="23"/>
  <c r="W145" i="23"/>
  <c r="W164" i="23"/>
  <c r="W228" i="23"/>
  <c r="G29" i="23"/>
  <c r="G48" i="23"/>
  <c r="G50" i="23" s="1"/>
  <c r="H51" i="23" s="1"/>
  <c r="T72" i="23"/>
  <c r="U68" i="23"/>
  <c r="T176" i="23"/>
  <c r="U75" i="23"/>
  <c r="V238" i="23"/>
  <c r="G241" i="23"/>
  <c r="G177" i="23"/>
  <c r="T165" i="23"/>
  <c r="U64" i="23"/>
  <c r="G173" i="23"/>
  <c r="G237" i="23"/>
  <c r="U29" i="23"/>
  <c r="U42" i="23" s="1"/>
  <c r="G232" i="23"/>
  <c r="G71" i="23"/>
  <c r="G168" i="23"/>
  <c r="G226" i="23"/>
  <c r="C438" i="22"/>
  <c r="U48" i="23"/>
  <c r="U50" i="23" s="1"/>
  <c r="U90" i="23"/>
  <c r="V90" i="23"/>
  <c r="G137" i="23"/>
  <c r="G197" i="23" s="1"/>
  <c r="G146" i="23"/>
  <c r="V147" i="23"/>
  <c r="V211" i="23" s="1"/>
  <c r="V247" i="23"/>
  <c r="V121" i="23"/>
  <c r="V185" i="23" s="1"/>
  <c r="V125" i="23"/>
  <c r="C473" i="22"/>
  <c r="C469" i="22"/>
  <c r="V226" i="23"/>
  <c r="V48" i="23"/>
  <c r="V50" i="23" s="1"/>
  <c r="V29" i="23"/>
  <c r="U183" i="23"/>
  <c r="U121" i="23"/>
  <c r="U185" i="23" s="1"/>
  <c r="U247" i="23"/>
  <c r="U147" i="23"/>
  <c r="U149" i="23" s="1"/>
  <c r="U213" i="23" s="1"/>
  <c r="T229" i="23"/>
  <c r="T37" i="23"/>
  <c r="T169" i="23"/>
  <c r="T38" i="23"/>
  <c r="T44" i="23"/>
  <c r="T90" i="23"/>
  <c r="T24" i="23"/>
  <c r="T67" i="23"/>
  <c r="T164" i="23"/>
  <c r="T240" i="23"/>
  <c r="T57" i="23"/>
  <c r="T162" i="23" s="1"/>
  <c r="T233" i="23"/>
  <c r="S116" i="23"/>
  <c r="T35" i="23"/>
  <c r="T45" i="23"/>
  <c r="T59" i="23"/>
  <c r="C520" i="22"/>
  <c r="T41" i="23"/>
  <c r="T221" i="23"/>
  <c r="X222" i="23" s="1"/>
  <c r="T36" i="23"/>
  <c r="C545" i="22"/>
  <c r="T60" i="23"/>
  <c r="F76" i="23"/>
  <c r="C530" i="22"/>
  <c r="S218" i="23"/>
  <c r="S207" i="23"/>
  <c r="S154" i="23"/>
  <c r="S143" i="23"/>
  <c r="S127" i="23"/>
  <c r="S148" i="23"/>
  <c r="S212" i="23" s="1"/>
  <c r="S113" i="23"/>
  <c r="S102" i="23"/>
  <c r="S96" i="23"/>
  <c r="S86" i="23"/>
  <c r="S62" i="23"/>
  <c r="S47" i="23"/>
  <c r="S49" i="23"/>
  <c r="S7" i="23"/>
  <c r="W10" i="23" s="1"/>
  <c r="F248" i="23"/>
  <c r="F244" i="23"/>
  <c r="F239" i="23"/>
  <c r="F238" i="23"/>
  <c r="F235" i="23"/>
  <c r="F234" i="23"/>
  <c r="F230" i="23"/>
  <c r="F224" i="23"/>
  <c r="F218" i="23"/>
  <c r="F207" i="23"/>
  <c r="F205" i="23"/>
  <c r="F184" i="23"/>
  <c r="F180" i="23"/>
  <c r="F175" i="23"/>
  <c r="F174" i="23"/>
  <c r="F171" i="23"/>
  <c r="F170" i="23"/>
  <c r="F166" i="23"/>
  <c r="F160" i="23"/>
  <c r="F154" i="23"/>
  <c r="F148" i="23"/>
  <c r="F212" i="23" s="1"/>
  <c r="F143" i="23"/>
  <c r="F127" i="23"/>
  <c r="F113" i="23"/>
  <c r="F117" i="23"/>
  <c r="F118" i="23" s="1"/>
  <c r="F39" i="23" s="1"/>
  <c r="F102" i="23"/>
  <c r="F96" i="23"/>
  <c r="F91" i="23"/>
  <c r="F90" i="23"/>
  <c r="F145" i="23" s="1"/>
  <c r="F86" i="23"/>
  <c r="F240" i="23"/>
  <c r="F233" i="23"/>
  <c r="F167" i="23"/>
  <c r="F165" i="23"/>
  <c r="F63" i="23"/>
  <c r="F228" i="23" s="1"/>
  <c r="F62" i="23"/>
  <c r="F56" i="23"/>
  <c r="F161" i="23" s="1"/>
  <c r="F49" i="23"/>
  <c r="F47" i="23"/>
  <c r="F7" i="23"/>
  <c r="S61" i="25"/>
  <c r="S56" i="25"/>
  <c r="S7" i="25"/>
  <c r="S9" i="25"/>
  <c r="F77" i="25"/>
  <c r="F68" i="25"/>
  <c r="F61" i="25"/>
  <c r="F56" i="25"/>
  <c r="F31" i="25"/>
  <c r="F25" i="25"/>
  <c r="F9" i="25"/>
  <c r="F7" i="25"/>
  <c r="F19" i="25" s="1"/>
  <c r="C77" i="25"/>
  <c r="C79" i="25" s="1"/>
  <c r="C75" i="25"/>
  <c r="C74" i="25"/>
  <c r="C66" i="25"/>
  <c r="C65" i="25"/>
  <c r="D75" i="25"/>
  <c r="D74" i="25"/>
  <c r="E77" i="25"/>
  <c r="E79" i="25" s="1"/>
  <c r="E75" i="25"/>
  <c r="E74" i="25"/>
  <c r="D77" i="25"/>
  <c r="D79" i="25" s="1"/>
  <c r="E65" i="25"/>
  <c r="E66" i="25"/>
  <c r="D66" i="25"/>
  <c r="D65" i="25"/>
  <c r="E68" i="25"/>
  <c r="E70" i="25" s="1"/>
  <c r="C68" i="25"/>
  <c r="C70" i="25" s="1"/>
  <c r="D68" i="25"/>
  <c r="D70" i="25" s="1"/>
  <c r="R61" i="25"/>
  <c r="Q61" i="25"/>
  <c r="P61" i="25"/>
  <c r="O61" i="25"/>
  <c r="N61" i="25"/>
  <c r="M61" i="25"/>
  <c r="L61" i="25"/>
  <c r="E61" i="25"/>
  <c r="D61" i="25"/>
  <c r="C61" i="25"/>
  <c r="R56" i="25"/>
  <c r="Q56" i="25"/>
  <c r="P56" i="25"/>
  <c r="O56" i="25"/>
  <c r="N56" i="25"/>
  <c r="M56" i="25"/>
  <c r="L56" i="25"/>
  <c r="E56" i="25"/>
  <c r="D56" i="25"/>
  <c r="C56" i="25"/>
  <c r="C577" i="22"/>
  <c r="C576" i="22"/>
  <c r="R63" i="23"/>
  <c r="J37" i="25" l="1"/>
  <c r="G43" i="25"/>
  <c r="J263" i="23"/>
  <c r="Y263" i="23"/>
  <c r="X123" i="23"/>
  <c r="X187" i="23" s="1"/>
  <c r="X129" i="23"/>
  <c r="X189" i="23" s="1"/>
  <c r="J133" i="23"/>
  <c r="J130" i="23"/>
  <c r="J190" i="23" s="1"/>
  <c r="T37" i="25"/>
  <c r="F34" i="25"/>
  <c r="F35" i="25"/>
  <c r="F36" i="25"/>
  <c r="AB103" i="23"/>
  <c r="AC103" i="23"/>
  <c r="Y237" i="23"/>
  <c r="AD192" i="23"/>
  <c r="AD151" i="23"/>
  <c r="X140" i="23"/>
  <c r="X200" i="23" s="1"/>
  <c r="X132" i="23"/>
  <c r="X192" i="23" s="1"/>
  <c r="Z210" i="23"/>
  <c r="AA93" i="23"/>
  <c r="AD93" i="23"/>
  <c r="J170" i="23"/>
  <c r="AC91" i="23"/>
  <c r="AC138" i="23" s="1"/>
  <c r="AC198" i="23" s="1"/>
  <c r="AD91" i="23"/>
  <c r="AD138" i="23" s="1"/>
  <c r="AD198" i="23" s="1"/>
  <c r="AD266" i="23"/>
  <c r="AD262" i="23"/>
  <c r="AD265" i="23"/>
  <c r="AD268" i="23"/>
  <c r="AD150" i="23"/>
  <c r="AD193" i="23"/>
  <c r="AD144" i="23"/>
  <c r="AD208" i="23" s="1"/>
  <c r="AD103" i="23"/>
  <c r="AB88" i="23"/>
  <c r="AD88" i="23"/>
  <c r="AD209" i="23"/>
  <c r="AA103" i="23"/>
  <c r="AA175" i="23"/>
  <c r="AB91" i="23"/>
  <c r="AB138" i="23" s="1"/>
  <c r="AB198" i="23" s="1"/>
  <c r="Y173" i="23"/>
  <c r="AA233" i="23"/>
  <c r="AA169" i="23"/>
  <c r="AA174" i="23"/>
  <c r="G149" i="23"/>
  <c r="G213" i="23" s="1"/>
  <c r="G215" i="23" s="1"/>
  <c r="D215" i="22"/>
  <c r="D218" i="22"/>
  <c r="W147" i="23"/>
  <c r="W149" i="23" s="1"/>
  <c r="W213" i="23" s="1"/>
  <c r="Z44" i="23"/>
  <c r="Z215" i="23"/>
  <c r="Z173" i="23"/>
  <c r="AA238" i="23"/>
  <c r="AC151" i="23"/>
  <c r="AC192" i="23"/>
  <c r="H249" i="23"/>
  <c r="H262" i="23" s="1"/>
  <c r="H266" i="23"/>
  <c r="Z176" i="23"/>
  <c r="AC93" i="23"/>
  <c r="AA239" i="23"/>
  <c r="U249" i="23"/>
  <c r="Y51" i="23"/>
  <c r="Y249" i="23"/>
  <c r="Y266" i="23"/>
  <c r="Z240" i="23"/>
  <c r="AC266" i="23"/>
  <c r="AC265" i="23"/>
  <c r="AC262" i="23"/>
  <c r="AC268" i="23"/>
  <c r="AC88" i="23"/>
  <c r="AC150" i="23"/>
  <c r="AC193" i="23"/>
  <c r="G225" i="23"/>
  <c r="F260" i="23"/>
  <c r="G249" i="23"/>
  <c r="G262" i="23" s="1"/>
  <c r="G266" i="23"/>
  <c r="AA59" i="23"/>
  <c r="AB93" i="23"/>
  <c r="Y54" i="23"/>
  <c r="Z103" i="23"/>
  <c r="AA75" i="23"/>
  <c r="AB266" i="23"/>
  <c r="AB268" i="23"/>
  <c r="AB262" i="23"/>
  <c r="AB265" i="23"/>
  <c r="AC146" i="23"/>
  <c r="AC209" i="23"/>
  <c r="X249" i="23"/>
  <c r="X266" i="23"/>
  <c r="Y52" i="23"/>
  <c r="Z249" i="23"/>
  <c r="Z266" i="23"/>
  <c r="AA45" i="23"/>
  <c r="J266" i="23"/>
  <c r="H236" i="23"/>
  <c r="H172" i="23"/>
  <c r="H77" i="23"/>
  <c r="H78" i="23" s="1"/>
  <c r="H84" i="23" s="1"/>
  <c r="H150" i="23"/>
  <c r="AA72" i="23"/>
  <c r="U31" i="23"/>
  <c r="U32" i="23" s="1"/>
  <c r="W48" i="23"/>
  <c r="W50" i="23" s="1"/>
  <c r="Y89" i="23" s="1"/>
  <c r="Y88" i="23"/>
  <c r="X88" i="23"/>
  <c r="AA88" i="23"/>
  <c r="AA48" i="23"/>
  <c r="AA50" i="23" s="1"/>
  <c r="AE51" i="23" s="1"/>
  <c r="Z211" i="23"/>
  <c r="Z214" i="23" s="1"/>
  <c r="AA146" i="23"/>
  <c r="AA171" i="23"/>
  <c r="AA235" i="23"/>
  <c r="AA222" i="23"/>
  <c r="AA247" i="23"/>
  <c r="AA263" i="23" s="1"/>
  <c r="AA121" i="23"/>
  <c r="AA147" i="23"/>
  <c r="C287" i="22"/>
  <c r="AA29" i="23"/>
  <c r="AA42" i="23" s="1"/>
  <c r="AA183" i="23"/>
  <c r="AA64" i="23"/>
  <c r="AB209" i="23"/>
  <c r="AB146" i="23"/>
  <c r="AA130" i="23"/>
  <c r="AA190" i="23" s="1"/>
  <c r="AA125" i="23"/>
  <c r="AA231" i="23"/>
  <c r="AD271" i="23" s="1"/>
  <c r="AA167" i="23"/>
  <c r="AA166" i="23"/>
  <c r="AA230" i="23"/>
  <c r="D283" i="22"/>
  <c r="C285" i="22"/>
  <c r="AA210" i="23"/>
  <c r="Z76" i="23"/>
  <c r="U54" i="23"/>
  <c r="AA158" i="23"/>
  <c r="AA133" i="23"/>
  <c r="AA193" i="23" s="1"/>
  <c r="U52" i="23"/>
  <c r="Z193" i="23"/>
  <c r="AB193" i="23"/>
  <c r="AB150" i="23"/>
  <c r="AA91" i="23"/>
  <c r="AA226" i="23"/>
  <c r="J221" i="23"/>
  <c r="J226" i="23" s="1"/>
  <c r="J157" i="23"/>
  <c r="J87" i="23"/>
  <c r="J144" i="23" s="1"/>
  <c r="J208" i="23" s="1"/>
  <c r="J24" i="23"/>
  <c r="J88" i="23" s="1"/>
  <c r="J37" i="23"/>
  <c r="J35" i="23"/>
  <c r="Y232" i="23"/>
  <c r="J57" i="23"/>
  <c r="J162" i="23" s="1"/>
  <c r="Y71" i="23"/>
  <c r="J41" i="23"/>
  <c r="Z60" i="23"/>
  <c r="Z165" i="23"/>
  <c r="H123" i="23"/>
  <c r="H251" i="23" s="1"/>
  <c r="H268" i="23" s="1"/>
  <c r="H132" i="23"/>
  <c r="H151" i="23" s="1"/>
  <c r="H185" i="23"/>
  <c r="H149" i="23"/>
  <c r="H213" i="23" s="1"/>
  <c r="H215" i="23" s="1"/>
  <c r="H140" i="23"/>
  <c r="H200" i="23" s="1"/>
  <c r="H42" i="23"/>
  <c r="H92" i="23"/>
  <c r="H32" i="23"/>
  <c r="D314" i="22"/>
  <c r="C316" i="22"/>
  <c r="Z146" i="23"/>
  <c r="J36" i="23"/>
  <c r="E69" i="25"/>
  <c r="C69" i="25"/>
  <c r="G123" i="23"/>
  <c r="G251" i="23" s="1"/>
  <c r="G268" i="23" s="1"/>
  <c r="Z67" i="23"/>
  <c r="Z229" i="23"/>
  <c r="G150" i="23"/>
  <c r="J149" i="23"/>
  <c r="J213" i="23" s="1"/>
  <c r="J211" i="23"/>
  <c r="J164" i="23"/>
  <c r="J228" i="23"/>
  <c r="W29" i="23"/>
  <c r="W42" i="23" s="1"/>
  <c r="J180" i="23"/>
  <c r="J244" i="23"/>
  <c r="Y150" i="23"/>
  <c r="J249" i="23"/>
  <c r="J145" i="23"/>
  <c r="Z91" i="23"/>
  <c r="Z138" i="23" s="1"/>
  <c r="Z198" i="23" s="1"/>
  <c r="W166" i="23"/>
  <c r="C347" i="22"/>
  <c r="D345" i="22"/>
  <c r="Z237" i="23"/>
  <c r="J129" i="23"/>
  <c r="J189" i="23" s="1"/>
  <c r="J140" i="23"/>
  <c r="J200" i="23" s="1"/>
  <c r="J132" i="23"/>
  <c r="J185" i="23"/>
  <c r="W88" i="23"/>
  <c r="C378" i="22"/>
  <c r="D376" i="22"/>
  <c r="Z185" i="23"/>
  <c r="Z140" i="23"/>
  <c r="Z200" i="23" s="1"/>
  <c r="Z129" i="23"/>
  <c r="Z189" i="23" s="1"/>
  <c r="Z132" i="23"/>
  <c r="Z151" i="23" s="1"/>
  <c r="Z251" i="23"/>
  <c r="Z268" i="23" s="1"/>
  <c r="Z187" i="23"/>
  <c r="Z135" i="23"/>
  <c r="Z195" i="23" s="1"/>
  <c r="Z42" i="23"/>
  <c r="Z31" i="23"/>
  <c r="Z54" i="23"/>
  <c r="Z52" i="23"/>
  <c r="Z51" i="23"/>
  <c r="Y146" i="23"/>
  <c r="Y214" i="23"/>
  <c r="W103" i="23"/>
  <c r="X209" i="23"/>
  <c r="X215" i="23" s="1"/>
  <c r="V133" i="23"/>
  <c r="V193" i="23" s="1"/>
  <c r="C441" i="22"/>
  <c r="D435" i="22" s="1"/>
  <c r="W91" i="23"/>
  <c r="W138" i="23" s="1"/>
  <c r="W198" i="23" s="1"/>
  <c r="Y91" i="23"/>
  <c r="Y138" i="23" s="1"/>
  <c r="Y198" i="23" s="1"/>
  <c r="X91" i="23"/>
  <c r="X138" i="23" s="1"/>
  <c r="X198" i="23" s="1"/>
  <c r="W230" i="23"/>
  <c r="W125" i="23"/>
  <c r="X144" i="23"/>
  <c r="X208" i="23" s="1"/>
  <c r="X103" i="23"/>
  <c r="W133" i="23"/>
  <c r="W150" i="23" s="1"/>
  <c r="G185" i="23"/>
  <c r="X150" i="23"/>
  <c r="Y177" i="23"/>
  <c r="Y241" i="23"/>
  <c r="W130" i="23"/>
  <c r="W190" i="23" s="1"/>
  <c r="W235" i="23"/>
  <c r="X211" i="23"/>
  <c r="Y103" i="23"/>
  <c r="Y208" i="23"/>
  <c r="Y210" i="23" s="1"/>
  <c r="Y129" i="23"/>
  <c r="Y189" i="23" s="1"/>
  <c r="Y132" i="23"/>
  <c r="Y192" i="23" s="1"/>
  <c r="Y149" i="23"/>
  <c r="Y213" i="23" s="1"/>
  <c r="Y215" i="23" s="1"/>
  <c r="Y185" i="23"/>
  <c r="Y140" i="23"/>
  <c r="Y200" i="23" s="1"/>
  <c r="Y42" i="23"/>
  <c r="Y251" i="23"/>
  <c r="Y268" i="23" s="1"/>
  <c r="Y187" i="23"/>
  <c r="Y135" i="23"/>
  <c r="Y195" i="23" s="1"/>
  <c r="Y32" i="23"/>
  <c r="X77" i="23"/>
  <c r="X78" i="23" s="1"/>
  <c r="X236" i="23"/>
  <c r="X42" i="23"/>
  <c r="X31" i="23"/>
  <c r="X54" i="23"/>
  <c r="X52" i="23"/>
  <c r="D407" i="22"/>
  <c r="F69" i="25"/>
  <c r="F70" i="25"/>
  <c r="F79" i="25"/>
  <c r="F78" i="25"/>
  <c r="V130" i="23"/>
  <c r="V190" i="23" s="1"/>
  <c r="G132" i="23"/>
  <c r="G192" i="23" s="1"/>
  <c r="G129" i="23"/>
  <c r="G189" i="23" s="1"/>
  <c r="W180" i="23"/>
  <c r="W244" i="23"/>
  <c r="W174" i="23"/>
  <c r="W238" i="23"/>
  <c r="W239" i="23"/>
  <c r="W175" i="23"/>
  <c r="W231" i="23"/>
  <c r="Z271" i="23" s="1"/>
  <c r="W167" i="23"/>
  <c r="W247" i="23"/>
  <c r="W263" i="23" s="1"/>
  <c r="W121" i="23"/>
  <c r="W183" i="23"/>
  <c r="W209" i="23"/>
  <c r="W146" i="23"/>
  <c r="G89" i="23"/>
  <c r="G54" i="23"/>
  <c r="G52" i="23"/>
  <c r="G42" i="23"/>
  <c r="G31" i="23"/>
  <c r="U240" i="23"/>
  <c r="U76" i="23"/>
  <c r="U176" i="23"/>
  <c r="U72" i="23"/>
  <c r="T237" i="23"/>
  <c r="T173" i="23"/>
  <c r="V145" i="23"/>
  <c r="V209" i="23" s="1"/>
  <c r="U59" i="23"/>
  <c r="U45" i="23"/>
  <c r="U169" i="23"/>
  <c r="U233" i="23"/>
  <c r="U145" i="23"/>
  <c r="C472" i="22"/>
  <c r="D466" i="22" s="1"/>
  <c r="F157" i="23"/>
  <c r="G158" i="23" s="1"/>
  <c r="G10" i="23"/>
  <c r="S57" i="23"/>
  <c r="V87" i="23"/>
  <c r="U133" i="23"/>
  <c r="U193" i="23" s="1"/>
  <c r="V249" i="23"/>
  <c r="C440" i="22"/>
  <c r="G94" i="23"/>
  <c r="G172" i="23"/>
  <c r="G236" i="23"/>
  <c r="G77" i="23"/>
  <c r="G78" i="23" s="1"/>
  <c r="G84" i="23" s="1"/>
  <c r="U165" i="23"/>
  <c r="U67" i="23"/>
  <c r="U44" i="23"/>
  <c r="U229" i="23"/>
  <c r="U60" i="23"/>
  <c r="U130" i="23"/>
  <c r="U190" i="23" s="1"/>
  <c r="V64" i="23"/>
  <c r="V75" i="23"/>
  <c r="V68" i="23"/>
  <c r="V123" i="23"/>
  <c r="V251" i="23" s="1"/>
  <c r="V140" i="23"/>
  <c r="V200" i="23" s="1"/>
  <c r="U123" i="23"/>
  <c r="V132" i="23"/>
  <c r="V192" i="23" s="1"/>
  <c r="U140" i="23"/>
  <c r="U200" i="23" s="1"/>
  <c r="V129" i="23"/>
  <c r="V189" i="23" s="1"/>
  <c r="V149" i="23"/>
  <c r="V213" i="23" s="1"/>
  <c r="C471" i="22"/>
  <c r="U129" i="23"/>
  <c r="U189" i="23" s="1"/>
  <c r="U211" i="23"/>
  <c r="U132" i="23"/>
  <c r="U151" i="23" s="1"/>
  <c r="V42" i="23"/>
  <c r="V31" i="23"/>
  <c r="V52" i="23"/>
  <c r="V54" i="23"/>
  <c r="T125" i="23"/>
  <c r="T121" i="23"/>
  <c r="T147" i="23"/>
  <c r="T183" i="23"/>
  <c r="T133" i="23"/>
  <c r="C505" i="22"/>
  <c r="T130" i="23"/>
  <c r="T190" i="23" s="1"/>
  <c r="T247" i="23"/>
  <c r="T168" i="23"/>
  <c r="T71" i="23"/>
  <c r="T232" i="23"/>
  <c r="T226" i="23"/>
  <c r="T29" i="23"/>
  <c r="T48" i="23"/>
  <c r="T50" i="23" s="1"/>
  <c r="F164" i="23"/>
  <c r="T145" i="23"/>
  <c r="C504" i="22"/>
  <c r="D498" i="22" s="1"/>
  <c r="C503" i="22"/>
  <c r="S221" i="23"/>
  <c r="W222" i="23" s="1"/>
  <c r="C533" i="22"/>
  <c r="D533" i="22" s="1"/>
  <c r="C537" i="22"/>
  <c r="D530" i="22"/>
  <c r="S19" i="25"/>
  <c r="S157" i="23"/>
  <c r="W158" i="23" s="1"/>
  <c r="S36" i="23"/>
  <c r="S38" i="23"/>
  <c r="S37" i="23"/>
  <c r="S41" i="23"/>
  <c r="S35" i="23"/>
  <c r="F138" i="23"/>
  <c r="F198" i="23" s="1"/>
  <c r="S24" i="23"/>
  <c r="V88" i="23" s="1"/>
  <c r="F176" i="23"/>
  <c r="S184" i="23"/>
  <c r="S248" i="23"/>
  <c r="F57" i="23"/>
  <c r="F162" i="23" s="1"/>
  <c r="F183" i="23"/>
  <c r="F130" i="23"/>
  <c r="F190" i="23" s="1"/>
  <c r="F247" i="23"/>
  <c r="F125" i="23"/>
  <c r="F147" i="23"/>
  <c r="F121" i="23"/>
  <c r="F133" i="23"/>
  <c r="F209" i="23"/>
  <c r="F35" i="23"/>
  <c r="F44" i="23"/>
  <c r="F169" i="23"/>
  <c r="F36" i="23"/>
  <c r="F45" i="23"/>
  <c r="F67" i="23"/>
  <c r="F229" i="23"/>
  <c r="F38" i="23"/>
  <c r="F59" i="23"/>
  <c r="F108" i="23"/>
  <c r="F24" i="23"/>
  <c r="F60" i="23"/>
  <c r="F93" i="23"/>
  <c r="F137" i="23" s="1"/>
  <c r="F197" i="23" s="1"/>
  <c r="F221" i="23"/>
  <c r="G222" i="23" s="1"/>
  <c r="F231" i="23"/>
  <c r="F37" i="23"/>
  <c r="F41" i="23"/>
  <c r="F87" i="23"/>
  <c r="F144" i="23" s="1"/>
  <c r="F208" i="23" s="1"/>
  <c r="D69" i="25"/>
  <c r="D78" i="25"/>
  <c r="C78" i="25"/>
  <c r="E78" i="25"/>
  <c r="M79" i="23"/>
  <c r="N79" i="23" s="1"/>
  <c r="M74" i="23"/>
  <c r="M75" i="23"/>
  <c r="M69" i="23"/>
  <c r="N69" i="23" s="1"/>
  <c r="M70" i="23"/>
  <c r="N70" i="23" s="1"/>
  <c r="M65" i="23"/>
  <c r="Q79" i="23"/>
  <c r="Q75" i="23"/>
  <c r="Q74" i="23"/>
  <c r="Q65" i="23"/>
  <c r="M73" i="23"/>
  <c r="Q73" i="23"/>
  <c r="Q70" i="23"/>
  <c r="P68" i="23"/>
  <c r="P66" i="23"/>
  <c r="P64" i="23"/>
  <c r="L68" i="23"/>
  <c r="L66" i="23"/>
  <c r="L64" i="23"/>
  <c r="X251" i="23" l="1"/>
  <c r="X268" i="23" s="1"/>
  <c r="X135" i="23"/>
  <c r="X195" i="23" s="1"/>
  <c r="Z89" i="23"/>
  <c r="J193" i="23"/>
  <c r="J150" i="23"/>
  <c r="AC137" i="23"/>
  <c r="AC197" i="23" s="1"/>
  <c r="Y236" i="23"/>
  <c r="Y172" i="23"/>
  <c r="Y77" i="23"/>
  <c r="Y178" i="23" s="1"/>
  <c r="F249" i="23"/>
  <c r="F263" i="23"/>
  <c r="F37" i="25"/>
  <c r="AE167" i="23"/>
  <c r="AE231" i="23"/>
  <c r="AG271" i="23" s="1"/>
  <c r="AE91" i="23"/>
  <c r="AE138" i="23" s="1"/>
  <c r="AE198" i="23" s="1"/>
  <c r="X151" i="23"/>
  <c r="L72" i="23"/>
  <c r="AE60" i="23"/>
  <c r="AE229" i="23"/>
  <c r="AE44" i="23"/>
  <c r="AE165" i="23"/>
  <c r="AE67" i="23"/>
  <c r="AD270" i="23"/>
  <c r="J273" i="23"/>
  <c r="J262" i="23"/>
  <c r="J265" i="23"/>
  <c r="AA237" i="23"/>
  <c r="AC270" i="23"/>
  <c r="W211" i="23"/>
  <c r="W214" i="23" s="1"/>
  <c r="AB137" i="23"/>
  <c r="AB197" i="23" s="1"/>
  <c r="AD210" i="23"/>
  <c r="AD214" i="23"/>
  <c r="AD215" i="23"/>
  <c r="AA89" i="23"/>
  <c r="AD89" i="23"/>
  <c r="AD146" i="23"/>
  <c r="AD137" i="23"/>
  <c r="AD197" i="23" s="1"/>
  <c r="AC89" i="23"/>
  <c r="W52" i="23"/>
  <c r="AC271" i="23"/>
  <c r="X89" i="23"/>
  <c r="Z177" i="23"/>
  <c r="Z241" i="23"/>
  <c r="Z265" i="23"/>
  <c r="Z273" i="23"/>
  <c r="Z262" i="23"/>
  <c r="U273" i="23"/>
  <c r="W249" i="23"/>
  <c r="W266" i="23"/>
  <c r="F270" i="23"/>
  <c r="F271" i="23"/>
  <c r="H265" i="23"/>
  <c r="H273" i="23"/>
  <c r="AA271" i="23"/>
  <c r="AA249" i="23"/>
  <c r="AA266" i="23"/>
  <c r="V273" i="23"/>
  <c r="Y271" i="23"/>
  <c r="X262" i="23"/>
  <c r="X273" i="23"/>
  <c r="X265" i="23"/>
  <c r="AB270" i="23"/>
  <c r="X271" i="23"/>
  <c r="Y273" i="23"/>
  <c r="Y262" i="23"/>
  <c r="Y265" i="23"/>
  <c r="AA270" i="23"/>
  <c r="H178" i="23"/>
  <c r="AA173" i="23"/>
  <c r="AC210" i="23"/>
  <c r="AC214" i="23"/>
  <c r="AC215" i="23"/>
  <c r="AB271" i="23"/>
  <c r="W271" i="23"/>
  <c r="F266" i="23"/>
  <c r="H242" i="23"/>
  <c r="AA240" i="23"/>
  <c r="AA176" i="23"/>
  <c r="G265" i="23"/>
  <c r="G273" i="23"/>
  <c r="V150" i="23"/>
  <c r="AA76" i="23"/>
  <c r="W54" i="23"/>
  <c r="G135" i="23"/>
  <c r="G195" i="23" s="1"/>
  <c r="W89" i="23"/>
  <c r="G187" i="23"/>
  <c r="J48" i="23"/>
  <c r="J50" i="23" s="1"/>
  <c r="J52" i="23" s="1"/>
  <c r="J29" i="23"/>
  <c r="J42" i="23" s="1"/>
  <c r="AA51" i="23"/>
  <c r="AA52" i="23"/>
  <c r="AA54" i="23"/>
  <c r="AA31" i="23"/>
  <c r="AB89" i="23"/>
  <c r="J103" i="23"/>
  <c r="AA150" i="23"/>
  <c r="AA137" i="23"/>
  <c r="AA197" i="23" s="1"/>
  <c r="AA138" i="23"/>
  <c r="AA198" i="23" s="1"/>
  <c r="AA149" i="23"/>
  <c r="AA213" i="23" s="1"/>
  <c r="AA215" i="23" s="1"/>
  <c r="AA211" i="23"/>
  <c r="AA214" i="23" s="1"/>
  <c r="X84" i="23"/>
  <c r="AA129" i="23"/>
  <c r="AA189" i="23" s="1"/>
  <c r="AA140" i="23"/>
  <c r="AA200" i="23" s="1"/>
  <c r="AA123" i="23"/>
  <c r="AA185" i="23"/>
  <c r="AA132" i="23"/>
  <c r="AB210" i="23"/>
  <c r="AB214" i="23"/>
  <c r="AB215" i="23"/>
  <c r="AA165" i="23"/>
  <c r="AA229" i="23"/>
  <c r="AA60" i="23"/>
  <c r="AA44" i="23"/>
  <c r="AA67" i="23"/>
  <c r="H187" i="23"/>
  <c r="H135" i="23"/>
  <c r="H195" i="23" s="1"/>
  <c r="H192" i="23"/>
  <c r="H179" i="23"/>
  <c r="H243" i="23"/>
  <c r="H80" i="23"/>
  <c r="X214" i="23"/>
  <c r="Z71" i="23"/>
  <c r="Z232" i="23"/>
  <c r="Z168" i="23"/>
  <c r="J151" i="23"/>
  <c r="J192" i="23"/>
  <c r="J171" i="23"/>
  <c r="J235" i="23"/>
  <c r="J166" i="23"/>
  <c r="J230" i="23"/>
  <c r="J174" i="23"/>
  <c r="J238" i="23"/>
  <c r="J209" i="23"/>
  <c r="J215" i="23" s="1"/>
  <c r="J146" i="23"/>
  <c r="X146" i="23"/>
  <c r="J175" i="23"/>
  <c r="J239" i="23"/>
  <c r="W31" i="23"/>
  <c r="X92" i="23" s="1"/>
  <c r="J167" i="23"/>
  <c r="J231" i="23"/>
  <c r="J91" i="23"/>
  <c r="J138" i="23" s="1"/>
  <c r="J198" i="23" s="1"/>
  <c r="J251" i="23"/>
  <c r="J268" i="23" s="1"/>
  <c r="J135" i="23"/>
  <c r="J195" i="23" s="1"/>
  <c r="J187" i="23"/>
  <c r="Z192" i="23"/>
  <c r="Z32" i="23"/>
  <c r="X210" i="23"/>
  <c r="X51" i="23"/>
  <c r="W193" i="23"/>
  <c r="Y151" i="23"/>
  <c r="Y242" i="23"/>
  <c r="X178" i="23"/>
  <c r="X242" i="23"/>
  <c r="X80" i="23"/>
  <c r="X179" i="23"/>
  <c r="X243" i="23"/>
  <c r="X32" i="23"/>
  <c r="D469" i="22"/>
  <c r="G151" i="23"/>
  <c r="W64" i="23"/>
  <c r="V214" i="23"/>
  <c r="U150" i="23"/>
  <c r="V215" i="23"/>
  <c r="W185" i="23"/>
  <c r="W123" i="23"/>
  <c r="W129" i="23"/>
  <c r="W189" i="23" s="1"/>
  <c r="W140" i="23"/>
  <c r="W200" i="23" s="1"/>
  <c r="W132" i="23"/>
  <c r="W68" i="23"/>
  <c r="W75" i="23"/>
  <c r="W215" i="23"/>
  <c r="W210" i="23"/>
  <c r="G92" i="23"/>
  <c r="G32" i="23"/>
  <c r="G178" i="23"/>
  <c r="G242" i="23"/>
  <c r="V103" i="23"/>
  <c r="V144" i="23"/>
  <c r="U237" i="23"/>
  <c r="U173" i="23"/>
  <c r="V233" i="23"/>
  <c r="V169" i="23"/>
  <c r="V45" i="23"/>
  <c r="V59" i="23"/>
  <c r="V72" i="23"/>
  <c r="V176" i="23"/>
  <c r="V240" i="23"/>
  <c r="V165" i="23"/>
  <c r="V44" i="23"/>
  <c r="V229" i="23"/>
  <c r="V60" i="23"/>
  <c r="V67" i="23"/>
  <c r="V76" i="23"/>
  <c r="U177" i="23"/>
  <c r="U241" i="23"/>
  <c r="Q64" i="23"/>
  <c r="R64" i="23" s="1"/>
  <c r="U168" i="23"/>
  <c r="U71" i="23"/>
  <c r="U232" i="23"/>
  <c r="U209" i="23"/>
  <c r="U214" i="23" s="1"/>
  <c r="D438" i="22"/>
  <c r="U251" i="23"/>
  <c r="V151" i="23"/>
  <c r="U192" i="23"/>
  <c r="V135" i="23"/>
  <c r="V195" i="23" s="1"/>
  <c r="V187" i="23"/>
  <c r="U135" i="23"/>
  <c r="U195" i="23" s="1"/>
  <c r="U187" i="23"/>
  <c r="V32" i="23"/>
  <c r="D501" i="22"/>
  <c r="T54" i="23"/>
  <c r="T52" i="23"/>
  <c r="T193" i="23"/>
  <c r="T150" i="23"/>
  <c r="T42" i="23"/>
  <c r="T31" i="23"/>
  <c r="T32" i="23" s="1"/>
  <c r="T211" i="23"/>
  <c r="T149" i="23"/>
  <c r="T213" i="23" s="1"/>
  <c r="T185" i="23"/>
  <c r="T132" i="23"/>
  <c r="T129" i="23"/>
  <c r="T189" i="23" s="1"/>
  <c r="T140" i="23"/>
  <c r="T200" i="23" s="1"/>
  <c r="T123" i="23"/>
  <c r="T236" i="23"/>
  <c r="T172" i="23"/>
  <c r="T77" i="23"/>
  <c r="T249" i="23"/>
  <c r="T209" i="23"/>
  <c r="C535" i="22"/>
  <c r="M68" i="23"/>
  <c r="M66" i="23"/>
  <c r="Q66" i="23"/>
  <c r="Q231" i="23" s="1"/>
  <c r="F210" i="23"/>
  <c r="S48" i="23"/>
  <c r="S50" i="23" s="1"/>
  <c r="S29" i="23"/>
  <c r="P72" i="23"/>
  <c r="P173" i="23" s="1"/>
  <c r="R75" i="23"/>
  <c r="L76" i="23"/>
  <c r="M64" i="23"/>
  <c r="N64" i="23" s="1"/>
  <c r="P76" i="23"/>
  <c r="Q68" i="23"/>
  <c r="Q169" i="23" s="1"/>
  <c r="F262" i="23"/>
  <c r="F241" i="23"/>
  <c r="F177" i="23"/>
  <c r="F237" i="23"/>
  <c r="F173" i="23"/>
  <c r="F146" i="23"/>
  <c r="F226" i="23"/>
  <c r="F232" i="23"/>
  <c r="F71" i="23"/>
  <c r="F168" i="23"/>
  <c r="F150" i="23"/>
  <c r="F193" i="23"/>
  <c r="F132" i="23"/>
  <c r="F185" i="23"/>
  <c r="F140" i="23"/>
  <c r="F200" i="23" s="1"/>
  <c r="F129" i="23"/>
  <c r="F189" i="23" s="1"/>
  <c r="F123" i="23"/>
  <c r="F48" i="23"/>
  <c r="F50" i="23" s="1"/>
  <c r="F88" i="23"/>
  <c r="F29" i="23"/>
  <c r="F211" i="23"/>
  <c r="F214" i="23" s="1"/>
  <c r="F149" i="23"/>
  <c r="F213" i="23" s="1"/>
  <c r="F215" i="23" s="1"/>
  <c r="F103" i="23"/>
  <c r="N75" i="23"/>
  <c r="N74" i="23"/>
  <c r="N65" i="23"/>
  <c r="N73" i="23"/>
  <c r="C75" i="23"/>
  <c r="D75" i="23"/>
  <c r="E75" i="23"/>
  <c r="D68" i="23"/>
  <c r="D72" i="23" s="1"/>
  <c r="E68" i="23"/>
  <c r="E72" i="23" s="1"/>
  <c r="D66" i="23"/>
  <c r="E66" i="23"/>
  <c r="D64" i="23"/>
  <c r="E64" i="23"/>
  <c r="C68" i="23"/>
  <c r="C72" i="23" s="1"/>
  <c r="C66" i="23"/>
  <c r="C107" i="23"/>
  <c r="C117" i="23" s="1"/>
  <c r="C116" i="23"/>
  <c r="C113" i="23"/>
  <c r="C102" i="23"/>
  <c r="D98" i="23"/>
  <c r="E98" i="23"/>
  <c r="D107" i="23"/>
  <c r="E107" i="23"/>
  <c r="L98" i="23"/>
  <c r="L107" i="23"/>
  <c r="M98" i="23"/>
  <c r="M107" i="23"/>
  <c r="N107" i="23"/>
  <c r="N98" i="23"/>
  <c r="P107" i="23"/>
  <c r="P117" i="23" s="1"/>
  <c r="P98" i="23"/>
  <c r="Q107" i="23"/>
  <c r="Q108" i="23" s="1"/>
  <c r="Q98" i="23"/>
  <c r="C564" i="22"/>
  <c r="C582" i="22" s="1"/>
  <c r="C565" i="22"/>
  <c r="C567" i="22"/>
  <c r="O55" i="23"/>
  <c r="S56" i="23" s="1"/>
  <c r="O30" i="25"/>
  <c r="S42" i="25" s="1"/>
  <c r="O29" i="25"/>
  <c r="S41" i="25" s="1"/>
  <c r="O28" i="25"/>
  <c r="S40" i="25" s="1"/>
  <c r="O24" i="25"/>
  <c r="O23" i="25"/>
  <c r="C31" i="25"/>
  <c r="C25" i="25"/>
  <c r="D25" i="25"/>
  <c r="E25" i="25"/>
  <c r="L9" i="25"/>
  <c r="P25" i="25"/>
  <c r="N25" i="25"/>
  <c r="M25" i="25"/>
  <c r="L25" i="25"/>
  <c r="P31" i="25"/>
  <c r="N31" i="25"/>
  <c r="M31" i="25"/>
  <c r="L31" i="25"/>
  <c r="E31" i="25"/>
  <c r="D31" i="25"/>
  <c r="D43" i="25" s="1"/>
  <c r="Q31" i="25"/>
  <c r="R31" i="25"/>
  <c r="Q25" i="25"/>
  <c r="R25" i="25"/>
  <c r="P9" i="25"/>
  <c r="Q9" i="25"/>
  <c r="E9" i="25"/>
  <c r="D9" i="25"/>
  <c r="C9" i="25"/>
  <c r="N9" i="25"/>
  <c r="R9" i="25"/>
  <c r="E7" i="25"/>
  <c r="E19" i="25" s="1"/>
  <c r="D7" i="25"/>
  <c r="D19" i="25" s="1"/>
  <c r="C7" i="25"/>
  <c r="C19" i="25" s="1"/>
  <c r="L7" i="25"/>
  <c r="L19" i="25" s="1"/>
  <c r="N7" i="25"/>
  <c r="P7" i="25"/>
  <c r="O15" i="25"/>
  <c r="M9" i="25"/>
  <c r="C7" i="23"/>
  <c r="C24" i="23" s="1"/>
  <c r="D7" i="23"/>
  <c r="E7" i="23"/>
  <c r="F10" i="23" s="1"/>
  <c r="L7" i="23"/>
  <c r="L24" i="23" s="1"/>
  <c r="M7" i="23"/>
  <c r="M24" i="23" s="1"/>
  <c r="N7" i="23"/>
  <c r="N24" i="23" s="1"/>
  <c r="P7" i="23"/>
  <c r="Q7" i="23"/>
  <c r="U10" i="23" s="1"/>
  <c r="R7" i="23"/>
  <c r="D23" i="23"/>
  <c r="O19" i="23"/>
  <c r="O21" i="23"/>
  <c r="D49" i="23"/>
  <c r="O27" i="23"/>
  <c r="O15" i="23"/>
  <c r="O14" i="23"/>
  <c r="O13" i="23"/>
  <c r="O12" i="23"/>
  <c r="R107" i="23"/>
  <c r="R117" i="23" s="1"/>
  <c r="R98" i="23"/>
  <c r="R79" i="23"/>
  <c r="S79" i="23" s="1"/>
  <c r="R74" i="23"/>
  <c r="R73" i="23"/>
  <c r="R70" i="23"/>
  <c r="R69" i="23"/>
  <c r="R65" i="23"/>
  <c r="Q49" i="23"/>
  <c r="P49" i="23"/>
  <c r="N49" i="23"/>
  <c r="M49" i="23"/>
  <c r="L49" i="23"/>
  <c r="E49" i="23"/>
  <c r="C49" i="23"/>
  <c r="R49" i="23"/>
  <c r="O22" i="23"/>
  <c r="O20" i="23"/>
  <c r="O18" i="23"/>
  <c r="O17" i="23"/>
  <c r="O16" i="23"/>
  <c r="O49" i="23" s="1"/>
  <c r="O8" i="23"/>
  <c r="O9" i="23"/>
  <c r="R248" i="23"/>
  <c r="Q248" i="23"/>
  <c r="P248" i="23"/>
  <c r="Q244" i="23"/>
  <c r="P244" i="23"/>
  <c r="Q240" i="23"/>
  <c r="P240" i="23"/>
  <c r="Q239" i="23"/>
  <c r="P239" i="23"/>
  <c r="Q238" i="23"/>
  <c r="P238" i="23"/>
  <c r="Q235" i="23"/>
  <c r="P235" i="23"/>
  <c r="Q234" i="23"/>
  <c r="P234" i="23"/>
  <c r="P233" i="23"/>
  <c r="P231" i="23"/>
  <c r="Q230" i="23"/>
  <c r="P230" i="23"/>
  <c r="P229" i="23"/>
  <c r="R218" i="23"/>
  <c r="Q218" i="23"/>
  <c r="P218" i="23"/>
  <c r="R207" i="23"/>
  <c r="Q207" i="23"/>
  <c r="P207" i="23"/>
  <c r="R184" i="23"/>
  <c r="Q184" i="23"/>
  <c r="P184" i="23"/>
  <c r="Q180" i="23"/>
  <c r="P180" i="23"/>
  <c r="Q176" i="23"/>
  <c r="P176" i="23"/>
  <c r="Q175" i="23"/>
  <c r="P175" i="23"/>
  <c r="Q174" i="23"/>
  <c r="P174" i="23"/>
  <c r="Q171" i="23"/>
  <c r="P171" i="23"/>
  <c r="Q170" i="23"/>
  <c r="P170" i="23"/>
  <c r="P169" i="23"/>
  <c r="P167" i="23"/>
  <c r="Q166" i="23"/>
  <c r="P166" i="23"/>
  <c r="P165" i="23"/>
  <c r="R154" i="23"/>
  <c r="Q154" i="23"/>
  <c r="P154" i="23"/>
  <c r="R148" i="23"/>
  <c r="R212" i="23" s="1"/>
  <c r="Q148" i="23"/>
  <c r="Q212" i="23" s="1"/>
  <c r="P148" i="23"/>
  <c r="P212" i="23" s="1"/>
  <c r="R143" i="23"/>
  <c r="Q143" i="23"/>
  <c r="P143" i="23"/>
  <c r="R127" i="23"/>
  <c r="Q127" i="23"/>
  <c r="P127" i="23"/>
  <c r="P116" i="23"/>
  <c r="R113" i="23"/>
  <c r="Q113" i="23"/>
  <c r="P113" i="23"/>
  <c r="R102" i="23"/>
  <c r="Q102" i="23"/>
  <c r="P102" i="23"/>
  <c r="R96" i="23"/>
  <c r="Q96" i="23"/>
  <c r="P96" i="23"/>
  <c r="R86" i="23"/>
  <c r="Q86" i="23"/>
  <c r="P86" i="23"/>
  <c r="R62" i="23"/>
  <c r="Q62" i="23"/>
  <c r="P62" i="23"/>
  <c r="R47" i="23"/>
  <c r="Q47" i="23"/>
  <c r="P47" i="23"/>
  <c r="M72" i="23" l="1"/>
  <c r="Y78" i="23"/>
  <c r="P43" i="25"/>
  <c r="T43" i="25"/>
  <c r="E43" i="25"/>
  <c r="F43" i="25"/>
  <c r="Q43" i="25"/>
  <c r="U43" i="25"/>
  <c r="R43" i="25"/>
  <c r="V43" i="25"/>
  <c r="Q76" i="23"/>
  <c r="AE271" i="23"/>
  <c r="AF271" i="23"/>
  <c r="L35" i="25"/>
  <c r="L36" i="25"/>
  <c r="L34" i="25"/>
  <c r="L37" i="25" s="1"/>
  <c r="M36" i="25"/>
  <c r="M34" i="25"/>
  <c r="M35" i="25"/>
  <c r="D36" i="25"/>
  <c r="D35" i="25"/>
  <c r="D34" i="25"/>
  <c r="O35" i="25"/>
  <c r="N35" i="25"/>
  <c r="N36" i="25"/>
  <c r="N34" i="25"/>
  <c r="N37" i="25" s="1"/>
  <c r="P35" i="25"/>
  <c r="P34" i="25"/>
  <c r="P36" i="25"/>
  <c r="Q35" i="25"/>
  <c r="Q36" i="25"/>
  <c r="Q34" i="25"/>
  <c r="E34" i="25"/>
  <c r="E36" i="25"/>
  <c r="E35" i="25"/>
  <c r="R36" i="25"/>
  <c r="R34" i="25"/>
  <c r="R35" i="25"/>
  <c r="C35" i="25"/>
  <c r="C34" i="25"/>
  <c r="C36" i="25"/>
  <c r="AE45" i="23"/>
  <c r="AE169" i="23"/>
  <c r="AE233" i="23"/>
  <c r="AG270" i="23" s="1"/>
  <c r="AE59" i="23"/>
  <c r="AE93" i="23"/>
  <c r="AE137" i="23" s="1"/>
  <c r="AE197" i="23" s="1"/>
  <c r="AE177" i="23"/>
  <c r="AE241" i="23"/>
  <c r="AE237" i="23"/>
  <c r="AE173" i="23"/>
  <c r="AE108" i="23"/>
  <c r="AE117" i="23"/>
  <c r="AE118" i="23" s="1"/>
  <c r="AE71" i="23"/>
  <c r="AE168" i="23"/>
  <c r="AE232" i="23"/>
  <c r="Q229" i="23"/>
  <c r="P237" i="23"/>
  <c r="AA92" i="23"/>
  <c r="AD92" i="23"/>
  <c r="AC92" i="23"/>
  <c r="T273" i="23"/>
  <c r="F265" i="23"/>
  <c r="F273" i="23"/>
  <c r="Y84" i="23"/>
  <c r="AA177" i="23"/>
  <c r="W262" i="23"/>
  <c r="W273" i="23"/>
  <c r="W265" i="23"/>
  <c r="AA265" i="23"/>
  <c r="AA262" i="23"/>
  <c r="AA273" i="23"/>
  <c r="J271" i="23"/>
  <c r="AA241" i="23"/>
  <c r="J31" i="23"/>
  <c r="J32" i="23" s="1"/>
  <c r="J54" i="23"/>
  <c r="J89" i="23"/>
  <c r="AA32" i="23"/>
  <c r="AB92" i="23"/>
  <c r="P177" i="23"/>
  <c r="AA151" i="23"/>
  <c r="AA192" i="23"/>
  <c r="AA232" i="23"/>
  <c r="AA168" i="23"/>
  <c r="AA71" i="23"/>
  <c r="AA251" i="23"/>
  <c r="AA268" i="23" s="1"/>
  <c r="AA135" i="23"/>
  <c r="AA195" i="23" s="1"/>
  <c r="AA187" i="23"/>
  <c r="P108" i="23"/>
  <c r="H181" i="23"/>
  <c r="H245" i="23"/>
  <c r="Z92" i="23"/>
  <c r="Z172" i="23"/>
  <c r="Z236" i="23"/>
  <c r="Z77" i="23"/>
  <c r="J240" i="23"/>
  <c r="J176" i="23"/>
  <c r="Z93" i="23"/>
  <c r="Z137" i="23" s="1"/>
  <c r="Z197" i="23" s="1"/>
  <c r="J214" i="23"/>
  <c r="J210" i="23"/>
  <c r="J165" i="23"/>
  <c r="J44" i="23"/>
  <c r="J229" i="23"/>
  <c r="J60" i="23"/>
  <c r="J67" i="23"/>
  <c r="Y92" i="23"/>
  <c r="W32" i="23"/>
  <c r="W93" i="23"/>
  <c r="W137" i="23" s="1"/>
  <c r="W197" i="23" s="1"/>
  <c r="X93" i="23"/>
  <c r="X137" i="23" s="1"/>
  <c r="X197" i="23" s="1"/>
  <c r="Y93" i="23"/>
  <c r="Y137" i="23" s="1"/>
  <c r="Y197" i="23" s="1"/>
  <c r="Y179" i="23"/>
  <c r="Q165" i="23"/>
  <c r="Y80" i="23"/>
  <c r="Y243" i="23"/>
  <c r="X245" i="23"/>
  <c r="X181" i="23"/>
  <c r="P241" i="23"/>
  <c r="Q167" i="23"/>
  <c r="R66" i="23"/>
  <c r="R167" i="23" s="1"/>
  <c r="W92" i="23"/>
  <c r="W151" i="23"/>
  <c r="W192" i="23"/>
  <c r="W135" i="23"/>
  <c r="W195" i="23" s="1"/>
  <c r="W251" i="23"/>
  <c r="W268" i="23" s="1"/>
  <c r="W187" i="23"/>
  <c r="W72" i="23"/>
  <c r="W165" i="23"/>
  <c r="W44" i="23"/>
  <c r="W229" i="23"/>
  <c r="W60" i="23"/>
  <c r="W67" i="23"/>
  <c r="V89" i="23"/>
  <c r="W51" i="23"/>
  <c r="W76" i="23"/>
  <c r="C76" i="23"/>
  <c r="W240" i="23"/>
  <c r="W176" i="23"/>
  <c r="W59" i="23"/>
  <c r="W169" i="23"/>
  <c r="W233" i="23"/>
  <c r="Z270" i="23" s="1"/>
  <c r="W45" i="23"/>
  <c r="F54" i="23"/>
  <c r="G51" i="23"/>
  <c r="V241" i="23"/>
  <c r="V177" i="23"/>
  <c r="Q72" i="23"/>
  <c r="V146" i="23"/>
  <c r="V208" i="23"/>
  <c r="V210" i="23" s="1"/>
  <c r="V237" i="23"/>
  <c r="V173" i="23"/>
  <c r="V168" i="23"/>
  <c r="V71" i="23"/>
  <c r="V232" i="23"/>
  <c r="U172" i="23"/>
  <c r="U77" i="23"/>
  <c r="U236" i="23"/>
  <c r="U87" i="23"/>
  <c r="V10" i="23"/>
  <c r="G179" i="23"/>
  <c r="G243" i="23"/>
  <c r="T214" i="23"/>
  <c r="U215" i="23"/>
  <c r="G80" i="23"/>
  <c r="N68" i="23"/>
  <c r="E76" i="23"/>
  <c r="T215" i="23"/>
  <c r="R234" i="23"/>
  <c r="T135" i="23"/>
  <c r="T195" i="23" s="1"/>
  <c r="T251" i="23"/>
  <c r="T187" i="23"/>
  <c r="R171" i="23"/>
  <c r="T87" i="23"/>
  <c r="T242" i="23"/>
  <c r="T178" i="23"/>
  <c r="T78" i="23"/>
  <c r="R174" i="23"/>
  <c r="Q233" i="23"/>
  <c r="S75" i="23"/>
  <c r="S240" i="23" s="1"/>
  <c r="R239" i="23"/>
  <c r="S69" i="23"/>
  <c r="T151" i="23"/>
  <c r="T192" i="23"/>
  <c r="R180" i="23"/>
  <c r="R68" i="23"/>
  <c r="S68" i="23" s="1"/>
  <c r="R165" i="23"/>
  <c r="R230" i="23"/>
  <c r="Q221" i="23"/>
  <c r="U222" i="23" s="1"/>
  <c r="Q10" i="23"/>
  <c r="S64" i="23"/>
  <c r="P10" i="23"/>
  <c r="T10" i="23"/>
  <c r="S73" i="23"/>
  <c r="R24" i="23"/>
  <c r="R10" i="23"/>
  <c r="C569" i="22"/>
  <c r="S161" i="23"/>
  <c r="M76" i="23"/>
  <c r="S74" i="23"/>
  <c r="S70" i="23"/>
  <c r="S65" i="23"/>
  <c r="S31" i="23"/>
  <c r="S42" i="23"/>
  <c r="S52" i="23"/>
  <c r="D76" i="23"/>
  <c r="S108" i="23"/>
  <c r="S117" i="23"/>
  <c r="S118" i="23" s="1"/>
  <c r="S39" i="23" s="1"/>
  <c r="P37" i="23"/>
  <c r="S87" i="23"/>
  <c r="N66" i="23"/>
  <c r="F31" i="23"/>
  <c r="F42" i="23"/>
  <c r="F52" i="23"/>
  <c r="F89" i="23"/>
  <c r="F251" i="23"/>
  <c r="F268" i="23" s="1"/>
  <c r="F187" i="23"/>
  <c r="F135" i="23"/>
  <c r="F195" i="23" s="1"/>
  <c r="F94" i="23"/>
  <c r="F77" i="23"/>
  <c r="F78" i="23" s="1"/>
  <c r="F172" i="23"/>
  <c r="F236" i="23"/>
  <c r="F151" i="23"/>
  <c r="F192" i="23"/>
  <c r="C118" i="23"/>
  <c r="C39" i="23" s="1"/>
  <c r="C108" i="23"/>
  <c r="Q117" i="23"/>
  <c r="Q118" i="23" s="1"/>
  <c r="O25" i="25"/>
  <c r="O31" i="25"/>
  <c r="O34" i="25" s="1"/>
  <c r="M7" i="25"/>
  <c r="M19" i="25" s="1"/>
  <c r="O16" i="25"/>
  <c r="O17" i="25"/>
  <c r="O14" i="25"/>
  <c r="O11" i="25"/>
  <c r="O12" i="25"/>
  <c r="O13" i="25"/>
  <c r="N19" i="25"/>
  <c r="D10" i="23"/>
  <c r="D24" i="23"/>
  <c r="E10" i="23"/>
  <c r="R238" i="23"/>
  <c r="O7" i="23"/>
  <c r="S10" i="23" s="1"/>
  <c r="E24" i="23"/>
  <c r="P24" i="23"/>
  <c r="Q24" i="23"/>
  <c r="R108" i="23"/>
  <c r="R166" i="23"/>
  <c r="Q35" i="23"/>
  <c r="R244" i="23"/>
  <c r="R240" i="23"/>
  <c r="R176" i="23"/>
  <c r="R175" i="23"/>
  <c r="R235" i="23"/>
  <c r="R170" i="23"/>
  <c r="R229" i="23"/>
  <c r="R44" i="23"/>
  <c r="R36" i="23"/>
  <c r="R38" i="23"/>
  <c r="R35" i="23"/>
  <c r="Q59" i="23"/>
  <c r="P60" i="23"/>
  <c r="P44" i="23"/>
  <c r="Q60" i="23"/>
  <c r="Q45" i="23"/>
  <c r="Q157" i="23"/>
  <c r="U158" i="23" s="1"/>
  <c r="Q36" i="23"/>
  <c r="Q41" i="23"/>
  <c r="Q37" i="23"/>
  <c r="Q38" i="23"/>
  <c r="Q44" i="23"/>
  <c r="R37" i="23"/>
  <c r="R41" i="23"/>
  <c r="R157" i="23"/>
  <c r="V158" i="23" s="1"/>
  <c r="P36" i="23"/>
  <c r="P35" i="23"/>
  <c r="P59" i="23"/>
  <c r="P38" i="23"/>
  <c r="P157" i="23"/>
  <c r="T158" i="23" s="1"/>
  <c r="P45" i="23"/>
  <c r="P41" i="23"/>
  <c r="P221" i="23"/>
  <c r="T222" i="23" s="1"/>
  <c r="R221" i="23"/>
  <c r="V222" i="23" s="1"/>
  <c r="R60" i="23"/>
  <c r="P118" i="23"/>
  <c r="R118" i="23"/>
  <c r="N248" i="23"/>
  <c r="M248" i="23"/>
  <c r="L248" i="23"/>
  <c r="D248" i="23"/>
  <c r="C248" i="23"/>
  <c r="E248" i="23"/>
  <c r="N148" i="23"/>
  <c r="M148" i="23"/>
  <c r="L148" i="23"/>
  <c r="E148" i="23"/>
  <c r="D148" i="23"/>
  <c r="C148" i="23"/>
  <c r="E113" i="23"/>
  <c r="O36" i="25" l="1"/>
  <c r="R37" i="25"/>
  <c r="N72" i="23"/>
  <c r="AF94" i="23"/>
  <c r="AG94" i="23"/>
  <c r="O37" i="25"/>
  <c r="Q177" i="23"/>
  <c r="Q241" i="23"/>
  <c r="AE270" i="23"/>
  <c r="AF270" i="23"/>
  <c r="AE39" i="23"/>
  <c r="C131" i="22"/>
  <c r="E37" i="25"/>
  <c r="C37" i="25"/>
  <c r="Q37" i="25"/>
  <c r="M37" i="25"/>
  <c r="D37" i="25"/>
  <c r="P37" i="25"/>
  <c r="AE236" i="23"/>
  <c r="AE77" i="23"/>
  <c r="AE172" i="23"/>
  <c r="AE94" i="23"/>
  <c r="AE247" i="23"/>
  <c r="AE263" i="23" s="1"/>
  <c r="AE125" i="23"/>
  <c r="AE147" i="23"/>
  <c r="AE133" i="23"/>
  <c r="AE183" i="23"/>
  <c r="AE130" i="23"/>
  <c r="AE190" i="23" s="1"/>
  <c r="AE121" i="23"/>
  <c r="AE123" i="23" s="1"/>
  <c r="AC94" i="23"/>
  <c r="AD94" i="23"/>
  <c r="Q125" i="23"/>
  <c r="R247" i="23"/>
  <c r="Y181" i="23"/>
  <c r="J92" i="23"/>
  <c r="R169" i="23"/>
  <c r="R59" i="23"/>
  <c r="X270" i="23"/>
  <c r="W270" i="23"/>
  <c r="Y270" i="23"/>
  <c r="AA236" i="23"/>
  <c r="AA172" i="23"/>
  <c r="AA77" i="23"/>
  <c r="AA94" i="23"/>
  <c r="AB94" i="23"/>
  <c r="Z242" i="23"/>
  <c r="Z78" i="23"/>
  <c r="Z178" i="23"/>
  <c r="S66" i="23"/>
  <c r="S231" i="23" s="1"/>
  <c r="R233" i="23"/>
  <c r="J232" i="23"/>
  <c r="J71" i="23"/>
  <c r="J168" i="23"/>
  <c r="J233" i="23"/>
  <c r="J270" i="23" s="1"/>
  <c r="J45" i="23"/>
  <c r="J93" i="23"/>
  <c r="J137" i="23" s="1"/>
  <c r="J197" i="23" s="1"/>
  <c r="J169" i="23"/>
  <c r="J59" i="23"/>
  <c r="J173" i="23"/>
  <c r="J237" i="23"/>
  <c r="J241" i="23"/>
  <c r="J177" i="23"/>
  <c r="R45" i="23"/>
  <c r="R231" i="23"/>
  <c r="R76" i="23"/>
  <c r="R177" i="23" s="1"/>
  <c r="Y245" i="23"/>
  <c r="R72" i="23"/>
  <c r="W232" i="23"/>
  <c r="W71" i="23"/>
  <c r="W168" i="23"/>
  <c r="T80" i="23"/>
  <c r="T181" i="23" s="1"/>
  <c r="W241" i="23"/>
  <c r="W177" i="23"/>
  <c r="W173" i="23"/>
  <c r="W237" i="23"/>
  <c r="V77" i="23"/>
  <c r="V236" i="23"/>
  <c r="V172" i="23"/>
  <c r="V93" i="23"/>
  <c r="U144" i="23"/>
  <c r="U103" i="23"/>
  <c r="R48" i="23"/>
  <c r="R50" i="23" s="1"/>
  <c r="R52" i="23" s="1"/>
  <c r="U88" i="23"/>
  <c r="U93" i="23"/>
  <c r="U178" i="23"/>
  <c r="U242" i="23"/>
  <c r="U78" i="23"/>
  <c r="S176" i="23"/>
  <c r="S32" i="23"/>
  <c r="V92" i="23"/>
  <c r="G181" i="23"/>
  <c r="G245" i="23"/>
  <c r="S165" i="23"/>
  <c r="S44" i="23"/>
  <c r="Q48" i="23"/>
  <c r="Q50" i="23" s="1"/>
  <c r="U51" i="23" s="1"/>
  <c r="T88" i="23"/>
  <c r="T93" i="23"/>
  <c r="T144" i="23"/>
  <c r="T103" i="23"/>
  <c r="P147" i="23"/>
  <c r="P211" i="23" s="1"/>
  <c r="P121" i="23"/>
  <c r="P140" i="23" s="1"/>
  <c r="P200" i="23" s="1"/>
  <c r="T243" i="23"/>
  <c r="T179" i="23"/>
  <c r="T84" i="23"/>
  <c r="Q173" i="23"/>
  <c r="Q237" i="23"/>
  <c r="F84" i="23"/>
  <c r="S60" i="23"/>
  <c r="S229" i="23"/>
  <c r="N76" i="23"/>
  <c r="S180" i="23"/>
  <c r="S244" i="23"/>
  <c r="S239" i="23"/>
  <c r="S175" i="23"/>
  <c r="S144" i="23"/>
  <c r="S103" i="23"/>
  <c r="S238" i="23"/>
  <c r="S174" i="23"/>
  <c r="S233" i="23"/>
  <c r="S169" i="23"/>
  <c r="S59" i="23"/>
  <c r="S45" i="23"/>
  <c r="P48" i="23"/>
  <c r="P50" i="23" s="1"/>
  <c r="T51" i="23" s="1"/>
  <c r="S88" i="23"/>
  <c r="S93" i="23"/>
  <c r="S170" i="23"/>
  <c r="S234" i="23"/>
  <c r="S171" i="23"/>
  <c r="S235" i="23"/>
  <c r="S125" i="23"/>
  <c r="S147" i="23"/>
  <c r="S121" i="23"/>
  <c r="S123" i="23" s="1"/>
  <c r="S247" i="23"/>
  <c r="S183" i="23"/>
  <c r="S230" i="23"/>
  <c r="S166" i="23"/>
  <c r="F178" i="23"/>
  <c r="F80" i="23"/>
  <c r="F242" i="23"/>
  <c r="F32" i="23"/>
  <c r="F92" i="23"/>
  <c r="C125" i="23"/>
  <c r="C121" i="23"/>
  <c r="C123" i="23" s="1"/>
  <c r="O10" i="25"/>
  <c r="N29" i="23"/>
  <c r="N31" i="23" s="1"/>
  <c r="N32" i="23" s="1"/>
  <c r="P29" i="23"/>
  <c r="P31" i="23" s="1"/>
  <c r="Q29" i="23"/>
  <c r="Q31" i="23" s="1"/>
  <c r="R29" i="23"/>
  <c r="R31" i="23" s="1"/>
  <c r="P247" i="23"/>
  <c r="P125" i="23"/>
  <c r="Q183" i="23"/>
  <c r="P183" i="23"/>
  <c r="Q247" i="23"/>
  <c r="Q147" i="23"/>
  <c r="Q149" i="23" s="1"/>
  <c r="Q213" i="23" s="1"/>
  <c r="R125" i="23"/>
  <c r="R121" i="23"/>
  <c r="R185" i="23" s="1"/>
  <c r="R147" i="23"/>
  <c r="R149" i="23" s="1"/>
  <c r="R213" i="23" s="1"/>
  <c r="R183" i="23"/>
  <c r="Q121" i="23"/>
  <c r="Q140" i="23" s="1"/>
  <c r="Q200" i="23" s="1"/>
  <c r="O119" i="23"/>
  <c r="R249" i="23" l="1"/>
  <c r="R273" i="23" s="1"/>
  <c r="AE149" i="23"/>
  <c r="AE213" i="23" s="1"/>
  <c r="AE215" i="23" s="1"/>
  <c r="AE211" i="23"/>
  <c r="AE214" i="23" s="1"/>
  <c r="AE249" i="23"/>
  <c r="AE266" i="23"/>
  <c r="AE132" i="23"/>
  <c r="AE185" i="23"/>
  <c r="AE140" i="23"/>
  <c r="AE200" i="23" s="1"/>
  <c r="AE129" i="23"/>
  <c r="AE189" i="23" s="1"/>
  <c r="AE193" i="23"/>
  <c r="AE150" i="23"/>
  <c r="AE178" i="23"/>
  <c r="AE242" i="23"/>
  <c r="Q249" i="23"/>
  <c r="P249" i="23"/>
  <c r="V91" i="23"/>
  <c r="V138" i="23" s="1"/>
  <c r="V198" i="23" s="1"/>
  <c r="S167" i="23"/>
  <c r="AA242" i="23"/>
  <c r="AA178" i="23"/>
  <c r="U91" i="23"/>
  <c r="U138" i="23" s="1"/>
  <c r="U198" i="23" s="1"/>
  <c r="Z80" i="23"/>
  <c r="AA78" i="23"/>
  <c r="S91" i="23"/>
  <c r="T91" i="23"/>
  <c r="T138" i="23" s="1"/>
  <c r="T198" i="23" s="1"/>
  <c r="Z84" i="23"/>
  <c r="Z243" i="23"/>
  <c r="Z179" i="23"/>
  <c r="X94" i="23"/>
  <c r="Z94" i="23"/>
  <c r="W94" i="23"/>
  <c r="R241" i="23"/>
  <c r="S76" i="23"/>
  <c r="S241" i="23" s="1"/>
  <c r="J94" i="23"/>
  <c r="J172" i="23"/>
  <c r="J77" i="23"/>
  <c r="J236" i="23"/>
  <c r="T245" i="23"/>
  <c r="P149" i="23"/>
  <c r="P213" i="23" s="1"/>
  <c r="U80" i="23"/>
  <c r="U245" i="23" s="1"/>
  <c r="Y94" i="23"/>
  <c r="W172" i="23"/>
  <c r="W236" i="23"/>
  <c r="W77" i="23"/>
  <c r="R32" i="23"/>
  <c r="U92" i="23"/>
  <c r="U208" i="23"/>
  <c r="U210" i="23" s="1"/>
  <c r="U146" i="23"/>
  <c r="U84" i="23"/>
  <c r="U179" i="23"/>
  <c r="U243" i="23"/>
  <c r="R54" i="23"/>
  <c r="U89" i="23"/>
  <c r="V51" i="23"/>
  <c r="Q52" i="23"/>
  <c r="V78" i="23"/>
  <c r="V178" i="23"/>
  <c r="V242" i="23"/>
  <c r="R173" i="23"/>
  <c r="Q32" i="23"/>
  <c r="T92" i="23"/>
  <c r="Q54" i="23"/>
  <c r="T89" i="23"/>
  <c r="S72" i="23"/>
  <c r="T208" i="23"/>
  <c r="T210" i="23" s="1"/>
  <c r="T146" i="23"/>
  <c r="R237" i="23"/>
  <c r="S89" i="23"/>
  <c r="P54" i="23"/>
  <c r="P52" i="23"/>
  <c r="S208" i="23"/>
  <c r="S249" i="23"/>
  <c r="P32" i="23"/>
  <c r="S92" i="23"/>
  <c r="S185" i="23"/>
  <c r="S140" i="23"/>
  <c r="S200" i="23" s="1"/>
  <c r="S149" i="23"/>
  <c r="S213" i="23" s="1"/>
  <c r="S211" i="23"/>
  <c r="F181" i="23"/>
  <c r="F245" i="23"/>
  <c r="F179" i="23"/>
  <c r="F243" i="23"/>
  <c r="O9" i="25"/>
  <c r="O7" i="25"/>
  <c r="O19" i="25" s="1"/>
  <c r="P19" i="25"/>
  <c r="Q42" i="23"/>
  <c r="P42" i="23"/>
  <c r="R42" i="23"/>
  <c r="R211" i="23"/>
  <c r="Q185" i="23"/>
  <c r="Q211" i="23"/>
  <c r="P123" i="23"/>
  <c r="P187" i="23" s="1"/>
  <c r="P185" i="23"/>
  <c r="Q123" i="23"/>
  <c r="Q187" i="23" s="1"/>
  <c r="R123" i="23"/>
  <c r="R140" i="23"/>
  <c r="R200" i="23" s="1"/>
  <c r="R224" i="23"/>
  <c r="R160" i="23"/>
  <c r="R57" i="23"/>
  <c r="R162" i="23" s="1"/>
  <c r="O73" i="23"/>
  <c r="O69" i="23"/>
  <c r="AE187" i="23" l="1"/>
  <c r="AE135" i="23"/>
  <c r="AE195" i="23" s="1"/>
  <c r="AE251" i="23"/>
  <c r="AE268" i="23" s="1"/>
  <c r="V137" i="23"/>
  <c r="V197" i="23" s="1"/>
  <c r="AE151" i="23"/>
  <c r="AE192" i="23"/>
  <c r="AE273" i="23"/>
  <c r="AE265" i="23"/>
  <c r="AE262" i="23"/>
  <c r="J80" i="23"/>
  <c r="Q273" i="23"/>
  <c r="S273" i="23"/>
  <c r="P273" i="23"/>
  <c r="V225" i="23"/>
  <c r="T137" i="23"/>
  <c r="T197" i="23" s="1"/>
  <c r="AA179" i="23"/>
  <c r="AA243" i="23"/>
  <c r="Z181" i="23"/>
  <c r="AA80" i="23"/>
  <c r="Z245" i="23"/>
  <c r="U137" i="23"/>
  <c r="U197" i="23" s="1"/>
  <c r="S177" i="23"/>
  <c r="J178" i="23"/>
  <c r="J242" i="23"/>
  <c r="W78" i="23"/>
  <c r="V80" i="23"/>
  <c r="V245" i="23" s="1"/>
  <c r="U181" i="23"/>
  <c r="W242" i="23"/>
  <c r="W178" i="23"/>
  <c r="V243" i="23"/>
  <c r="V179" i="23"/>
  <c r="V84" i="23"/>
  <c r="S173" i="23"/>
  <c r="S237" i="23"/>
  <c r="R7" i="25"/>
  <c r="R19" i="25" s="1"/>
  <c r="P251" i="23"/>
  <c r="Q251" i="23"/>
  <c r="R251" i="23"/>
  <c r="R187" i="23"/>
  <c r="R164" i="23"/>
  <c r="R67" i="23"/>
  <c r="R228" i="23"/>
  <c r="R226" i="23"/>
  <c r="O68" i="23"/>
  <c r="O66" i="23"/>
  <c r="O75" i="23"/>
  <c r="O70" i="23"/>
  <c r="O79" i="23"/>
  <c r="O65" i="23"/>
  <c r="AA245" i="23" l="1"/>
  <c r="AA181" i="23"/>
  <c r="W243" i="23"/>
  <c r="W80" i="23"/>
  <c r="J243" i="23"/>
  <c r="J179" i="23"/>
  <c r="W179" i="23"/>
  <c r="V181" i="23"/>
  <c r="Q7" i="25"/>
  <c r="Q19" i="25" s="1"/>
  <c r="R91" i="23"/>
  <c r="Q91" i="23"/>
  <c r="P91" i="23"/>
  <c r="P93" i="23"/>
  <c r="Q93" i="23"/>
  <c r="R93" i="23"/>
  <c r="R71" i="23"/>
  <c r="R168" i="23"/>
  <c r="R232" i="23"/>
  <c r="O74" i="23"/>
  <c r="O64" i="23"/>
  <c r="W245" i="23" l="1"/>
  <c r="W181" i="23"/>
  <c r="J181" i="23"/>
  <c r="J245" i="23"/>
  <c r="R172" i="23"/>
  <c r="R236" i="23"/>
  <c r="R77" i="23"/>
  <c r="R178" i="23" l="1"/>
  <c r="R242" i="23"/>
  <c r="O28" i="23" l="1"/>
  <c r="L29" i="23"/>
  <c r="C585" i="22" l="1"/>
  <c r="O248" i="23"/>
  <c r="O148" i="23"/>
  <c r="M29" i="23"/>
  <c r="M31" i="23" s="1"/>
  <c r="M32" i="23" s="1"/>
  <c r="C559" i="22" l="1"/>
  <c r="C563" i="22" s="1"/>
  <c r="D117" i="23" l="1"/>
  <c r="D116" i="23"/>
  <c r="D113" i="23"/>
  <c r="D108" i="23"/>
  <c r="E117" i="23"/>
  <c r="E116" i="23"/>
  <c r="E108" i="23"/>
  <c r="L117" i="23"/>
  <c r="L116" i="23"/>
  <c r="L113" i="23"/>
  <c r="L108" i="23"/>
  <c r="M117" i="23"/>
  <c r="M116" i="23"/>
  <c r="M113" i="23"/>
  <c r="M108" i="23"/>
  <c r="N117" i="23"/>
  <c r="N116" i="23"/>
  <c r="N113" i="23"/>
  <c r="N108" i="23"/>
  <c r="E36" i="23"/>
  <c r="D36" i="23"/>
  <c r="C36" i="23"/>
  <c r="N36" i="23"/>
  <c r="M36" i="23"/>
  <c r="L36" i="23"/>
  <c r="B36" i="23"/>
  <c r="O25" i="23"/>
  <c r="O26" i="23"/>
  <c r="O40" i="23" l="1"/>
  <c r="R40" i="23"/>
  <c r="Q40" i="23"/>
  <c r="P40" i="23"/>
  <c r="R39" i="23"/>
  <c r="Q39" i="23"/>
  <c r="P39" i="23"/>
  <c r="D118" i="23"/>
  <c r="C29" i="23"/>
  <c r="L118" i="23"/>
  <c r="M118" i="23"/>
  <c r="E118" i="23"/>
  <c r="N118" i="23"/>
  <c r="E121" i="23" l="1"/>
  <c r="E123" i="23" s="1"/>
  <c r="E39" i="23"/>
  <c r="L121" i="23"/>
  <c r="L123" i="23" s="1"/>
  <c r="N121" i="23"/>
  <c r="N123" i="23" s="1"/>
  <c r="M121" i="23"/>
  <c r="M123" i="23" s="1"/>
  <c r="D125" i="23"/>
  <c r="D39" i="23"/>
  <c r="D121" i="23"/>
  <c r="D123" i="23" s="1"/>
  <c r="E29" i="23"/>
  <c r="D29" i="23"/>
  <c r="L125" i="23"/>
  <c r="M125" i="23"/>
  <c r="N125" i="23"/>
  <c r="E125" i="23"/>
  <c r="L205" i="23"/>
  <c r="E205" i="23"/>
  <c r="D205" i="23"/>
  <c r="C205" i="23"/>
  <c r="S251" i="23" l="1"/>
  <c r="S187" i="23"/>
  <c r="N102" i="23" l="1"/>
  <c r="M102" i="23"/>
  <c r="L102" i="23"/>
  <c r="D102" i="23"/>
  <c r="E102" i="23"/>
  <c r="N48" i="23"/>
  <c r="L31" i="23"/>
  <c r="L32" i="23" s="1"/>
  <c r="N37" i="23"/>
  <c r="M37" i="23"/>
  <c r="L37" i="23"/>
  <c r="D37" i="23"/>
  <c r="C37" i="23"/>
  <c r="E37" i="23"/>
  <c r="B37" i="23"/>
  <c r="O23" i="23"/>
  <c r="O24" i="23" s="1"/>
  <c r="L48" i="23" l="1"/>
  <c r="M48" i="23"/>
  <c r="E41" i="23"/>
  <c r="D41" i="23"/>
  <c r="C41" i="23"/>
  <c r="E38" i="23"/>
  <c r="D38" i="23"/>
  <c r="C38" i="23"/>
  <c r="E35" i="23"/>
  <c r="D35" i="23"/>
  <c r="C35" i="23"/>
  <c r="N41" i="23"/>
  <c r="M41" i="23"/>
  <c r="L41" i="23"/>
  <c r="N38" i="23"/>
  <c r="M38" i="23"/>
  <c r="L38" i="23"/>
  <c r="N35" i="23"/>
  <c r="M35" i="23"/>
  <c r="L35" i="23"/>
  <c r="B38" i="23"/>
  <c r="R87" i="23" l="1"/>
  <c r="Q87" i="23"/>
  <c r="P87" i="23"/>
  <c r="O36" i="23"/>
  <c r="E88" i="23"/>
  <c r="E31" i="23"/>
  <c r="E32" i="23" s="1"/>
  <c r="E48" i="23"/>
  <c r="O37" i="23"/>
  <c r="C88" i="23"/>
  <c r="C31" i="23"/>
  <c r="C32" i="23" s="1"/>
  <c r="C48" i="23"/>
  <c r="D31" i="23"/>
  <c r="D32" i="23" s="1"/>
  <c r="D88" i="23"/>
  <c r="D48" i="23"/>
  <c r="O38" i="23"/>
  <c r="P144" i="23" l="1"/>
  <c r="P208" i="23" s="1"/>
  <c r="P103" i="23"/>
  <c r="Q144" i="23"/>
  <c r="Q208" i="23" s="1"/>
  <c r="Q103" i="23"/>
  <c r="R144" i="23"/>
  <c r="R208" i="23" s="1"/>
  <c r="R103" i="23"/>
  <c r="D42" i="23"/>
  <c r="E42" i="23"/>
  <c r="C42" i="23"/>
  <c r="L42" i="23"/>
  <c r="M42" i="23"/>
  <c r="N42" i="23"/>
  <c r="O221" i="23"/>
  <c r="S222" i="23" s="1"/>
  <c r="O30" i="23"/>
  <c r="B35" i="23"/>
  <c r="B41" i="23"/>
  <c r="C47" i="23"/>
  <c r="D47" i="23"/>
  <c r="E47" i="23"/>
  <c r="L47" i="23"/>
  <c r="M47" i="23"/>
  <c r="N47" i="23"/>
  <c r="O47" i="23"/>
  <c r="C62" i="23"/>
  <c r="D62" i="23"/>
  <c r="E62" i="23"/>
  <c r="L62" i="23"/>
  <c r="M62" i="23"/>
  <c r="N62" i="23"/>
  <c r="O62" i="23"/>
  <c r="C44" i="23"/>
  <c r="E44" i="23"/>
  <c r="L44" i="23"/>
  <c r="C45" i="23"/>
  <c r="D45" i="23"/>
  <c r="E45" i="23"/>
  <c r="L45" i="23"/>
  <c r="M235" i="23"/>
  <c r="D176" i="23"/>
  <c r="D241" i="23"/>
  <c r="M177" i="23"/>
  <c r="C86" i="23"/>
  <c r="D86" i="23"/>
  <c r="E86" i="23"/>
  <c r="L86" i="23"/>
  <c r="M86" i="23"/>
  <c r="N86" i="23"/>
  <c r="O86" i="23"/>
  <c r="B87" i="23"/>
  <c r="C87" i="23"/>
  <c r="E87" i="23"/>
  <c r="E144" i="23" s="1"/>
  <c r="E208" i="23" s="1"/>
  <c r="N208" i="23"/>
  <c r="C91" i="23"/>
  <c r="D91" i="23"/>
  <c r="E91" i="23"/>
  <c r="C96" i="23"/>
  <c r="D96" i="23"/>
  <c r="E96" i="23"/>
  <c r="L96" i="23"/>
  <c r="M96" i="23"/>
  <c r="N96" i="23"/>
  <c r="O96" i="23"/>
  <c r="O98" i="23"/>
  <c r="O99" i="23"/>
  <c r="O101" i="23"/>
  <c r="O106" i="23"/>
  <c r="O107" i="23"/>
  <c r="O112" i="23"/>
  <c r="O255" i="23" s="1"/>
  <c r="O256" i="23" s="1"/>
  <c r="O124" i="23"/>
  <c r="O258" i="23" s="1"/>
  <c r="C127" i="23"/>
  <c r="D127" i="23"/>
  <c r="E127" i="23"/>
  <c r="L127" i="23"/>
  <c r="M127" i="23"/>
  <c r="N127" i="23"/>
  <c r="O127" i="23"/>
  <c r="C143" i="23"/>
  <c r="D143" i="23"/>
  <c r="E143" i="23"/>
  <c r="L143" i="23"/>
  <c r="M143" i="23"/>
  <c r="N143" i="23"/>
  <c r="O143" i="23"/>
  <c r="C212" i="23"/>
  <c r="E212" i="23"/>
  <c r="L212" i="23"/>
  <c r="M212" i="23"/>
  <c r="N212" i="23"/>
  <c r="C154" i="23"/>
  <c r="D154" i="23"/>
  <c r="E154" i="23"/>
  <c r="L154" i="23"/>
  <c r="M154" i="23"/>
  <c r="N154" i="23"/>
  <c r="O154" i="23"/>
  <c r="B157" i="23"/>
  <c r="C157" i="23"/>
  <c r="E157" i="23"/>
  <c r="F158" i="23" s="1"/>
  <c r="L157" i="23"/>
  <c r="P158" i="23" s="1"/>
  <c r="N157" i="23"/>
  <c r="R158" i="23" s="1"/>
  <c r="O157" i="23"/>
  <c r="S158" i="23" s="1"/>
  <c r="B160" i="23"/>
  <c r="B161" i="23"/>
  <c r="B162" i="23"/>
  <c r="B164" i="23"/>
  <c r="B165" i="23"/>
  <c r="B166" i="23"/>
  <c r="C166" i="23"/>
  <c r="D166" i="23"/>
  <c r="E166" i="23"/>
  <c r="L166" i="23"/>
  <c r="M166" i="23"/>
  <c r="N166" i="23"/>
  <c r="B167" i="23"/>
  <c r="C167" i="23"/>
  <c r="D167" i="23"/>
  <c r="E167" i="23"/>
  <c r="L167" i="23"/>
  <c r="M167" i="23"/>
  <c r="N167" i="23"/>
  <c r="B168" i="23"/>
  <c r="B169" i="23"/>
  <c r="C169" i="23"/>
  <c r="B170" i="23"/>
  <c r="C170" i="23"/>
  <c r="D170" i="23"/>
  <c r="E170" i="23"/>
  <c r="L170" i="23"/>
  <c r="M170" i="23"/>
  <c r="N170" i="23"/>
  <c r="B171" i="23"/>
  <c r="C171" i="23"/>
  <c r="D171" i="23"/>
  <c r="E171" i="23"/>
  <c r="L171" i="23"/>
  <c r="B172" i="23"/>
  <c r="B173" i="23"/>
  <c r="C173" i="23"/>
  <c r="D173" i="23"/>
  <c r="E173" i="23"/>
  <c r="B174" i="23"/>
  <c r="C174" i="23"/>
  <c r="D174" i="23"/>
  <c r="L174" i="23"/>
  <c r="B175" i="23"/>
  <c r="C175" i="23"/>
  <c r="D175" i="23"/>
  <c r="E175" i="23"/>
  <c r="L175" i="23"/>
  <c r="B176" i="23"/>
  <c r="L176" i="23"/>
  <c r="B177" i="23"/>
  <c r="C177" i="23"/>
  <c r="B178" i="23"/>
  <c r="B179" i="23"/>
  <c r="B180" i="23"/>
  <c r="C180" i="23"/>
  <c r="D180" i="23"/>
  <c r="E180" i="23"/>
  <c r="L180" i="23"/>
  <c r="B181" i="23"/>
  <c r="B183" i="23"/>
  <c r="B184" i="23"/>
  <c r="C184" i="23"/>
  <c r="D184" i="23"/>
  <c r="E184" i="23"/>
  <c r="L184" i="23"/>
  <c r="M184" i="23"/>
  <c r="N184" i="23"/>
  <c r="B185" i="23"/>
  <c r="B187" i="23"/>
  <c r="B189" i="23"/>
  <c r="B190" i="23"/>
  <c r="B192" i="23"/>
  <c r="B193" i="23"/>
  <c r="B195" i="23"/>
  <c r="B197" i="23"/>
  <c r="B198" i="23"/>
  <c r="B200" i="23"/>
  <c r="C207" i="23"/>
  <c r="D207" i="23"/>
  <c r="E207" i="23"/>
  <c r="L207" i="23"/>
  <c r="M207" i="23"/>
  <c r="N207" i="23"/>
  <c r="O207" i="23"/>
  <c r="C218" i="23"/>
  <c r="D218" i="23"/>
  <c r="E218" i="23"/>
  <c r="L218" i="23"/>
  <c r="M218" i="23"/>
  <c r="N218" i="23"/>
  <c r="O218" i="23"/>
  <c r="B221" i="23"/>
  <c r="C221" i="23"/>
  <c r="E221" i="23"/>
  <c r="F222" i="23" s="1"/>
  <c r="L221" i="23"/>
  <c r="P222" i="23" s="1"/>
  <c r="N221" i="23"/>
  <c r="R222" i="23" s="1"/>
  <c r="B224" i="23"/>
  <c r="B225" i="23"/>
  <c r="B226" i="23"/>
  <c r="B228" i="23"/>
  <c r="B229" i="23"/>
  <c r="E229" i="23"/>
  <c r="B230" i="23"/>
  <c r="C230" i="23"/>
  <c r="D230" i="23"/>
  <c r="E230" i="23"/>
  <c r="L230" i="23"/>
  <c r="M230" i="23"/>
  <c r="N230" i="23"/>
  <c r="B231" i="23"/>
  <c r="C231" i="23"/>
  <c r="D231" i="23"/>
  <c r="E231" i="23"/>
  <c r="L231" i="23"/>
  <c r="M231" i="23"/>
  <c r="N231" i="23"/>
  <c r="B232" i="23"/>
  <c r="B233" i="23"/>
  <c r="L233" i="23"/>
  <c r="B234" i="23"/>
  <c r="C234" i="23"/>
  <c r="D234" i="23"/>
  <c r="E234" i="23"/>
  <c r="L234" i="23"/>
  <c r="M234" i="23"/>
  <c r="N234" i="23"/>
  <c r="B235" i="23"/>
  <c r="C235" i="23"/>
  <c r="D235" i="23"/>
  <c r="E235" i="23"/>
  <c r="L235" i="23"/>
  <c r="B236" i="23"/>
  <c r="B237" i="23"/>
  <c r="C237" i="23"/>
  <c r="D237" i="23"/>
  <c r="B238" i="23"/>
  <c r="C238" i="23"/>
  <c r="D238" i="23"/>
  <c r="L238" i="23"/>
  <c r="B239" i="23"/>
  <c r="C239" i="23"/>
  <c r="D239" i="23"/>
  <c r="E239" i="23"/>
  <c r="L239" i="23"/>
  <c r="B240" i="23"/>
  <c r="D240" i="23"/>
  <c r="L240" i="23"/>
  <c r="B241" i="23"/>
  <c r="C241" i="23"/>
  <c r="B242" i="23"/>
  <c r="B243" i="23"/>
  <c r="B244" i="23"/>
  <c r="C244" i="23"/>
  <c r="D244" i="23"/>
  <c r="E244" i="23"/>
  <c r="L244" i="23"/>
  <c r="B245" i="23"/>
  <c r="B247" i="23"/>
  <c r="B248" i="23"/>
  <c r="B249" i="23"/>
  <c r="B251" i="23"/>
  <c r="B262" i="23"/>
  <c r="B263" i="23"/>
  <c r="B265" i="23"/>
  <c r="B266" i="23"/>
  <c r="B268" i="23"/>
  <c r="B270" i="23"/>
  <c r="B271" i="23"/>
  <c r="B273" i="23"/>
  <c r="C144" i="23" l="1"/>
  <c r="C208" i="23" s="1"/>
  <c r="C103" i="23"/>
  <c r="C578" i="22"/>
  <c r="O166" i="23"/>
  <c r="O170" i="23"/>
  <c r="O41" i="23"/>
  <c r="O212" i="23"/>
  <c r="C233" i="23"/>
  <c r="L229" i="23"/>
  <c r="D177" i="23"/>
  <c r="C93" i="23"/>
  <c r="O35" i="23"/>
  <c r="O230" i="23"/>
  <c r="D229" i="23"/>
  <c r="D44" i="23"/>
  <c r="O167" i="23"/>
  <c r="E165" i="23"/>
  <c r="M180" i="23"/>
  <c r="O113" i="23"/>
  <c r="C570" i="22" s="1"/>
  <c r="E240" i="23"/>
  <c r="M171" i="23"/>
  <c r="E176" i="23"/>
  <c r="E237" i="23"/>
  <c r="O234" i="23"/>
  <c r="O231" i="23"/>
  <c r="E103" i="23"/>
  <c r="O100" i="23"/>
  <c r="O102" i="23" s="1"/>
  <c r="O91" i="23"/>
  <c r="D60" i="23"/>
  <c r="D165" i="23"/>
  <c r="M237" i="23"/>
  <c r="M173" i="23"/>
  <c r="O117" i="23"/>
  <c r="M238" i="23"/>
  <c r="M174" i="23"/>
  <c r="L165" i="23"/>
  <c r="M44" i="23"/>
  <c r="M45" i="23"/>
  <c r="D233" i="23"/>
  <c r="C229" i="23"/>
  <c r="C165" i="23"/>
  <c r="E169" i="23"/>
  <c r="O108" i="23"/>
  <c r="O116" i="23"/>
  <c r="M241" i="23"/>
  <c r="E174" i="23"/>
  <c r="E238" i="23"/>
  <c r="E241" i="23"/>
  <c r="E93" i="23"/>
  <c r="E233" i="23"/>
  <c r="E177" i="23"/>
  <c r="L169" i="23"/>
  <c r="D169" i="23"/>
  <c r="D212" i="23"/>
  <c r="D93" i="23"/>
  <c r="N180" i="23"/>
  <c r="N244" i="23"/>
  <c r="C176" i="23"/>
  <c r="C240" i="23"/>
  <c r="E50" i="23"/>
  <c r="E54" i="23" s="1"/>
  <c r="M239" i="23"/>
  <c r="M175" i="23"/>
  <c r="D59" i="23"/>
  <c r="D87" i="23"/>
  <c r="D144" i="23" s="1"/>
  <c r="D208" i="23" s="1"/>
  <c r="D157" i="23"/>
  <c r="D158" i="23" s="1"/>
  <c r="D221" i="23"/>
  <c r="D222" i="23" s="1"/>
  <c r="M60" i="23"/>
  <c r="M157" i="23"/>
  <c r="Q158" i="23" s="1"/>
  <c r="M221" i="23"/>
  <c r="Q222" i="23" s="1"/>
  <c r="M240" i="23"/>
  <c r="O184" i="23"/>
  <c r="M176" i="23"/>
  <c r="O87" i="23"/>
  <c r="O144" i="23" s="1"/>
  <c r="O208" i="23" s="1"/>
  <c r="M244" i="23"/>
  <c r="N238" i="23"/>
  <c r="N174" i="23"/>
  <c r="L60" i="23"/>
  <c r="C60" i="23"/>
  <c r="L59" i="23"/>
  <c r="C59" i="23"/>
  <c r="E60" i="23"/>
  <c r="E59" i="23"/>
  <c r="F51" i="23" l="1"/>
  <c r="D563" i="22"/>
  <c r="R88" i="23"/>
  <c r="P88" i="23"/>
  <c r="Q88" i="23"/>
  <c r="C566" i="22"/>
  <c r="E63" i="23"/>
  <c r="E67" i="23" s="1"/>
  <c r="O29" i="23"/>
  <c r="O31" i="23" s="1"/>
  <c r="O32" i="23" s="1"/>
  <c r="N147" i="23"/>
  <c r="N149" i="23" s="1"/>
  <c r="N213" i="23" s="1"/>
  <c r="L183" i="23"/>
  <c r="O48" i="23"/>
  <c r="O88" i="23"/>
  <c r="N183" i="23"/>
  <c r="M247" i="23"/>
  <c r="M249" i="23" s="1"/>
  <c r="M273" i="23" s="1"/>
  <c r="M183" i="23"/>
  <c r="M147" i="23"/>
  <c r="M149" i="23" s="1"/>
  <c r="M213" i="23" s="1"/>
  <c r="L147" i="23"/>
  <c r="L211" i="23" s="1"/>
  <c r="C247" i="23"/>
  <c r="C140" i="23"/>
  <c r="C200" i="23" s="1"/>
  <c r="L247" i="23"/>
  <c r="L249" i="23" s="1"/>
  <c r="L273" i="23" s="1"/>
  <c r="C183" i="23"/>
  <c r="C147" i="23"/>
  <c r="N44" i="23"/>
  <c r="N247" i="23"/>
  <c r="N249" i="23" s="1"/>
  <c r="N273" i="23" s="1"/>
  <c r="D103" i="23"/>
  <c r="M187" i="23"/>
  <c r="M185" i="23"/>
  <c r="M140" i="23"/>
  <c r="M200" i="23" s="1"/>
  <c r="C185" i="23"/>
  <c r="C251" i="23"/>
  <c r="M165" i="23"/>
  <c r="M229" i="23"/>
  <c r="O118" i="23"/>
  <c r="O39" i="23" s="1"/>
  <c r="N45" i="23"/>
  <c r="M169" i="23"/>
  <c r="M59" i="23"/>
  <c r="M233" i="23"/>
  <c r="E222" i="23"/>
  <c r="D183" i="23"/>
  <c r="D247" i="23"/>
  <c r="D147" i="23"/>
  <c r="E89" i="23"/>
  <c r="E52" i="23"/>
  <c r="O103" i="23"/>
  <c r="E158" i="23"/>
  <c r="N50" i="23"/>
  <c r="N54" i="23" s="1"/>
  <c r="L208" i="23"/>
  <c r="N60" i="23"/>
  <c r="N165" i="23"/>
  <c r="N229" i="23"/>
  <c r="O238" i="23"/>
  <c r="O174" i="23"/>
  <c r="O171" i="23"/>
  <c r="O235" i="23"/>
  <c r="O175" i="23"/>
  <c r="O239" i="23"/>
  <c r="O180" i="23"/>
  <c r="O244" i="23"/>
  <c r="N176" i="23"/>
  <c r="N240" i="23"/>
  <c r="L50" i="23"/>
  <c r="L54" i="23" s="1"/>
  <c r="N235" i="23"/>
  <c r="N171" i="23"/>
  <c r="C50" i="23"/>
  <c r="C54" i="23" s="1"/>
  <c r="M208" i="23"/>
  <c r="N239" i="23"/>
  <c r="N175" i="23"/>
  <c r="O121" i="23" l="1"/>
  <c r="D249" i="23"/>
  <c r="C249" i="23"/>
  <c r="C63" i="23"/>
  <c r="C67" i="23" s="1"/>
  <c r="C71" i="23" s="1"/>
  <c r="C77" i="23" s="1"/>
  <c r="C78" i="23" s="1"/>
  <c r="C84" i="23" s="1"/>
  <c r="R92" i="23"/>
  <c r="Q92" i="23"/>
  <c r="P92" i="23"/>
  <c r="P51" i="23"/>
  <c r="R51" i="23"/>
  <c r="E71" i="23"/>
  <c r="E77" i="23" s="1"/>
  <c r="E78" i="23" s="1"/>
  <c r="E84" i="23" s="1"/>
  <c r="N211" i="23"/>
  <c r="N185" i="23"/>
  <c r="L140" i="23"/>
  <c r="L200" i="23" s="1"/>
  <c r="C568" i="22"/>
  <c r="O44" i="23"/>
  <c r="O60" i="23"/>
  <c r="O42" i="23"/>
  <c r="M251" i="23"/>
  <c r="L185" i="23"/>
  <c r="M211" i="23"/>
  <c r="L187" i="23"/>
  <c r="L149" i="23"/>
  <c r="L213" i="23" s="1"/>
  <c r="E247" i="23"/>
  <c r="C149" i="23"/>
  <c r="C213" i="23" s="1"/>
  <c r="C211" i="23"/>
  <c r="C187" i="23"/>
  <c r="O165" i="23"/>
  <c r="N251" i="23"/>
  <c r="N140" i="23"/>
  <c r="N200" i="23" s="1"/>
  <c r="O229" i="23"/>
  <c r="E183" i="23"/>
  <c r="E147" i="23"/>
  <c r="O183" i="23"/>
  <c r="O247" i="23"/>
  <c r="O125" i="23"/>
  <c r="O147" i="23"/>
  <c r="E90" i="23"/>
  <c r="E224" i="23"/>
  <c r="E260" i="23" s="1"/>
  <c r="E57" i="23"/>
  <c r="E162" i="23" s="1"/>
  <c r="E160" i="23"/>
  <c r="D185" i="23"/>
  <c r="D140" i="23"/>
  <c r="D200" i="23" s="1"/>
  <c r="D211" i="23"/>
  <c r="D149" i="23"/>
  <c r="D213" i="23" s="1"/>
  <c r="N233" i="23"/>
  <c r="N169" i="23"/>
  <c r="N59" i="23"/>
  <c r="L52" i="23"/>
  <c r="O176" i="23"/>
  <c r="O240" i="23"/>
  <c r="D50" i="23"/>
  <c r="D54" i="23" s="1"/>
  <c r="O123" i="23"/>
  <c r="E187" i="23"/>
  <c r="E251" i="23"/>
  <c r="C52" i="23"/>
  <c r="C89" i="23"/>
  <c r="N52" i="23"/>
  <c r="M50" i="23"/>
  <c r="M54" i="23" s="1"/>
  <c r="O50" i="23"/>
  <c r="E263" i="23" l="1"/>
  <c r="E268" i="23"/>
  <c r="O249" i="23"/>
  <c r="C273" i="23"/>
  <c r="E249" i="23"/>
  <c r="E262" i="23" s="1"/>
  <c r="E266" i="23"/>
  <c r="E270" i="23"/>
  <c r="E271" i="23"/>
  <c r="D273" i="23"/>
  <c r="R89" i="23"/>
  <c r="S51" i="23"/>
  <c r="O54" i="23"/>
  <c r="E226" i="23"/>
  <c r="F225" i="23"/>
  <c r="D63" i="23"/>
  <c r="D67" i="23" s="1"/>
  <c r="Q51" i="23"/>
  <c r="P89" i="23"/>
  <c r="Q89" i="23"/>
  <c r="E132" i="23"/>
  <c r="E129" i="23"/>
  <c r="E189" i="23" s="1"/>
  <c r="C80" i="23"/>
  <c r="C81" i="23" s="1"/>
  <c r="E140" i="23"/>
  <c r="E200" i="23" s="1"/>
  <c r="E185" i="23"/>
  <c r="C160" i="23"/>
  <c r="C161" i="23"/>
  <c r="C90" i="23"/>
  <c r="C57" i="23"/>
  <c r="C162" i="23" s="1"/>
  <c r="C224" i="23"/>
  <c r="C260" i="23" s="1"/>
  <c r="C263" i="23" s="1"/>
  <c r="C164" i="23"/>
  <c r="L251" i="23"/>
  <c r="N187" i="23"/>
  <c r="O93" i="23"/>
  <c r="O45" i="23"/>
  <c r="E211" i="23"/>
  <c r="E149" i="23"/>
  <c r="E213" i="23" s="1"/>
  <c r="E138" i="23"/>
  <c r="E198" i="23" s="1"/>
  <c r="E145" i="23"/>
  <c r="E137" i="23"/>
  <c r="E197" i="23" s="1"/>
  <c r="E130" i="23"/>
  <c r="E190" i="23" s="1"/>
  <c r="E133" i="23"/>
  <c r="O185" i="23"/>
  <c r="O140" i="23"/>
  <c r="O200" i="23" s="1"/>
  <c r="E228" i="23"/>
  <c r="E164" i="23"/>
  <c r="E135" i="23"/>
  <c r="O211" i="23"/>
  <c r="O149" i="23"/>
  <c r="O213" i="23" s="1"/>
  <c r="D251" i="23"/>
  <c r="D187" i="23"/>
  <c r="O233" i="23"/>
  <c r="O169" i="23"/>
  <c r="O59" i="23"/>
  <c r="O89" i="23"/>
  <c r="O52" i="23"/>
  <c r="D52" i="23"/>
  <c r="D51" i="23"/>
  <c r="E51" i="23"/>
  <c r="D89" i="23"/>
  <c r="O251" i="23"/>
  <c r="O187" i="23"/>
  <c r="M52" i="23"/>
  <c r="C262" i="23" l="1"/>
  <c r="C265" i="23"/>
  <c r="E265" i="23"/>
  <c r="E273" i="23"/>
  <c r="C270" i="23"/>
  <c r="C271" i="23"/>
  <c r="C268" i="23"/>
  <c r="C266" i="23"/>
  <c r="O273" i="23"/>
  <c r="D71" i="23"/>
  <c r="D77" i="23" s="1"/>
  <c r="D78" i="23" s="1"/>
  <c r="D84" i="23" s="1"/>
  <c r="C129" i="23"/>
  <c r="C189" i="23" s="1"/>
  <c r="C132" i="23"/>
  <c r="C192" i="23" s="1"/>
  <c r="E80" i="23"/>
  <c r="C83" i="23"/>
  <c r="C130" i="23"/>
  <c r="C190" i="23" s="1"/>
  <c r="D224" i="23"/>
  <c r="C226" i="23"/>
  <c r="C137" i="23"/>
  <c r="C197" i="23" s="1"/>
  <c r="C138" i="23"/>
  <c r="C198" i="23" s="1"/>
  <c r="C133" i="23"/>
  <c r="C150" i="23" s="1"/>
  <c r="C145" i="23"/>
  <c r="C146" i="23" s="1"/>
  <c r="C135" i="23"/>
  <c r="C195" i="23" s="1"/>
  <c r="D57" i="23"/>
  <c r="D162" i="23" s="1"/>
  <c r="C228" i="23"/>
  <c r="D56" i="23"/>
  <c r="D161" i="23" s="1"/>
  <c r="D160" i="23"/>
  <c r="D90" i="23"/>
  <c r="E56" i="23"/>
  <c r="E161" i="23" s="1"/>
  <c r="E195" i="23"/>
  <c r="E168" i="23"/>
  <c r="E232" i="23"/>
  <c r="E151" i="23"/>
  <c r="E192" i="23"/>
  <c r="E146" i="23"/>
  <c r="E209" i="23"/>
  <c r="E193" i="23"/>
  <c r="E150" i="23"/>
  <c r="E225" i="23" l="1"/>
  <c r="D260" i="23"/>
  <c r="D263" i="23" s="1"/>
  <c r="D80" i="23"/>
  <c r="D81" i="23" s="1"/>
  <c r="E81" i="23" s="1"/>
  <c r="D132" i="23"/>
  <c r="D192" i="23" s="1"/>
  <c r="D129" i="23"/>
  <c r="D189" i="23" s="1"/>
  <c r="C168" i="23"/>
  <c r="C236" i="23"/>
  <c r="D145" i="23"/>
  <c r="D146" i="23" s="1"/>
  <c r="C232" i="23"/>
  <c r="D164" i="23"/>
  <c r="C151" i="23"/>
  <c r="D226" i="23"/>
  <c r="D225" i="23"/>
  <c r="C209" i="23"/>
  <c r="C214" i="23" s="1"/>
  <c r="C193" i="23"/>
  <c r="D228" i="23"/>
  <c r="D133" i="23"/>
  <c r="D193" i="23" s="1"/>
  <c r="D130" i="23"/>
  <c r="D190" i="23" s="1"/>
  <c r="D137" i="23"/>
  <c r="D197" i="23" s="1"/>
  <c r="D138" i="23"/>
  <c r="D198" i="23" s="1"/>
  <c r="D135" i="23"/>
  <c r="D168" i="23"/>
  <c r="D232" i="23"/>
  <c r="E210" i="23"/>
  <c r="E214" i="23"/>
  <c r="E215" i="23"/>
  <c r="E236" i="23"/>
  <c r="E172" i="23"/>
  <c r="E94" i="23"/>
  <c r="D262" i="23" l="1"/>
  <c r="D270" i="23"/>
  <c r="D271" i="23"/>
  <c r="D266" i="23"/>
  <c r="D265" i="23"/>
  <c r="D268" i="23"/>
  <c r="E83" i="23"/>
  <c r="F81" i="23"/>
  <c r="D83" i="23"/>
  <c r="D209" i="23"/>
  <c r="C172" i="23"/>
  <c r="C94" i="23"/>
  <c r="D566" i="22"/>
  <c r="C215" i="23"/>
  <c r="C210" i="23"/>
  <c r="D150" i="23"/>
  <c r="D151" i="23"/>
  <c r="D195" i="23"/>
  <c r="D94" i="23"/>
  <c r="D236" i="23"/>
  <c r="D172" i="23"/>
  <c r="E178" i="23"/>
  <c r="E242" i="23"/>
  <c r="F83" i="23" l="1"/>
  <c r="G81" i="23"/>
  <c r="D215" i="23"/>
  <c r="D214" i="23"/>
  <c r="D210" i="23"/>
  <c r="C242" i="23"/>
  <c r="C178" i="23"/>
  <c r="E181" i="23"/>
  <c r="D178" i="23"/>
  <c r="D242" i="23"/>
  <c r="E179" i="23"/>
  <c r="E243" i="23"/>
  <c r="G83" i="23" l="1"/>
  <c r="H81" i="23"/>
  <c r="C243" i="23"/>
  <c r="C179" i="23"/>
  <c r="E245" i="23"/>
  <c r="D243" i="23"/>
  <c r="D179" i="23"/>
  <c r="C181" i="23"/>
  <c r="C245" i="23"/>
  <c r="H83" i="23" l="1"/>
  <c r="I81" i="23"/>
  <c r="I83" i="23" s="1"/>
  <c r="D181" i="23"/>
  <c r="D245" i="23"/>
  <c r="O92" i="23" l="1"/>
  <c r="D92" i="23"/>
  <c r="C92" i="23" l="1"/>
  <c r="E92" i="23"/>
  <c r="O224" i="23"/>
  <c r="M224" i="23"/>
  <c r="O63" i="23"/>
  <c r="O228" i="23" s="1"/>
  <c r="O90" i="23"/>
  <c r="O133" i="23" s="1"/>
  <c r="R90" i="23"/>
  <c r="R133" i="23" s="1"/>
  <c r="M63" i="23"/>
  <c r="P90" i="23"/>
  <c r="P138" i="23" s="1"/>
  <c r="P198" i="23" s="1"/>
  <c r="Q90" i="23"/>
  <c r="Q133" i="23" s="1"/>
  <c r="L224" i="23"/>
  <c r="N224" i="23"/>
  <c r="L63" i="23"/>
  <c r="L67" i="23" s="1"/>
  <c r="N63" i="23"/>
  <c r="N67" i="23" s="1"/>
  <c r="N71" i="23" s="1"/>
  <c r="P224" i="23"/>
  <c r="Q224" i="23"/>
  <c r="P63" i="23"/>
  <c r="P67" i="23" s="1"/>
  <c r="Q63" i="23"/>
  <c r="Q228" i="23" s="1"/>
  <c r="L160" i="23"/>
  <c r="L57" i="23"/>
  <c r="L162" i="23" s="1"/>
  <c r="P56" i="23"/>
  <c r="P161" i="23" s="1"/>
  <c r="M160" i="23"/>
  <c r="M57" i="23"/>
  <c r="M162" i="23" s="1"/>
  <c r="N57" i="23"/>
  <c r="N162" i="23" s="1"/>
  <c r="R56" i="23"/>
  <c r="R161" i="23" s="1"/>
  <c r="N160" i="23"/>
  <c r="O160" i="23"/>
  <c r="O57" i="23"/>
  <c r="O162" i="23" s="1"/>
  <c r="P57" i="23"/>
  <c r="P162" i="23" s="1"/>
  <c r="P160" i="23"/>
  <c r="Q56" i="23"/>
  <c r="Q161" i="23" s="1"/>
  <c r="Q160" i="23"/>
  <c r="Q57" i="23"/>
  <c r="Q162" i="23" s="1"/>
  <c r="U225" i="23" l="1"/>
  <c r="Q260" i="23"/>
  <c r="Q263" i="23" s="1"/>
  <c r="R260" i="23"/>
  <c r="R263" i="23" s="1"/>
  <c r="P260" i="23"/>
  <c r="P263" i="23" s="1"/>
  <c r="L226" i="23"/>
  <c r="O260" i="23"/>
  <c r="O263" i="23" s="1"/>
  <c r="M164" i="23"/>
  <c r="M67" i="23"/>
  <c r="M71" i="23" s="1"/>
  <c r="M77" i="23" s="1"/>
  <c r="Q225" i="23"/>
  <c r="M226" i="23"/>
  <c r="P225" i="23"/>
  <c r="Q138" i="23"/>
  <c r="Q198" i="23" s="1"/>
  <c r="R129" i="23"/>
  <c r="R189" i="23" s="1"/>
  <c r="M268" i="23"/>
  <c r="R138" i="23"/>
  <c r="R198" i="23" s="1"/>
  <c r="P226" i="23"/>
  <c r="Q130" i="23"/>
  <c r="Q190" i="23" s="1"/>
  <c r="R135" i="23"/>
  <c r="R195" i="23" s="1"/>
  <c r="P164" i="23"/>
  <c r="P135" i="23"/>
  <c r="P195" i="23" s="1"/>
  <c r="O130" i="23"/>
  <c r="O190" i="23" s="1"/>
  <c r="O67" i="23"/>
  <c r="O168" i="23" s="1"/>
  <c r="N226" i="23"/>
  <c r="P130" i="23"/>
  <c r="P190" i="23" s="1"/>
  <c r="O164" i="23"/>
  <c r="L268" i="23"/>
  <c r="Q226" i="23"/>
  <c r="Q135" i="23"/>
  <c r="Q195" i="23" s="1"/>
  <c r="O150" i="23"/>
  <c r="O193" i="23"/>
  <c r="N168" i="23"/>
  <c r="N232" i="23"/>
  <c r="Q150" i="23"/>
  <c r="Q193" i="23"/>
  <c r="L71" i="23"/>
  <c r="L168" i="23"/>
  <c r="L232" i="23"/>
  <c r="P168" i="23"/>
  <c r="P232" i="23"/>
  <c r="P71" i="23"/>
  <c r="R150" i="23"/>
  <c r="R193" i="23"/>
  <c r="N228" i="23"/>
  <c r="P129" i="23"/>
  <c r="P189" i="23" s="1"/>
  <c r="P132" i="23"/>
  <c r="M228" i="23"/>
  <c r="Q67" i="23"/>
  <c r="R225" i="23"/>
  <c r="Q129" i="23"/>
  <c r="Q189" i="23" s="1"/>
  <c r="Q137" i="23"/>
  <c r="Q197" i="23" s="1"/>
  <c r="R137" i="23"/>
  <c r="R197" i="23" s="1"/>
  <c r="O129" i="23"/>
  <c r="O189" i="23" s="1"/>
  <c r="P228" i="23"/>
  <c r="N268" i="23"/>
  <c r="Q132" i="23"/>
  <c r="P133" i="23"/>
  <c r="N164" i="23"/>
  <c r="O137" i="23"/>
  <c r="O197" i="23" s="1"/>
  <c r="L228" i="23"/>
  <c r="O132" i="23"/>
  <c r="P145" i="23"/>
  <c r="O226" i="23"/>
  <c r="Q145" i="23"/>
  <c r="Q164" i="23"/>
  <c r="L164" i="23"/>
  <c r="P137" i="23"/>
  <c r="P197" i="23" s="1"/>
  <c r="R130" i="23"/>
  <c r="R190" i="23" s="1"/>
  <c r="O135" i="23"/>
  <c r="O195" i="23" s="1"/>
  <c r="O138" i="23"/>
  <c r="O198" i="23" s="1"/>
  <c r="O145" i="23"/>
  <c r="R145" i="23"/>
  <c r="R132" i="23"/>
  <c r="P271" i="23" l="1"/>
  <c r="P270" i="23"/>
  <c r="P266" i="23"/>
  <c r="P265" i="23"/>
  <c r="P262" i="23"/>
  <c r="P268" i="23"/>
  <c r="R271" i="23"/>
  <c r="R270" i="23"/>
  <c r="R266" i="23"/>
  <c r="R265" i="23"/>
  <c r="R262" i="23"/>
  <c r="R268" i="23"/>
  <c r="O270" i="23"/>
  <c r="O271" i="23"/>
  <c r="O266" i="23"/>
  <c r="O268" i="23"/>
  <c r="O265" i="23"/>
  <c r="O262" i="23"/>
  <c r="Q271" i="23"/>
  <c r="Q270" i="23"/>
  <c r="Q266" i="23"/>
  <c r="Q265" i="23"/>
  <c r="Q262" i="23"/>
  <c r="Q268" i="23"/>
  <c r="O71" i="23"/>
  <c r="O232" i="23"/>
  <c r="R146" i="23"/>
  <c r="R209" i="23"/>
  <c r="L172" i="23"/>
  <c r="L236" i="23"/>
  <c r="M271" i="23"/>
  <c r="M270" i="23"/>
  <c r="P77" i="23"/>
  <c r="P78" i="23" s="1"/>
  <c r="P236" i="23"/>
  <c r="P172" i="23"/>
  <c r="P150" i="23"/>
  <c r="P193" i="23"/>
  <c r="P151" i="23"/>
  <c r="P192" i="23"/>
  <c r="N236" i="23"/>
  <c r="N172" i="23"/>
  <c r="M209" i="23"/>
  <c r="Q146" i="23"/>
  <c r="Q209" i="23"/>
  <c r="L271" i="23"/>
  <c r="L270" i="23"/>
  <c r="O209" i="23"/>
  <c r="O146" i="23"/>
  <c r="Q151" i="23"/>
  <c r="Q192" i="23"/>
  <c r="R192" i="23"/>
  <c r="R151" i="23"/>
  <c r="L209" i="23"/>
  <c r="P146" i="23"/>
  <c r="P209" i="23"/>
  <c r="O192" i="23"/>
  <c r="O151" i="23"/>
  <c r="M232" i="23"/>
  <c r="M168" i="23"/>
  <c r="N209" i="23"/>
  <c r="Q71" i="23"/>
  <c r="Q168" i="23"/>
  <c r="Q232" i="23"/>
  <c r="N270" i="23"/>
  <c r="N271" i="23"/>
  <c r="P84" i="23" l="1"/>
  <c r="Q94" i="23"/>
  <c r="R94" i="23"/>
  <c r="O236" i="23"/>
  <c r="O172" i="23"/>
  <c r="O94" i="23"/>
  <c r="Q210" i="23"/>
  <c r="Q214" i="23"/>
  <c r="Q215" i="23"/>
  <c r="O215" i="23"/>
  <c r="O210" i="23"/>
  <c r="O214" i="23"/>
  <c r="P178" i="23"/>
  <c r="P242" i="23"/>
  <c r="R210" i="23"/>
  <c r="R214" i="23"/>
  <c r="R215" i="23"/>
  <c r="M236" i="23"/>
  <c r="M172" i="23"/>
  <c r="P94" i="23"/>
  <c r="Q77" i="23"/>
  <c r="Q78" i="23" s="1"/>
  <c r="Q84" i="23" s="1"/>
  <c r="Q172" i="23"/>
  <c r="Q236" i="23"/>
  <c r="P214" i="23"/>
  <c r="P210" i="23"/>
  <c r="P215" i="23"/>
  <c r="P80" i="23" l="1"/>
  <c r="Q80" i="23"/>
  <c r="P243" i="23"/>
  <c r="P179" i="23"/>
  <c r="Q242" i="23"/>
  <c r="Q178" i="23"/>
  <c r="M242" i="23"/>
  <c r="M178" i="23"/>
  <c r="P245" i="23" l="1"/>
  <c r="P181" i="23"/>
  <c r="R78" i="23"/>
  <c r="R84" i="23" s="1"/>
  <c r="Q179" i="23"/>
  <c r="Q243" i="23"/>
  <c r="S78" i="23" l="1"/>
  <c r="R179" i="23"/>
  <c r="R80" i="23"/>
  <c r="R243" i="23"/>
  <c r="Q245" i="23"/>
  <c r="Q181" i="23"/>
  <c r="R181" i="23" l="1"/>
  <c r="R245" i="23"/>
  <c r="N173" i="23"/>
  <c r="L237" i="23"/>
  <c r="L173" i="23"/>
  <c r="O72" i="23" l="1"/>
  <c r="N237" i="23"/>
  <c r="O173" i="23" l="1"/>
  <c r="O237" i="23"/>
  <c r="L77" i="23" l="1"/>
  <c r="N241" i="23"/>
  <c r="N177" i="23"/>
  <c r="L177" i="23"/>
  <c r="L241" i="23"/>
  <c r="O76" i="23"/>
  <c r="L78" i="23" l="1"/>
  <c r="L178" i="23"/>
  <c r="O77" i="23"/>
  <c r="L242" i="23"/>
  <c r="N77" i="23"/>
  <c r="O177" i="23"/>
  <c r="O241" i="23"/>
  <c r="AE179" i="23" l="1"/>
  <c r="AE243" i="23"/>
  <c r="AE80" i="23"/>
  <c r="L84" i="23"/>
  <c r="M78" i="23"/>
  <c r="M84" i="23" s="1"/>
  <c r="L243" i="23"/>
  <c r="L179" i="23"/>
  <c r="L80" i="23"/>
  <c r="L81" i="23" s="1"/>
  <c r="O178" i="23"/>
  <c r="O242" i="23"/>
  <c r="N242" i="23"/>
  <c r="N178" i="23"/>
  <c r="N78" i="23" l="1"/>
  <c r="AE245" i="23"/>
  <c r="AE181" i="23"/>
  <c r="M179" i="23"/>
  <c r="M243" i="23"/>
  <c r="M80" i="23"/>
  <c r="S179" i="23"/>
  <c r="S243" i="23"/>
  <c r="L245" i="23"/>
  <c r="L181" i="23"/>
  <c r="O78" i="23" l="1"/>
  <c r="O80" i="23" s="1"/>
  <c r="O245" i="23" s="1"/>
  <c r="N80" i="23"/>
  <c r="M181" i="23"/>
  <c r="M245" i="23"/>
  <c r="N84" i="23"/>
  <c r="N179" i="23"/>
  <c r="N243" i="23"/>
  <c r="O179" i="23"/>
  <c r="O243" i="23"/>
  <c r="L83" i="23"/>
  <c r="M81" i="23"/>
  <c r="N245" i="23"/>
  <c r="N181" i="23"/>
  <c r="O181" i="23"/>
  <c r="M83" i="23" l="1"/>
  <c r="N81" i="23"/>
  <c r="N83" i="23" l="1"/>
  <c r="O81" i="23"/>
  <c r="P81" i="23" l="1"/>
  <c r="O83" i="23"/>
  <c r="Q81" i="23" l="1"/>
  <c r="P83" i="23"/>
  <c r="R81" i="23" l="1"/>
  <c r="Q83" i="23"/>
  <c r="R83" i="23" l="1"/>
  <c r="S129" i="23"/>
  <c r="S189" i="23" s="1"/>
  <c r="S90" i="23"/>
  <c r="S137" i="23" s="1"/>
  <c r="S197" i="23" s="1"/>
  <c r="S63" i="23"/>
  <c r="S164" i="23" s="1"/>
  <c r="S162" i="23"/>
  <c r="S224" i="23"/>
  <c r="S54" i="23"/>
  <c r="S160" i="23"/>
  <c r="S226" i="23" l="1"/>
  <c r="V260" i="23"/>
  <c r="V263" i="23" s="1"/>
  <c r="U260" i="23"/>
  <c r="U263" i="23" s="1"/>
  <c r="T260" i="23"/>
  <c r="T263" i="23" s="1"/>
  <c r="S260" i="23"/>
  <c r="S263" i="23" s="1"/>
  <c r="S228" i="23"/>
  <c r="S138" i="23"/>
  <c r="S198" i="23" s="1"/>
  <c r="S67" i="23"/>
  <c r="S130" i="23"/>
  <c r="S190" i="23" s="1"/>
  <c r="S135" i="23"/>
  <c r="S195" i="23" s="1"/>
  <c r="S132" i="23"/>
  <c r="S145" i="23"/>
  <c r="S133" i="23"/>
  <c r="S270" i="23" l="1"/>
  <c r="S271" i="23"/>
  <c r="S266" i="23"/>
  <c r="S262" i="23"/>
  <c r="S265" i="23"/>
  <c r="S268" i="23"/>
  <c r="T270" i="23"/>
  <c r="T271" i="23"/>
  <c r="T266" i="23"/>
  <c r="T265" i="23"/>
  <c r="T262" i="23"/>
  <c r="T268" i="23"/>
  <c r="V270" i="23"/>
  <c r="V271" i="23"/>
  <c r="V266" i="23"/>
  <c r="V268" i="23"/>
  <c r="V265" i="23"/>
  <c r="V262" i="23"/>
  <c r="U270" i="23"/>
  <c r="U271" i="23"/>
  <c r="U266" i="23"/>
  <c r="U265" i="23"/>
  <c r="U262" i="23"/>
  <c r="U268" i="23"/>
  <c r="S150" i="23"/>
  <c r="S193" i="23"/>
  <c r="S151" i="23"/>
  <c r="S192" i="23"/>
  <c r="S146" i="23"/>
  <c r="S209" i="23"/>
  <c r="S168" i="23"/>
  <c r="S232" i="23"/>
  <c r="S71" i="23"/>
  <c r="V94" i="23" s="1"/>
  <c r="T94" i="23" l="1"/>
  <c r="U94" i="23"/>
  <c r="S215" i="23"/>
  <c r="S214" i="23"/>
  <c r="S210" i="23"/>
  <c r="S94" i="23"/>
  <c r="S236" i="23"/>
  <c r="S77" i="23"/>
  <c r="S80" i="23" s="1"/>
  <c r="S172" i="23"/>
  <c r="S242" i="23" l="1"/>
  <c r="S178" i="23"/>
  <c r="S81" i="23" l="1"/>
  <c r="S245" i="23"/>
  <c r="S181" i="23"/>
  <c r="S31" i="25"/>
  <c r="S43" i="25" l="1"/>
  <c r="W43" i="25"/>
  <c r="S36" i="25"/>
  <c r="S34" i="25"/>
  <c r="S35" i="25"/>
  <c r="S83" i="23"/>
  <c r="T81" i="23"/>
  <c r="S37" i="25" l="1"/>
  <c r="T83" i="23"/>
  <c r="U81" i="23"/>
  <c r="S25" i="25"/>
  <c r="U83" i="23" l="1"/>
  <c r="V81" i="23"/>
  <c r="V83" i="23" l="1"/>
  <c r="W81" i="23"/>
  <c r="G75" i="25"/>
  <c r="G74" i="25"/>
  <c r="G77" i="25"/>
  <c r="W83" i="23" l="1"/>
  <c r="X81" i="23"/>
  <c r="G79" i="25"/>
  <c r="G78" i="25"/>
  <c r="X83" i="23" l="1"/>
  <c r="Y81" i="23"/>
  <c r="Y83" i="23" l="1"/>
  <c r="Z81" i="23"/>
  <c r="Z83" i="23" l="1"/>
  <c r="AA81" i="23"/>
  <c r="AA83" i="23" l="1"/>
  <c r="AB81" i="23"/>
  <c r="AB83" i="23" l="1"/>
  <c r="AC81" i="23"/>
  <c r="J81" i="23" s="1"/>
  <c r="J83" i="23" s="1"/>
  <c r="AC83" i="23" l="1"/>
  <c r="AD81" i="23"/>
  <c r="AD83" i="23" l="1"/>
  <c r="AE81" i="23"/>
  <c r="AE83" i="23" l="1"/>
  <c r="AF81" i="23"/>
  <c r="AF83" i="23" l="1"/>
  <c r="AG81" i="23"/>
  <c r="AG83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GR&amp;RS</author>
  </authors>
  <commentList>
    <comment ref="H6" authorId="0" shapeId="0" xr:uid="{64882080-0DD7-408A-937A-8C633714806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to financial notes (pg 35/45)</t>
        </r>
      </text>
    </comment>
    <comment ref="H7" authorId="0" shapeId="0" xr:uid="{1B363CFA-6ECC-42DD-A8D8-39BCB56EFB6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14/50)</t>
        </r>
      </text>
    </comment>
    <comment ref="H8" authorId="0" shapeId="0" xr:uid="{C703E6BE-5F4C-4A04-8D10-345181C79DB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14/50)</t>
        </r>
      </text>
    </comment>
    <comment ref="C33" authorId="0" shapeId="0" xr:uid="{6BE9B8DD-A578-4694-BB9B-87F2DBF7475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</t>
        </r>
      </text>
    </comment>
    <comment ref="H68" authorId="0" shapeId="0" xr:uid="{3E4AD504-BEA1-46F6-BC36-946D114580E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to financial notes (pg 35/45)</t>
        </r>
      </text>
    </comment>
    <comment ref="C69" authorId="0" shapeId="0" xr:uid="{0C760E76-F0CF-4BCD-B5B0-E87FFE112F9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(25) and FY25 excel</t>
        </r>
      </text>
    </comment>
    <comment ref="H69" authorId="0" shapeId="0" xr:uid="{3599F30A-AE1E-4F4F-B669-CD5243AC3E6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14/50)</t>
        </r>
      </text>
    </comment>
    <comment ref="H70" authorId="0" shapeId="0" xr:uid="{7AD037F5-F4A2-423C-9AE7-4B0CB453A6A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14/50)</t>
        </r>
      </text>
    </comment>
    <comment ref="C89" authorId="0" shapeId="0" xr:uid="{10EB43C9-1C27-4D5D-BA55-ECF1C211BB8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</t>
        </r>
      </text>
    </comment>
    <comment ref="H113" authorId="0" shapeId="0" xr:uid="{B933F166-7CC0-4E94-A0D2-3323453E248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to financial notes (pg 151/177)</t>
        </r>
      </text>
    </comment>
    <comment ref="C114" authorId="0" shapeId="0" xr:uid="{A4EF60C4-18D0-4E1E-A3F0-2103583DD8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(25) and FY25 excel</t>
        </r>
      </text>
    </comment>
    <comment ref="H114" authorId="0" shapeId="0" xr:uid="{8473CE34-478B-4D4B-9289-2C9D597D34A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25/54)</t>
        </r>
      </text>
    </comment>
    <comment ref="H115" authorId="0" shapeId="0" xr:uid="{730AD9F9-3E3D-47AE-949A-A68562F1A78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25/54)</t>
        </r>
      </text>
    </comment>
    <comment ref="C134" authorId="0" shapeId="0" xr:uid="{4DE303EF-3EC5-48A5-8971-D9A4C8B28B0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C160" authorId="0" shapeId="0" xr:uid="{75F1EAF0-C4BE-4EB0-B9AB-0FCD84ABFFC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C180" authorId="0" shapeId="0" xr:uid="{2B2D338D-1429-4AEA-83D3-DEC4BBF73B8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C188" authorId="1" shapeId="0" xr:uid="{412329B6-50EB-459F-9853-DDE338018AA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C205" authorId="0" shapeId="0" xr:uid="{60FC8F0B-86CB-4292-AA74-FBDCC3C477B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C225" authorId="0" shapeId="0" xr:uid="{0D616806-5A4D-497C-8F0C-7AD39A27E20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C233" authorId="1" shapeId="0" xr:uid="{2A7609F7-5B16-4AC5-9B83-3A9FF91F442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C259" authorId="0" shapeId="0" xr:uid="{E362C803-0A5C-448F-9E44-20E53FC3AD8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C264" authorId="1" shapeId="0" xr:uid="{A7A91B4D-4748-42E1-BA89-D84D7484827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C295" authorId="1" shapeId="0" xr:uid="{8ACC3619-2563-4737-B313-54DB4EDFD1C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C326" authorId="1" shapeId="0" xr:uid="{6EB8764B-4681-4405-858F-2C6E7727994C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C357" authorId="1" shapeId="0" xr:uid="{97B11BB3-6409-4690-9C60-B4CE6955881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C388" authorId="1" shapeId="0" xr:uid="{25386E1C-32B0-4D54-965C-8E9976DC1C5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I402" authorId="1" shapeId="0" xr:uid="{0F07F07A-CABC-412B-BE64-4DCE1D64F89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due to Average debt is used in company reported calculation</t>
        </r>
      </text>
    </comment>
    <comment ref="C419" authorId="1" shapeId="0" xr:uid="{E23F2A0E-145C-409A-9532-AF58AAA3CAB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I433" authorId="1" shapeId="0" xr:uid="{BDE3DB1F-6E0C-4595-B03A-194B203BF7C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due to Average debt is used in company reported calculation</t>
        </r>
      </text>
    </comment>
    <comment ref="C450" authorId="1" shapeId="0" xr:uid="{E3326B0B-286D-4893-8600-040387A1176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I464" authorId="1" shapeId="0" xr:uid="{90E84A55-EE06-4462-B0FC-AB480257E3A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due to Average debt is used in company reported calculation</t>
        </r>
      </text>
    </comment>
    <comment ref="C481" authorId="1" shapeId="0" xr:uid="{88D18CC1-0090-4A34-B756-F230CE7DD83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I496" authorId="1" shapeId="0" xr:uid="{118D09E0-FBB1-407C-A3BB-001B885514B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due to Average debt is used in company reported calculation</t>
        </r>
      </text>
    </comment>
    <comment ref="C513" authorId="1" shapeId="0" xr:uid="{793FCF7B-6945-4E8C-9364-327561D4CF0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I528" authorId="1" shapeId="0" xr:uid="{61B70630-BEBF-4F39-AE37-FC4F8359F20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due to Average debt is used in company reported calculation</t>
        </r>
      </text>
    </comment>
    <comment ref="C545" authorId="1" shapeId="0" xr:uid="{5E28C87C-AF79-47E7-A086-A24DADFB397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  <comment ref="I561" authorId="1" shapeId="0" xr:uid="{F8FB23FF-F12D-4FB2-AE08-26B012A1516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due to Average debt is used in company reported calculation</t>
        </r>
      </text>
    </comment>
    <comment ref="C578" authorId="1" shapeId="0" xr:uid="{D5D17ABC-5425-491F-A75D-AFF304F5833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Exlcudes hybrid bonds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GR&amp;RS</author>
    <author>Crisil Intergral IQ</author>
    <author>Crisil GR&amp;RS</author>
    <author>Shruti Gupta</author>
  </authors>
  <commentList>
    <comment ref="I7" authorId="0" shapeId="0" xr:uid="{534706F6-6131-483E-A00E-7F12BA26AE0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excel</t>
        </r>
      </text>
    </comment>
    <comment ref="AF7" authorId="0" shapeId="0" xr:uid="{0A0BD9B0-1B1E-4E4C-80ED-265616B1CB5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excel</t>
        </r>
      </text>
    </comment>
    <comment ref="AG7" authorId="0" shapeId="0" xr:uid="{579D23B6-75FE-44C2-A440-3ACA703F299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excel</t>
        </r>
      </text>
    </comment>
    <comment ref="G23" authorId="1" shapeId="0" xr:uid="{309478D9-C8D2-40B3-93B4-06B517F983B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Includes Gain on disposal of assets</t>
        </r>
      </text>
    </comment>
    <comment ref="H23" authorId="2" shapeId="0" xr:uid="{5C32AD02-F90B-4B54-8F44-4E851302C480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Includes Gain on remeasuring of financial instruments</t>
        </r>
      </text>
    </comment>
    <comment ref="I23" authorId="2" shapeId="0" xr:uid="{E73795CA-7F5C-4CD3-9811-FF4F50098CF3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Includes Gain on remeasuring of financial instruments, and other income</t>
        </r>
      </text>
    </comment>
    <comment ref="AB55" authorId="0" shapeId="0" xr:uid="{8ABD689A-0B42-441C-A2C1-3FE56072FA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def: (Sales + Revenue from pipeline transportation) - (Operating expenses +
Exploration expenses + Administrative expenses + Petroleum royalties
and remuneration + Management's remuneration)</t>
        </r>
      </text>
    </comment>
    <comment ref="AC55" authorId="0" shapeId="0" xr:uid="{15802CE1-88F5-48EF-958B-F2B964A7CCD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def: (Sales + Revenue from pipeline transportation) - (Operating expenses +
Exploration expenses + Administrative expenses + Petroleum royalties
and remuneration + Management's remuneration)</t>
        </r>
      </text>
    </comment>
    <comment ref="AF55" authorId="0" shapeId="0" xr:uid="{D65884F4-AAC7-42D6-920E-9C29FCDD72E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def: (Sales + Revenue from pipeline transportation) - (Operating expenses +
Exploration expenses + Administrative expenses + Petroleum royalties
and remuneration + Management's remuneration)</t>
        </r>
      </text>
    </comment>
    <comment ref="AG55" authorId="0" shapeId="0" xr:uid="{924EB0A5-10B0-49CE-B470-23683CBD3DB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
def (from MDA): (Sales + Revenue from pipeline transportation) - (Operating expenses +
Exploration expenses + Administrative expenses + Petroleum royalties
and remuneration + Management's remuneration)</t>
        </r>
      </text>
    </comment>
    <comment ref="B64" authorId="0" shapeId="0" xr:uid="{12B1B2DA-3D0A-4A8D-884B-76F972443C3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</t>
        </r>
      </text>
    </comment>
    <comment ref="B68" authorId="0" shapeId="0" xr:uid="{41D0CAE1-7BAC-49FB-AC4A-2BB25B7524E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Increase in property, plant and equipment
* Increase in exploration and evaluation assets</t>
        </r>
      </text>
    </comment>
    <comment ref="AC68" authorId="0" shapeId="0" xr:uid="{316A4AE8-9D76-420F-846C-CDAB087DF72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property, plant and equipment
2. exploration and evaluation assets
3. acquisition of assets</t>
        </r>
      </text>
    </comment>
    <comment ref="AD68" authorId="0" shapeId="0" xr:uid="{C285EFE0-25F1-42A6-896E-CDD48877509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 
1. property, plant and equipment: (2,513.288)
2. exploration and evaluation assets: (65.524)
3. acquisition of assets: (41.889)
4. Cash received from acquisition of assets: 50.639</t>
        </r>
      </text>
    </comment>
    <comment ref="AG68" authorId="0" shapeId="0" xr:uid="{AEC459AA-70D9-419B-BB16-3B3BDCC5609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 
1. property, plant and equipment
2. exploration and evaluation assets
3. acquisition of assets</t>
        </r>
      </text>
    </comment>
    <comment ref="I70" authorId="0" shapeId="0" xr:uid="{9F410E4D-7288-46B5-81B6-1A1873E434B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Net cash paid for acquisition of businesses: -382.317
* Net cash paid for acquisition of assets: -92.689</t>
        </r>
      </text>
    </comment>
    <comment ref="I72" authorId="0" shapeId="0" xr:uid="{3FC52920-09FE-4532-AC00-3C60EF1E52C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Cash paid for short-term investments: -281.839
* Cash received from short-term investments: 420.852
* Cash paid for other non-current financial assets: -9.390
* Net cash (paid) received from financial derivative contracts: -0.267
* Cash received from short-term loans to related parties: 19.038
* Cash paid for long-term loans: -34.876
* Cash received from long-term loans to a related party: 10.196
* Dividends received from related parties: 21.558
* Cash paid for investments in an associate and joint ventures: -584.862
* Interest received from short-term investments: 5.384
* Interest received from long-term loans to related parties: 20.533
* Cash paid for disposal of investment in an associate: -0.673
* Cash received from disposal of investment in an associate: 3.887</t>
        </r>
      </text>
    </comment>
    <comment ref="AC72" authorId="0" shapeId="0" xr:uid="{F2D32924-BFD3-4104-8861-53138DB5105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Majorly Includes: 
1. short-term investments
2. non-current financial assets
3. financial derivative contracts
4. short-term loans to related parties</t>
        </r>
      </text>
    </comment>
    <comment ref="AD72" authorId="0" shapeId="0" xr:uid="{B5AA1E20-A0BE-4BC9-97D9-52FF2A2C832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Includes:
* Cash paid for short-term investments: -272.582
* Cash received from short-term investments: 315.852
* Cash paid for other non-current financial assets: -0.387
* Net cash (paid) received from financial derivative contracts: -0.267
* Cash received from short-term loans to related parties: 19.040
* Cash received from long-term loans to a related party: 10.196
* Cash paid for long-term loans: -24.908
* Dividend received from related parties: 20.157
* Cash paid for investments in an associate and joint ventures: -274.226
* Interest received from short-term investments: 1.967
* Interest received from long-term loans to related parties: 20.167
* Net cash paid for disposal of investment in an associate: -0.673
* Cash received from disposal of investment in an associate: 3.887</t>
        </r>
      </text>
    </comment>
    <comment ref="AF72" authorId="0" shapeId="0" xr:uid="{556BA397-4386-4EB0-8372-A402E41362B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Cash received from short-term investments: 50.000
* Cash paid for other non-current financial assets: (5.000)
* Net cash (paid) received from financial derivative contracts: (0.173)
* Cash paid for short-term loans to related parties: (82)
* Cash paid for long-term loans: (8.484)
* Cash received from long-term loans to a related party: 2.760
* Dividend received from related parties: 6.733
* Cash paid for investments in an associate and a joint venture: (6.010)
* Interest received from short-term investments: 1.951
* Interest received from long-term loans to related parties: 18.076</t>
        </r>
      </text>
    </comment>
    <comment ref="AG72" authorId="0" shapeId="0" xr:uid="{7E2663CD-F064-4929-9CE4-93A4CFB14BE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6M Includes:
* Cash paid for short-term investments: (223.556)
* Cash received from short-term investments: 50.0
* Cash paid for other non-current financial assets: (5.000)
* Cash received from return other non-current financial asset: 0.129
* Net cash (paid) received from financial derivative contracts: (0.205)
* Cash paid for short-term loans to related parties: (0.099)
* Cash paid for long-term loans: (17.521)
* Cash received from long-term loans to a related party: 2.761
* Dividend received from related parties: 12.434
* Cash paid for investments in an associate and a joint venture: (6.010)
* Cash received from investment in an associate and a joint venture: 21.182
* Interest received from short-term investments: 1.951
* Cash received from reduced interest: 28.208
* Interest received from long-term loans to related parties: 18.078</t>
        </r>
      </text>
    </comment>
    <comment ref="AF73" authorId="0" shapeId="0" xr:uid="{4F2E06C1-0FAC-4FD5-9C81-DF69D88F2FB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Cash received from issuance of a subsidiary's share capital: 0.225</t>
        </r>
      </text>
    </comment>
    <comment ref="AG73" authorId="0" shapeId="0" xr:uid="{F6040814-D2C6-44D3-BCAE-1E0C00B3BE5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3M Includes:
* Cash received from issuance of a subsidiary's share capital: 0.225</t>
        </r>
      </text>
    </comment>
    <comment ref="AG76" authorId="0" shapeId="0" xr:uid="{0D140CFC-2F36-4008-8C30-4A4D306F757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6M includes:
* Cash paid for finance cost from issuance of debentures: (0.455)</t>
        </r>
      </text>
    </comment>
    <comment ref="I78" authorId="0" shapeId="0" xr:uid="{256C22B7-575F-4D7A-83ED-779993BA749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to calculate CFO instead of PBT, and other adjustments apart from working capital majorly:
* Write-off of exploration expenses: 107.684
* Loss (gain) on remeasuring of financial instruments: 36.961
* Other Income: -28.504
* Other expenses: 30.310
</t>
        </r>
      </text>
    </comment>
    <comment ref="AB78" authorId="0" shapeId="0" xr:uid="{F5184E4A-9EA2-4E80-AE28-37A80F5FC30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Differnece is due other non-cash adjustments such as Write-off of exploration expenses, remeasurement of financial instruments</t>
        </r>
      </text>
    </comment>
    <comment ref="AC78" authorId="0" shapeId="0" xr:uid="{2E7D4AEB-8D17-42F8-9390-149C4F863FF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Differnece is due other non-cash adjustments such as Write-off of exploration expenses, remeasurement of financial instruments</t>
        </r>
      </text>
    </comment>
    <comment ref="AE78" authorId="0" shapeId="0" xr:uid="{96521E93-06EE-45FD-BD11-CA79C3701BF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to calculate CFO instead of PBT, and other adjustments apart from working capital majorly:
* Write-off of exploration expenses: 107.684
* Loss (gain) on remeasuring of financial instruments: 36.961
* Other Income: -28.504
* Other expenses: 30.310
</t>
        </r>
      </text>
    </comment>
    <comment ref="AF78" authorId="0" shapeId="0" xr:uid="{AF1B2FDB-DEC0-45A5-9681-8D729420681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to calculate CFO instead of PBT, and other adjustments apart from working capital majorly:
* Share of profit of associates and joint ventures: -24.791
* Loss on remeasuring of financial instruments: 267.499
* Gain on foreign exchange rates: -22.664
* Write-off of exploration expenses: 3.480
* Other amortised expenses: 6.768</t>
        </r>
      </text>
    </comment>
    <comment ref="AG78" authorId="0" shapeId="0" xr:uid="{0B518E08-2171-4265-9D28-7A04680A017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to calculate CFO instead of PBT, and other adjustments apart from working capital majorly:
* Share of profit of associates and joint ventures: -40.824
* Loss on remeasuring of financial instruments: 149.262
* Gain on foreign exchange rates: -12.807
* Write-off of exploration expenses: 46.627
* Other amortised expenses: 14.181</t>
        </r>
      </text>
    </comment>
    <comment ref="B98" authorId="0" shapeId="0" xr:uid="{6EBB4AEB-4254-4522-A2ED-DAAC241913B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PPE + 'Right-of-use assets'</t>
        </r>
      </text>
    </comment>
    <comment ref="D98" authorId="3" shapeId="0" xr:uid="{EC75B362-545A-4FAA-BC1E-1A88E118F42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L98" authorId="3" shapeId="0" xr:uid="{675219BE-1923-4801-9E02-2687FE2B298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M98" authorId="3" shapeId="0" xr:uid="{0A57C92D-57D5-4B44-B177-BF2802249E1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N98" authorId="3" shapeId="0" xr:uid="{AC345DBD-C0BD-4DEF-995C-C25F1DACDB9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P98" authorId="3" shapeId="0" xr:uid="{DE5A959B-13F2-46BD-A064-E678953BCBD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Q98" authorId="3" shapeId="0" xr:uid="{108393E3-0EAE-408A-9A6B-9C70129E116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R98" authorId="3" shapeId="0" xr:uid="{D2761165-FC1D-470F-96B0-B53906CD010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T98" authorId="3" shapeId="0" xr:uid="{DB8D4B32-12EE-49FF-B884-5BB7CD21D43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U98" authorId="3" shapeId="0" xr:uid="{D45E3A96-CD7B-4741-928D-EBC5A0079C4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Right-of-use assets</t>
        </r>
      </text>
    </comment>
    <comment ref="B100" authorId="0" shapeId="0" xr:uid="{EAA8B319-6D5B-451B-8A46-39604ADB8B9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Trade and other current receivables   </t>
        </r>
      </text>
    </comment>
    <comment ref="B101" authorId="0" shapeId="0" xr:uid="{3324AF5E-1F70-41C9-975D-958A61EA3F0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'Trade and other current payables</t>
        </r>
      </text>
    </comment>
    <comment ref="I106" authorId="0" shapeId="0" xr:uid="{002572CF-CBD9-4206-B53A-608AC606774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(25) and FY25 excel</t>
        </r>
      </text>
    </comment>
    <comment ref="AF106" authorId="0" shapeId="0" xr:uid="{8F615F03-2884-46E5-AB18-87756E4F272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(25) and 1Q26 excel</t>
        </r>
      </text>
    </comment>
    <comment ref="AG106" authorId="0" shapeId="0" xr:uid="{8F5D9318-228F-4824-B5C0-9D8B7FF9E6F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notes (pg 26) and 2Q26 FS excel</t>
        </r>
      </text>
    </comment>
    <comment ref="B107" authorId="0" shapeId="0" xr:uid="{FFE5A6F5-A917-44DC-8FE4-234F5768869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Debentures</t>
        </r>
      </text>
    </comment>
    <comment ref="B119" authorId="4" shapeId="0" xr:uid="{00000000-0006-0000-0100-000001000000}">
      <text>
        <r>
          <rPr>
            <sz val="9"/>
            <color indexed="81"/>
            <rFont val="Tahoma"/>
            <family val="2"/>
          </rPr>
          <t>Excluding Bank overdrafts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Intergral IQ</author>
  </authors>
  <commentList>
    <comment ref="I10" authorId="0" shapeId="0" xr:uid="{28AB3D08-E2C6-43ED-BA3A-AA3E5A2BC7E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B10" authorId="0" shapeId="0" xr:uid="{36213596-1644-490F-9893-272D6541D7A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C10" authorId="0" shapeId="0" xr:uid="{3E123283-874E-495F-878E-7686CED2087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D10" authorId="0" shapeId="0" xr:uid="{0DE764B4-3384-41D0-8F04-DE0D09CCBB4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F10" authorId="0" shapeId="0" xr:uid="{EE137E8D-29A8-41C1-9F66-06163288112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G10" authorId="0" shapeId="0" xr:uid="{E700A1A9-8453-481D-A0F2-49139A183E3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MD&amp;A: pg 7</t>
        </r>
      </text>
    </comment>
    <comment ref="H23" authorId="1" shapeId="0" xr:uid="{FC25199F-22E8-4BAB-8E5E-B7244E918163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I23" authorId="1" shapeId="0" xr:uid="{EEB8C2A9-F9D3-4EB3-BAB2-81533B4DD5A4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MDA; pg 5/39</t>
        </r>
      </text>
    </comment>
    <comment ref="AB23" authorId="0" shapeId="0" xr:uid="{7991B7B1-EC84-4953-AE44-10E882C0D68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C23" authorId="0" shapeId="0" xr:uid="{1D77CAD3-E7BB-4A8E-9A11-D6343854A2F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 - graphs</t>
        </r>
      </text>
    </comment>
    <comment ref="AD23" authorId="0" shapeId="0" xr:uid="{62192FEC-9E0C-48BD-B021-30306D78F1A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 - graphs</t>
        </r>
      </text>
    </comment>
    <comment ref="AE23" authorId="1" shapeId="0" xr:uid="{5C857C02-BC94-4BFD-9C44-C4EB07B94558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MDA; pg 5/39</t>
        </r>
      </text>
    </comment>
    <comment ref="AF23" authorId="0" shapeId="0" xr:uid="{60A029E6-828D-4360-B9BD-83D2A4A3897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G23" authorId="0" shapeId="0" xr:uid="{D2105F2F-7825-484F-BFFE-222965C622B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 - graphs pg 5</t>
        </r>
      </text>
    </comment>
    <comment ref="H28" authorId="1" shapeId="0" xr:uid="{0965102B-0338-4154-9964-F960042FE75E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</t>
        </r>
      </text>
    </comment>
    <comment ref="I28" authorId="1" shapeId="0" xr:uid="{34D8151E-2CCD-4ACF-88C9-359B8C98B54A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MDA; pg 5/39</t>
        </r>
      </text>
    </comment>
    <comment ref="AB28" authorId="0" shapeId="0" xr:uid="{D3402FAE-3E17-4826-8154-520BABC396F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C28" authorId="0" shapeId="0" xr:uid="{854DD2C0-97A4-4947-8FCB-F36D3D26103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 - graphs</t>
        </r>
      </text>
    </comment>
    <comment ref="AD28" authorId="0" shapeId="0" xr:uid="{A5E18FD4-8636-4956-AFEE-4DAD747A6F4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 - graphs</t>
        </r>
      </text>
    </comment>
    <comment ref="AE28" authorId="1" shapeId="0" xr:uid="{AEF811DA-6A9A-40DB-A5CA-0E1FC01D8C8A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MDA; pg 5/39</t>
        </r>
      </text>
    </comment>
    <comment ref="AF28" authorId="0" shapeId="0" xr:uid="{605283B2-C904-4E15-A0D3-0E5AEBA6A1C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G28" authorId="0" shapeId="0" xr:uid="{3DFEA527-D086-4EEC-B158-41BA77F8676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 - graphs</t>
        </r>
      </text>
    </comment>
    <comment ref="H47" authorId="1" shapeId="0" xr:uid="{8A966B0B-B1D1-4A73-AE46-8969304DA379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I47" authorId="1" shapeId="0" xr:uid="{131713EB-B765-4F7E-A4EA-50C57F0BAE10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MDA; pg 5/39</t>
        </r>
      </text>
    </comment>
    <comment ref="AB47" authorId="0" shapeId="0" xr:uid="{2D147954-967E-48E9-8911-4A54A74A656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C47" authorId="0" shapeId="0" xr:uid="{8D177B90-1218-404A-AADB-8783B74AC4B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D47" authorId="0" shapeId="0" xr:uid="{B43941B2-88A6-4AB7-934A-BCACEA1B9E3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E47" authorId="1" shapeId="0" xr:uid="{A3065944-C820-4A3D-83CC-06910838B0AF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MDA; pg 5/39</t>
        </r>
      </text>
    </comment>
    <comment ref="AF47" authorId="0" shapeId="0" xr:uid="{E69D376E-6EE4-4C0A-8272-2BE931B4198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</t>
        </r>
      </text>
    </comment>
    <comment ref="AG47" authorId="0" shapeId="0" xr:uid="{A629662E-F054-453F-BDD1-6677589B974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MD&amp;A - graphs</t>
        </r>
      </text>
    </comment>
    <comment ref="AC51" authorId="0" shapeId="0" xr:uid="{AB134D43-0F1B-47F0-AD54-54339280A68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H54" authorId="1" shapeId="0" xr:uid="{AA7C7C0B-826F-4CAD-93F8-18BB77D2AA76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I54" authorId="0" shapeId="0" xr:uid="{D4047A46-655C-46C5-94B8-7CC7F180FF3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14/54)</t>
        </r>
      </text>
    </comment>
    <comment ref="AB54" authorId="0" shapeId="0" xr:uid="{DF3BAEF9-0972-4931-9818-6E85D1A0B6F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AC54" authorId="0" shapeId="0" xr:uid="{8C45E071-3B2D-469A-A25D-4F21CCDEC95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AD54" authorId="0" shapeId="0" xr:uid="{0F91ABA3-894E-4577-AF17-8B0327C1681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AE54" authorId="0" shapeId="0" xr:uid="{65017FAA-71CF-46E3-99BA-DF86D126795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14/54)</t>
        </r>
      </text>
    </comment>
    <comment ref="AF54" authorId="0" shapeId="0" xr:uid="{1EFC7113-7217-4D43-8AA9-F1C4CF0DEB5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(12/50)</t>
        </r>
      </text>
    </comment>
    <comment ref="AG54" authorId="0" shapeId="0" xr:uid="{E6EA5E62-8312-49C8-8639-1CB3B3A7D4D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ppt: pf 14 / 49</t>
        </r>
      </text>
    </comment>
    <comment ref="H59" authorId="1" shapeId="0" xr:uid="{516BE413-9FBF-4C77-AE72-7DCCA7C02980}">
      <text>
        <r>
          <rPr>
            <b/>
            <sz val="9"/>
            <color indexed="81"/>
            <rFont val="Tahoma"/>
            <family val="2"/>
          </rPr>
          <t>Crisil Intergral IQ: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I59" authorId="0" shapeId="0" xr:uid="{6BB4A62C-7C5C-42E7-A517-0A61A6B5DCB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14/54)</t>
        </r>
      </text>
    </comment>
    <comment ref="AB59" authorId="0" shapeId="0" xr:uid="{D1AD85D5-956C-4318-BA3F-D7424A86365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AC59" authorId="0" shapeId="0" xr:uid="{CECAE759-A6B3-468C-A6DC-F9FECC4D463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AE59" authorId="0" shapeId="0" xr:uid="{CA6C637C-7298-4A34-BE4D-401910E308A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14/54)</t>
        </r>
      </text>
    </comment>
    <comment ref="AF59" authorId="0" shapeId="0" xr:uid="{4625F0A2-22C8-4F04-A552-0A94D568956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AG59" authorId="0" shapeId="0" xr:uid="{E7B73702-A243-468E-ABD2-99FD6019B8A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</t>
        </r>
      </text>
    </comment>
    <comment ref="I64" authorId="0" shapeId="0" xr:uid="{4938AF05-B850-478E-97E6-F811721A1DD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28/54)</t>
        </r>
      </text>
    </comment>
    <comment ref="I73" authorId="0" shapeId="0" xr:uid="{1ADB562E-9831-4597-BD37-116574CEE21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analyst meeting notes (pg 28/54)</t>
        </r>
      </text>
    </comment>
  </commentList>
</comments>
</file>

<file path=xl/sharedStrings.xml><?xml version="1.0" encoding="utf-8"?>
<sst xmlns="http://schemas.openxmlformats.org/spreadsheetml/2006/main" count="964" uniqueCount="253">
  <si>
    <t>2Q26</t>
  </si>
  <si>
    <t>Debt Breakdown as on 30 Jun 2026</t>
  </si>
  <si>
    <t>USD mn</t>
  </si>
  <si>
    <t xml:space="preserve">Leverage </t>
  </si>
  <si>
    <t>Company reported</t>
  </si>
  <si>
    <t>USD mm</t>
  </si>
  <si>
    <t>Total debentures and lease liabilities</t>
  </si>
  <si>
    <t>Current portion</t>
  </si>
  <si>
    <t>Debt to Equity</t>
  </si>
  <si>
    <t>Debentures</t>
  </si>
  <si>
    <t>Debt to EBITDA</t>
  </si>
  <si>
    <t>Non Current portion</t>
  </si>
  <si>
    <t>Leases</t>
  </si>
  <si>
    <t>Current</t>
  </si>
  <si>
    <t>Non curremt</t>
  </si>
  <si>
    <t>Total Loans &amp; Borrowings</t>
  </si>
  <si>
    <t>Cash and Cash Equivalents</t>
  </si>
  <si>
    <t>Investments</t>
  </si>
  <si>
    <t>Net debt</t>
  </si>
  <si>
    <t>Equity</t>
  </si>
  <si>
    <t xml:space="preserve">Total Capitalisation </t>
  </si>
  <si>
    <t>LTM Adjusted EBITDA</t>
  </si>
  <si>
    <t>check</t>
  </si>
  <si>
    <t>Liquidity at the end</t>
  </si>
  <si>
    <t>Total debt</t>
  </si>
  <si>
    <t>Debt Maturity Profile</t>
  </si>
  <si>
    <t>1Q26</t>
  </si>
  <si>
    <t>Debt Breakdown as on 31-Mar-2026</t>
  </si>
  <si>
    <t>Debt Maturity at the end</t>
  </si>
  <si>
    <t>FY25</t>
  </si>
  <si>
    <t>Debt Breakdown as on 31-Dec-2025</t>
  </si>
  <si>
    <t>Interest bearing debt</t>
  </si>
  <si>
    <t>Debt Maturity at FY25</t>
  </si>
  <si>
    <t>Liquidity at FY25</t>
  </si>
  <si>
    <t>3Q25</t>
  </si>
  <si>
    <t>Debt Breakdown as on 30-Sep-2025</t>
  </si>
  <si>
    <t>Debt Maturity at 3Q25</t>
  </si>
  <si>
    <t>Liquidity at 3Q25</t>
  </si>
  <si>
    <t>2Q25</t>
  </si>
  <si>
    <t>Debt Breakdown as on 30-Jun-2025</t>
  </si>
  <si>
    <t>Debt Maturity at 2Q25</t>
  </si>
  <si>
    <t>Liquidity at 2Q25</t>
  </si>
  <si>
    <t>1Q25</t>
  </si>
  <si>
    <t>Debt Breakdown as on 31-Mar-2025</t>
  </si>
  <si>
    <t>Loans</t>
  </si>
  <si>
    <t>Long-term loans</t>
  </si>
  <si>
    <t>Operating lease liabilities</t>
  </si>
  <si>
    <t>Debt Maturity at 1Q25</t>
  </si>
  <si>
    <t>2030+</t>
  </si>
  <si>
    <t>Liquidity at 1Q25</t>
  </si>
  <si>
    <t>RCF</t>
  </si>
  <si>
    <t>FY24</t>
  </si>
  <si>
    <t>Debt Breakdown as on 31-Dec-2024</t>
  </si>
  <si>
    <t>Leverage Ratio</t>
  </si>
  <si>
    <t>(Times)</t>
  </si>
  <si>
    <t>Debt Maturity at FY24</t>
  </si>
  <si>
    <t>Liquidity at FY24</t>
  </si>
  <si>
    <t>3Q24</t>
  </si>
  <si>
    <t>Debt Breakdown as on 30-Sep-2024</t>
  </si>
  <si>
    <t>Debt Maturity at 3Q24</t>
  </si>
  <si>
    <t>less than one year</t>
  </si>
  <si>
    <t>1 - 2 years</t>
  </si>
  <si>
    <t>2 - 4 years</t>
  </si>
  <si>
    <t>Beyond 4 years</t>
  </si>
  <si>
    <t>Liquidity at 3Q24</t>
  </si>
  <si>
    <t>2Q24</t>
  </si>
  <si>
    <t>Debt Breakdown as on 30-Jun-2024</t>
  </si>
  <si>
    <t>1Q24</t>
  </si>
  <si>
    <t>Debt Breakdown as on 31-Mar-2024</t>
  </si>
  <si>
    <t>Debt Maturity at 1Q24</t>
  </si>
  <si>
    <t>Liquidity at 1Q24</t>
  </si>
  <si>
    <t>FY23</t>
  </si>
  <si>
    <t>Debt Breakdown as on 31-Dec-2023</t>
  </si>
  <si>
    <t>Debt Maturity at FY23</t>
  </si>
  <si>
    <t>Liquidity at FY23</t>
  </si>
  <si>
    <t>3Q23</t>
  </si>
  <si>
    <t>Debt Breakdown as on 30-Sept-2023</t>
  </si>
  <si>
    <t>Debt Maturity at 3Q23</t>
  </si>
  <si>
    <t>Liquidity at 3Q23</t>
  </si>
  <si>
    <t>2Q23</t>
  </si>
  <si>
    <t>Debt Breakdown as on 30-June-2023</t>
  </si>
  <si>
    <t>Debt Maturity at 2Q23</t>
  </si>
  <si>
    <t>Liquidity at 2Q23</t>
  </si>
  <si>
    <t>1Q23</t>
  </si>
  <si>
    <t>Debt Breakdown as on 31-Mar-2023</t>
  </si>
  <si>
    <t>Debt Maturity at 1Q23</t>
  </si>
  <si>
    <t>Liquidity at 1Q23</t>
  </si>
  <si>
    <t>FY22</t>
  </si>
  <si>
    <t>Debt Breakdown as on 31-Dec-2022</t>
  </si>
  <si>
    <t>Debt Maturity at FY22</t>
  </si>
  <si>
    <t>Liquidity at FY22</t>
  </si>
  <si>
    <t>3Q22</t>
  </si>
  <si>
    <t>Debt Breakdown as on 30-Sept-2022</t>
  </si>
  <si>
    <t>Debt Maturity at 3Q22</t>
  </si>
  <si>
    <t>Liquidity at 3Q22</t>
  </si>
  <si>
    <t>PTT EP</t>
  </si>
  <si>
    <t>Annual</t>
  </si>
  <si>
    <t>LTM</t>
  </si>
  <si>
    <t xml:space="preserve">Quarters </t>
  </si>
  <si>
    <t>(USD million)</t>
  </si>
  <si>
    <t>Act</t>
  </si>
  <si>
    <t>FY</t>
  </si>
  <si>
    <t>1Q</t>
  </si>
  <si>
    <t>2Q</t>
  </si>
  <si>
    <t>3Q</t>
  </si>
  <si>
    <t>4Q</t>
  </si>
  <si>
    <t>INCOME STATEMENT</t>
  </si>
  <si>
    <t>Total Revenues</t>
  </si>
  <si>
    <t>Revenue from sales</t>
  </si>
  <si>
    <t>Revenue from pipeline transportation</t>
  </si>
  <si>
    <t xml:space="preserve">% of growth </t>
  </si>
  <si>
    <t>Operating expenses:</t>
  </si>
  <si>
    <t>Operating expenses</t>
  </si>
  <si>
    <t>Exploration expenses</t>
  </si>
  <si>
    <t>Administrative expenses</t>
  </si>
  <si>
    <t>Petroleum royalties</t>
  </si>
  <si>
    <t>Depreciation, depletion and amortisation</t>
  </si>
  <si>
    <t>Gain/(Loss) on foreign exchange rate</t>
  </si>
  <si>
    <t>Loss on remeasuring of financial instruments</t>
  </si>
  <si>
    <t>Impairment loss on assets and goodwill</t>
  </si>
  <si>
    <t>Impairment loss on assets held-for-sale</t>
  </si>
  <si>
    <t>Gain on debt modification</t>
  </si>
  <si>
    <t>Gain on remeasuring of financial instruments</t>
  </si>
  <si>
    <t>Other operating income/(loss), net</t>
  </si>
  <si>
    <t xml:space="preserve">Operating profit </t>
  </si>
  <si>
    <t>Finance exps</t>
  </si>
  <si>
    <t>Finance income</t>
  </si>
  <si>
    <t>Gain from a bargain purchase</t>
  </si>
  <si>
    <t>Share of net profit /(loss) of associates</t>
  </si>
  <si>
    <t>Profit before tax</t>
  </si>
  <si>
    <t>Income taxes</t>
  </si>
  <si>
    <t>Net profit/loss</t>
  </si>
  <si>
    <t>% margin</t>
  </si>
  <si>
    <t>As % of sales unless stated otherwise</t>
  </si>
  <si>
    <t>Finance exps as % of debt</t>
  </si>
  <si>
    <t>Finance income as % of cash and cash equivalents</t>
  </si>
  <si>
    <t>Tax %  of PBT</t>
  </si>
  <si>
    <t>Working capital /sales</t>
  </si>
  <si>
    <t>Capex/sales</t>
  </si>
  <si>
    <t xml:space="preserve">EBITDA </t>
  </si>
  <si>
    <t>Depreciation, depletion &amp; amortization</t>
  </si>
  <si>
    <t xml:space="preserve">% growth </t>
  </si>
  <si>
    <t>Adjustment</t>
  </si>
  <si>
    <t xml:space="preserve">Adj. EBITDA </t>
  </si>
  <si>
    <t>Capex sales</t>
  </si>
  <si>
    <t xml:space="preserve">WC SALES </t>
  </si>
  <si>
    <t>CASH FLOW</t>
  </si>
  <si>
    <t>Working Capital</t>
  </si>
  <si>
    <t>Taxes</t>
  </si>
  <si>
    <t>Cash interest paid</t>
  </si>
  <si>
    <t xml:space="preserve">Net cash from operations </t>
  </si>
  <si>
    <t>Net Capex</t>
  </si>
  <si>
    <t>Purchase of intangible assets</t>
  </si>
  <si>
    <t>Disposals/ Acquistion, of subsidiaries, businesses</t>
  </si>
  <si>
    <t xml:space="preserve">Free cash flow </t>
  </si>
  <si>
    <t xml:space="preserve">Other Investing </t>
  </si>
  <si>
    <t>Equity Issuance</t>
  </si>
  <si>
    <t>Dividends</t>
  </si>
  <si>
    <t>Net Change in debt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</si>
  <si>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</si>
  <si>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</si>
  <si>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</si>
  <si>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</si>
  <si>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</si>
  <si>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Cash and cash equivalents</t>
  </si>
  <si>
    <t>check 1</t>
  </si>
  <si>
    <t>check 2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</si>
  <si>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</si>
  <si>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</si>
  <si>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</si>
  <si>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</si>
  <si>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</si>
  <si>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</si>
  <si>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</si>
  <si>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Inventory</t>
  </si>
  <si>
    <t>Trade accounts receivable</t>
  </si>
  <si>
    <t>Trade accounts payable</t>
  </si>
  <si>
    <t>Net working capital</t>
  </si>
  <si>
    <t>% of revenues</t>
  </si>
  <si>
    <t xml:space="preserve">Debt  Breakdown </t>
  </si>
  <si>
    <t>Short-term debt</t>
  </si>
  <si>
    <t>Long-term debt</t>
  </si>
  <si>
    <t>Total Debt</t>
  </si>
  <si>
    <t>Lease Obligations</t>
  </si>
  <si>
    <t>Short-term</t>
  </si>
  <si>
    <t>Long-term</t>
  </si>
  <si>
    <t>Total Lease</t>
  </si>
  <si>
    <t>Debt  Including Lease obligations</t>
  </si>
  <si>
    <t xml:space="preserve">Net debt </t>
  </si>
  <si>
    <t>Company reported net debt</t>
  </si>
  <si>
    <t>Equity (as reported on balance sheet)</t>
  </si>
  <si>
    <t>Total debt + Equity</t>
  </si>
  <si>
    <t>CREDIT RATIOS</t>
  </si>
  <si>
    <t>Net Leverage excluding lease obligations</t>
  </si>
  <si>
    <t>Gross Leverage  excluding lease obligations</t>
  </si>
  <si>
    <t>Net Leverage including lease obligations</t>
  </si>
  <si>
    <t>Gross Leverage  including lease obligations</t>
  </si>
  <si>
    <t>Company reported net leverage</t>
  </si>
  <si>
    <t>EBITDA - Capex / Interest</t>
  </si>
  <si>
    <t>EBITDA/Interest</t>
  </si>
  <si>
    <t xml:space="preserve">Gearing (Net debt / Equity) </t>
  </si>
  <si>
    <t>Key  Credit Metrics (R$ million)</t>
  </si>
  <si>
    <t xml:space="preserve">Revenues </t>
  </si>
  <si>
    <t>Adj. EBITDA</t>
  </si>
  <si>
    <t>Adj. EBITDA Margin</t>
  </si>
  <si>
    <t>Cash</t>
  </si>
  <si>
    <t>Net Debt</t>
  </si>
  <si>
    <t>Gross Leverage</t>
  </si>
  <si>
    <t xml:space="preserve">Net Leverage </t>
  </si>
  <si>
    <t>Summary Financials</t>
  </si>
  <si>
    <t>(R$ million)</t>
  </si>
  <si>
    <t>% growth</t>
  </si>
  <si>
    <t>FX rate average - USD/USD</t>
  </si>
  <si>
    <t>FX rate  - USD/USD (as at end of period)</t>
  </si>
  <si>
    <t>LTM - USD/USD</t>
  </si>
  <si>
    <t>Key  Credit Metrics (USD Mn where applicable)</t>
  </si>
  <si>
    <t>(USD millions)</t>
  </si>
  <si>
    <t>LTM EBITDA</t>
  </si>
  <si>
    <t>Exploration and Production</t>
  </si>
  <si>
    <t>Southeast Asia</t>
  </si>
  <si>
    <t>Thailand</t>
  </si>
  <si>
    <t>Other Southeast Asia</t>
  </si>
  <si>
    <t>Middle East</t>
  </si>
  <si>
    <t>Australia</t>
  </si>
  <si>
    <t>America</t>
  </si>
  <si>
    <t>Africa</t>
  </si>
  <si>
    <t>Others</t>
  </si>
  <si>
    <t>Head office and others</t>
  </si>
  <si>
    <t>Total</t>
  </si>
  <si>
    <t>Average Sales Volume (Barrels of Oil Equivalent per Day)</t>
  </si>
  <si>
    <t>By product type</t>
  </si>
  <si>
    <t xml:space="preserve">Gas </t>
  </si>
  <si>
    <t>Liquid</t>
  </si>
  <si>
    <t>By geographical region</t>
  </si>
  <si>
    <t>Rest of the World</t>
  </si>
  <si>
    <t>By geographical region (% Share)</t>
  </si>
  <si>
    <t>By geographical region (YoY % Growth)</t>
  </si>
  <si>
    <t>Product price table</t>
  </si>
  <si>
    <t>Gas ($/MMBTU)</t>
  </si>
  <si>
    <t>Liquid ($/BBL)</t>
  </si>
  <si>
    <t>Weighted Avg. ($/BOE)</t>
  </si>
  <si>
    <t>Avg. Dubai ($/BBL)</t>
  </si>
  <si>
    <t>Avg. HSFO ($/BBL)</t>
  </si>
  <si>
    <t>Revenue Mix (%)</t>
  </si>
  <si>
    <t>Volume Mix (%)</t>
  </si>
  <si>
    <t>Reserves (MMBOE) by geography</t>
  </si>
  <si>
    <t>Proven</t>
  </si>
  <si>
    <t>Domestic</t>
  </si>
  <si>
    <t>International</t>
  </si>
  <si>
    <t>Probable</t>
  </si>
  <si>
    <t>Proven+Probable</t>
  </si>
  <si>
    <t>Reserves (MMBOE) by product type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</si>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</sst>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_);\(#,##0.0\)"/>
    <numFmt numFmtId="166" formatCode="#0.0%_);\(#0.0%\)"/>
    <numFmt numFmtId="167" formatCode="#0.00\x"/>
    <numFmt numFmtId="168" formatCode="mmm\ yyyy"/>
    <numFmt numFmtId="169" formatCode="0.0%"/>
    <numFmt numFmtId="170" formatCode="_(* #,##0.0_);_(* \(#,##0.0\);_(* &quot;-&quot;??_);_(@_)"/>
    <numFmt numFmtId="171" formatCode="_(* #,##0.000_);_(* \(#,##0.000\);_(* &quot;-&quot;??_);_(@_)"/>
    <numFmt numFmtId="172" formatCode="_(* #,##0_);_(* \(#,##0\);_(* &quot;-&quot;??_);_(@_)"/>
    <numFmt numFmtId="173" formatCode="#,##0.0\ ;\(#,##0.0\)"/>
    <numFmt numFmtId="174" formatCode="&quot;$&quot;#,##0.00_)&quot;per share&quot;;\(&quot;$&quot;#,##0.00\)&quot; per share&quot;"/>
    <numFmt numFmtId="175" formatCode="0.0_)\%;\(0.0\)\%;0.0_)\%;@_)_%"/>
    <numFmt numFmtId="176" formatCode="#,##0.0_)_%;\(#,##0.0\)_%;0.0_)_%;@_)_%"/>
    <numFmt numFmtId="177" formatCode="#,##0.0_);\(#,##0.0\);#,##0.0_);@_)"/>
    <numFmt numFmtId="178" formatCode="&quot;$&quot;_(#,##0.00_);&quot;$&quot;\(#,##0.00\);&quot;$&quot;_(0.00_);@_)"/>
    <numFmt numFmtId="179" formatCode="&quot;$&quot;_(#,##0.00_);&quot;$&quot;\(#,##0.00\)"/>
    <numFmt numFmtId="180" formatCode="#,##0.00_);\(#,##0.00\);0.00_);@_)"/>
    <numFmt numFmtId="181" formatCode="\€_(#,##0.00_);\€\(#,##0.00\);\€_(0.00_);@_)"/>
    <numFmt numFmtId="182" formatCode="#,##0_)\x;\(#,##0\)\x;0_)\x;@_)_x"/>
    <numFmt numFmtId="183" formatCode="#,##0.0_)\x;\(#,##0.0\)\x"/>
    <numFmt numFmtId="184" formatCode="#,##0_)_x;\(#,##0\)_x;0_)_x;@_)_x"/>
    <numFmt numFmtId="185" formatCode="#,##0.0_)_x;\(#,##0.0\)_x"/>
    <numFmt numFmtId="186" formatCode="0.0_)\%;\(0.0\)\%"/>
    <numFmt numFmtId="187" formatCode="#,##0.0_)_%;\(#,##0.0\)_%"/>
    <numFmt numFmtId="188" formatCode="_(\£* #,##0_);_(\£* \(#,##0\);_(\£* &quot;-&quot;_);_(@_)"/>
    <numFmt numFmtId="189" formatCode="_(\£* #,##0.0_);_(\£* \(#,##0.0\);_(\£* &quot;-&quot;_);_(@_)"/>
    <numFmt numFmtId="190" formatCode="_(\£* #,##0.00_);_(\£* \(#,##0.00\);_(\£* &quot;-&quot;_);_(@_)"/>
    <numFmt numFmtId="191" formatCode="_(* #,##0\p_);_(* \(#,##0\p\);_(* &quot;-&quot;\ \p_);_(@_)"/>
    <numFmt numFmtId="192" formatCode="_(* #,##0.00\p_);_(* \(#,##0.00\p\);_(* &quot;-&quot;\ \p_);_(@_)"/>
    <numFmt numFmtId="193" formatCode="\£#,##0.00"/>
    <numFmt numFmtId="194" formatCode="&quot;$&quot;&quot; &quot;#,##0_);\(&quot;$&quot;&quot; &quot;#,##0\);\-_)"/>
    <numFmt numFmtId="195" formatCode="#,##0_);\(#,##0\);\-_)"/>
    <numFmt numFmtId="196" formatCode="&quot;$&quot;#,##0_);[Red]\(&quot;$&quot;#,##0\);&quot;-&quot;"/>
    <numFmt numFmtId="197" formatCode="[Blue]0.0%;[Blue]\-0.0%"/>
    <numFmt numFmtId="198" formatCode="\£#,##0_);\(\£#,##0\)"/>
    <numFmt numFmtId="199" formatCode="&quot;fl&quot;#,##0_);\(&quot;fl&quot;#,##0\)"/>
    <numFmt numFmtId="200" formatCode="&quot;$&quot;\ #,##0_);\(&quot;$&quot;\ #,##0\)"/>
    <numFmt numFmtId="201" formatCode="_(&quot;R$&quot;* #,##0.00_);_(&quot;R$&quot;* \(#,##0.00\);_(&quot;R$&quot;* &quot;-&quot;??_);_(@_)"/>
    <numFmt numFmtId="202" formatCode="0.0\x;[Red]\(0.0\x\)"/>
    <numFmt numFmtId="203" formatCode="#,##0.0_);\(#,##0.0\);&quot;—&quot;_)"/>
    <numFmt numFmtId="204" formatCode="&quot;$&quot;#,##0.0_);\(&quot;$&quot;#,##0.0\);&quot;—&quot;_)"/>
    <numFmt numFmtId="205" formatCode="0.000000000%"/>
    <numFmt numFmtId="206" formatCode="#,##0.0000"/>
    <numFmt numFmtId="207" formatCode="mm/dd/yy"/>
    <numFmt numFmtId="208" formatCode="&quot;$&quot;#,##0.00"/>
    <numFmt numFmtId="209" formatCode="_([$€-2]* #,##0.00_);_([$€-2]* \(#,##0.00\);_([$€-2]* &quot;-&quot;??_)"/>
    <numFmt numFmtId="210" formatCode="#&quot; mon&quot;"/>
    <numFmt numFmtId="211" formatCode="#,##0\ &quot;F&quot;;[Red]\-#,##0\ &quot;F&quot;"/>
    <numFmt numFmtId="212" formatCode="#,##0.00\ &quot;F&quot;;[Red]\-#,##0.00\ &quot;F&quot;"/>
    <numFmt numFmtId="213" formatCode="#,##0.0\x_)_);\(#,##0.0\x\)_);#,##0.0\x_)_);@_%_)"/>
    <numFmt numFmtId="214" formatCode="_(* #,##0.00\ ___);_(* \(#,##0.00\ __\);_(* &quot;-&quot;??_);_(@_)"/>
    <numFmt numFmtId="215" formatCode="0%\);[Red]\(0%"/>
    <numFmt numFmtId="216" formatCode="_(* #,##0\ ___);_(* \(#,##0\ __\);_(* &quot;-&quot;??_);_(@_)"/>
    <numFmt numFmtId="217" formatCode="_(* #,##0\ \x_);_(* \(#,##0\ \x\);_(* &quot;-&quot;??_);_(@_)"/>
    <numFmt numFmtId="218" formatCode="0%_);[Red]\(0%\)"/>
    <numFmt numFmtId="219" formatCode="_(* #,##0.0\ ___);_(* \(#,##0.0\ __\);_(* &quot;-&quot;??_);_(@_)"/>
    <numFmt numFmtId="220" formatCode="_(* #,##0.0\ \x_);_(* \(#,##0.0\ \x\);_(* &quot;-&quot;??_);_(@_)"/>
    <numFmt numFmtId="221" formatCode="#,##0&quot; F&quot;_);\(#,##0&quot; F&quot;\)"/>
    <numFmt numFmtId="222" formatCode="_(* #,##0.00_);_(* \(\ #,##0.00\ \);_(* &quot;&quot;??_);_(\ @_ \)"/>
    <numFmt numFmtId="223" formatCode="0.00_)"/>
    <numFmt numFmtId="224" formatCode="_(* #,##0.0_);_(* \(#,##0.0\);_(* &quot;-&quot;?_);_(@_)"/>
    <numFmt numFmtId="225" formatCode="0.00%\ &quot;Ramped&quot;\ "/>
    <numFmt numFmtId="226" formatCode="0.00%\ &quot;Ramped&quot;"/>
    <numFmt numFmtId="227" formatCode="0.0000"/>
    <numFmt numFmtId="228" formatCode="0.000"/>
    <numFmt numFmtId="229" formatCode="&quot;Diversity =&quot;\ #.0"/>
    <numFmt numFmtId="230" formatCode="&quot;Ratings Factor =&quot;\ #"/>
    <numFmt numFmtId="231" formatCode="&quot;Page &quot;0"/>
    <numFmt numFmtId="232" formatCode="&quot;\&quot;#,##0.00;[Red]\-&quot;\&quot;#,##0.00"/>
    <numFmt numFmtId="233" formatCode="0.0_%"/>
    <numFmt numFmtId="234" formatCode="_(0.0%;_(* \(0.0\)%"/>
    <numFmt numFmtId="235" formatCode="_(* #,##0.0000_);_(* \(#,##0.0000\);_(* &quot;-&quot;??_);_(@_)"/>
    <numFmt numFmtId="236" formatCode="0&quot; bps&quot;"/>
    <numFmt numFmtId="237" formatCode="&quot;WAS =&quot;\ #.00"/>
    <numFmt numFmtId="238" formatCode="&quot;Avg. Px.=&quot;#.00"/>
    <numFmt numFmtId="239" formatCode="&quot;WAL=&quot;#.00"/>
    <numFmt numFmtId="240" formatCode="#.00\ &quot;years&quot;"/>
    <numFmt numFmtId="241" formatCode="&quot;2nd Lien=&quot;#"/>
    <numFmt numFmtId="242" formatCode="&quot;WAPP=&quot;#.00"/>
    <numFmt numFmtId="243" formatCode="&quot;WAS=&quot;#.00"/>
    <numFmt numFmtId="244" formatCode="&quot;WAC=&quot;#.00"/>
    <numFmt numFmtId="245" formatCode="&quot;$&quot;#,##0.0_);\(&quot;$&quot;#,##0.0\)"/>
    <numFmt numFmtId="246" formatCode="#,###,;\(#,###,\)"/>
    <numFmt numFmtId="247" formatCode="000\-00\-0000"/>
    <numFmt numFmtId="248" formatCode="&quot;$&quot;#,##0.0000"/>
    <numFmt numFmtId="249" formatCode="&quot;$&quot;#,##0.000000"/>
    <numFmt numFmtId="250" formatCode="&quot;$&quot;#,##0.000"/>
    <numFmt numFmtId="251" formatCode="000000000"/>
    <numFmt numFmtId="252" formatCode="000"/>
    <numFmt numFmtId="253" formatCode="hh:mm\ AM/PM_)"/>
    <numFmt numFmtId="254" formatCode="#.0&quot;x&quot;"/>
    <numFmt numFmtId="255" formatCode="yyyy"/>
    <numFmt numFmtId="256" formatCode="\¥#,##0_);\(\¥#,##0\)"/>
    <numFmt numFmtId="257" formatCode="#0.0\x"/>
    <numFmt numFmtId="258" formatCode="0.0\x"/>
    <numFmt numFmtId="259" formatCode="0.0"/>
    <numFmt numFmtId="260" formatCode="#,##0.000_);\(#,##0.000\)"/>
    <numFmt numFmtId="261" formatCode="#,##0.0"/>
    <numFmt numFmtId="262" formatCode="0.00\x"/>
    <numFmt numFmtId="263" formatCode="#,##0.00;[Red]\(#,##0.00\)"/>
  </numFmts>
  <fonts count="13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b/>
      <sz val="11"/>
      <color indexed="9"/>
      <name val="Calibri"/>
      <family val="2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6"/>
      <name val="Calibri"/>
      <family val="2"/>
      <scheme val="minor"/>
    </font>
    <font>
      <u/>
      <sz val="10"/>
      <name val="Calibri"/>
      <family val="2"/>
      <scheme val="minor"/>
    </font>
    <font>
      <sz val="14"/>
      <name val="Cordia New"/>
      <family val="2"/>
      <charset val="222"/>
    </font>
    <font>
      <sz val="14"/>
      <name val="Cordia New"/>
      <family val="2"/>
    </font>
    <font>
      <b/>
      <sz val="10"/>
      <color indexed="17"/>
      <name val="Arial"/>
      <family val="2"/>
    </font>
    <font>
      <b/>
      <sz val="10"/>
      <color rgb="FF0000CC"/>
      <name val="Calibri"/>
      <family val="2"/>
      <scheme val="minor"/>
    </font>
    <font>
      <sz val="10"/>
      <color rgb="FF0000CC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76">
    <xf numFmtId="0" fontId="0" fillId="0" borderId="0"/>
    <xf numFmtId="173" fontId="31" fillId="0" borderId="0"/>
    <xf numFmtId="0" fontId="32" fillId="0" borderId="0">
      <alignment horizontal="right"/>
    </xf>
    <xf numFmtId="0" fontId="11" fillId="0" borderId="0"/>
    <xf numFmtId="174" fontId="27" fillId="0" borderId="0" applyFont="0" applyFill="0" applyBorder="0" applyAlignment="0"/>
    <xf numFmtId="175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 applyNumberFormat="0" applyFill="0" applyBorder="0" applyAlignment="0" applyProtection="0">
      <alignment horizontal="left" wrapText="1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1" fillId="0" borderId="0" applyNumberFormat="0" applyFill="0" applyBorder="0" applyAlignment="0" applyProtection="0">
      <alignment horizontal="left" wrapText="1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vertical="top"/>
    </xf>
    <xf numFmtId="0" fontId="11" fillId="0" borderId="0" applyNumberFormat="0" applyFill="0" applyBorder="0" applyAlignment="0" applyProtection="0">
      <alignment horizontal="left" wrapText="1"/>
    </xf>
    <xf numFmtId="0" fontId="11" fillId="0" borderId="0">
      <alignment vertical="top"/>
    </xf>
    <xf numFmtId="17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39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2" borderId="0" applyNumberFormat="0" applyFont="0" applyAlignment="0" applyProtection="0"/>
    <xf numFmtId="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184" fontId="11" fillId="0" borderId="0" applyFont="0" applyFill="0" applyBorder="0" applyProtection="0">
      <alignment horizontal="right"/>
    </xf>
    <xf numFmtId="185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11" fillId="0" borderId="0">
      <alignment horizontal="left" wrapText="1"/>
    </xf>
    <xf numFmtId="0" fontId="34" fillId="0" borderId="0" applyNumberFormat="0" applyFill="0" applyBorder="0" applyProtection="0">
      <alignment vertical="top"/>
    </xf>
    <xf numFmtId="0" fontId="34" fillId="0" borderId="0" applyNumberFormat="0" applyFill="0" applyBorder="0" applyProtection="0">
      <alignment vertical="top"/>
    </xf>
    <xf numFmtId="0" fontId="35" fillId="0" borderId="1" applyNumberFormat="0" applyFill="0" applyAlignment="0" applyProtection="0"/>
    <xf numFmtId="0" fontId="36" fillId="0" borderId="2" applyNumberFormat="0" applyFill="0" applyProtection="0">
      <alignment horizontal="center"/>
    </xf>
    <xf numFmtId="0" fontId="36" fillId="0" borderId="0" applyNumberFormat="0" applyFill="0" applyBorder="0" applyProtection="0">
      <alignment horizontal="left"/>
    </xf>
    <xf numFmtId="0" fontId="37" fillId="0" borderId="0" applyNumberFormat="0" applyFill="0" applyBorder="0" applyProtection="0">
      <alignment horizontal="centerContinuous"/>
    </xf>
    <xf numFmtId="188" fontId="38" fillId="0" borderId="0" applyFont="0" applyFill="0" applyBorder="0" applyAlignment="0" applyProtection="0"/>
    <xf numFmtId="189" fontId="38" fillId="0" borderId="0" applyFont="0" applyFill="0" applyBorder="0" applyAlignment="0" applyProtection="0"/>
    <xf numFmtId="190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2" fontId="38" fillId="0" borderId="0" applyFont="0" applyFill="0" applyBorder="0" applyAlignment="0" applyProtection="0"/>
    <xf numFmtId="193" fontId="39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40" fillId="0" borderId="0" applyNumberFormat="0" applyFont="0" applyFill="0" applyBorder="0" applyProtection="0">
      <alignment horizontal="centerContinuous"/>
    </xf>
    <xf numFmtId="0" fontId="8" fillId="0" borderId="0" applyNumberFormat="0" applyFill="0" applyBorder="0" applyAlignment="0">
      <protection locked="0"/>
    </xf>
    <xf numFmtId="0" fontId="41" fillId="0" borderId="0"/>
    <xf numFmtId="0" fontId="42" fillId="0" borderId="0"/>
    <xf numFmtId="0" fontId="32" fillId="0" borderId="0">
      <alignment horizontal="center" wrapText="1"/>
      <protection locked="0"/>
    </xf>
    <xf numFmtId="0" fontId="1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3" borderId="0" applyNumberFormat="0" applyBorder="0" applyAlignment="0">
      <protection locked="0"/>
    </xf>
    <xf numFmtId="194" fontId="27" fillId="0" borderId="0" applyFont="0" applyFill="0" applyBorder="0" applyAlignment="0" applyProtection="0"/>
    <xf numFmtId="195" fontId="44" fillId="0" borderId="0" applyFont="0" applyFill="0" applyBorder="0" applyAlignment="0" applyProtection="0"/>
    <xf numFmtId="196" fontId="27" fillId="0" borderId="0" applyFont="0" applyFill="0" applyBorder="0" applyAlignment="0" applyProtection="0"/>
    <xf numFmtId="0" fontId="109" fillId="25" borderId="0"/>
    <xf numFmtId="0" fontId="45" fillId="0" borderId="0" applyNumberFormat="0" applyFill="0" applyBorder="0" applyAlignment="0" applyProtection="0"/>
    <xf numFmtId="197" fontId="46" fillId="0" borderId="0"/>
    <xf numFmtId="0" fontId="47" fillId="0" borderId="0" applyNumberFormat="0" applyFill="0" applyBorder="0" applyAlignment="0" applyProtection="0"/>
    <xf numFmtId="0" fontId="10" fillId="0" borderId="0"/>
    <xf numFmtId="0" fontId="48" fillId="0" borderId="0"/>
    <xf numFmtId="0" fontId="40" fillId="0" borderId="3" applyNumberFormat="0" applyFont="0" applyFill="0" applyAlignment="0" applyProtection="0"/>
    <xf numFmtId="0" fontId="49" fillId="0" borderId="4" applyFill="0" applyProtection="0">
      <alignment horizontal="right"/>
    </xf>
    <xf numFmtId="198" fontId="2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0" fillId="0" borderId="0"/>
    <xf numFmtId="0" fontId="31" fillId="0" borderId="0" applyFill="0" applyBorder="0" applyAlignment="0"/>
    <xf numFmtId="0" fontId="31" fillId="0" borderId="0" applyFill="0" applyBorder="0" applyAlignment="0"/>
    <xf numFmtId="199" fontId="31" fillId="0" borderId="0" applyFill="0" applyBorder="0" applyAlignment="0"/>
    <xf numFmtId="200" fontId="31" fillId="0" borderId="0" applyFill="0" applyBorder="0" applyAlignment="0"/>
    <xf numFmtId="201" fontId="1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39" fontId="32" fillId="4" borderId="0" applyNumberFormat="0" applyFont="0" applyBorder="0" applyAlignment="0"/>
    <xf numFmtId="0" fontId="51" fillId="0" borderId="0"/>
    <xf numFmtId="0" fontId="40" fillId="0" borderId="0" applyNumberFormat="0" applyFont="0" applyFill="0" applyBorder="0" applyProtection="0">
      <alignment horizontal="center"/>
    </xf>
    <xf numFmtId="49" fontId="25" fillId="0" borderId="0" applyFill="0" applyBorder="0" applyProtection="0">
      <alignment horizontal="center"/>
    </xf>
    <xf numFmtId="49" fontId="52" fillId="0" borderId="0" applyFill="0" applyBorder="0" applyProtection="0">
      <alignment horizontal="center"/>
    </xf>
    <xf numFmtId="8" fontId="11" fillId="0" borderId="5" applyFont="0" applyFill="0" applyBorder="0" applyProtection="0">
      <alignment horizontal="right"/>
    </xf>
    <xf numFmtId="0" fontId="9" fillId="0" borderId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4" fillId="0" borderId="3" applyNumberFormat="0" applyFill="0" applyBorder="0" applyAlignment="0" applyProtection="0">
      <alignment horizontal="center"/>
    </xf>
    <xf numFmtId="0" fontId="13" fillId="5" borderId="0"/>
    <xf numFmtId="202" fontId="11" fillId="0" borderId="0"/>
    <xf numFmtId="202" fontId="11" fillId="0" borderId="0"/>
    <xf numFmtId="202" fontId="11" fillId="0" borderId="0"/>
    <xf numFmtId="202" fontId="11" fillId="0" borderId="0"/>
    <xf numFmtId="202" fontId="11" fillId="0" borderId="0"/>
    <xf numFmtId="202" fontId="11" fillId="0" borderId="0"/>
    <xf numFmtId="202" fontId="11" fillId="0" borderId="0"/>
    <xf numFmtId="202" fontId="11" fillId="0" borderId="0"/>
    <xf numFmtId="203" fontId="55" fillId="0" borderId="0"/>
    <xf numFmtId="0" fontId="31" fillId="0" borderId="0" applyFont="0" applyFill="0" applyBorder="0" applyAlignment="0" applyProtection="0"/>
    <xf numFmtId="170" fontId="56" fillId="0" borderId="0" applyFont="0" applyFill="0" applyBorder="0" applyAlignment="0" applyProtection="0"/>
    <xf numFmtId="40" fontId="11" fillId="0" borderId="0" applyFont="0" applyFill="0" applyBorder="0" applyProtection="0">
      <alignment horizontal="right"/>
    </xf>
    <xf numFmtId="3" fontId="11" fillId="0" borderId="0" applyFill="0" applyBorder="0" applyAlignment="0" applyProtection="0"/>
    <xf numFmtId="3" fontId="7" fillId="0" borderId="0" applyFont="0" applyFill="0" applyBorder="0" applyAlignment="0" applyProtection="0"/>
    <xf numFmtId="3" fontId="25" fillId="0" borderId="0" applyFill="0" applyBorder="0" applyAlignment="0" applyProtection="0"/>
    <xf numFmtId="38" fontId="57" fillId="0" borderId="0" applyNumberFormat="0" applyFill="0" applyBorder="0">
      <alignment vertical="center"/>
    </xf>
    <xf numFmtId="0" fontId="58" fillId="0" borderId="0" applyNumberFormat="0" applyAlignment="0">
      <alignment horizontal="left"/>
    </xf>
    <xf numFmtId="7" fontId="11" fillId="0" borderId="0" applyFont="0" applyFill="0" applyBorder="0" applyAlignment="0" applyProtection="0"/>
    <xf numFmtId="204" fontId="55" fillId="0" borderId="0"/>
    <xf numFmtId="0" fontId="31" fillId="0" borderId="0" applyFont="0" applyFill="0" applyBorder="0" applyAlignment="0" applyProtection="0"/>
    <xf numFmtId="205" fontId="27" fillId="0" borderId="0" applyFont="0" applyFill="0" applyBorder="0" applyAlignment="0" applyProtection="0"/>
    <xf numFmtId="8" fontId="40" fillId="0" borderId="0" applyBorder="0"/>
    <xf numFmtId="206" fontId="11" fillId="0" borderId="0" applyNumberFormat="0">
      <alignment horizontal="right"/>
    </xf>
    <xf numFmtId="15" fontId="11" fillId="0" borderId="0" applyFont="0" applyFill="0" applyBorder="0" applyProtection="0">
      <alignment horizontal="right"/>
    </xf>
    <xf numFmtId="14" fontId="9" fillId="0" borderId="0" applyFill="0" applyBorder="0" applyAlignment="0"/>
    <xf numFmtId="15" fontId="11" fillId="0" borderId="0" applyFont="0" applyFill="0" applyBorder="0" applyProtection="0">
      <alignment horizontal="right"/>
    </xf>
    <xf numFmtId="207" fontId="25" fillId="0" borderId="0" applyFill="0" applyBorder="0" applyProtection="0">
      <alignment horizontal="left"/>
    </xf>
    <xf numFmtId="0" fontId="11" fillId="0" borderId="0">
      <alignment horizontal="left"/>
    </xf>
    <xf numFmtId="38" fontId="59" fillId="0" borderId="6">
      <alignment vertical="center"/>
    </xf>
    <xf numFmtId="208" fontId="39" fillId="0" borderId="0" applyFont="0" applyFill="0" applyBorder="0" applyAlignment="0" applyProtection="0"/>
    <xf numFmtId="4" fontId="6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7" applyNumberFormat="0" applyFont="0" applyFill="0" applyAlignment="0" applyProtection="0"/>
    <xf numFmtId="42" fontId="61" fillId="0" borderId="0" applyFill="0" applyBorder="0" applyAlignment="0" applyProtection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62" fillId="0" borderId="0" applyNumberFormat="0" applyAlignment="0">
      <alignment horizontal="left"/>
    </xf>
    <xf numFmtId="209" fontId="11" fillId="0" borderId="0" applyFont="0" applyFill="0" applyBorder="0" applyAlignment="0" applyProtection="0"/>
    <xf numFmtId="169" fontId="40" fillId="0" borderId="0" applyNumberFormat="0" applyFont="0" applyAlignment="0">
      <alignment vertical="center"/>
    </xf>
    <xf numFmtId="0" fontId="63" fillId="0" borderId="0">
      <alignment horizontal="center"/>
    </xf>
    <xf numFmtId="0" fontId="64" fillId="0" borderId="0" applyNumberFormat="0" applyFill="0" applyBorder="0" applyAlignment="0" applyProtection="0"/>
    <xf numFmtId="38" fontId="7" fillId="6" borderId="0" applyNumberFormat="0" applyBorder="0" applyAlignment="0" applyProtection="0"/>
    <xf numFmtId="0" fontId="10" fillId="7" borderId="8" applyAlignment="0" applyProtection="0"/>
    <xf numFmtId="0" fontId="65" fillId="0" borderId="3" applyFill="0" applyProtection="0">
      <alignment horizontal="centerContinuous"/>
    </xf>
    <xf numFmtId="41" fontId="66" fillId="0" borderId="0">
      <alignment horizontal="center"/>
    </xf>
    <xf numFmtId="0" fontId="11" fillId="0" borderId="0">
      <alignment horizontal="center"/>
    </xf>
    <xf numFmtId="0" fontId="11" fillId="0" borderId="0">
      <alignment horizontal="left"/>
    </xf>
    <xf numFmtId="0" fontId="11" fillId="0" borderId="0">
      <alignment horizontal="right"/>
    </xf>
    <xf numFmtId="0" fontId="67" fillId="8" borderId="0"/>
    <xf numFmtId="0" fontId="68" fillId="0" borderId="0">
      <alignment horizontal="center" vertical="center"/>
    </xf>
    <xf numFmtId="0" fontId="69" fillId="0" borderId="9" applyNumberFormat="0" applyAlignment="0" applyProtection="0">
      <alignment horizontal="left" vertical="center"/>
    </xf>
    <xf numFmtId="0" fontId="69" fillId="0" borderId="8">
      <alignment horizontal="left" vertical="center"/>
    </xf>
    <xf numFmtId="0" fontId="70" fillId="0" borderId="0">
      <alignment horizontal="center"/>
    </xf>
    <xf numFmtId="0" fontId="71" fillId="0" borderId="0" applyFill="0" applyBorder="0" applyProtection="0">
      <alignment horizontal="right"/>
    </xf>
    <xf numFmtId="0" fontId="72" fillId="0" borderId="10">
      <alignment horizontal="center"/>
    </xf>
    <xf numFmtId="0" fontId="72" fillId="0" borderId="0">
      <alignment horizontal="center"/>
    </xf>
    <xf numFmtId="10" fontId="45" fillId="0" borderId="0" applyNumberFormat="0" applyFill="0" applyBorder="0" applyAlignment="0" applyProtection="0">
      <alignment horizontal="right"/>
    </xf>
    <xf numFmtId="10" fontId="7" fillId="9" borderId="11" applyNumberFormat="0" applyBorder="0" applyAlignment="0" applyProtection="0"/>
    <xf numFmtId="0" fontId="14" fillId="0" borderId="0"/>
    <xf numFmtId="0" fontId="73" fillId="0" borderId="0"/>
    <xf numFmtId="0" fontId="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9" fontId="7" fillId="0" borderId="0" applyFont="0" applyFill="0" applyBorder="0" applyProtection="0">
      <alignment horizontal="left"/>
    </xf>
    <xf numFmtId="49" fontId="25" fillId="0" borderId="0" applyFill="0" applyBorder="0" applyProtection="0">
      <alignment horizontal="left"/>
    </xf>
    <xf numFmtId="49" fontId="25" fillId="0" borderId="3" applyFill="0" applyProtection="0">
      <alignment horizontal="left"/>
    </xf>
    <xf numFmtId="49" fontId="25" fillId="0" borderId="12" applyFill="0" applyProtection="0">
      <alignment horizontal="left"/>
    </xf>
    <xf numFmtId="0" fontId="74" fillId="0" borderId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165" fontId="11" fillId="0" borderId="0" applyNumberFormat="0" applyFont="0" applyFill="0" applyBorder="0" applyAlignment="0"/>
    <xf numFmtId="17" fontId="27" fillId="0" borderId="0"/>
    <xf numFmtId="0" fontId="32" fillId="0" borderId="0" applyNumberFormat="0" applyFill="0" applyBorder="0" applyProtection="0"/>
    <xf numFmtId="0" fontId="27" fillId="0" borderId="0" applyNumberFormat="0" applyFill="0" applyBorder="0" applyProtection="0"/>
    <xf numFmtId="38" fontId="75" fillId="0" borderId="0" applyNumberFormat="0" applyFill="0" applyBorder="0">
      <alignment horizontal="left" vertical="center"/>
    </xf>
    <xf numFmtId="164" fontId="11" fillId="0" borderId="0" applyFont="0" applyFill="0" applyBorder="0" applyAlignment="0" applyProtection="0"/>
    <xf numFmtId="38" fontId="76" fillId="0" borderId="0" applyFont="0" applyFill="0" applyBorder="0" applyAlignment="0" applyProtection="0"/>
    <xf numFmtId="40" fontId="76" fillId="0" borderId="0" applyFont="0" applyFill="0" applyBorder="0" applyAlignment="0" applyProtection="0"/>
    <xf numFmtId="169" fontId="77" fillId="0" borderId="0" applyFill="0" applyBorder="0">
      <alignment vertical="center"/>
    </xf>
    <xf numFmtId="210" fontId="32" fillId="0" borderId="0">
      <alignment horizontal="center"/>
    </xf>
    <xf numFmtId="211" fontId="76" fillId="0" borderId="0" applyFont="0" applyFill="0" applyBorder="0" applyAlignment="0" applyProtection="0"/>
    <xf numFmtId="212" fontId="76" fillId="0" borderId="0" applyFont="0" applyFill="0" applyBorder="0" applyAlignment="0" applyProtection="0"/>
    <xf numFmtId="7" fontId="11" fillId="0" borderId="0"/>
    <xf numFmtId="213" fontId="78" fillId="0" borderId="0" applyFont="0" applyFill="0" applyBorder="0" applyProtection="0">
      <alignment horizontal="right"/>
    </xf>
    <xf numFmtId="214" fontId="60" fillId="0" borderId="0" applyFont="0" applyFill="0" applyBorder="0" applyAlignment="0" applyProtection="0"/>
    <xf numFmtId="215" fontId="27" fillId="0" borderId="0" applyFont="0" applyFill="0" applyBorder="0" applyAlignment="0" applyProtection="0"/>
    <xf numFmtId="216" fontId="60" fillId="0" borderId="0" applyFont="0" applyFill="0" applyBorder="0" applyAlignment="0" applyProtection="0"/>
    <xf numFmtId="217" fontId="32" fillId="0" borderId="0" applyFont="0" applyFill="0" applyBorder="0" applyAlignment="0" applyProtection="0"/>
    <xf numFmtId="218" fontId="27" fillId="0" borderId="0" applyFont="0" applyFill="0" applyBorder="0" applyAlignment="0" applyProtection="0"/>
    <xf numFmtId="219" fontId="60" fillId="0" borderId="0" applyFont="0" applyFill="0" applyBorder="0" applyAlignment="0" applyProtection="0"/>
    <xf numFmtId="220" fontId="60" fillId="0" borderId="0" applyFont="0" applyFill="0" applyBorder="0" applyAlignment="0" applyProtection="0"/>
    <xf numFmtId="221" fontId="27" fillId="0" borderId="0" applyFont="0" applyFill="0" applyBorder="0" applyAlignment="0" applyProtection="0"/>
    <xf numFmtId="222" fontId="11" fillId="0" borderId="0"/>
    <xf numFmtId="0" fontId="15" fillId="10" borderId="0"/>
    <xf numFmtId="0" fontId="16" fillId="11" borderId="0"/>
    <xf numFmtId="0" fontId="17" fillId="0" borderId="0"/>
    <xf numFmtId="223" fontId="79" fillId="0" borderId="0"/>
    <xf numFmtId="0" fontId="11" fillId="0" borderId="0"/>
    <xf numFmtId="0" fontId="11" fillId="0" borderId="0"/>
    <xf numFmtId="0" fontId="80" fillId="0" borderId="0">
      <alignment horizontal="center"/>
    </xf>
    <xf numFmtId="0" fontId="28" fillId="0" borderId="0">
      <alignment horizontal="center" vertical="center"/>
    </xf>
    <xf numFmtId="0" fontId="27" fillId="0" borderId="13"/>
    <xf numFmtId="0" fontId="27" fillId="0" borderId="14"/>
    <xf numFmtId="49" fontId="27" fillId="0" borderId="14">
      <alignment horizontal="left"/>
    </xf>
    <xf numFmtId="0" fontId="27" fillId="0" borderId="15"/>
    <xf numFmtId="0" fontId="27" fillId="0" borderId="3"/>
    <xf numFmtId="0" fontId="27" fillId="0" borderId="16"/>
    <xf numFmtId="0" fontId="27" fillId="6" borderId="17"/>
    <xf numFmtId="0" fontId="28" fillId="6" borderId="12">
      <alignment horizontal="left"/>
    </xf>
    <xf numFmtId="0" fontId="28" fillId="6" borderId="18">
      <alignment horizontal="left"/>
    </xf>
    <xf numFmtId="0" fontId="27" fillId="6" borderId="12"/>
    <xf numFmtId="0" fontId="27" fillId="0" borderId="0">
      <alignment horizontal="left"/>
    </xf>
    <xf numFmtId="0" fontId="28" fillId="6" borderId="12">
      <alignment horizontal="left"/>
    </xf>
    <xf numFmtId="0" fontId="44" fillId="6" borderId="12">
      <alignment horizontal="left"/>
    </xf>
    <xf numFmtId="0" fontId="27" fillId="6" borderId="18"/>
    <xf numFmtId="0" fontId="27" fillId="0" borderId="13">
      <alignment horizontal="left"/>
    </xf>
    <xf numFmtId="0" fontId="27" fillId="0" borderId="0">
      <alignment horizontal="left"/>
    </xf>
    <xf numFmtId="0" fontId="27" fillId="0" borderId="14">
      <alignment horizontal="center"/>
    </xf>
    <xf numFmtId="0" fontId="27" fillId="0" borderId="0">
      <alignment horizontal="left"/>
    </xf>
    <xf numFmtId="0" fontId="28" fillId="6" borderId="17">
      <alignment horizontal="left"/>
    </xf>
    <xf numFmtId="0" fontId="27" fillId="0" borderId="13">
      <alignment horizontal="left"/>
    </xf>
    <xf numFmtId="0" fontId="27" fillId="0" borderId="13">
      <alignment horizontal="right"/>
    </xf>
    <xf numFmtId="172" fontId="28" fillId="0" borderId="0"/>
    <xf numFmtId="0" fontId="27" fillId="0" borderId="13"/>
    <xf numFmtId="169" fontId="27" fillId="0" borderId="14"/>
    <xf numFmtId="0" fontId="27" fillId="0" borderId="13"/>
    <xf numFmtId="0" fontId="27" fillId="0" borderId="13">
      <alignment horizontal="left"/>
    </xf>
    <xf numFmtId="0" fontId="28" fillId="6" borderId="17"/>
    <xf numFmtId="0" fontId="81" fillId="6" borderId="13">
      <alignment horizontal="left"/>
    </xf>
    <xf numFmtId="0" fontId="27" fillId="6" borderId="14"/>
    <xf numFmtId="0" fontId="28" fillId="6" borderId="13">
      <alignment horizontal="left"/>
    </xf>
    <xf numFmtId="0" fontId="27" fillId="0" borderId="13">
      <alignment horizontal="left"/>
    </xf>
    <xf numFmtId="0" fontId="27" fillId="0" borderId="13">
      <alignment horizontal="left"/>
    </xf>
    <xf numFmtId="14" fontId="80" fillId="0" borderId="0">
      <alignment horizontal="center"/>
    </xf>
    <xf numFmtId="49" fontId="82" fillId="0" borderId="13">
      <alignment horizontal="left"/>
    </xf>
    <xf numFmtId="0" fontId="82" fillId="0" borderId="13"/>
    <xf numFmtId="0" fontId="28" fillId="6" borderId="13">
      <alignment horizontal="left"/>
    </xf>
    <xf numFmtId="0" fontId="28" fillId="6" borderId="13"/>
    <xf numFmtId="49" fontId="27" fillId="0" borderId="14">
      <alignment horizontal="left"/>
    </xf>
    <xf numFmtId="0" fontId="80" fillId="0" borderId="13"/>
    <xf numFmtId="0" fontId="80" fillId="0" borderId="0">
      <alignment horizontal="center"/>
    </xf>
    <xf numFmtId="14" fontId="80" fillId="0" borderId="0">
      <alignment horizontal="center"/>
    </xf>
    <xf numFmtId="0" fontId="80" fillId="0" borderId="15"/>
    <xf numFmtId="0" fontId="27" fillId="0" borderId="3">
      <alignment horizontal="center"/>
    </xf>
    <xf numFmtId="0" fontId="27" fillId="0" borderId="0"/>
    <xf numFmtId="0" fontId="80" fillId="0" borderId="3">
      <alignment horizontal="center"/>
    </xf>
    <xf numFmtId="14" fontId="80" fillId="0" borderId="3">
      <alignment horizontal="center"/>
    </xf>
    <xf numFmtId="0" fontId="28" fillId="0" borderId="0">
      <alignment horizontal="left" vertical="center" wrapText="1"/>
    </xf>
    <xf numFmtId="0" fontId="28" fillId="6" borderId="9">
      <alignment horizontal="left" wrapText="1"/>
    </xf>
    <xf numFmtId="0" fontId="28" fillId="0" borderId="0">
      <alignment horizontal="right" vertical="center"/>
    </xf>
    <xf numFmtId="172" fontId="28" fillId="0" borderId="0">
      <alignment horizontal="right"/>
    </xf>
    <xf numFmtId="14" fontId="83" fillId="0" borderId="0">
      <alignment horizontal="center"/>
    </xf>
    <xf numFmtId="0" fontId="28" fillId="6" borderId="19">
      <alignment horizontal="center" wrapText="1"/>
    </xf>
    <xf numFmtId="0" fontId="60" fillId="0" borderId="0">
      <alignment horizontal="center" vertical="center"/>
    </xf>
    <xf numFmtId="1" fontId="84" fillId="0" borderId="0">
      <alignment horizontal="center" wrapText="1"/>
    </xf>
    <xf numFmtId="0" fontId="28" fillId="6" borderId="9">
      <alignment horizontal="center" wrapText="1"/>
    </xf>
    <xf numFmtId="0" fontId="84" fillId="6" borderId="20">
      <alignment horizontal="center" wrapText="1"/>
    </xf>
    <xf numFmtId="0" fontId="84" fillId="6" borderId="19">
      <alignment horizontal="left" wrapText="1"/>
    </xf>
    <xf numFmtId="0" fontId="27" fillId="0" borderId="14">
      <alignment horizontal="left"/>
    </xf>
    <xf numFmtId="0" fontId="60" fillId="0" borderId="0">
      <alignment horizontal="center"/>
    </xf>
    <xf numFmtId="2" fontId="60" fillId="12" borderId="0">
      <alignment horizontal="center"/>
    </xf>
    <xf numFmtId="0" fontId="27" fillId="0" borderId="0">
      <alignment horizontal="left" vertical="top"/>
    </xf>
    <xf numFmtId="16" fontId="27" fillId="0" borderId="0"/>
    <xf numFmtId="0" fontId="27" fillId="12" borderId="0"/>
    <xf numFmtId="14" fontId="27" fillId="0" borderId="0">
      <alignment horizontal="center"/>
    </xf>
    <xf numFmtId="2" fontId="60" fillId="0" borderId="12">
      <alignment horizontal="center" vertical="center"/>
    </xf>
    <xf numFmtId="0" fontId="28" fillId="6" borderId="0">
      <alignment horizontal="center"/>
    </xf>
    <xf numFmtId="2" fontId="60" fillId="0" borderId="0">
      <alignment horizontal="center"/>
    </xf>
    <xf numFmtId="2" fontId="60" fillId="0" borderId="0">
      <alignment horizontal="center"/>
    </xf>
    <xf numFmtId="0" fontId="27" fillId="0" borderId="0">
      <alignment horizontal="left" vertical="top"/>
    </xf>
    <xf numFmtId="15" fontId="27" fillId="0" borderId="0">
      <alignment horizontal="left" vertical="top"/>
    </xf>
    <xf numFmtId="0" fontId="27" fillId="0" borderId="0">
      <alignment horizontal="left" vertical="top"/>
    </xf>
    <xf numFmtId="14" fontId="27" fillId="0" borderId="0">
      <alignment horizontal="center" vertical="top"/>
    </xf>
    <xf numFmtId="0" fontId="60" fillId="0" borderId="0"/>
    <xf numFmtId="0" fontId="84" fillId="0" borderId="3"/>
    <xf numFmtId="14" fontId="84" fillId="0" borderId="3"/>
    <xf numFmtId="2" fontId="60" fillId="0" borderId="3">
      <alignment horizontal="center"/>
    </xf>
    <xf numFmtId="0" fontId="27" fillId="0" borderId="0">
      <alignment horizontal="center"/>
    </xf>
    <xf numFmtId="2" fontId="60" fillId="0" borderId="3">
      <alignment horizontal="center"/>
    </xf>
    <xf numFmtId="0" fontId="60" fillId="0" borderId="3"/>
    <xf numFmtId="0" fontId="60" fillId="0" borderId="3">
      <alignment horizontal="center"/>
    </xf>
    <xf numFmtId="0" fontId="60" fillId="0" borderId="3">
      <alignment horizontal="center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center" vertical="top"/>
    </xf>
    <xf numFmtId="43" fontId="60" fillId="0" borderId="0">
      <alignment horizontal="left"/>
    </xf>
    <xf numFmtId="172" fontId="27" fillId="0" borderId="0"/>
    <xf numFmtId="0" fontId="27" fillId="0" borderId="0">
      <alignment horizontal="center"/>
    </xf>
    <xf numFmtId="0" fontId="80" fillId="0" borderId="0"/>
    <xf numFmtId="43" fontId="27" fillId="0" borderId="0"/>
    <xf numFmtId="1" fontId="27" fillId="0" borderId="0"/>
    <xf numFmtId="0" fontId="28" fillId="0" borderId="0"/>
    <xf numFmtId="43" fontId="27" fillId="0" borderId="0">
      <alignment horizontal="center"/>
    </xf>
    <xf numFmtId="43" fontId="27" fillId="0" borderId="21"/>
    <xf numFmtId="43" fontId="27" fillId="0" borderId="22"/>
    <xf numFmtId="0" fontId="27" fillId="0" borderId="10"/>
    <xf numFmtId="43" fontId="27" fillId="0" borderId="0"/>
    <xf numFmtId="1" fontId="84" fillId="0" borderId="16">
      <alignment horizontal="center" wrapText="1"/>
    </xf>
    <xf numFmtId="0" fontId="60" fillId="0" borderId="0">
      <alignment horizontal="center"/>
    </xf>
    <xf numFmtId="0" fontId="27" fillId="0" borderId="0">
      <alignment horizontal="left"/>
    </xf>
    <xf numFmtId="0" fontId="60" fillId="0" borderId="0"/>
    <xf numFmtId="43" fontId="27" fillId="0" borderId="0">
      <alignment horizontal="center"/>
    </xf>
    <xf numFmtId="0" fontId="28" fillId="0" borderId="3">
      <alignment horizontal="left" vertical="top"/>
    </xf>
    <xf numFmtId="0" fontId="27" fillId="0" borderId="3">
      <alignment horizontal="center" vertical="top"/>
    </xf>
    <xf numFmtId="14" fontId="27" fillId="0" borderId="3">
      <alignment horizontal="center" vertical="top"/>
    </xf>
    <xf numFmtId="15" fontId="27" fillId="0" borderId="3">
      <alignment horizontal="left" vertical="top"/>
    </xf>
    <xf numFmtId="0" fontId="30" fillId="0" borderId="0"/>
    <xf numFmtId="224" fontId="27" fillId="0" borderId="0">
      <alignment vertical="top"/>
    </xf>
    <xf numFmtId="0" fontId="27" fillId="0" borderId="3">
      <alignment horizontal="left" vertical="top"/>
    </xf>
    <xf numFmtId="0" fontId="27" fillId="0" borderId="0">
      <alignment horizontal="center" wrapText="1"/>
    </xf>
    <xf numFmtId="0" fontId="27" fillId="0" borderId="0">
      <alignment horizontal="center"/>
    </xf>
    <xf numFmtId="0" fontId="27" fillId="0" borderId="0">
      <alignment horizontal="center" vertical="top"/>
    </xf>
    <xf numFmtId="0" fontId="28" fillId="0" borderId="0"/>
    <xf numFmtId="14" fontId="27" fillId="0" borderId="0">
      <alignment horizontal="center"/>
    </xf>
    <xf numFmtId="14" fontId="27" fillId="0" borderId="0">
      <alignment horizontal="left" vertical="top"/>
    </xf>
    <xf numFmtId="41" fontId="27" fillId="0" borderId="0"/>
    <xf numFmtId="3" fontId="28" fillId="0" borderId="23">
      <alignment horizontal="right" vertical="center"/>
    </xf>
    <xf numFmtId="172" fontId="28" fillId="0" borderId="22">
      <alignment horizontal="right"/>
    </xf>
    <xf numFmtId="225" fontId="84" fillId="0" borderId="0">
      <alignment wrapText="1"/>
    </xf>
    <xf numFmtId="0" fontId="27" fillId="0" borderId="0">
      <alignment horizontal="center"/>
    </xf>
    <xf numFmtId="226" fontId="28" fillId="0" borderId="10"/>
    <xf numFmtId="226" fontId="28" fillId="0" borderId="0"/>
    <xf numFmtId="0" fontId="27" fillId="0" borderId="0">
      <alignment vertical="top"/>
    </xf>
    <xf numFmtId="3" fontId="28" fillId="0" borderId="21">
      <alignment horizontal="right" vertical="center"/>
    </xf>
    <xf numFmtId="0" fontId="84" fillId="0" borderId="15">
      <alignment horizontal="center" wrapText="1"/>
    </xf>
    <xf numFmtId="3" fontId="28" fillId="0" borderId="24">
      <alignment horizontal="right" vertical="center"/>
    </xf>
    <xf numFmtId="3" fontId="28" fillId="0" borderId="0">
      <alignment horizontal="right" vertical="center"/>
    </xf>
    <xf numFmtId="172" fontId="28" fillId="0" borderId="10">
      <alignment horizontal="right"/>
    </xf>
    <xf numFmtId="0" fontId="9" fillId="0" borderId="25">
      <alignment wrapText="1"/>
    </xf>
    <xf numFmtId="227" fontId="9" fillId="0" borderId="25">
      <alignment horizontal="right" wrapText="1"/>
    </xf>
    <xf numFmtId="4" fontId="27" fillId="0" borderId="0">
      <alignment horizontal="center"/>
    </xf>
    <xf numFmtId="0" fontId="28" fillId="6" borderId="9">
      <alignment horizontal="center"/>
    </xf>
    <xf numFmtId="0" fontId="28" fillId="6" borderId="20">
      <alignment horizontal="center"/>
    </xf>
    <xf numFmtId="14" fontId="27" fillId="0" borderId="0">
      <alignment horizontal="center" vertical="top"/>
    </xf>
    <xf numFmtId="0" fontId="27" fillId="13" borderId="0">
      <alignment vertical="top"/>
    </xf>
    <xf numFmtId="0" fontId="27" fillId="13" borderId="0"/>
    <xf numFmtId="0" fontId="9" fillId="0" borderId="25">
      <alignment wrapText="1"/>
    </xf>
    <xf numFmtId="228" fontId="31" fillId="0" borderId="0">
      <alignment horizontal="right" vertical="center" wrapText="1"/>
    </xf>
    <xf numFmtId="0" fontId="31" fillId="0" borderId="0">
      <alignment horizontal="right" vertical="center" wrapText="1"/>
    </xf>
    <xf numFmtId="0" fontId="9" fillId="0" borderId="0">
      <alignment wrapText="1"/>
    </xf>
    <xf numFmtId="172" fontId="27" fillId="0" borderId="0"/>
    <xf numFmtId="0" fontId="27" fillId="13" borderId="0">
      <alignment horizontal="center"/>
    </xf>
    <xf numFmtId="0" fontId="28" fillId="13" borderId="0"/>
    <xf numFmtId="0" fontId="27" fillId="13" borderId="0">
      <alignment horizontal="center" vertical="top"/>
    </xf>
    <xf numFmtId="0" fontId="27" fillId="0" borderId="0">
      <alignment vertical="top"/>
    </xf>
    <xf numFmtId="14" fontId="27" fillId="13" borderId="0">
      <alignment horizontal="center" vertical="top"/>
    </xf>
    <xf numFmtId="15" fontId="27" fillId="13" borderId="0">
      <alignment horizontal="left" vertical="top"/>
    </xf>
    <xf numFmtId="0" fontId="27" fillId="13" borderId="0">
      <alignment horizontal="left" vertical="top"/>
    </xf>
    <xf numFmtId="14" fontId="27" fillId="13" borderId="0">
      <alignment horizontal="left" vertical="top"/>
    </xf>
    <xf numFmtId="0" fontId="27" fillId="14" borderId="0">
      <alignment horizontal="center"/>
    </xf>
    <xf numFmtId="0" fontId="28" fillId="14" borderId="0"/>
    <xf numFmtId="0" fontId="27" fillId="14" borderId="0">
      <alignment horizontal="center" vertical="top"/>
    </xf>
    <xf numFmtId="14" fontId="27" fillId="14" borderId="0">
      <alignment horizontal="center" vertical="top"/>
    </xf>
    <xf numFmtId="0" fontId="27" fillId="14" borderId="0">
      <alignment vertical="top"/>
    </xf>
    <xf numFmtId="15" fontId="27" fillId="14" borderId="0">
      <alignment horizontal="left" vertical="top"/>
    </xf>
    <xf numFmtId="15" fontId="80" fillId="0" borderId="0">
      <alignment horizontal="left"/>
    </xf>
    <xf numFmtId="0" fontId="27" fillId="14" borderId="0">
      <alignment horizontal="left" vertical="top"/>
    </xf>
    <xf numFmtId="172" fontId="27" fillId="14" borderId="0">
      <alignment vertical="top"/>
    </xf>
    <xf numFmtId="14" fontId="27" fillId="14" borderId="0">
      <alignment horizontal="left" vertical="top"/>
    </xf>
    <xf numFmtId="0" fontId="27" fillId="14" borderId="0">
      <alignment horizontal="center"/>
    </xf>
    <xf numFmtId="0" fontId="27" fillId="14" borderId="0"/>
    <xf numFmtId="0" fontId="28" fillId="14" borderId="0">
      <alignment horizontal="left" vertical="top"/>
    </xf>
    <xf numFmtId="14" fontId="27" fillId="14" borderId="0">
      <alignment horizontal="center" vertical="top"/>
    </xf>
    <xf numFmtId="0" fontId="60" fillId="14" borderId="0">
      <alignment horizontal="center"/>
    </xf>
    <xf numFmtId="0" fontId="80" fillId="14" borderId="0">
      <alignment horizontal="center"/>
    </xf>
    <xf numFmtId="0" fontId="27" fillId="14" borderId="0"/>
    <xf numFmtId="0" fontId="60" fillId="0" borderId="0"/>
    <xf numFmtId="0" fontId="28" fillId="0" borderId="0">
      <alignment horizontal="center"/>
    </xf>
    <xf numFmtId="0" fontId="28" fillId="0" borderId="0">
      <alignment horizontal="center"/>
    </xf>
    <xf numFmtId="172" fontId="28" fillId="6" borderId="23">
      <alignment horizontal="center"/>
    </xf>
    <xf numFmtId="172" fontId="28" fillId="6" borderId="24">
      <alignment horizontal="center"/>
    </xf>
    <xf numFmtId="2" fontId="60" fillId="0" borderId="0"/>
    <xf numFmtId="0" fontId="60" fillId="0" borderId="0"/>
    <xf numFmtId="2" fontId="60" fillId="0" borderId="0">
      <alignment horizontal="center"/>
    </xf>
    <xf numFmtId="0" fontId="60" fillId="0" borderId="0">
      <alignment horizontal="center"/>
    </xf>
    <xf numFmtId="0" fontId="80" fillId="0" borderId="0">
      <alignment wrapText="1"/>
    </xf>
    <xf numFmtId="0" fontId="60" fillId="0" borderId="0">
      <alignment horizontal="center"/>
    </xf>
    <xf numFmtId="0" fontId="84" fillId="0" borderId="0">
      <alignment horizontal="left" vertical="center"/>
    </xf>
    <xf numFmtId="2" fontId="60" fillId="0" borderId="12">
      <alignment horizontal="center" vertical="center"/>
    </xf>
    <xf numFmtId="0" fontId="60" fillId="0" borderId="12">
      <alignment horizontal="center" vertical="center"/>
    </xf>
    <xf numFmtId="0" fontId="60" fillId="0" borderId="18">
      <alignment horizontal="center" vertical="center"/>
    </xf>
    <xf numFmtId="0" fontId="60" fillId="0" borderId="0">
      <alignment horizontal="center" vertical="center"/>
    </xf>
    <xf numFmtId="0" fontId="60" fillId="0" borderId="0">
      <alignment horizontal="left" vertical="center"/>
    </xf>
    <xf numFmtId="0" fontId="84" fillId="0" borderId="0">
      <alignment horizontal="left"/>
    </xf>
    <xf numFmtId="0" fontId="84" fillId="0" borderId="0">
      <alignment horizontal="left"/>
    </xf>
    <xf numFmtId="0" fontId="84" fillId="0" borderId="0">
      <alignment horizontal="center"/>
    </xf>
    <xf numFmtId="0" fontId="27" fillId="0" borderId="0">
      <alignment horizontal="center" vertical="center" wrapText="1"/>
    </xf>
    <xf numFmtId="0" fontId="84" fillId="0" borderId="0">
      <alignment horizontal="center" wrapText="1"/>
    </xf>
    <xf numFmtId="0" fontId="84" fillId="0" borderId="13">
      <alignment horizontal="center" wrapText="1"/>
    </xf>
    <xf numFmtId="1" fontId="84" fillId="0" borderId="14">
      <alignment horizontal="center" wrapText="1"/>
    </xf>
    <xf numFmtId="0" fontId="84" fillId="0" borderId="0">
      <alignment horizontal="center"/>
    </xf>
    <xf numFmtId="229" fontId="84" fillId="0" borderId="0">
      <alignment horizontal="center" wrapText="1"/>
    </xf>
    <xf numFmtId="43" fontId="84" fillId="0" borderId="0"/>
    <xf numFmtId="0" fontId="84" fillId="0" borderId="0"/>
    <xf numFmtId="0" fontId="60" fillId="0" borderId="0">
      <alignment wrapText="1"/>
    </xf>
    <xf numFmtId="0" fontId="84" fillId="0" borderId="0">
      <alignment horizontal="center" wrapText="1"/>
    </xf>
    <xf numFmtId="0" fontId="84" fillId="0" borderId="0">
      <alignment horizontal="center" wrapText="1"/>
    </xf>
    <xf numFmtId="43" fontId="27" fillId="0" borderId="0">
      <alignment horizontal="center" vertical="center" wrapText="1"/>
    </xf>
    <xf numFmtId="0" fontId="84" fillId="0" borderId="0">
      <alignment horizontal="center" wrapText="1"/>
    </xf>
    <xf numFmtId="230" fontId="84" fillId="0" borderId="0">
      <alignment horizontal="center" wrapText="1"/>
    </xf>
    <xf numFmtId="0" fontId="84" fillId="6" borderId="9">
      <alignment horizontal="center" wrapText="1"/>
    </xf>
    <xf numFmtId="2" fontId="84" fillId="6" borderId="9">
      <alignment horizontal="center" wrapText="1"/>
    </xf>
    <xf numFmtId="0" fontId="84" fillId="6" borderId="9">
      <alignment horizontal="center" wrapText="1"/>
    </xf>
    <xf numFmtId="0" fontId="84" fillId="0" borderId="0">
      <alignment horizontal="center" wrapText="1"/>
    </xf>
    <xf numFmtId="0" fontId="27" fillId="0" borderId="0"/>
    <xf numFmtId="0" fontId="27" fillId="0" borderId="0"/>
    <xf numFmtId="0" fontId="85" fillId="0" borderId="0">
      <alignment horizontal="left" vertical="center"/>
    </xf>
    <xf numFmtId="172" fontId="85" fillId="0" borderId="0">
      <alignment horizontal="left" vertical="center"/>
    </xf>
    <xf numFmtId="0" fontId="28" fillId="0" borderId="0">
      <alignment horizontal="center" vertical="center" wrapText="1"/>
    </xf>
    <xf numFmtId="0" fontId="85" fillId="0" borderId="0">
      <alignment horizontal="center" vertical="center"/>
    </xf>
    <xf numFmtId="0" fontId="28" fillId="0" borderId="23">
      <alignment horizontal="left"/>
    </xf>
    <xf numFmtId="41" fontId="28" fillId="0" borderId="26"/>
    <xf numFmtId="0" fontId="28" fillId="0" borderId="23"/>
    <xf numFmtId="41" fontId="28" fillId="0" borderId="0"/>
    <xf numFmtId="0" fontId="28" fillId="0" borderId="21"/>
    <xf numFmtId="172" fontId="28" fillId="0" borderId="27"/>
    <xf numFmtId="172" fontId="28" fillId="0" borderId="0"/>
    <xf numFmtId="43" fontId="28" fillId="0" borderId="27"/>
    <xf numFmtId="43" fontId="28" fillId="0" borderId="0"/>
    <xf numFmtId="0" fontId="27" fillId="0" borderId="0">
      <alignment wrapText="1"/>
    </xf>
    <xf numFmtId="0" fontId="28" fillId="0" borderId="22"/>
    <xf numFmtId="43" fontId="28" fillId="0" borderId="28"/>
    <xf numFmtId="0" fontId="28" fillId="0" borderId="0">
      <alignment horizontal="center"/>
    </xf>
    <xf numFmtId="0" fontId="28" fillId="6" borderId="23">
      <alignment horizontal="center"/>
    </xf>
    <xf numFmtId="172" fontId="28" fillId="6" borderId="24">
      <alignment horizontal="center"/>
    </xf>
    <xf numFmtId="0" fontId="28" fillId="6" borderId="24">
      <alignment horizontal="center"/>
    </xf>
    <xf numFmtId="0" fontId="28" fillId="6" borderId="26">
      <alignment horizontal="center"/>
    </xf>
    <xf numFmtId="0" fontId="28" fillId="6" borderId="22">
      <alignment horizontal="center"/>
    </xf>
    <xf numFmtId="172" fontId="28" fillId="6" borderId="10">
      <alignment horizontal="right"/>
    </xf>
    <xf numFmtId="0" fontId="28" fillId="6" borderId="10">
      <alignment horizontal="center"/>
    </xf>
    <xf numFmtId="0" fontId="27" fillId="0" borderId="0">
      <alignment horizontal="left" vertical="center" wrapText="1"/>
    </xf>
    <xf numFmtId="0" fontId="28" fillId="6" borderId="28">
      <alignment horizontal="center"/>
    </xf>
    <xf numFmtId="0" fontId="28" fillId="15" borderId="0">
      <alignment horizontal="center"/>
    </xf>
    <xf numFmtId="172" fontId="28" fillId="6" borderId="22">
      <alignment horizontal="center"/>
    </xf>
    <xf numFmtId="172" fontId="28" fillId="6" borderId="10">
      <alignment horizontal="center"/>
    </xf>
    <xf numFmtId="0" fontId="28" fillId="6" borderId="10">
      <alignment horizontal="center"/>
    </xf>
    <xf numFmtId="172" fontId="28" fillId="6" borderId="28">
      <alignment horizontal="center"/>
    </xf>
    <xf numFmtId="0" fontId="28" fillId="6" borderId="29">
      <alignment horizontal="center"/>
    </xf>
    <xf numFmtId="0" fontId="28" fillId="6" borderId="3">
      <alignment horizontal="center"/>
    </xf>
    <xf numFmtId="0" fontId="28" fillId="6" borderId="3">
      <alignment horizontal="center"/>
    </xf>
    <xf numFmtId="0" fontId="28" fillId="6" borderId="30">
      <alignment horizontal="center"/>
    </xf>
    <xf numFmtId="0" fontId="27" fillId="0" borderId="0"/>
    <xf numFmtId="0" fontId="28" fillId="6" borderId="21">
      <alignment horizontal="center"/>
    </xf>
    <xf numFmtId="0" fontId="28" fillId="6" borderId="0">
      <alignment horizontal="center"/>
    </xf>
    <xf numFmtId="0" fontId="28" fillId="6" borderId="27">
      <alignment horizontal="center"/>
    </xf>
    <xf numFmtId="0" fontId="44" fillId="0" borderId="0">
      <alignment horizontal="left"/>
    </xf>
    <xf numFmtId="49" fontId="27" fillId="0" borderId="0">
      <alignment horizontal="left"/>
    </xf>
    <xf numFmtId="0" fontId="44" fillId="0" borderId="0">
      <alignment horizontal="left"/>
    </xf>
    <xf numFmtId="15" fontId="80" fillId="15" borderId="0">
      <alignment horizontal="left"/>
    </xf>
    <xf numFmtId="0" fontId="27" fillId="0" borderId="0">
      <alignment horizontal="right"/>
    </xf>
    <xf numFmtId="49" fontId="27" fillId="0" borderId="0">
      <alignment horizontal="left"/>
    </xf>
    <xf numFmtId="49" fontId="27" fillId="0" borderId="0">
      <alignment horizontal="left"/>
    </xf>
    <xf numFmtId="10" fontId="80" fillId="0" borderId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6" fillId="0" borderId="0">
      <alignment horizontal="left" vertical="top"/>
      <protection locked="0"/>
    </xf>
    <xf numFmtId="0" fontId="40" fillId="0" borderId="11" applyNumberFormat="0" applyFont="0" applyFill="0" applyAlignment="0" applyProtection="0"/>
    <xf numFmtId="40" fontId="87" fillId="15" borderId="0">
      <alignment horizontal="right"/>
    </xf>
    <xf numFmtId="0" fontId="88" fillId="15" borderId="0">
      <alignment horizontal="right"/>
    </xf>
    <xf numFmtId="0" fontId="89" fillId="15" borderId="14"/>
    <xf numFmtId="0" fontId="89" fillId="0" borderId="0" applyBorder="0">
      <alignment horizontal="centerContinuous"/>
    </xf>
    <xf numFmtId="231" fontId="90" fillId="0" borderId="0" applyFill="0">
      <alignment horizontal="center" vertical="center"/>
    </xf>
    <xf numFmtId="0" fontId="28" fillId="0" borderId="31" applyNumberFormat="0" applyAlignment="0" applyProtection="0"/>
    <xf numFmtId="0" fontId="27" fillId="16" borderId="0" applyNumberFormat="0" applyFont="0" applyBorder="0" applyAlignment="0" applyProtection="0"/>
    <xf numFmtId="0" fontId="7" fillId="17" borderId="32" applyNumberFormat="0" applyFont="0" applyBorder="0" applyAlignment="0" applyProtection="0">
      <alignment horizontal="center"/>
    </xf>
    <xf numFmtId="0" fontId="7" fillId="18" borderId="32" applyNumberFormat="0" applyFont="0" applyBorder="0" applyAlignment="0" applyProtection="0">
      <alignment horizontal="center"/>
    </xf>
    <xf numFmtId="0" fontId="27" fillId="0" borderId="33" applyNumberFormat="0" applyAlignment="0" applyProtection="0"/>
    <xf numFmtId="0" fontId="27" fillId="0" borderId="34" applyNumberFormat="0" applyAlignment="0" applyProtection="0"/>
    <xf numFmtId="0" fontId="28" fillId="0" borderId="35" applyNumberFormat="0" applyAlignment="0" applyProtection="0"/>
    <xf numFmtId="14" fontId="32" fillId="0" borderId="0">
      <alignment horizontal="center" wrapText="1"/>
      <protection locked="0"/>
    </xf>
    <xf numFmtId="9" fontId="60" fillId="0" borderId="0" applyFont="0" applyFill="0" applyBorder="0" applyAlignment="0" applyProtection="0"/>
    <xf numFmtId="232" fontId="91" fillId="0" borderId="0" applyFont="0" applyFill="0" applyBorder="0" applyAlignment="0" applyProtection="0"/>
    <xf numFmtId="169" fontId="60" fillId="0" borderId="0" applyFont="0" applyFill="0" applyBorder="0" applyAlignment="0" applyProtection="0"/>
    <xf numFmtId="233" fontId="60" fillId="0" borderId="0" applyFont="0" applyFill="0" applyBorder="0" applyAlignment="0" applyProtection="0"/>
    <xf numFmtId="234" fontId="60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11" fillId="0" borderId="0" applyFont="0" applyFill="0" applyBorder="0" applyProtection="0">
      <alignment horizontal="right"/>
    </xf>
    <xf numFmtId="172" fontId="80" fillId="0" borderId="0">
      <alignment horizontal="right"/>
    </xf>
    <xf numFmtId="172" fontId="28" fillId="0" borderId="0">
      <alignment horizontal="left" vertical="center"/>
    </xf>
    <xf numFmtId="171" fontId="7" fillId="0" borderId="0"/>
    <xf numFmtId="172" fontId="80" fillId="0" borderId="0">
      <alignment horizontal="right"/>
    </xf>
    <xf numFmtId="172" fontId="80" fillId="0" borderId="0">
      <alignment horizontal="center"/>
    </xf>
    <xf numFmtId="170" fontId="80" fillId="0" borderId="0">
      <alignment horizontal="right"/>
    </xf>
    <xf numFmtId="172" fontId="80" fillId="0" borderId="3">
      <alignment horizontal="right"/>
    </xf>
    <xf numFmtId="172" fontId="80" fillId="0" borderId="3">
      <alignment horizontal="center"/>
    </xf>
    <xf numFmtId="170" fontId="80" fillId="0" borderId="3">
      <alignment horizontal="right"/>
    </xf>
    <xf numFmtId="43" fontId="80" fillId="0" borderId="3">
      <alignment horizontal="center"/>
    </xf>
    <xf numFmtId="235" fontId="80" fillId="0" borderId="12"/>
    <xf numFmtId="236" fontId="80" fillId="0" borderId="12">
      <alignment horizontal="center"/>
    </xf>
    <xf numFmtId="172" fontId="28" fillId="0" borderId="0">
      <alignment horizontal="right" vertical="center"/>
    </xf>
    <xf numFmtId="236" fontId="80" fillId="0" borderId="18">
      <alignment horizontal="center" wrapText="1"/>
    </xf>
    <xf numFmtId="236" fontId="80" fillId="0" borderId="0">
      <alignment horizontal="center"/>
    </xf>
    <xf numFmtId="236" fontId="80" fillId="0" borderId="14">
      <alignment horizontal="center" wrapText="1"/>
    </xf>
    <xf numFmtId="235" fontId="80" fillId="0" borderId="14">
      <alignment wrapText="1"/>
    </xf>
    <xf numFmtId="235" fontId="80" fillId="0" borderId="3"/>
    <xf numFmtId="235" fontId="80" fillId="0" borderId="16">
      <alignment wrapText="1"/>
    </xf>
    <xf numFmtId="237" fontId="28" fillId="0" borderId="0">
      <alignment horizontal="left"/>
    </xf>
    <xf numFmtId="238" fontId="28" fillId="0" borderId="0">
      <alignment horizontal="left"/>
    </xf>
    <xf numFmtId="239" fontId="28" fillId="0" borderId="0">
      <alignment horizontal="left"/>
    </xf>
    <xf numFmtId="172" fontId="27" fillId="0" borderId="0">
      <alignment vertical="top"/>
    </xf>
    <xf numFmtId="240" fontId="28" fillId="0" borderId="0">
      <alignment horizontal="center"/>
    </xf>
    <xf numFmtId="235" fontId="83" fillId="0" borderId="0"/>
    <xf numFmtId="172" fontId="60" fillId="0" borderId="0">
      <alignment horizontal="right"/>
    </xf>
    <xf numFmtId="172" fontId="60" fillId="0" borderId="0">
      <alignment horizontal="center"/>
    </xf>
    <xf numFmtId="236" fontId="27" fillId="0" borderId="0">
      <alignment horizontal="center" vertical="top"/>
    </xf>
    <xf numFmtId="172" fontId="25" fillId="0" borderId="3">
      <alignment horizontal="centerContinuous"/>
    </xf>
    <xf numFmtId="172" fontId="7" fillId="0" borderId="3">
      <alignment horizontal="center"/>
    </xf>
    <xf numFmtId="172" fontId="7" fillId="0" borderId="0"/>
    <xf numFmtId="172" fontId="7" fillId="0" borderId="3"/>
    <xf numFmtId="43" fontId="7" fillId="0" borderId="3"/>
    <xf numFmtId="43" fontId="25" fillId="0" borderId="0">
      <alignment horizontal="right"/>
    </xf>
    <xf numFmtId="170" fontId="28" fillId="0" borderId="0">
      <alignment horizontal="right" vertical="center"/>
    </xf>
    <xf numFmtId="165" fontId="84" fillId="0" borderId="0">
      <alignment horizontal="center" wrapText="1"/>
    </xf>
    <xf numFmtId="2" fontId="84" fillId="0" borderId="0">
      <alignment horizontal="center"/>
    </xf>
    <xf numFmtId="43" fontId="60" fillId="0" borderId="0"/>
    <xf numFmtId="0" fontId="7" fillId="0" borderId="0">
      <alignment horizontal="center"/>
    </xf>
    <xf numFmtId="43" fontId="27" fillId="0" borderId="0">
      <alignment horizontal="center" vertical="top"/>
    </xf>
    <xf numFmtId="235" fontId="27" fillId="0" borderId="0">
      <alignment horizontal="center" vertical="top"/>
    </xf>
    <xf numFmtId="236" fontId="27" fillId="0" borderId="0">
      <alignment horizontal="center" vertical="top" wrapText="1"/>
    </xf>
    <xf numFmtId="43" fontId="27" fillId="0" borderId="0">
      <alignment horizontal="left" vertical="top"/>
    </xf>
    <xf numFmtId="172" fontId="27" fillId="0" borderId="0">
      <alignment horizontal="right" vertical="top"/>
    </xf>
    <xf numFmtId="43" fontId="27" fillId="0" borderId="0">
      <alignment horizontal="center" vertical="top"/>
    </xf>
    <xf numFmtId="43" fontId="28" fillId="0" borderId="0">
      <alignment horizontal="center"/>
    </xf>
    <xf numFmtId="235" fontId="27" fillId="0" borderId="0">
      <alignment horizontal="center" vertical="top"/>
    </xf>
    <xf numFmtId="236" fontId="27" fillId="0" borderId="0">
      <alignment horizontal="center" vertical="top" wrapText="1"/>
    </xf>
    <xf numFmtId="172" fontId="27" fillId="0" borderId="0">
      <alignment horizontal="left" vertical="top"/>
    </xf>
    <xf numFmtId="43" fontId="27" fillId="0" borderId="0">
      <alignment horizontal="left" vertical="top"/>
    </xf>
    <xf numFmtId="172" fontId="7" fillId="0" borderId="0">
      <alignment horizontal="left"/>
    </xf>
    <xf numFmtId="172" fontId="25" fillId="0" borderId="0">
      <alignment horizontal="centerContinuous"/>
    </xf>
    <xf numFmtId="172" fontId="25" fillId="0" borderId="0">
      <alignment horizontal="left"/>
    </xf>
    <xf numFmtId="172" fontId="25" fillId="0" borderId="3">
      <alignment horizontal="left"/>
    </xf>
    <xf numFmtId="43" fontId="60" fillId="0" borderId="0"/>
    <xf numFmtId="43" fontId="60" fillId="0" borderId="3">
      <alignment horizontal="center"/>
    </xf>
    <xf numFmtId="235" fontId="28" fillId="0" borderId="0">
      <alignment horizontal="center"/>
    </xf>
    <xf numFmtId="43" fontId="60" fillId="0" borderId="3"/>
    <xf numFmtId="43" fontId="25" fillId="0" borderId="0"/>
    <xf numFmtId="172" fontId="7" fillId="14" borderId="0">
      <alignment horizontal="center"/>
    </xf>
    <xf numFmtId="172" fontId="7" fillId="14" borderId="0">
      <alignment horizontal="center"/>
    </xf>
    <xf numFmtId="172" fontId="25" fillId="14" borderId="0">
      <alignment horizontal="centerContinuous"/>
    </xf>
    <xf numFmtId="172" fontId="25" fillId="14" borderId="3">
      <alignment horizontal="center" wrapText="1"/>
    </xf>
    <xf numFmtId="172" fontId="7" fillId="19" borderId="0">
      <alignment horizontal="center"/>
    </xf>
    <xf numFmtId="172" fontId="7" fillId="19" borderId="0">
      <alignment horizontal="center"/>
    </xf>
    <xf numFmtId="172" fontId="25" fillId="19" borderId="0">
      <alignment horizontal="centerContinuous"/>
    </xf>
    <xf numFmtId="172" fontId="25" fillId="19" borderId="3">
      <alignment horizontal="centerContinuous"/>
    </xf>
    <xf numFmtId="235" fontId="28" fillId="0" borderId="0">
      <alignment horizontal="center" wrapText="1"/>
    </xf>
    <xf numFmtId="172" fontId="27" fillId="0" borderId="0"/>
    <xf numFmtId="43" fontId="27" fillId="0" borderId="0"/>
    <xf numFmtId="43" fontId="27" fillId="0" borderId="0">
      <alignment horizontal="center"/>
    </xf>
    <xf numFmtId="172" fontId="27" fillId="0" borderId="0"/>
    <xf numFmtId="171" fontId="27" fillId="0" borderId="0"/>
    <xf numFmtId="43" fontId="27" fillId="0" borderId="27"/>
    <xf numFmtId="172" fontId="27" fillId="0" borderId="3"/>
    <xf numFmtId="43" fontId="27" fillId="0" borderId="28"/>
    <xf numFmtId="171" fontId="27" fillId="0" borderId="10"/>
    <xf numFmtId="10" fontId="27" fillId="0" borderId="0"/>
    <xf numFmtId="237" fontId="28" fillId="0" borderId="0">
      <alignment horizontal="center"/>
    </xf>
    <xf numFmtId="43" fontId="27" fillId="0" borderId="0"/>
    <xf numFmtId="241" fontId="28" fillId="0" borderId="0">
      <alignment horizontal="center" vertical="top"/>
    </xf>
    <xf numFmtId="14" fontId="25" fillId="0" borderId="0">
      <alignment horizontal="center"/>
    </xf>
    <xf numFmtId="4" fontId="60" fillId="0" borderId="0">
      <alignment horizontal="right" vertical="top"/>
    </xf>
    <xf numFmtId="172" fontId="60" fillId="0" borderId="0">
      <alignment horizontal="center" vertical="top"/>
    </xf>
    <xf numFmtId="172" fontId="27" fillId="0" borderId="3">
      <alignment horizontal="right" vertical="top"/>
    </xf>
    <xf numFmtId="170" fontId="27" fillId="0" borderId="3">
      <alignment horizontal="center" vertical="top"/>
    </xf>
    <xf numFmtId="43" fontId="27" fillId="0" borderId="3">
      <alignment horizontal="center" vertical="top"/>
    </xf>
    <xf numFmtId="235" fontId="27" fillId="0" borderId="3">
      <alignment horizontal="center" vertical="top"/>
    </xf>
    <xf numFmtId="236" fontId="27" fillId="0" borderId="3">
      <alignment horizontal="center" vertical="top" wrapText="1"/>
    </xf>
    <xf numFmtId="237" fontId="28" fillId="0" borderId="0">
      <alignment horizontal="center" wrapText="1"/>
    </xf>
    <xf numFmtId="172" fontId="27" fillId="0" borderId="3">
      <alignment horizontal="center" vertical="top"/>
    </xf>
    <xf numFmtId="172" fontId="27" fillId="0" borderId="3">
      <alignment horizontal="left" vertical="top"/>
    </xf>
    <xf numFmtId="172" fontId="27" fillId="0" borderId="3">
      <alignment vertical="top"/>
    </xf>
    <xf numFmtId="43" fontId="27" fillId="0" borderId="3">
      <alignment horizontal="left" vertical="top"/>
    </xf>
    <xf numFmtId="236" fontId="27" fillId="0" borderId="3">
      <alignment horizontal="center" vertical="top"/>
    </xf>
    <xf numFmtId="43" fontId="7" fillId="0" borderId="0">
      <alignment horizontal="center"/>
    </xf>
    <xf numFmtId="172" fontId="28" fillId="0" borderId="24">
      <alignment horizontal="right" vertical="center"/>
    </xf>
    <xf numFmtId="239" fontId="28" fillId="0" borderId="24">
      <alignment horizontal="left"/>
    </xf>
    <xf numFmtId="242" fontId="28" fillId="0" borderId="24">
      <alignment horizontal="left"/>
    </xf>
    <xf numFmtId="170" fontId="28" fillId="0" borderId="24">
      <alignment horizontal="right" vertical="center"/>
    </xf>
    <xf numFmtId="172" fontId="28" fillId="0" borderId="0">
      <alignment horizontal="left"/>
    </xf>
    <xf numFmtId="172" fontId="28" fillId="0" borderId="10">
      <alignment horizontal="right" vertical="center"/>
    </xf>
    <xf numFmtId="239" fontId="28" fillId="0" borderId="10">
      <alignment horizontal="left"/>
    </xf>
    <xf numFmtId="242" fontId="28" fillId="0" borderId="10">
      <alignment horizontal="left"/>
    </xf>
    <xf numFmtId="170" fontId="28" fillId="0" borderId="10">
      <alignment horizontal="right"/>
    </xf>
    <xf numFmtId="243" fontId="28" fillId="0" borderId="28">
      <alignment horizontal="left"/>
    </xf>
    <xf numFmtId="172" fontId="28" fillId="0" borderId="10">
      <alignment horizontal="left" vertical="center"/>
    </xf>
    <xf numFmtId="171" fontId="7" fillId="0" borderId="0">
      <alignment horizontal="center"/>
    </xf>
    <xf numFmtId="43" fontId="7" fillId="14" borderId="0">
      <alignment horizontal="center"/>
    </xf>
    <xf numFmtId="43" fontId="7" fillId="19" borderId="0">
      <alignment horizontal="center"/>
    </xf>
    <xf numFmtId="242" fontId="28" fillId="0" borderId="0">
      <alignment horizontal="left"/>
    </xf>
    <xf numFmtId="169" fontId="25" fillId="0" borderId="0" applyFill="0" applyBorder="0" applyAlignment="0" applyProtection="0"/>
    <xf numFmtId="172" fontId="80" fillId="0" borderId="0">
      <alignment horizontal="center"/>
    </xf>
    <xf numFmtId="172" fontId="28" fillId="0" borderId="0">
      <alignment horizontal="right"/>
    </xf>
    <xf numFmtId="243" fontId="28" fillId="0" borderId="27">
      <alignment horizontal="left"/>
    </xf>
    <xf numFmtId="43" fontId="27" fillId="0" borderId="26">
      <alignment horizontal="center"/>
    </xf>
    <xf numFmtId="172" fontId="28" fillId="0" borderId="3">
      <alignment horizontal="right" vertical="center"/>
    </xf>
    <xf numFmtId="244" fontId="28" fillId="0" borderId="27">
      <alignment horizontal="left"/>
    </xf>
    <xf numFmtId="172" fontId="27" fillId="13" borderId="0"/>
    <xf numFmtId="172" fontId="27" fillId="13" borderId="0">
      <alignment horizontal="center" vertical="top"/>
    </xf>
    <xf numFmtId="172" fontId="27" fillId="0" borderId="10"/>
    <xf numFmtId="172" fontId="27" fillId="13" borderId="0">
      <alignment horizontal="center" vertical="top"/>
    </xf>
    <xf numFmtId="172" fontId="27" fillId="13" borderId="0">
      <alignment horizontal="right" vertical="top"/>
    </xf>
    <xf numFmtId="170" fontId="27" fillId="13" borderId="0">
      <alignment horizontal="center" vertical="top"/>
    </xf>
    <xf numFmtId="170" fontId="28" fillId="0" borderId="0">
      <alignment horizontal="right"/>
    </xf>
    <xf numFmtId="43" fontId="27" fillId="13" borderId="0">
      <alignment horizontal="center" vertical="top"/>
    </xf>
    <xf numFmtId="235" fontId="27" fillId="13" borderId="0">
      <alignment horizontal="center" vertical="top"/>
    </xf>
    <xf numFmtId="236" fontId="27" fillId="13" borderId="0">
      <alignment horizontal="center" vertical="top"/>
    </xf>
    <xf numFmtId="236" fontId="27" fillId="13" borderId="0">
      <alignment horizontal="center" vertical="top" wrapText="1"/>
    </xf>
    <xf numFmtId="172" fontId="27" fillId="13" borderId="0">
      <alignment horizontal="left" vertical="top"/>
    </xf>
    <xf numFmtId="43" fontId="27" fillId="13" borderId="0">
      <alignment horizontal="left" vertical="top"/>
    </xf>
    <xf numFmtId="43" fontId="27" fillId="13" borderId="0"/>
    <xf numFmtId="172" fontId="27" fillId="14" borderId="0">
      <alignment horizontal="center" vertical="top"/>
    </xf>
    <xf numFmtId="172" fontId="27" fillId="14" borderId="0">
      <alignment horizontal="right" vertical="top"/>
    </xf>
    <xf numFmtId="170" fontId="27" fillId="14" borderId="0">
      <alignment horizontal="center" vertical="top"/>
    </xf>
    <xf numFmtId="172" fontId="27" fillId="0" borderId="0">
      <alignment horizontal="right"/>
    </xf>
    <xf numFmtId="43" fontId="27" fillId="14" borderId="0">
      <alignment horizontal="center" vertical="top"/>
    </xf>
    <xf numFmtId="235" fontId="27" fillId="14" borderId="0">
      <alignment horizontal="center" vertical="top"/>
    </xf>
    <xf numFmtId="236" fontId="27" fillId="14" borderId="0">
      <alignment horizontal="center" vertical="top"/>
    </xf>
    <xf numFmtId="236" fontId="27" fillId="14" borderId="0">
      <alignment horizontal="center" vertical="top" wrapText="1"/>
    </xf>
    <xf numFmtId="172" fontId="27" fillId="14" borderId="0">
      <alignment horizontal="center" vertical="top"/>
    </xf>
    <xf numFmtId="172" fontId="27" fillId="14" borderId="0">
      <alignment horizontal="left" vertical="top"/>
    </xf>
    <xf numFmtId="172" fontId="27" fillId="14" borderId="0"/>
    <xf numFmtId="43" fontId="27" fillId="14" borderId="0">
      <alignment horizontal="left" vertical="top"/>
    </xf>
    <xf numFmtId="235" fontId="27" fillId="14" borderId="0">
      <alignment horizontal="center" vertical="top"/>
    </xf>
    <xf numFmtId="236" fontId="80" fillId="14" borderId="0">
      <alignment horizontal="center" wrapText="1"/>
    </xf>
    <xf numFmtId="172" fontId="27" fillId="0" borderId="0"/>
    <xf numFmtId="172" fontId="27" fillId="14" borderId="0">
      <alignment horizontal="left" vertical="top"/>
    </xf>
    <xf numFmtId="172" fontId="27" fillId="14" borderId="0">
      <alignment horizontal="right"/>
    </xf>
    <xf numFmtId="172" fontId="27" fillId="14" borderId="0">
      <alignment horizontal="right"/>
    </xf>
    <xf numFmtId="4" fontId="60" fillId="14" borderId="0">
      <alignment horizontal="right" vertical="top"/>
    </xf>
    <xf numFmtId="43" fontId="27" fillId="14" borderId="0">
      <alignment horizontal="center" vertical="top"/>
    </xf>
    <xf numFmtId="236" fontId="27" fillId="14" borderId="0">
      <alignment horizontal="center" vertical="top" wrapText="1"/>
    </xf>
    <xf numFmtId="43" fontId="27" fillId="14" borderId="0">
      <alignment horizontal="left" vertical="top"/>
    </xf>
    <xf numFmtId="172" fontId="28" fillId="6" borderId="9">
      <alignment horizontal="right" wrapText="1"/>
    </xf>
    <xf numFmtId="172" fontId="28" fillId="6" borderId="9">
      <alignment horizontal="center" wrapText="1"/>
    </xf>
    <xf numFmtId="170" fontId="28" fillId="6" borderId="9">
      <alignment horizontal="right" wrapText="1"/>
    </xf>
    <xf numFmtId="43" fontId="28" fillId="6" borderId="9">
      <alignment horizontal="center" wrapText="1"/>
    </xf>
    <xf numFmtId="235" fontId="28" fillId="6" borderId="9">
      <alignment horizontal="center" wrapText="1"/>
    </xf>
    <xf numFmtId="235" fontId="28" fillId="6" borderId="9">
      <alignment horizontal="center" wrapText="1"/>
    </xf>
    <xf numFmtId="207" fontId="29" fillId="0" borderId="0">
      <alignment horizontal="left" vertical="center" wrapText="1"/>
    </xf>
    <xf numFmtId="172" fontId="27" fillId="0" borderId="0">
      <alignment horizontal="right"/>
    </xf>
    <xf numFmtId="172" fontId="27" fillId="0" borderId="0"/>
    <xf numFmtId="170" fontId="27" fillId="0" borderId="0">
      <alignment horizontal="right"/>
    </xf>
    <xf numFmtId="43" fontId="27" fillId="0" borderId="0">
      <alignment horizontal="center"/>
    </xf>
    <xf numFmtId="235" fontId="27" fillId="0" borderId="0"/>
    <xf numFmtId="235" fontId="27" fillId="0" borderId="0">
      <alignment wrapText="1"/>
    </xf>
    <xf numFmtId="170" fontId="27" fillId="0" borderId="0">
      <alignment horizontal="center" vertical="top"/>
    </xf>
    <xf numFmtId="172" fontId="27" fillId="0" borderId="0">
      <alignment horizontal="center" vertical="top"/>
    </xf>
    <xf numFmtId="172" fontId="27" fillId="0" borderId="0">
      <alignment horizontal="center" vertical="top"/>
    </xf>
    <xf numFmtId="172" fontId="27" fillId="0" borderId="0">
      <alignment horizontal="left" vertical="top"/>
    </xf>
    <xf numFmtId="172" fontId="27" fillId="0" borderId="0">
      <alignment horizontal="right" vertical="center" wrapText="1"/>
    </xf>
    <xf numFmtId="172" fontId="27" fillId="0" borderId="0">
      <alignment horizontal="right" vertical="top"/>
    </xf>
    <xf numFmtId="170" fontId="27" fillId="0" borderId="0">
      <alignment horizontal="center" vertical="top"/>
    </xf>
    <xf numFmtId="170" fontId="80" fillId="0" borderId="0">
      <alignment horizontal="right"/>
    </xf>
    <xf numFmtId="43" fontId="80" fillId="0" borderId="0">
      <alignment horizontal="center"/>
    </xf>
    <xf numFmtId="235" fontId="80" fillId="0" borderId="0"/>
    <xf numFmtId="236" fontId="80" fillId="0" borderId="0">
      <alignment horizontal="center"/>
    </xf>
    <xf numFmtId="236" fontId="80" fillId="0" borderId="0">
      <alignment horizontal="center" wrapText="1"/>
    </xf>
    <xf numFmtId="235" fontId="80" fillId="0" borderId="0">
      <alignment wrapText="1"/>
    </xf>
    <xf numFmtId="43" fontId="60" fillId="0" borderId="0">
      <alignment horizontal="center"/>
    </xf>
    <xf numFmtId="43" fontId="60" fillId="0" borderId="0"/>
    <xf numFmtId="172" fontId="27" fillId="0" borderId="0">
      <alignment horizontal="center" vertical="center" wrapText="1"/>
    </xf>
    <xf numFmtId="43" fontId="60" fillId="0" borderId="17">
      <alignment horizontal="center" vertical="center"/>
    </xf>
    <xf numFmtId="43" fontId="60" fillId="0" borderId="12">
      <alignment horizontal="center" vertical="center"/>
    </xf>
    <xf numFmtId="43" fontId="84" fillId="0" borderId="12">
      <alignment horizontal="center" vertical="center"/>
    </xf>
    <xf numFmtId="43" fontId="84" fillId="0" borderId="13">
      <alignment horizontal="center"/>
    </xf>
    <xf numFmtId="43" fontId="84" fillId="0" borderId="0">
      <alignment horizontal="center"/>
    </xf>
    <xf numFmtId="2" fontId="84" fillId="0" borderId="0">
      <alignment horizontal="center"/>
    </xf>
    <xf numFmtId="43" fontId="84" fillId="0" borderId="14">
      <alignment horizontal="center"/>
    </xf>
    <xf numFmtId="43" fontId="84" fillId="0" borderId="0">
      <alignment horizontal="center"/>
    </xf>
    <xf numFmtId="172" fontId="84" fillId="0" borderId="0">
      <alignment horizontal="center" wrapText="1"/>
    </xf>
    <xf numFmtId="172" fontId="84" fillId="0" borderId="3">
      <alignment horizontal="center" wrapText="1"/>
    </xf>
    <xf numFmtId="170" fontId="27" fillId="0" borderId="0">
      <alignment horizontal="right" vertical="center" wrapText="1"/>
    </xf>
    <xf numFmtId="165" fontId="84" fillId="0" borderId="3">
      <alignment horizontal="center" wrapText="1"/>
    </xf>
    <xf numFmtId="43" fontId="92" fillId="0" borderId="0">
      <alignment horizontal="left"/>
    </xf>
    <xf numFmtId="43" fontId="84" fillId="0" borderId="0">
      <alignment horizontal="center" wrapText="1"/>
    </xf>
    <xf numFmtId="43" fontId="84" fillId="0" borderId="0">
      <alignment wrapText="1"/>
    </xf>
    <xf numFmtId="43" fontId="84" fillId="6" borderId="9">
      <alignment horizontal="right" wrapText="1"/>
    </xf>
    <xf numFmtId="43" fontId="84" fillId="6" borderId="9">
      <alignment horizontal="center" wrapText="1"/>
    </xf>
    <xf numFmtId="172" fontId="7" fillId="0" borderId="0"/>
    <xf numFmtId="172" fontId="7" fillId="0" borderId="0">
      <alignment horizontal="center"/>
    </xf>
    <xf numFmtId="172" fontId="7" fillId="0" borderId="0">
      <alignment horizontal="left"/>
    </xf>
    <xf numFmtId="172" fontId="7" fillId="0" borderId="0">
      <alignment horizontal="center"/>
    </xf>
    <xf numFmtId="43" fontId="28" fillId="0" borderId="0">
      <alignment horizontal="center" vertical="center" wrapText="1"/>
    </xf>
    <xf numFmtId="172" fontId="25" fillId="0" borderId="0">
      <alignment horizontal="center"/>
    </xf>
    <xf numFmtId="172" fontId="7" fillId="0" borderId="0"/>
    <xf numFmtId="172" fontId="85" fillId="0" borderId="0">
      <alignment horizontal="left" vertical="center"/>
    </xf>
    <xf numFmtId="172" fontId="28" fillId="0" borderId="27"/>
    <xf numFmtId="172" fontId="28" fillId="0" borderId="0"/>
    <xf numFmtId="43" fontId="28" fillId="0" borderId="0"/>
    <xf numFmtId="43" fontId="28" fillId="0" borderId="0">
      <alignment horizontal="center"/>
    </xf>
    <xf numFmtId="172" fontId="28" fillId="0" borderId="0">
      <alignment horizontal="center"/>
    </xf>
    <xf numFmtId="172" fontId="28" fillId="6" borderId="24">
      <alignment horizontal="center"/>
    </xf>
    <xf numFmtId="49" fontId="27" fillId="0" borderId="0">
      <alignment horizontal="left"/>
    </xf>
    <xf numFmtId="235" fontId="28" fillId="0" borderId="0">
      <alignment horizontal="center" vertical="center" wrapText="1"/>
    </xf>
    <xf numFmtId="49" fontId="27" fillId="0" borderId="13">
      <alignment horizontal="left"/>
    </xf>
    <xf numFmtId="49" fontId="27" fillId="0" borderId="15">
      <alignment horizontal="left"/>
    </xf>
    <xf numFmtId="172" fontId="82" fillId="0" borderId="14"/>
    <xf numFmtId="49" fontId="27" fillId="0" borderId="14">
      <alignment horizontal="left"/>
    </xf>
    <xf numFmtId="172" fontId="7" fillId="0" borderId="0">
      <alignment horizontal="center"/>
    </xf>
    <xf numFmtId="172" fontId="7" fillId="0" borderId="0"/>
    <xf numFmtId="172" fontId="7" fillId="0" borderId="0"/>
    <xf numFmtId="172" fontId="25" fillId="0" borderId="0">
      <alignment horizontal="right"/>
    </xf>
    <xf numFmtId="172" fontId="25" fillId="0" borderId="0">
      <alignment horizontal="center"/>
    </xf>
    <xf numFmtId="172" fontId="25" fillId="0" borderId="3"/>
    <xf numFmtId="172" fontId="28" fillId="0" borderId="0">
      <alignment horizontal="left" vertical="center" wrapText="1"/>
    </xf>
    <xf numFmtId="172" fontId="25" fillId="0" borderId="3">
      <alignment horizontal="center"/>
    </xf>
    <xf numFmtId="172" fontId="25" fillId="0" borderId="3">
      <alignment horizontal="center" wrapText="1"/>
    </xf>
    <xf numFmtId="172" fontId="25" fillId="0" borderId="0"/>
    <xf numFmtId="172" fontId="25" fillId="0" borderId="3">
      <alignment horizontal="center" wrapText="1"/>
    </xf>
    <xf numFmtId="172" fontId="25" fillId="0" borderId="0">
      <alignment horizontal="center"/>
    </xf>
    <xf numFmtId="172" fontId="25" fillId="0" borderId="3">
      <alignment horizontal="center"/>
    </xf>
    <xf numFmtId="172" fontId="25" fillId="0" borderId="0"/>
    <xf numFmtId="172" fontId="25" fillId="0" borderId="3">
      <alignment horizontal="left" wrapText="1"/>
    </xf>
    <xf numFmtId="236" fontId="7" fillId="0" borderId="0">
      <alignment horizontal="center"/>
    </xf>
    <xf numFmtId="236" fontId="7" fillId="0" borderId="0">
      <alignment horizontal="left"/>
    </xf>
    <xf numFmtId="0" fontId="93" fillId="0" borderId="0"/>
    <xf numFmtId="10" fontId="11" fillId="0" borderId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227" fontId="11" fillId="0" borderId="0"/>
    <xf numFmtId="0" fontId="94" fillId="6" borderId="0"/>
    <xf numFmtId="0" fontId="59" fillId="0" borderId="0" applyNumberFormat="0" applyFont="0" applyFill="0" applyBorder="0" applyAlignment="0" applyProtection="0">
      <alignment horizontal="left"/>
    </xf>
    <xf numFmtId="15" fontId="59" fillId="0" borderId="0" applyFont="0" applyFill="0" applyBorder="0" applyAlignment="0" applyProtection="0"/>
    <xf numFmtId="4" fontId="59" fillId="0" borderId="0" applyFont="0" applyFill="0" applyBorder="0" applyAlignment="0" applyProtection="0"/>
    <xf numFmtId="0" fontId="95" fillId="0" borderId="10">
      <alignment horizontal="center"/>
    </xf>
    <xf numFmtId="3" fontId="59" fillId="0" borderId="0" applyFont="0" applyFill="0" applyBorder="0" applyAlignment="0" applyProtection="0"/>
    <xf numFmtId="0" fontId="59" fillId="20" borderId="0" applyNumberFormat="0" applyFont="0" applyBorder="0" applyAlignment="0" applyProtection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245" fontId="96" fillId="0" borderId="0"/>
    <xf numFmtId="0" fontId="11" fillId="0" borderId="0" applyFont="0" applyFill="0" applyBorder="0" applyProtection="0">
      <alignment horizontal="right"/>
    </xf>
    <xf numFmtId="0" fontId="11" fillId="0" borderId="0" applyFont="0" applyFill="0" applyBorder="0" applyProtection="0">
      <alignment horizontal="right"/>
    </xf>
    <xf numFmtId="0" fontId="11" fillId="0" borderId="0" applyFont="0" applyFill="0" applyBorder="0" applyProtection="0">
      <alignment horizontal="right"/>
    </xf>
    <xf numFmtId="0" fontId="97" fillId="21" borderId="0" applyNumberFormat="0" applyFont="0" applyBorder="0" applyAlignment="0">
      <alignment horizontal="center"/>
    </xf>
    <xf numFmtId="14" fontId="46" fillId="0" borderId="0" applyNumberFormat="0" applyFill="0" applyBorder="0" applyAlignment="0" applyProtection="0">
      <alignment horizontal="left"/>
    </xf>
    <xf numFmtId="49" fontId="7" fillId="0" borderId="0" applyFont="0" applyFill="0" applyBorder="0" applyProtection="0">
      <alignment horizontal="right"/>
    </xf>
    <xf numFmtId="49" fontId="25" fillId="0" borderId="0" applyFill="0" applyBorder="0" applyProtection="0">
      <alignment horizontal="right"/>
    </xf>
    <xf numFmtId="49" fontId="25" fillId="0" borderId="3" applyFill="0" applyProtection="0">
      <alignment horizontal="right"/>
    </xf>
    <xf numFmtId="49" fontId="25" fillId="0" borderId="12" applyFill="0" applyProtection="0">
      <alignment horizontal="right"/>
    </xf>
    <xf numFmtId="0" fontId="69" fillId="0" borderId="0" applyFill="0" applyBorder="0" applyProtection="0">
      <alignment horizontal="left"/>
    </xf>
    <xf numFmtId="0" fontId="18" fillId="22" borderId="0"/>
    <xf numFmtId="0" fontId="97" fillId="1" borderId="8" applyNumberFormat="0" applyFont="0" applyAlignment="0">
      <alignment horizontal="center"/>
    </xf>
    <xf numFmtId="246" fontId="98" fillId="0" borderId="0" applyFont="0" applyFill="0" applyBorder="0" applyAlignment="0" applyProtection="0"/>
    <xf numFmtId="1" fontId="11" fillId="0" borderId="0"/>
    <xf numFmtId="0" fontId="7" fillId="0" borderId="0" applyFont="0" applyFill="0" applyBorder="0" applyAlignment="0" applyProtection="0"/>
    <xf numFmtId="0" fontId="25" fillId="0" borderId="0" applyFill="0" applyBorder="0" applyAlignment="0" applyProtection="0"/>
    <xf numFmtId="42" fontId="26" fillId="0" borderId="0" applyFill="0" applyBorder="0" applyAlignment="0" applyProtection="0"/>
    <xf numFmtId="0" fontId="99" fillId="0" borderId="0" applyNumberFormat="0" applyFill="0" applyBorder="0" applyAlignment="0">
      <alignment horizontal="center"/>
    </xf>
    <xf numFmtId="12" fontId="11" fillId="0" borderId="0" applyFont="0" applyFill="0" applyBorder="0" applyProtection="0">
      <alignment horizontal="right"/>
    </xf>
    <xf numFmtId="0" fontId="11" fillId="23" borderId="0" applyFont="0" applyFill="0" applyBorder="0" applyProtection="0">
      <alignment horizontal="right"/>
    </xf>
    <xf numFmtId="0" fontId="9" fillId="0" borderId="0">
      <alignment vertical="top"/>
    </xf>
    <xf numFmtId="0" fontId="84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28" fillId="0" borderId="0" applyNumberFormat="0" applyFill="0" applyBorder="0" applyProtection="0">
      <alignment horizontal="left"/>
    </xf>
    <xf numFmtId="0" fontId="28" fillId="0" borderId="0" applyFill="0" applyBorder="0" applyProtection="0">
      <alignment horizontal="left" wrapText="1"/>
    </xf>
    <xf numFmtId="0" fontId="28" fillId="0" borderId="0" applyNumberFormat="0" applyFill="0" applyBorder="0" applyProtection="0">
      <alignment horizontal="right" wrapText="1"/>
    </xf>
    <xf numFmtId="1" fontId="27" fillId="0" borderId="0" applyFill="0" applyBorder="0" applyProtection="0">
      <alignment horizontal="left"/>
    </xf>
    <xf numFmtId="49" fontId="27" fillId="0" borderId="0" applyFill="0" applyBorder="0" applyProtection="0">
      <alignment horizontal="left"/>
    </xf>
    <xf numFmtId="1" fontId="27" fillId="0" borderId="0" applyFill="0" applyBorder="0" applyProtection="0">
      <alignment horizontal="center"/>
    </xf>
    <xf numFmtId="37" fontId="27" fillId="0" borderId="0" applyFill="0" applyBorder="0" applyProtection="0">
      <alignment horizontal="right"/>
    </xf>
    <xf numFmtId="7" fontId="27" fillId="0" borderId="0" applyFill="0" applyBorder="0" applyProtection="0">
      <alignment horizontal="right"/>
    </xf>
    <xf numFmtId="247" fontId="27" fillId="0" borderId="0" applyFill="0" applyBorder="0" applyProtection="0">
      <alignment horizontal="left"/>
    </xf>
    <xf numFmtId="37" fontId="28" fillId="0" borderId="0" applyFill="0" applyBorder="0" applyProtection="0">
      <alignment horizontal="right"/>
    </xf>
    <xf numFmtId="7" fontId="28" fillId="0" borderId="0" applyFill="0" applyBorder="0" applyProtection="0">
      <alignment horizontal="right"/>
    </xf>
    <xf numFmtId="248" fontId="27" fillId="0" borderId="0" applyFill="0" applyBorder="0" applyProtection="0">
      <alignment horizontal="right"/>
    </xf>
    <xf numFmtId="249" fontId="27" fillId="0" borderId="0" applyFill="0" applyBorder="0" applyProtection="0">
      <alignment horizontal="right"/>
    </xf>
    <xf numFmtId="250" fontId="27" fillId="0" borderId="0" applyFill="0" applyBorder="0" applyProtection="0">
      <alignment horizontal="right"/>
    </xf>
    <xf numFmtId="14" fontId="27" fillId="0" borderId="0" applyFill="0" applyBorder="0" applyProtection="0">
      <alignment horizontal="right"/>
    </xf>
    <xf numFmtId="14" fontId="27" fillId="0" borderId="0" applyFill="0" applyBorder="0" applyProtection="0">
      <alignment horizontal="right"/>
    </xf>
    <xf numFmtId="251" fontId="27" fillId="0" borderId="0" applyFill="0" applyBorder="0" applyProtection="0">
      <alignment horizontal="left"/>
    </xf>
    <xf numFmtId="252" fontId="27" fillId="0" borderId="0" applyFill="0" applyBorder="0" applyProtection="0">
      <alignment horizontal="left"/>
    </xf>
    <xf numFmtId="248" fontId="28" fillId="0" borderId="0" applyFill="0" applyBorder="0" applyProtection="0">
      <alignment horizontal="right"/>
    </xf>
    <xf numFmtId="1" fontId="28" fillId="0" borderId="0" applyFill="0" applyBorder="0" applyProtection="0">
      <alignment horizontal="left"/>
    </xf>
    <xf numFmtId="247" fontId="28" fillId="0" borderId="0" applyFill="0" applyBorder="0" applyProtection="0">
      <alignment horizontal="left"/>
    </xf>
    <xf numFmtId="37" fontId="28" fillId="0" borderId="0" applyFill="0" applyBorder="0" applyProtection="0">
      <alignment horizontal="right"/>
    </xf>
    <xf numFmtId="1" fontId="100" fillId="0" borderId="0" applyFill="0" applyBorder="0" applyProtection="0">
      <alignment horizontal="left"/>
    </xf>
    <xf numFmtId="49" fontId="27" fillId="0" borderId="0" applyFill="0" applyBorder="0" applyProtection="0">
      <alignment horizontal="left"/>
    </xf>
    <xf numFmtId="252" fontId="27" fillId="0" borderId="0" applyFill="0" applyBorder="0" applyProtection="0">
      <alignment horizontal="left"/>
    </xf>
    <xf numFmtId="0" fontId="9" fillId="0" borderId="0" applyNumberFormat="0" applyBorder="0" applyAlignment="0"/>
    <xf numFmtId="0" fontId="19" fillId="0" borderId="0"/>
    <xf numFmtId="40" fontId="101" fillId="0" borderId="0" applyBorder="0">
      <alignment horizontal="right"/>
    </xf>
    <xf numFmtId="6" fontId="75" fillId="0" borderId="36" applyFill="0">
      <alignment vertical="center"/>
    </xf>
    <xf numFmtId="0" fontId="20" fillId="0" borderId="0"/>
    <xf numFmtId="0" fontId="102" fillId="0" borderId="0"/>
    <xf numFmtId="0" fontId="7" fillId="0" borderId="0"/>
    <xf numFmtId="49" fontId="9" fillId="0" borderId="0" applyFill="0" applyBorder="0" applyAlignment="0"/>
    <xf numFmtId="0" fontId="31" fillId="0" borderId="0" applyFill="0" applyBorder="0" applyAlignment="0"/>
    <xf numFmtId="201" fontId="11" fillId="0" borderId="0" applyFill="0" applyBorder="0" applyAlignment="0"/>
    <xf numFmtId="0" fontId="21" fillId="0" borderId="0"/>
    <xf numFmtId="0" fontId="22" fillId="0" borderId="0"/>
    <xf numFmtId="0" fontId="23" fillId="0" borderId="0">
      <alignment vertical="top"/>
    </xf>
    <xf numFmtId="253" fontId="75" fillId="0" borderId="0" applyFill="0" applyBorder="0">
      <alignment vertical="center"/>
    </xf>
    <xf numFmtId="0" fontId="2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38" fontId="103" fillId="0" borderId="0" applyNumberFormat="0" applyFill="0" applyBorder="0">
      <alignment horizontal="left" vertical="center"/>
    </xf>
    <xf numFmtId="38" fontId="104" fillId="0" borderId="0" applyNumberFormat="0" applyFill="0" applyBorder="0">
      <alignment horizontal="centerContinuous" vertical="center"/>
    </xf>
    <xf numFmtId="0" fontId="24" fillId="0" borderId="0">
      <alignment vertical="top"/>
    </xf>
    <xf numFmtId="0" fontId="10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0" fillId="0" borderId="0" applyFill="0" applyBorder="0" applyAlignment="0" applyProtection="0"/>
    <xf numFmtId="0" fontId="21" fillId="0" borderId="0">
      <alignment wrapText="1"/>
    </xf>
    <xf numFmtId="0" fontId="106" fillId="0" borderId="0">
      <alignment horizontal="left"/>
      <protection locked="0"/>
    </xf>
    <xf numFmtId="5" fontId="91" fillId="0" borderId="0">
      <alignment vertical="center"/>
    </xf>
    <xf numFmtId="223" fontId="31" fillId="0" borderId="0"/>
    <xf numFmtId="254" fontId="32" fillId="0" borderId="0" applyFill="0" applyBorder="0" applyAlignment="0" applyProtection="0"/>
    <xf numFmtId="14" fontId="27" fillId="0" borderId="0" applyFont="0" applyFill="0" applyBorder="0" applyProtection="0"/>
    <xf numFmtId="255" fontId="107" fillId="0" borderId="0" applyFill="0" applyBorder="0">
      <alignment vertical="center"/>
    </xf>
    <xf numFmtId="0" fontId="75" fillId="24" borderId="37" applyNumberFormat="0" applyFont="0" applyBorder="0" applyAlignment="0" applyProtection="0">
      <alignment horizontal="right"/>
    </xf>
    <xf numFmtId="256" fontId="26" fillId="0" borderId="0" applyFont="0" applyFill="0" applyBorder="0" applyAlignment="0" applyProtection="0"/>
    <xf numFmtId="255" fontId="108" fillId="0" borderId="0">
      <alignment horizont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7" fillId="0" borderId="0"/>
    <xf numFmtId="164" fontId="128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128" fillId="0" borderId="0"/>
    <xf numFmtId="0" fontId="2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6" fillId="0" borderId="0"/>
    <xf numFmtId="263" fontId="9" fillId="30" borderId="0">
      <alignment horizontal="right"/>
    </xf>
    <xf numFmtId="0" fontId="129" fillId="30" borderId="0" applyBorder="0">
      <alignment horizontal="centerContinuous"/>
    </xf>
    <xf numFmtId="0" fontId="2" fillId="0" borderId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128" fillId="0" borderId="0" applyFont="0" applyFill="0" applyBorder="0" applyAlignment="0" applyProtection="0"/>
    <xf numFmtId="0" fontId="2" fillId="0" borderId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2" fillId="0" borderId="0"/>
    <xf numFmtId="0" fontId="2" fillId="0" borderId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128" fillId="0" borderId="0" applyFont="0" applyFill="0" applyBorder="0" applyAlignment="0" applyProtection="0"/>
    <xf numFmtId="0" fontId="2" fillId="0" borderId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164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1">
    <xf numFmtId="0" fontId="0" fillId="0" borderId="0" xfId="0"/>
    <xf numFmtId="0" fontId="5" fillId="0" borderId="0" xfId="894"/>
    <xf numFmtId="170" fontId="114" fillId="0" borderId="43" xfId="895" applyNumberFormat="1" applyFont="1" applyFill="1" applyBorder="1" applyAlignment="1">
      <alignment horizontal="right" wrapText="1"/>
    </xf>
    <xf numFmtId="0" fontId="114" fillId="0" borderId="42" xfId="896" applyFont="1" applyBorder="1"/>
    <xf numFmtId="170" fontId="120" fillId="0" borderId="27" xfId="895" applyNumberFormat="1" applyFont="1" applyFill="1" applyBorder="1" applyAlignment="1">
      <alignment horizontal="left" wrapText="1"/>
    </xf>
    <xf numFmtId="0" fontId="110" fillId="0" borderId="21" xfId="896" applyFont="1" applyBorder="1" applyAlignment="1">
      <alignment horizontal="left" wrapText="1"/>
    </xf>
    <xf numFmtId="0" fontId="114" fillId="0" borderId="40" xfId="896" applyFont="1" applyBorder="1" applyAlignment="1">
      <alignment horizontal="left" wrapText="1"/>
    </xf>
    <xf numFmtId="170" fontId="114" fillId="0" borderId="0" xfId="895" applyNumberFormat="1" applyFont="1" applyFill="1" applyBorder="1" applyAlignment="1">
      <alignment horizontal="right" wrapText="1"/>
    </xf>
    <xf numFmtId="0" fontId="114" fillId="0" borderId="0" xfId="896" applyFont="1"/>
    <xf numFmtId="0" fontId="114" fillId="0" borderId="41" xfId="896" applyFont="1" applyBorder="1" applyAlignment="1">
      <alignment horizontal="right" wrapText="1"/>
    </xf>
    <xf numFmtId="0" fontId="117" fillId="0" borderId="0" xfId="896" applyFont="1"/>
    <xf numFmtId="172" fontId="121" fillId="0" borderId="0" xfId="895" applyNumberFormat="1" applyFont="1" applyFill="1"/>
    <xf numFmtId="0" fontId="121" fillId="0" borderId="0" xfId="896" applyFont="1"/>
    <xf numFmtId="0" fontId="110" fillId="0" borderId="0" xfId="896" applyFont="1"/>
    <xf numFmtId="165" fontId="110" fillId="0" borderId="0" xfId="894" applyNumberFormat="1" applyFont="1"/>
    <xf numFmtId="258" fontId="114" fillId="0" borderId="0" xfId="896" applyNumberFormat="1" applyFont="1"/>
    <xf numFmtId="170" fontId="114" fillId="0" borderId="0" xfId="895" applyNumberFormat="1" applyFont="1" applyFill="1" applyBorder="1"/>
    <xf numFmtId="170" fontId="114" fillId="0" borderId="8" xfId="895" applyNumberFormat="1" applyFont="1" applyFill="1" applyBorder="1"/>
    <xf numFmtId="0" fontId="114" fillId="0" borderId="8" xfId="896" applyFont="1" applyBorder="1"/>
    <xf numFmtId="258" fontId="110" fillId="0" borderId="0" xfId="896" applyNumberFormat="1" applyFont="1"/>
    <xf numFmtId="170" fontId="110" fillId="0" borderId="0" xfId="895" applyNumberFormat="1" applyFont="1" applyFill="1"/>
    <xf numFmtId="258" fontId="5" fillId="0" borderId="0" xfId="894" applyNumberFormat="1"/>
    <xf numFmtId="170" fontId="114" fillId="0" borderId="0" xfId="896" applyNumberFormat="1" applyFont="1" applyAlignment="1">
      <alignment horizontal="center" vertical="center" wrapText="1"/>
    </xf>
    <xf numFmtId="0" fontId="114" fillId="0" borderId="0" xfId="896" applyFont="1" applyAlignment="1">
      <alignment horizontal="left" wrapText="1"/>
    </xf>
    <xf numFmtId="170" fontId="120" fillId="0" borderId="0" xfId="895" applyNumberFormat="1" applyFont="1" applyFill="1" applyBorder="1" applyAlignment="1">
      <alignment horizontal="center" wrapText="1"/>
    </xf>
    <xf numFmtId="0" fontId="110" fillId="0" borderId="0" xfId="896" applyFont="1" applyAlignment="1">
      <alignment horizontal="left" wrapText="1"/>
    </xf>
    <xf numFmtId="0" fontId="114" fillId="0" borderId="0" xfId="896" applyFont="1" applyAlignment="1">
      <alignment horizontal="right" wrapText="1"/>
    </xf>
    <xf numFmtId="0" fontId="114" fillId="0" borderId="8" xfId="896" applyFont="1" applyBorder="1" applyAlignment="1">
      <alignment horizontal="right" wrapText="1"/>
    </xf>
    <xf numFmtId="17" fontId="114" fillId="0" borderId="8" xfId="896" applyNumberFormat="1" applyFont="1" applyBorder="1" applyAlignment="1">
      <alignment horizontal="left" vertical="center" wrapText="1"/>
    </xf>
    <xf numFmtId="0" fontId="114" fillId="0" borderId="0" xfId="896" applyFont="1" applyAlignment="1">
      <alignment wrapText="1"/>
    </xf>
    <xf numFmtId="0" fontId="110" fillId="0" borderId="0" xfId="894" applyFont="1"/>
    <xf numFmtId="169" fontId="110" fillId="0" borderId="0" xfId="897" applyNumberFormat="1" applyFont="1" applyFill="1" applyBorder="1"/>
    <xf numFmtId="0" fontId="110" fillId="0" borderId="0" xfId="894" applyFont="1" applyAlignment="1">
      <alignment horizontal="right"/>
    </xf>
    <xf numFmtId="0" fontId="114" fillId="0" borderId="0" xfId="894" applyFont="1"/>
    <xf numFmtId="259" fontId="114" fillId="0" borderId="0" xfId="894" applyNumberFormat="1" applyFont="1" applyAlignment="1">
      <alignment horizontal="right"/>
    </xf>
    <xf numFmtId="258" fontId="114" fillId="0" borderId="0" xfId="894" applyNumberFormat="1" applyFont="1" applyAlignment="1">
      <alignment horizontal="right"/>
    </xf>
    <xf numFmtId="259" fontId="110" fillId="0" borderId="0" xfId="894" applyNumberFormat="1" applyFont="1" applyAlignment="1">
      <alignment horizontal="right"/>
    </xf>
    <xf numFmtId="258" fontId="110" fillId="0" borderId="0" xfId="894" applyNumberFormat="1" applyFont="1" applyAlignment="1">
      <alignment horizontal="right"/>
    </xf>
    <xf numFmtId="170" fontId="110" fillId="0" borderId="0" xfId="895" applyNumberFormat="1" applyFont="1" applyFill="1" applyBorder="1" applyAlignment="1">
      <alignment horizontal="right"/>
    </xf>
    <xf numFmtId="170" fontId="114" fillId="0" borderId="39" xfId="895" applyNumberFormat="1" applyFont="1" applyFill="1" applyBorder="1" applyAlignment="1">
      <alignment horizontal="right"/>
    </xf>
    <xf numFmtId="0" fontId="114" fillId="0" borderId="39" xfId="894" applyFont="1" applyBorder="1"/>
    <xf numFmtId="170" fontId="114" fillId="0" borderId="0" xfId="895" applyNumberFormat="1" applyFont="1" applyFill="1" applyBorder="1" applyAlignment="1">
      <alignment horizontal="right"/>
    </xf>
    <xf numFmtId="170" fontId="110" fillId="0" borderId="0" xfId="895" applyNumberFormat="1" applyFont="1"/>
    <xf numFmtId="170" fontId="114" fillId="0" borderId="0" xfId="895" applyNumberFormat="1" applyFont="1" applyFill="1"/>
    <xf numFmtId="37" fontId="110" fillId="0" borderId="0" xfId="894" applyNumberFormat="1" applyFont="1" applyAlignment="1">
      <alignment horizontal="right"/>
    </xf>
    <xf numFmtId="0" fontId="115" fillId="0" borderId="0" xfId="894" applyFont="1"/>
    <xf numFmtId="9" fontId="115" fillId="27" borderId="0" xfId="897" applyFont="1" applyFill="1" applyAlignment="1">
      <alignment horizontal="right"/>
    </xf>
    <xf numFmtId="0" fontId="115" fillId="27" borderId="0" xfId="894" applyFont="1" applyFill="1"/>
    <xf numFmtId="165" fontId="114" fillId="0" borderId="39" xfId="894" applyNumberFormat="1" applyFont="1" applyBorder="1"/>
    <xf numFmtId="165" fontId="114" fillId="0" borderId="0" xfId="894" applyNumberFormat="1" applyFont="1" applyAlignment="1">
      <alignment horizontal="right"/>
    </xf>
    <xf numFmtId="0" fontId="115" fillId="27" borderId="0" xfId="894" applyFont="1" applyFill="1" applyAlignment="1">
      <alignment horizontal="left" indent="1"/>
    </xf>
    <xf numFmtId="168" fontId="114" fillId="26" borderId="0" xfId="894" applyNumberFormat="1" applyFont="1" applyFill="1" applyAlignment="1">
      <alignment horizontal="center"/>
    </xf>
    <xf numFmtId="0" fontId="114" fillId="26" borderId="0" xfId="894" applyFont="1" applyFill="1"/>
    <xf numFmtId="0" fontId="111" fillId="0" borderId="0" xfId="894" applyFont="1"/>
    <xf numFmtId="168" fontId="114" fillId="26" borderId="3" xfId="894" applyNumberFormat="1" applyFont="1" applyFill="1" applyBorder="1" applyAlignment="1">
      <alignment horizontal="centerContinuous"/>
    </xf>
    <xf numFmtId="0" fontId="114" fillId="26" borderId="3" xfId="894" applyFont="1" applyFill="1" applyBorder="1"/>
    <xf numFmtId="170" fontId="114" fillId="0" borderId="0" xfId="895" applyNumberFormat="1" applyFont="1" applyAlignment="1">
      <alignment horizontal="right"/>
    </xf>
    <xf numFmtId="169" fontId="115" fillId="27" borderId="0" xfId="897" applyNumberFormat="1" applyFont="1" applyFill="1" applyAlignment="1">
      <alignment horizontal="right"/>
    </xf>
    <xf numFmtId="165" fontId="114" fillId="0" borderId="0" xfId="894" applyNumberFormat="1" applyFont="1"/>
    <xf numFmtId="168" fontId="114" fillId="26" borderId="3" xfId="894" applyNumberFormat="1" applyFont="1" applyFill="1" applyBorder="1" applyAlignment="1">
      <alignment horizontal="center"/>
    </xf>
    <xf numFmtId="166" fontId="114" fillId="0" borderId="0" xfId="894" applyNumberFormat="1" applyFont="1"/>
    <xf numFmtId="166" fontId="114" fillId="0" borderId="3" xfId="894" applyNumberFormat="1" applyFont="1" applyBorder="1" applyAlignment="1">
      <alignment horizontal="right"/>
    </xf>
    <xf numFmtId="0" fontId="114" fillId="0" borderId="3" xfId="894" applyFont="1" applyBorder="1"/>
    <xf numFmtId="167" fontId="110" fillId="0" borderId="0" xfId="894" applyNumberFormat="1" applyFont="1"/>
    <xf numFmtId="257" fontId="110" fillId="0" borderId="0" xfId="894" applyNumberFormat="1" applyFont="1"/>
    <xf numFmtId="257" fontId="114" fillId="0" borderId="0" xfId="894" applyNumberFormat="1" applyFont="1"/>
    <xf numFmtId="165" fontId="113" fillId="0" borderId="0" xfId="894" applyNumberFormat="1" applyFont="1"/>
    <xf numFmtId="37" fontId="117" fillId="0" borderId="0" xfId="897" applyNumberFormat="1" applyFont="1" applyFill="1"/>
    <xf numFmtId="37" fontId="113" fillId="0" borderId="0" xfId="897" applyNumberFormat="1" applyFont="1" applyFill="1" applyBorder="1"/>
    <xf numFmtId="0" fontId="110" fillId="0" borderId="0" xfId="894" applyFont="1" applyAlignment="1">
      <alignment horizontal="left"/>
    </xf>
    <xf numFmtId="165" fontId="117" fillId="0" borderId="0" xfId="894" applyNumberFormat="1" applyFont="1"/>
    <xf numFmtId="169" fontId="116" fillId="0" borderId="0" xfId="897" applyNumberFormat="1" applyFont="1" applyFill="1"/>
    <xf numFmtId="169" fontId="116" fillId="0" borderId="0" xfId="897" applyNumberFormat="1" applyFont="1" applyFill="1" applyBorder="1"/>
    <xf numFmtId="0" fontId="115" fillId="27" borderId="0" xfId="894" applyFont="1" applyFill="1" applyAlignment="1">
      <alignment horizontal="left"/>
    </xf>
    <xf numFmtId="9" fontId="110" fillId="0" borderId="0" xfId="897" applyFont="1" applyFill="1" applyBorder="1"/>
    <xf numFmtId="0" fontId="114" fillId="0" borderId="0" xfId="894" applyFont="1" applyAlignment="1">
      <alignment horizontal="left"/>
    </xf>
    <xf numFmtId="0" fontId="121" fillId="0" borderId="0" xfId="894" applyFont="1"/>
    <xf numFmtId="165" fontId="118" fillId="0" borderId="0" xfId="894" applyNumberFormat="1" applyFont="1"/>
    <xf numFmtId="169" fontId="116" fillId="27" borderId="0" xfId="897" applyNumberFormat="1" applyFont="1" applyFill="1"/>
    <xf numFmtId="9" fontId="110" fillId="0" borderId="0" xfId="897" applyFont="1"/>
    <xf numFmtId="0" fontId="115" fillId="0" borderId="0" xfId="894" applyFont="1" applyAlignment="1">
      <alignment horizontal="left" indent="1"/>
    </xf>
    <xf numFmtId="169" fontId="115" fillId="27" borderId="0" xfId="897" applyNumberFormat="1" applyFont="1" applyFill="1"/>
    <xf numFmtId="37" fontId="110" fillId="0" borderId="0" xfId="894" applyNumberFormat="1" applyFont="1"/>
    <xf numFmtId="169" fontId="116" fillId="27" borderId="0" xfId="897" applyNumberFormat="1" applyFont="1" applyFill="1" applyBorder="1"/>
    <xf numFmtId="0" fontId="110" fillId="0" borderId="0" xfId="894" applyFont="1" applyAlignment="1">
      <alignment horizontal="left" indent="1"/>
    </xf>
    <xf numFmtId="0" fontId="112" fillId="0" borderId="0" xfId="894" applyFont="1"/>
    <xf numFmtId="43" fontId="114" fillId="0" borderId="0" xfId="895" applyFont="1" applyFill="1" applyBorder="1" applyAlignment="1">
      <alignment horizontal="center"/>
    </xf>
    <xf numFmtId="43" fontId="112" fillId="0" borderId="0" xfId="895" applyFont="1" applyFill="1" applyBorder="1" applyAlignment="1">
      <alignment horizontal="center"/>
    </xf>
    <xf numFmtId="170" fontId="114" fillId="0" borderId="0" xfId="895" applyNumberFormat="1" applyFont="1" applyFill="1" applyBorder="1" applyAlignment="1">
      <alignment horizontal="center"/>
    </xf>
    <xf numFmtId="0" fontId="110" fillId="0" borderId="0" xfId="898" applyFont="1"/>
    <xf numFmtId="0" fontId="112" fillId="0" borderId="0" xfId="898" applyFont="1"/>
    <xf numFmtId="0" fontId="114" fillId="0" borderId="0" xfId="898" applyFont="1"/>
    <xf numFmtId="0" fontId="111" fillId="0" borderId="0" xfId="898" applyFont="1"/>
    <xf numFmtId="17" fontId="114" fillId="0" borderId="8" xfId="896" applyNumberFormat="1" applyFont="1" applyBorder="1" applyAlignment="1">
      <alignment horizontal="right" vertical="center" wrapText="1"/>
    </xf>
    <xf numFmtId="16" fontId="110" fillId="0" borderId="21" xfId="896" applyNumberFormat="1" applyFont="1" applyBorder="1" applyAlignment="1">
      <alignment horizontal="left" wrapText="1"/>
    </xf>
    <xf numFmtId="257" fontId="114" fillId="0" borderId="0" xfId="894" applyNumberFormat="1" applyFont="1" applyAlignment="1">
      <alignment horizontal="center"/>
    </xf>
    <xf numFmtId="170" fontId="114" fillId="0" borderId="0" xfId="900" applyNumberFormat="1" applyFont="1"/>
    <xf numFmtId="165" fontId="110" fillId="28" borderId="0" xfId="894" applyNumberFormat="1" applyFont="1" applyFill="1"/>
    <xf numFmtId="43" fontId="110" fillId="0" borderId="0" xfId="898" applyNumberFormat="1" applyFont="1"/>
    <xf numFmtId="0" fontId="110" fillId="0" borderId="0" xfId="898" applyFont="1" applyAlignment="1">
      <alignment horizontal="left" indent="1"/>
    </xf>
    <xf numFmtId="170" fontId="114" fillId="0" borderId="0" xfId="900" applyNumberFormat="1" applyFont="1" applyFill="1" applyBorder="1" applyAlignment="1">
      <alignment horizontal="center"/>
    </xf>
    <xf numFmtId="170" fontId="110" fillId="0" borderId="0" xfId="900" applyNumberFormat="1" applyFont="1" applyFill="1"/>
    <xf numFmtId="170" fontId="113" fillId="0" borderId="0" xfId="900" applyNumberFormat="1" applyFont="1" applyFill="1" applyBorder="1" applyAlignment="1">
      <alignment horizontal="center"/>
    </xf>
    <xf numFmtId="170" fontId="110" fillId="0" borderId="0" xfId="898" applyNumberFormat="1" applyFont="1"/>
    <xf numFmtId="0" fontId="126" fillId="0" borderId="0" xfId="898" applyFont="1"/>
    <xf numFmtId="172" fontId="110" fillId="0" borderId="0" xfId="900" applyNumberFormat="1" applyFont="1" applyFill="1"/>
    <xf numFmtId="170" fontId="114" fillId="0" borderId="0" xfId="900" applyNumberFormat="1" applyFont="1" applyFill="1"/>
    <xf numFmtId="170" fontId="114" fillId="0" borderId="0" xfId="898" applyNumberFormat="1" applyFont="1"/>
    <xf numFmtId="170" fontId="112" fillId="0" borderId="0" xfId="895" applyNumberFormat="1" applyFont="1" applyFill="1" applyBorder="1" applyAlignment="1">
      <alignment horizontal="center"/>
    </xf>
    <xf numFmtId="170" fontId="110" fillId="0" borderId="27" xfId="895" applyNumberFormat="1" applyFont="1" applyFill="1" applyBorder="1" applyAlignment="1">
      <alignment horizontal="left" wrapText="1"/>
    </xf>
    <xf numFmtId="170" fontId="120" fillId="28" borderId="27" xfId="895" applyNumberFormat="1" applyFont="1" applyFill="1" applyBorder="1" applyAlignment="1">
      <alignment horizontal="left" wrapText="1"/>
    </xf>
    <xf numFmtId="165" fontId="113" fillId="28" borderId="0" xfId="894" applyNumberFormat="1" applyFont="1" applyFill="1"/>
    <xf numFmtId="257" fontId="114" fillId="28" borderId="0" xfId="894" applyNumberFormat="1" applyFont="1" applyFill="1" applyAlignment="1">
      <alignment horizontal="center"/>
    </xf>
    <xf numFmtId="257" fontId="110" fillId="28" borderId="0" xfId="894" applyNumberFormat="1" applyFont="1" applyFill="1"/>
    <xf numFmtId="0" fontId="110" fillId="28" borderId="0" xfId="894" applyFont="1" applyFill="1"/>
    <xf numFmtId="169" fontId="110" fillId="28" borderId="0" xfId="897" applyNumberFormat="1" applyFont="1" applyFill="1" applyBorder="1"/>
    <xf numFmtId="258" fontId="110" fillId="28" borderId="0" xfId="894" applyNumberFormat="1" applyFont="1" applyFill="1" applyAlignment="1">
      <alignment horizontal="right"/>
    </xf>
    <xf numFmtId="258" fontId="114" fillId="28" borderId="0" xfId="894" applyNumberFormat="1" applyFont="1" applyFill="1" applyAlignment="1">
      <alignment horizontal="right"/>
    </xf>
    <xf numFmtId="0" fontId="110" fillId="28" borderId="0" xfId="894" applyFont="1" applyFill="1" applyAlignment="1">
      <alignment horizontal="right"/>
    </xf>
    <xf numFmtId="0" fontId="114" fillId="0" borderId="40" xfId="896" applyFont="1" applyBorder="1"/>
    <xf numFmtId="17" fontId="114" fillId="0" borderId="44" xfId="896" applyNumberFormat="1" applyFont="1" applyBorder="1" applyAlignment="1">
      <alignment horizontal="center" vertical="center" wrapText="1"/>
    </xf>
    <xf numFmtId="0" fontId="114" fillId="0" borderId="41" xfId="896" applyFont="1" applyBorder="1" applyAlignment="1">
      <alignment horizontal="center" vertical="center" wrapText="1"/>
    </xf>
    <xf numFmtId="0" fontId="114" fillId="0" borderId="21" xfId="896" applyFont="1" applyBorder="1"/>
    <xf numFmtId="170" fontId="120" fillId="0" borderId="0" xfId="901" applyNumberFormat="1" applyFont="1" applyFill="1" applyBorder="1" applyAlignment="1">
      <alignment horizontal="center" wrapText="1"/>
    </xf>
    <xf numFmtId="0" fontId="114" fillId="0" borderId="22" xfId="896" applyFont="1" applyBorder="1"/>
    <xf numFmtId="170" fontId="120" fillId="0" borderId="10" xfId="901" applyNumberFormat="1" applyFont="1" applyFill="1" applyBorder="1" applyAlignment="1">
      <alignment horizontal="center" wrapText="1"/>
    </xf>
    <xf numFmtId="167" fontId="114" fillId="0" borderId="27" xfId="900" applyNumberFormat="1" applyFont="1" applyBorder="1"/>
    <xf numFmtId="167" fontId="114" fillId="0" borderId="28" xfId="900" applyNumberFormat="1" applyFont="1" applyBorder="1"/>
    <xf numFmtId="171" fontId="5" fillId="0" borderId="0" xfId="894" applyNumberFormat="1"/>
    <xf numFmtId="262" fontId="114" fillId="0" borderId="8" xfId="896" applyNumberFormat="1" applyFont="1" applyBorder="1"/>
    <xf numFmtId="170" fontId="110" fillId="0" borderId="0" xfId="900" applyNumberFormat="1" applyFont="1" applyFill="1" applyBorder="1" applyAlignment="1">
      <alignment horizontal="center"/>
    </xf>
    <xf numFmtId="9" fontId="110" fillId="0" borderId="0" xfId="902" applyFont="1" applyFill="1"/>
    <xf numFmtId="9" fontId="114" fillId="0" borderId="0" xfId="902" applyFont="1" applyFill="1"/>
    <xf numFmtId="9" fontId="113" fillId="0" borderId="0" xfId="902" applyFont="1" applyFill="1" applyBorder="1" applyAlignment="1">
      <alignment horizontal="right"/>
    </xf>
    <xf numFmtId="0" fontId="115" fillId="0" borderId="0" xfId="898" applyFont="1" applyAlignment="1">
      <alignment horizontal="left" indent="1"/>
    </xf>
    <xf numFmtId="170" fontId="114" fillId="29" borderId="0" xfId="900" applyNumberFormat="1" applyFont="1" applyFill="1" applyBorder="1" applyAlignment="1">
      <alignment horizontal="center"/>
    </xf>
    <xf numFmtId="0" fontId="110" fillId="29" borderId="0" xfId="898" applyFont="1" applyFill="1"/>
    <xf numFmtId="172" fontId="110" fillId="29" borderId="0" xfId="900" applyNumberFormat="1" applyFont="1" applyFill="1"/>
    <xf numFmtId="170" fontId="113" fillId="29" borderId="0" xfId="900" applyNumberFormat="1" applyFont="1" applyFill="1" applyBorder="1" applyAlignment="1">
      <alignment horizontal="center"/>
    </xf>
    <xf numFmtId="224" fontId="110" fillId="0" borderId="0" xfId="898" applyNumberFormat="1" applyFont="1"/>
    <xf numFmtId="43" fontId="114" fillId="0" borderId="0" xfId="900" applyFont="1" applyFill="1" applyBorder="1" applyAlignment="1">
      <alignment horizontal="center"/>
    </xf>
    <xf numFmtId="43" fontId="114" fillId="0" borderId="0" xfId="898" applyNumberFormat="1" applyFont="1"/>
    <xf numFmtId="171" fontId="121" fillId="0" borderId="0" xfId="895" applyNumberFormat="1" applyFont="1" applyFill="1"/>
    <xf numFmtId="260" fontId="113" fillId="0" borderId="0" xfId="894" applyNumberFormat="1" applyFont="1"/>
    <xf numFmtId="167" fontId="130" fillId="0" borderId="27" xfId="900" applyNumberFormat="1" applyFont="1" applyBorder="1"/>
    <xf numFmtId="167" fontId="130" fillId="0" borderId="28" xfId="900" applyNumberFormat="1" applyFont="1" applyBorder="1"/>
    <xf numFmtId="0" fontId="130" fillId="0" borderId="0" xfId="898" applyFont="1"/>
    <xf numFmtId="9" fontId="131" fillId="0" borderId="0" xfId="902" applyFont="1" applyFill="1" applyBorder="1" applyAlignment="1">
      <alignment horizontal="right"/>
    </xf>
    <xf numFmtId="9" fontId="131" fillId="0" borderId="0" xfId="902" applyFont="1" applyFill="1"/>
    <xf numFmtId="9" fontId="130" fillId="0" borderId="0" xfId="902" applyFont="1" applyFill="1"/>
    <xf numFmtId="170" fontId="110" fillId="0" borderId="0" xfId="895" applyNumberFormat="1" applyFont="1" applyFill="1" applyBorder="1" applyAlignment="1">
      <alignment horizontal="center" wrapText="1"/>
    </xf>
    <xf numFmtId="167" fontId="130" fillId="0" borderId="27" xfId="900" applyNumberFormat="1" applyFont="1" applyFill="1" applyBorder="1"/>
    <xf numFmtId="167" fontId="130" fillId="0" borderId="28" xfId="900" applyNumberFormat="1" applyFont="1" applyFill="1" applyBorder="1"/>
    <xf numFmtId="258" fontId="114" fillId="0" borderId="8" xfId="896" applyNumberFormat="1" applyFont="1" applyBorder="1"/>
    <xf numFmtId="0" fontId="110" fillId="0" borderId="21" xfId="896" applyFont="1" applyBorder="1"/>
    <xf numFmtId="167" fontId="131" fillId="0" borderId="27" xfId="900" applyNumberFormat="1" applyFont="1" applyFill="1" applyBorder="1"/>
    <xf numFmtId="0" fontId="110" fillId="0" borderId="22" xfId="896" applyFont="1" applyBorder="1"/>
    <xf numFmtId="167" fontId="131" fillId="0" borderId="28" xfId="900" applyNumberFormat="1" applyFont="1" applyFill="1" applyBorder="1"/>
    <xf numFmtId="17" fontId="114" fillId="27" borderId="8" xfId="896" applyNumberFormat="1" applyFont="1" applyFill="1" applyBorder="1" applyAlignment="1">
      <alignment horizontal="left" vertical="center" wrapText="1"/>
    </xf>
    <xf numFmtId="17" fontId="114" fillId="27" borderId="8" xfId="896" applyNumberFormat="1" applyFont="1" applyFill="1" applyBorder="1" applyAlignment="1">
      <alignment horizontal="right" vertical="center" wrapText="1"/>
    </xf>
    <xf numFmtId="0" fontId="114" fillId="27" borderId="8" xfId="896" applyFont="1" applyFill="1" applyBorder="1" applyAlignment="1">
      <alignment horizontal="right" wrapText="1"/>
    </xf>
    <xf numFmtId="17" fontId="114" fillId="27" borderId="41" xfId="896" applyNumberFormat="1" applyFont="1" applyFill="1" applyBorder="1" applyAlignment="1">
      <alignment horizontal="right" vertical="center" wrapText="1"/>
    </xf>
    <xf numFmtId="0" fontId="1" fillId="0" borderId="21" xfId="894" applyFont="1" applyBorder="1"/>
    <xf numFmtId="3" fontId="5" fillId="0" borderId="27" xfId="894" applyNumberFormat="1" applyBorder="1"/>
    <xf numFmtId="0" fontId="132" fillId="27" borderId="40" xfId="894" applyFont="1" applyFill="1" applyBorder="1"/>
    <xf numFmtId="165" fontId="114" fillId="0" borderId="0" xfId="900" applyNumberFormat="1" applyFont="1"/>
    <xf numFmtId="37" fontId="113" fillId="0" borderId="0" xfId="894" applyNumberFormat="1" applyFont="1"/>
    <xf numFmtId="0" fontId="110" fillId="0" borderId="0" xfId="896" applyFont="1" applyAlignment="1">
      <alignment horizontal="left" wrapText="1" indent="1"/>
    </xf>
    <xf numFmtId="17" fontId="114" fillId="0" borderId="0" xfId="896" applyNumberFormat="1" applyFont="1" applyAlignment="1">
      <alignment horizontal="left" vertical="center" wrapText="1"/>
    </xf>
    <xf numFmtId="17" fontId="114" fillId="0" borderId="0" xfId="896" applyNumberFormat="1" applyFont="1" applyAlignment="1">
      <alignment horizontal="right" vertical="center" wrapText="1"/>
    </xf>
    <xf numFmtId="170" fontId="120" fillId="0" borderId="0" xfId="896" applyNumberFormat="1" applyFont="1" applyAlignment="1">
      <alignment horizontal="center" vertical="center" wrapText="1"/>
    </xf>
    <xf numFmtId="0" fontId="122" fillId="27" borderId="40" xfId="894" applyFont="1" applyFill="1" applyBorder="1"/>
    <xf numFmtId="0" fontId="133" fillId="0" borderId="21" xfId="894" applyFont="1" applyBorder="1"/>
    <xf numFmtId="3" fontId="133" fillId="0" borderId="27" xfId="894" applyNumberFormat="1" applyFont="1" applyBorder="1"/>
    <xf numFmtId="0" fontId="114" fillId="0" borderId="0" xfId="894" applyFont="1" applyAlignment="1">
      <alignment horizontal="center"/>
    </xf>
    <xf numFmtId="168" fontId="114" fillId="0" borderId="0" xfId="894" applyNumberFormat="1" applyFont="1" applyAlignment="1">
      <alignment horizontal="center"/>
    </xf>
    <xf numFmtId="165" fontId="115" fillId="0" borderId="0" xfId="894" applyNumberFormat="1" applyFont="1"/>
    <xf numFmtId="261" fontId="110" fillId="0" borderId="0" xfId="894" applyNumberFormat="1" applyFont="1"/>
    <xf numFmtId="169" fontId="119" fillId="0" borderId="0" xfId="897" applyNumberFormat="1" applyFont="1" applyFill="1" applyBorder="1"/>
    <xf numFmtId="169" fontId="115" fillId="0" borderId="0" xfId="897" applyNumberFormat="1" applyFont="1" applyFill="1" applyBorder="1"/>
    <xf numFmtId="260" fontId="110" fillId="0" borderId="0" xfId="894" applyNumberFormat="1" applyFont="1"/>
    <xf numFmtId="165" fontId="122" fillId="0" borderId="0" xfId="894" applyNumberFormat="1" applyFont="1"/>
    <xf numFmtId="166" fontId="114" fillId="0" borderId="0" xfId="894" applyNumberFormat="1" applyFont="1" applyAlignment="1">
      <alignment horizontal="right"/>
    </xf>
    <xf numFmtId="168" fontId="114" fillId="0" borderId="0" xfId="894" applyNumberFormat="1" applyFont="1" applyAlignment="1">
      <alignment horizontal="centerContinuous"/>
    </xf>
    <xf numFmtId="169" fontId="115" fillId="0" borderId="0" xfId="897" applyNumberFormat="1" applyFont="1" applyFill="1" applyBorder="1" applyAlignment="1">
      <alignment horizontal="right"/>
    </xf>
    <xf numFmtId="170" fontId="110" fillId="0" borderId="0" xfId="895" applyNumberFormat="1" applyFont="1" applyFill="1" applyBorder="1"/>
    <xf numFmtId="9" fontId="115" fillId="0" borderId="0" xfId="897" applyFont="1" applyFill="1" applyBorder="1" applyAlignment="1">
      <alignment horizontal="right"/>
    </xf>
    <xf numFmtId="170" fontId="114" fillId="27" borderId="0" xfId="900" applyNumberFormat="1" applyFont="1" applyFill="1" applyBorder="1" applyAlignment="1">
      <alignment horizontal="center"/>
    </xf>
    <xf numFmtId="0" fontId="110" fillId="27" borderId="0" xfId="898" applyFont="1" applyFill="1"/>
    <xf numFmtId="172" fontId="110" fillId="27" borderId="0" xfId="900" applyNumberFormat="1" applyFont="1" applyFill="1"/>
    <xf numFmtId="170" fontId="113" fillId="27" borderId="0" xfId="900" applyNumberFormat="1" applyFont="1" applyFill="1" applyBorder="1" applyAlignment="1">
      <alignment horizontal="center"/>
    </xf>
    <xf numFmtId="170" fontId="110" fillId="0" borderId="0" xfId="896" applyNumberFormat="1" applyFont="1" applyAlignment="1">
      <alignment horizontal="center" vertical="center" wrapText="1"/>
    </xf>
    <xf numFmtId="17" fontId="114" fillId="26" borderId="8" xfId="896" applyNumberFormat="1" applyFont="1" applyFill="1" applyBorder="1" applyAlignment="1">
      <alignment horizontal="left" vertical="center" wrapText="1"/>
    </xf>
    <xf numFmtId="17" fontId="114" fillId="26" borderId="8" xfId="896" applyNumberFormat="1" applyFont="1" applyFill="1" applyBorder="1" applyAlignment="1">
      <alignment horizontal="center" vertical="center" wrapText="1"/>
    </xf>
    <xf numFmtId="0" fontId="114" fillId="26" borderId="8" xfId="896" applyFont="1" applyFill="1" applyBorder="1" applyAlignment="1">
      <alignment horizontal="center" wrapText="1"/>
    </xf>
    <xf numFmtId="0" fontId="114" fillId="26" borderId="40" xfId="896" applyFont="1" applyFill="1" applyBorder="1" applyAlignment="1">
      <alignment horizontal="left" wrapText="1"/>
    </xf>
    <xf numFmtId="0" fontId="114" fillId="26" borderId="41" xfId="896" applyFont="1" applyFill="1" applyBorder="1" applyAlignment="1">
      <alignment horizontal="center" wrapText="1"/>
    </xf>
    <xf numFmtId="3" fontId="120" fillId="0" borderId="27" xfId="894" applyNumberFormat="1" applyFont="1" applyBorder="1"/>
    <xf numFmtId="17" fontId="114" fillId="26" borderId="41" xfId="896" applyNumberFormat="1" applyFont="1" applyFill="1" applyBorder="1" applyAlignment="1">
      <alignment horizontal="center" vertical="center" wrapText="1"/>
    </xf>
    <xf numFmtId="0" fontId="134" fillId="26" borderId="40" xfId="894" applyFont="1" applyFill="1" applyBorder="1"/>
    <xf numFmtId="43" fontId="121" fillId="0" borderId="0" xfId="896" applyNumberFormat="1" applyFont="1"/>
    <xf numFmtId="0" fontId="114" fillId="26" borderId="41" xfId="896" applyFont="1" applyFill="1" applyBorder="1" applyAlignment="1">
      <alignment horizontal="center" vertical="center" wrapText="1"/>
    </xf>
    <xf numFmtId="165" fontId="113" fillId="31" borderId="0" xfId="894" applyNumberFormat="1" applyFont="1" applyFill="1"/>
    <xf numFmtId="165" fontId="110" fillId="31" borderId="0" xfId="894" applyNumberFormat="1" applyFont="1" applyFill="1"/>
    <xf numFmtId="37" fontId="110" fillId="31" borderId="0" xfId="894" applyNumberFormat="1" applyFont="1" applyFill="1"/>
    <xf numFmtId="169" fontId="115" fillId="0" borderId="0" xfId="897" applyNumberFormat="1" applyFont="1" applyFill="1"/>
    <xf numFmtId="0" fontId="110" fillId="27" borderId="0" xfId="894" applyFont="1" applyFill="1"/>
    <xf numFmtId="0" fontId="110" fillId="27" borderId="0" xfId="894" applyFont="1" applyFill="1" applyAlignment="1">
      <alignment horizontal="left"/>
    </xf>
    <xf numFmtId="170" fontId="121" fillId="0" borderId="0" xfId="895" applyNumberFormat="1" applyFont="1" applyFill="1" applyBorder="1"/>
    <xf numFmtId="172" fontId="121" fillId="0" borderId="0" xfId="895" applyNumberFormat="1" applyFont="1" applyFill="1" applyBorder="1"/>
    <xf numFmtId="172" fontId="121" fillId="0" borderId="0" xfId="900" applyNumberFormat="1" applyFont="1" applyFill="1" applyBorder="1"/>
    <xf numFmtId="165" fontId="121" fillId="0" borderId="0" xfId="894" applyNumberFormat="1" applyFont="1"/>
    <xf numFmtId="165" fontId="135" fillId="0" borderId="0" xfId="894" applyNumberFormat="1" applyFont="1"/>
    <xf numFmtId="37" fontId="121" fillId="0" borderId="0" xfId="894" applyNumberFormat="1" applyFont="1"/>
    <xf numFmtId="257" fontId="114" fillId="0" borderId="0" xfId="894" applyNumberFormat="1" applyFont="1" applyAlignment="1">
      <alignment horizontal="left" indent="2"/>
    </xf>
    <xf numFmtId="257" fontId="114" fillId="28" borderId="0" xfId="894" applyNumberFormat="1" applyFont="1" applyFill="1" applyAlignment="1">
      <alignment horizontal="left" indent="2"/>
    </xf>
    <xf numFmtId="0" fontId="114" fillId="32" borderId="0" xfId="898" applyFont="1" applyFill="1"/>
    <xf numFmtId="0" fontId="110" fillId="32" borderId="0" xfId="898" applyFont="1" applyFill="1"/>
    <xf numFmtId="170" fontId="110" fillId="32" borderId="0" xfId="900" applyNumberFormat="1" applyFont="1" applyFill="1"/>
    <xf numFmtId="169" fontId="110" fillId="0" borderId="0" xfId="897" applyNumberFormat="1" applyFont="1" applyFill="1"/>
    <xf numFmtId="169" fontId="114" fillId="0" borderId="0" xfId="897" applyNumberFormat="1" applyFont="1" applyFill="1"/>
    <xf numFmtId="262" fontId="110" fillId="0" borderId="0" xfId="896" applyNumberFormat="1" applyFont="1"/>
    <xf numFmtId="0" fontId="114" fillId="31" borderId="0" xfId="894" applyFont="1" applyFill="1" applyAlignment="1">
      <alignment horizontal="left"/>
    </xf>
    <xf numFmtId="169" fontId="110" fillId="27" borderId="0" xfId="897" applyNumberFormat="1" applyFont="1" applyFill="1" applyBorder="1" applyAlignment="1">
      <alignment horizontal="right"/>
    </xf>
    <xf numFmtId="39" fontId="120" fillId="31" borderId="0" xfId="894" applyNumberFormat="1" applyFont="1" applyFill="1" applyAlignment="1">
      <alignment horizontal="right"/>
    </xf>
    <xf numFmtId="39" fontId="110" fillId="31" borderId="0" xfId="894" applyNumberFormat="1" applyFont="1" applyFill="1" applyAlignment="1">
      <alignment horizontal="right"/>
    </xf>
    <xf numFmtId="169" fontId="114" fillId="0" borderId="3" xfId="897" applyNumberFormat="1" applyFont="1" applyFill="1" applyBorder="1"/>
    <xf numFmtId="169" fontId="114" fillId="0" borderId="0" xfId="897" applyNumberFormat="1" applyFont="1" applyFill="1" applyBorder="1"/>
    <xf numFmtId="0" fontId="110" fillId="31" borderId="0" xfId="894" applyFont="1" applyFill="1"/>
    <xf numFmtId="0" fontId="114" fillId="0" borderId="0" xfId="894" applyFont="1" applyAlignment="1">
      <alignment horizontal="right"/>
    </xf>
    <xf numFmtId="0" fontId="132" fillId="0" borderId="0" xfId="894" applyFont="1"/>
    <xf numFmtId="0" fontId="1" fillId="0" borderId="0" xfId="894" applyFont="1"/>
    <xf numFmtId="0" fontId="110" fillId="0" borderId="0" xfId="894" applyFont="1" applyAlignment="1">
      <alignment vertical="center"/>
    </xf>
    <xf numFmtId="0" fontId="125" fillId="26" borderId="0" xfId="894" applyFont="1" applyFill="1" applyAlignment="1">
      <alignment horizontal="left" vertical="center"/>
    </xf>
    <xf numFmtId="0" fontId="114" fillId="26" borderId="38" xfId="894" applyFont="1" applyFill="1" applyBorder="1" applyAlignment="1">
      <alignment horizontal="center" vertical="center"/>
    </xf>
    <xf numFmtId="0" fontId="114" fillId="0" borderId="0" xfId="894" applyFont="1" applyAlignment="1">
      <alignment horizontal="center" vertical="center"/>
    </xf>
    <xf numFmtId="0" fontId="111" fillId="0" borderId="0" xfId="894" applyFont="1" applyAlignment="1">
      <alignment vertical="center"/>
    </xf>
    <xf numFmtId="0" fontId="114" fillId="26" borderId="0" xfId="894" applyFont="1" applyFill="1" applyAlignment="1">
      <alignment vertical="center"/>
    </xf>
    <xf numFmtId="168" fontId="114" fillId="26" borderId="0" xfId="894" applyNumberFormat="1" applyFont="1" applyFill="1" applyAlignment="1">
      <alignment horizontal="center" vertical="center"/>
    </xf>
    <xf numFmtId="168" fontId="114" fillId="0" borderId="0" xfId="894" applyNumberFormat="1" applyFont="1" applyAlignment="1">
      <alignment horizontal="center" vertical="center"/>
    </xf>
    <xf numFmtId="0" fontId="114" fillId="0" borderId="0" xfId="894" applyFont="1" applyAlignment="1">
      <alignment vertical="center"/>
    </xf>
    <xf numFmtId="0" fontId="112" fillId="0" borderId="0" xfId="894" applyFont="1" applyAlignment="1">
      <alignment vertical="center"/>
    </xf>
    <xf numFmtId="43" fontId="112" fillId="0" borderId="0" xfId="895" applyFont="1" applyFill="1" applyBorder="1" applyAlignment="1">
      <alignment horizontal="center" vertical="center"/>
    </xf>
    <xf numFmtId="43" fontId="114" fillId="0" borderId="0" xfId="895" applyFont="1" applyFill="1" applyBorder="1" applyAlignment="1">
      <alignment horizontal="center" vertical="center"/>
    </xf>
    <xf numFmtId="0" fontId="114" fillId="26" borderId="3" xfId="894" applyFont="1" applyFill="1" applyBorder="1" applyAlignment="1">
      <alignment vertical="center"/>
    </xf>
    <xf numFmtId="0" fontId="110" fillId="26" borderId="3" xfId="894" applyFont="1" applyFill="1" applyBorder="1" applyAlignment="1">
      <alignment vertical="center"/>
    </xf>
    <xf numFmtId="0" fontId="110" fillId="26" borderId="0" xfId="894" applyFont="1" applyFill="1" applyAlignment="1">
      <alignment vertical="center"/>
    </xf>
    <xf numFmtId="165" fontId="120" fillId="0" borderId="0" xfId="894" applyNumberFormat="1" applyFont="1"/>
    <xf numFmtId="0" fontId="114" fillId="32" borderId="38" xfId="894" applyFont="1" applyFill="1" applyBorder="1" applyAlignment="1">
      <alignment horizontal="center" vertical="center"/>
    </xf>
    <xf numFmtId="168" fontId="114" fillId="32" borderId="0" xfId="894" applyNumberFormat="1" applyFont="1" applyFill="1" applyAlignment="1">
      <alignment horizontal="center" vertical="center"/>
    </xf>
    <xf numFmtId="0" fontId="114" fillId="32" borderId="0" xfId="896" applyFont="1" applyFill="1" applyAlignment="1">
      <alignment wrapText="1"/>
    </xf>
    <xf numFmtId="0" fontId="5" fillId="32" borderId="0" xfId="894" applyFill="1"/>
    <xf numFmtId="172" fontId="114" fillId="0" borderId="0" xfId="900" applyNumberFormat="1" applyFont="1" applyFill="1"/>
    <xf numFmtId="172" fontId="114" fillId="26" borderId="38" xfId="900" applyNumberFormat="1" applyFont="1" applyFill="1" applyBorder="1" applyAlignment="1">
      <alignment horizontal="center" vertical="center"/>
    </xf>
    <xf numFmtId="0" fontId="114" fillId="26" borderId="0" xfId="898" applyFont="1" applyFill="1" applyAlignment="1">
      <alignment vertical="center"/>
    </xf>
    <xf numFmtId="172" fontId="114" fillId="26" borderId="0" xfId="900" applyNumberFormat="1" applyFont="1" applyFill="1" applyBorder="1" applyAlignment="1">
      <alignment horizontal="center" vertical="center"/>
    </xf>
    <xf numFmtId="0" fontId="112" fillId="0" borderId="0" xfId="898" applyFont="1" applyAlignment="1">
      <alignment vertical="center"/>
    </xf>
    <xf numFmtId="172" fontId="114" fillId="0" borderId="0" xfId="900" applyNumberFormat="1" applyFont="1" applyFill="1" applyBorder="1" applyAlignment="1">
      <alignment horizontal="center" vertical="center"/>
    </xf>
    <xf numFmtId="0" fontId="112" fillId="26" borderId="0" xfId="898" applyFont="1" applyFill="1" applyAlignment="1">
      <alignment vertical="center"/>
    </xf>
    <xf numFmtId="43" fontId="112" fillId="26" borderId="0" xfId="895" applyFont="1" applyFill="1" applyBorder="1" applyAlignment="1">
      <alignment horizontal="center" vertical="center"/>
    </xf>
    <xf numFmtId="43" fontId="114" fillId="26" borderId="0" xfId="895" applyFont="1" applyFill="1" applyBorder="1" applyAlignment="1">
      <alignment horizontal="center" vertical="center"/>
    </xf>
  </cellXfs>
  <cellStyles count="976">
    <cellStyle name="$" xfId="1" xr:uid="{00000000-0005-0000-0000-000000000000}"/>
    <cellStyle name="$_TSA Model - 1 8 06 - v2" xfId="2" xr:uid="{00000000-0005-0000-0000-000001000000}"/>
    <cellStyle name="%" xfId="3" xr:uid="{00000000-0005-0000-0000-000002000000}"/>
    <cellStyle name=";;;" xfId="4" xr:uid="{00000000-0005-0000-0000-000003000000}"/>
    <cellStyle name="_%(SignOnly)" xfId="5" xr:uid="{00000000-0005-0000-0000-000004000000}"/>
    <cellStyle name="_%(SignSpaceOnly)" xfId="6" xr:uid="{00000000-0005-0000-0000-000005000000}"/>
    <cellStyle name="_0% CADR" xfId="7" xr:uid="{00000000-0005-0000-0000-000006000000}"/>
    <cellStyle name="_0% IRR" xfId="8" xr:uid="{00000000-0005-0000-0000-000007000000}"/>
    <cellStyle name="_1% CADR" xfId="9" xr:uid="{00000000-0005-0000-0000-000008000000}"/>
    <cellStyle name="_10% CADR" xfId="10" xr:uid="{00000000-0005-0000-0000-000009000000}"/>
    <cellStyle name="_10% CDR" xfId="11" xr:uid="{00000000-0005-0000-0000-00000A000000}"/>
    <cellStyle name="_11% CADR" xfId="12" xr:uid="{00000000-0005-0000-0000-00000B000000}"/>
    <cellStyle name="_12% CADR" xfId="13" xr:uid="{00000000-0005-0000-0000-00000C000000}"/>
    <cellStyle name="_12% CDR" xfId="14" xr:uid="{00000000-0005-0000-0000-00000D000000}"/>
    <cellStyle name="_13% CADR" xfId="15" xr:uid="{00000000-0005-0000-0000-00000E000000}"/>
    <cellStyle name="_14% CADR" xfId="16" xr:uid="{00000000-0005-0000-0000-00000F000000}"/>
    <cellStyle name="_14% CDR" xfId="17" xr:uid="{00000000-0005-0000-0000-000010000000}"/>
    <cellStyle name="_16% CDR" xfId="18" xr:uid="{00000000-0005-0000-0000-000011000000}"/>
    <cellStyle name="_18% CDR" xfId="19" xr:uid="{00000000-0005-0000-0000-000012000000}"/>
    <cellStyle name="_19.6% CDR BBB Break In Yield" xfId="20" xr:uid="{00000000-0005-0000-0000-000013000000}"/>
    <cellStyle name="_2% CADR" xfId="21" xr:uid="{00000000-0005-0000-0000-000014000000}"/>
    <cellStyle name="_20% CDR" xfId="22" xr:uid="{00000000-0005-0000-0000-000015000000}"/>
    <cellStyle name="_21.5% CDR BBB Break In Yield" xfId="23" xr:uid="{00000000-0005-0000-0000-000016000000}"/>
    <cellStyle name="_3% CADR" xfId="24" xr:uid="{00000000-0005-0000-0000-000017000000}"/>
    <cellStyle name="_3% CDR" xfId="25" xr:uid="{00000000-0005-0000-0000-000018000000}"/>
    <cellStyle name="_4% CADR" xfId="26" xr:uid="{00000000-0005-0000-0000-000019000000}"/>
    <cellStyle name="_5% CADR" xfId="27" xr:uid="{00000000-0005-0000-0000-00001A000000}"/>
    <cellStyle name="_5% CDR" xfId="28" xr:uid="{00000000-0005-0000-0000-00001B000000}"/>
    <cellStyle name="_6% CADR" xfId="29" xr:uid="{00000000-0005-0000-0000-00001C000000}"/>
    <cellStyle name="_7% CADR" xfId="30" xr:uid="{00000000-0005-0000-0000-00001D000000}"/>
    <cellStyle name="_7% CDR" xfId="31" xr:uid="{00000000-0005-0000-0000-00001E000000}"/>
    <cellStyle name="_8% CADR" xfId="32" xr:uid="{00000000-0005-0000-0000-00001F000000}"/>
    <cellStyle name="_8.0% CDR BB Break In Yield" xfId="33" xr:uid="{00000000-0005-0000-0000-000020000000}"/>
    <cellStyle name="_8.1% CDR BB Break In Yield" xfId="34" xr:uid="{00000000-0005-0000-0000-000021000000}"/>
    <cellStyle name="_9% CADR" xfId="35" xr:uid="{00000000-0005-0000-0000-000022000000}"/>
    <cellStyle name="_Assets" xfId="36" xr:uid="{00000000-0005-0000-0000-000023000000}"/>
    <cellStyle name="_Assets_1" xfId="37" xr:uid="{00000000-0005-0000-0000-000024000000}"/>
    <cellStyle name="_Assets_1_COMPS - B2B Publishers" xfId="38" xr:uid="{00000000-0005-0000-0000-000025000000}"/>
    <cellStyle name="_Assets_1_COMPS - Directories" xfId="39" xr:uid="{00000000-0005-0000-0000-000026000000}"/>
    <cellStyle name="_Assets_1_F&amp;W Servicing Model" xfId="40" xr:uid="{00000000-0005-0000-0000-000027000000}"/>
    <cellStyle name="_Assets_1_F&amp;W Servicing Model v2" xfId="41" xr:uid="{00000000-0005-0000-0000-000028000000}"/>
    <cellStyle name="_Assets_1_S&amp;P Analysis" xfId="42" xr:uid="{00000000-0005-0000-0000-000029000000}"/>
    <cellStyle name="_Assets_1_Univision Annual Model" xfId="43" xr:uid="{00000000-0005-0000-0000-00002A000000}"/>
    <cellStyle name="_Assets_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00000000-0005-0000-0000-00002D000000}"/>
    <cellStyle name="_Assets_S&amp;P Analysis_COMPS - Directories" xfId="47" xr:uid="{00000000-0005-0000-0000-00002E000000}"/>
    <cellStyle name="_Assets_S&amp;P Analysis_F&amp;W Servicing Model" xfId="48" xr:uid="{00000000-0005-0000-0000-00002F000000}"/>
    <cellStyle name="_Assets_S&amp;P Analysis_F&amp;W Servicing Model v2" xfId="49" xr:uid="{00000000-0005-0000-0000-000030000000}"/>
    <cellStyle name="_Assets_S&amp;P Analysis_Univision Annual Model" xfId="50" xr:uid="{00000000-0005-0000-0000-000031000000}"/>
    <cellStyle name="_Assets_S&amp;P Analysis_Yell Servicing Model" xfId="51" xr:uid="{00000000-0005-0000-0000-000032000000}"/>
    <cellStyle name="_Assumptions" xfId="52" xr:uid="{00000000-0005-0000-0000-000033000000}"/>
    <cellStyle name="_Assumptions_1" xfId="53" xr:uid="{00000000-0005-0000-0000-000034000000}"/>
    <cellStyle name="_Assumptions_1_COMPS - B2B Publishers" xfId="54" xr:uid="{00000000-0005-0000-0000-000035000000}"/>
    <cellStyle name="_Assumptions_1_COMPS - Directories" xfId="55" xr:uid="{00000000-0005-0000-0000-000036000000}"/>
    <cellStyle name="_Assumptions_1_F&amp;W Servicing Model" xfId="56" xr:uid="{00000000-0005-0000-0000-000037000000}"/>
    <cellStyle name="_Assumptions_1_F&amp;W Servicing Model v2" xfId="57" xr:uid="{00000000-0005-0000-0000-000038000000}"/>
    <cellStyle name="_Assumptions_1_Univision Annual Model" xfId="58" xr:uid="{00000000-0005-0000-0000-000039000000}"/>
    <cellStyle name="_Assumptions_1_Yell Servicing Model" xfId="59" xr:uid="{00000000-0005-0000-0000-00003A000000}"/>
    <cellStyle name="_Blue Mountain TRS (7-5-05)" xfId="60" xr:uid="{00000000-0005-0000-0000-00003B000000}"/>
    <cellStyle name="_Book2" xfId="61" xr:uid="{00000000-0005-0000-0000-00003C000000}"/>
    <cellStyle name="_CDO of CDO" xfId="62" xr:uid="{00000000-0005-0000-0000-00003D000000}"/>
    <cellStyle name="_CLO Portfolio 10_07_2005" xfId="63" xr:uid="{00000000-0005-0000-0000-00003E000000}"/>
    <cellStyle name="_Comma" xfId="64" xr:uid="{00000000-0005-0000-0000-00003F000000}"/>
    <cellStyle name="_Comma_dcf" xfId="65" xr:uid="{00000000-0005-0000-0000-000040000000}"/>
    <cellStyle name="_Currency" xfId="66" xr:uid="{00000000-0005-0000-0000-000041000000}"/>
    <cellStyle name="_Currency_dcf" xfId="67" xr:uid="{00000000-0005-0000-0000-000042000000}"/>
    <cellStyle name="_CurrencySpace" xfId="68" xr:uid="{00000000-0005-0000-0000-000043000000}"/>
    <cellStyle name="_CurrencySpace_dcf" xfId="69" xr:uid="{00000000-0005-0000-0000-000044000000}"/>
    <cellStyle name="_Euro" xfId="70" xr:uid="{00000000-0005-0000-0000-000045000000}"/>
    <cellStyle name="_EV8 Assumption List" xfId="71" xr:uid="{00000000-0005-0000-0000-000046000000}"/>
    <cellStyle name="_Exhibit I Babson Warehouse 2006-II CLO 8 18 06" xfId="72" xr:uid="{00000000-0005-0000-0000-000047000000}"/>
    <cellStyle name="_First PIK" xfId="73" xr:uid="{00000000-0005-0000-0000-000048000000}"/>
    <cellStyle name="_Galaxy VI CLO - WestLB Request" xfId="74" xr:uid="{00000000-0005-0000-0000-000049000000}"/>
    <cellStyle name="_Heading" xfId="75" xr:uid="{00000000-0005-0000-0000-00004A000000}"/>
    <cellStyle name="_Heading_prestemp" xfId="76" xr:uid="{00000000-0005-0000-0000-00004B000000}"/>
    <cellStyle name="_Highlight" xfId="77" xr:uid="{00000000-0005-0000-0000-00004C000000}"/>
    <cellStyle name="_Model FINAL (2)" xfId="78" xr:uid="{00000000-0005-0000-0000-00004D000000}"/>
    <cellStyle name="_Multiple" xfId="79" xr:uid="{00000000-0005-0000-0000-00004E000000}"/>
    <cellStyle name="_Multiple_dcf" xfId="80" xr:uid="{00000000-0005-0000-0000-00004F000000}"/>
    <cellStyle name="_MultipleSpace" xfId="81" xr:uid="{00000000-0005-0000-0000-000050000000}"/>
    <cellStyle name="_MultipleSpace_dcf" xfId="82" xr:uid="{00000000-0005-0000-0000-000051000000}"/>
    <cellStyle name="_Other Defafult Scenario 1" xfId="83" xr:uid="{00000000-0005-0000-0000-000052000000}"/>
    <cellStyle name="_Other Default Scenario 2" xfId="84" xr:uid="{00000000-0005-0000-0000-000053000000}"/>
    <cellStyle name="_Percent" xfId="85" xr:uid="{00000000-0005-0000-0000-000054000000}"/>
    <cellStyle name="_PercentSpace" xfId="86" xr:uid="{00000000-0005-0000-0000-000055000000}"/>
    <cellStyle name="_Port" xfId="87" xr:uid="{00000000-0005-0000-0000-000056000000}"/>
    <cellStyle name="_Port For S&amp;P" xfId="88" xr:uid="{00000000-0005-0000-0000-000057000000}"/>
    <cellStyle name="_Port_COMPS - B2B Publishers" xfId="89" xr:uid="{00000000-0005-0000-0000-000058000000}"/>
    <cellStyle name="_Port_COMPS - Directories" xfId="90" xr:uid="{00000000-0005-0000-0000-000059000000}"/>
    <cellStyle name="_Port_F&amp;W Servicing Model" xfId="91" xr:uid="{00000000-0005-0000-0000-00005A000000}"/>
    <cellStyle name="_Port_F&amp;W Servicing Model v2" xfId="92" xr:uid="{00000000-0005-0000-0000-00005B000000}"/>
    <cellStyle name="_Port_Univision Annual Model" xfId="93" xr:uid="{00000000-0005-0000-0000-00005C000000}"/>
    <cellStyle name="_Port_Yell Servicing Model" xfId="94" xr:uid="{00000000-0005-0000-0000-00005D000000}"/>
    <cellStyle name="_Pro Forma TTM 9.30.07 (CW NEIRB Acquisition)" xfId="95" xr:uid="{00000000-0005-0000-0000-00005E000000}"/>
    <cellStyle name="_S&amp;P Analysis" xfId="96" xr:uid="{00000000-0005-0000-0000-00005F000000}"/>
    <cellStyle name="_S&amp;P Analysis_COMPS - B2B Publishers" xfId="97" xr:uid="{00000000-0005-0000-0000-000060000000}"/>
    <cellStyle name="_S&amp;P Analysis_COMPS - Directories" xfId="98" xr:uid="{00000000-0005-0000-0000-000061000000}"/>
    <cellStyle name="_S&amp;P Analysis_F&amp;W Servicing Model" xfId="99" xr:uid="{00000000-0005-0000-0000-000062000000}"/>
    <cellStyle name="_S&amp;P Analysis_F&amp;W Servicing Model v2" xfId="100" xr:uid="{00000000-0005-0000-0000-000063000000}"/>
    <cellStyle name="_S&amp;P Analysis_Univision Annual Model" xfId="101" xr:uid="{00000000-0005-0000-0000-000064000000}"/>
    <cellStyle name="_S&amp;P Analysis_Yell Servicing Model" xfId="102" xr:uid="{00000000-0005-0000-0000-000065000000}"/>
    <cellStyle name="_S&amp;P Hypothetical Port Summary" xfId="103" xr:uid="{00000000-0005-0000-0000-000066000000}"/>
    <cellStyle name="_S&amp;P Port 80Div_2099WARF" xfId="104" xr:uid="{00000000-0005-0000-0000-000067000000}"/>
    <cellStyle name="_S&amp;P Stress Scenarios" xfId="105" xr:uid="{00000000-0005-0000-0000-000068000000}"/>
    <cellStyle name="_Sources and Uses" xfId="106" xr:uid="{00000000-0005-0000-0000-000069000000}"/>
    <cellStyle name="_SubHeading" xfId="107" xr:uid="{00000000-0005-0000-0000-00006A000000}"/>
    <cellStyle name="_SubHeading_prestemp" xfId="108" xr:uid="{00000000-0005-0000-0000-00006B000000}"/>
    <cellStyle name="_Table" xfId="109" xr:uid="{00000000-0005-0000-0000-00006C000000}"/>
    <cellStyle name="_TableHead" xfId="110" xr:uid="{00000000-0005-0000-0000-00006D000000}"/>
    <cellStyle name="_TableRowHead" xfId="111" xr:uid="{00000000-0005-0000-0000-00006E000000}"/>
    <cellStyle name="_TableSuperHead" xfId="112" xr:uid="{00000000-0005-0000-0000-00006F000000}"/>
    <cellStyle name="£Currency [0]" xfId="113" xr:uid="{00000000-0005-0000-0000-000070000000}"/>
    <cellStyle name="£Currency [1]" xfId="114" xr:uid="{00000000-0005-0000-0000-000071000000}"/>
    <cellStyle name="£Currency [2]" xfId="115" xr:uid="{00000000-0005-0000-0000-000072000000}"/>
    <cellStyle name="£Currency [p]" xfId="116" xr:uid="{00000000-0005-0000-0000-000073000000}"/>
    <cellStyle name="£Currency [p2]" xfId="117" xr:uid="{00000000-0005-0000-0000-000074000000}"/>
    <cellStyle name="£Pounds" xfId="118" xr:uid="{00000000-0005-0000-0000-000075000000}"/>
    <cellStyle name="Accounting $" xfId="119" xr:uid="{00000000-0005-0000-0000-000076000000}"/>
    <cellStyle name="Across" xfId="120" xr:uid="{00000000-0005-0000-0000-000077000000}"/>
    <cellStyle name="Adjustable" xfId="121" xr:uid="{00000000-0005-0000-0000-000078000000}"/>
    <cellStyle name="AFE" xfId="122" xr:uid="{00000000-0005-0000-0000-000079000000}"/>
    <cellStyle name="Andre's Title" xfId="123" xr:uid="{00000000-0005-0000-0000-00007A000000}"/>
    <cellStyle name="args.style" xfId="124" xr:uid="{00000000-0005-0000-0000-00007B000000}"/>
    <cellStyle name="Arial 10" xfId="125" xr:uid="{00000000-0005-0000-0000-00007C000000}"/>
    <cellStyle name="Arial 12" xfId="126" xr:uid="{00000000-0005-0000-0000-00007D000000}"/>
    <cellStyle name="Best" xfId="127" xr:uid="{00000000-0005-0000-0000-00007E000000}"/>
    <cellStyle name="Blank [$]" xfId="128" xr:uid="{00000000-0005-0000-0000-00007F000000}"/>
    <cellStyle name="Blank [,]" xfId="129" xr:uid="{00000000-0005-0000-0000-000080000000}"/>
    <cellStyle name="BlankedZeros" xfId="130" xr:uid="{00000000-0005-0000-0000-000081000000}"/>
    <cellStyle name="blp_column_header" xfId="131" xr:uid="{00000000-0005-0000-0000-000082000000}"/>
    <cellStyle name="Blue" xfId="132" xr:uid="{00000000-0005-0000-0000-000083000000}"/>
    <cellStyle name="bluepercent" xfId="133" xr:uid="{00000000-0005-0000-0000-000084000000}"/>
    <cellStyle name="Body" xfId="134" xr:uid="{00000000-0005-0000-0000-000085000000}"/>
    <cellStyle name="Bold" xfId="135" xr:uid="{00000000-0005-0000-0000-000086000000}"/>
    <cellStyle name="BoldItalic" xfId="136" xr:uid="{00000000-0005-0000-0000-000087000000}"/>
    <cellStyle name="Bottom" xfId="137" xr:uid="{00000000-0005-0000-0000-000088000000}"/>
    <cellStyle name="Bottom Edge" xfId="138" xr:uid="{00000000-0005-0000-0000-000089000000}"/>
    <cellStyle name="British Pound" xfId="139" xr:uid="{00000000-0005-0000-0000-00008A000000}"/>
    <cellStyle name="Business Description" xfId="140" xr:uid="{00000000-0005-0000-0000-00008B000000}"/>
    <cellStyle name="c" xfId="141" xr:uid="{00000000-0005-0000-0000-00008C000000}"/>
    <cellStyle name="Calc Currency (0)" xfId="142" xr:uid="{00000000-0005-0000-0000-00008D000000}"/>
    <cellStyle name="Calc Currency (2)" xfId="143" xr:uid="{00000000-0005-0000-0000-00008E000000}"/>
    <cellStyle name="Calc Percent (0)" xfId="144" xr:uid="{00000000-0005-0000-0000-00008F000000}"/>
    <cellStyle name="Calc Percent (1)" xfId="145" xr:uid="{00000000-0005-0000-0000-000090000000}"/>
    <cellStyle name="Calc Percent (2)" xfId="146" xr:uid="{00000000-0005-0000-0000-000091000000}"/>
    <cellStyle name="Calc Units (0)" xfId="147" xr:uid="{00000000-0005-0000-0000-000092000000}"/>
    <cellStyle name="Calc Units (1)" xfId="148" xr:uid="{00000000-0005-0000-0000-000093000000}"/>
    <cellStyle name="Calc Units (2)" xfId="149" xr:uid="{00000000-0005-0000-0000-000094000000}"/>
    <cellStyle name="Case" xfId="150" xr:uid="{00000000-0005-0000-0000-000095000000}"/>
    <cellStyle name="cc" xfId="151" xr:uid="{00000000-0005-0000-0000-000096000000}"/>
    <cellStyle name="Center" xfId="152" xr:uid="{00000000-0005-0000-0000-000097000000}"/>
    <cellStyle name="CenterBold" xfId="153" xr:uid="{00000000-0005-0000-0000-000098000000}"/>
    <cellStyle name="CenterItalic" xfId="154" xr:uid="{00000000-0005-0000-0000-000099000000}"/>
    <cellStyle name="Cents" xfId="155" xr:uid="{00000000-0005-0000-0000-00009A000000}"/>
    <cellStyle name="ChartingText" xfId="156" xr:uid="{00000000-0005-0000-0000-00009B000000}"/>
    <cellStyle name="Co. Names" xfId="157" xr:uid="{00000000-0005-0000-0000-00009C000000}"/>
    <cellStyle name="Co. Names - Bold" xfId="158" xr:uid="{00000000-0005-0000-0000-00009D000000}"/>
    <cellStyle name="Co. Names_Break-Up" xfId="159" xr:uid="{00000000-0005-0000-0000-00009E000000}"/>
    <cellStyle name="COL HEADINGS" xfId="160" xr:uid="{00000000-0005-0000-0000-00009F000000}"/>
    <cellStyle name="ColumnHeaderNormal" xfId="161" xr:uid="{00000000-0005-0000-0000-0000A0000000}"/>
    <cellStyle name="Comma" xfId="900" builtinId="3"/>
    <cellStyle name="Comma  - Style1" xfId="162" xr:uid="{00000000-0005-0000-0000-0000A1000000}"/>
    <cellStyle name="Comma  - Style2" xfId="163" xr:uid="{00000000-0005-0000-0000-0000A2000000}"/>
    <cellStyle name="Comma  - Style3" xfId="164" xr:uid="{00000000-0005-0000-0000-0000A3000000}"/>
    <cellStyle name="Comma  - Style4" xfId="165" xr:uid="{00000000-0005-0000-0000-0000A4000000}"/>
    <cellStyle name="Comma  - Style5" xfId="166" xr:uid="{00000000-0005-0000-0000-0000A5000000}"/>
    <cellStyle name="Comma  - Style6" xfId="167" xr:uid="{00000000-0005-0000-0000-0000A6000000}"/>
    <cellStyle name="Comma  - Style7" xfId="168" xr:uid="{00000000-0005-0000-0000-0000A7000000}"/>
    <cellStyle name="Comma  - Style8" xfId="169" xr:uid="{00000000-0005-0000-0000-0000A8000000}"/>
    <cellStyle name="Comma [0]; --" xfId="170" xr:uid="{00000000-0005-0000-0000-0000A9000000}"/>
    <cellStyle name="Comma [00]" xfId="171" xr:uid="{00000000-0005-0000-0000-0000AA000000}"/>
    <cellStyle name="Comma [1]" xfId="172" xr:uid="{00000000-0005-0000-0000-0000AB000000}"/>
    <cellStyle name="Comma 10" xfId="905" xr:uid="{C34EBED6-90D7-4E95-94B8-AE7956A18B30}"/>
    <cellStyle name="Comma 10 2" xfId="945" xr:uid="{F6AF8347-07F2-4DAB-A8EF-F59C10E9B221}"/>
    <cellStyle name="Comma 14" xfId="906" xr:uid="{D3D2206E-6BA3-478E-917D-21519341BCAC}"/>
    <cellStyle name="Comma 14 2" xfId="946" xr:uid="{1D57F423-E952-4488-98F7-64C8F1A27744}"/>
    <cellStyle name="Comma 2" xfId="895" xr:uid="{00000000-0005-0000-0000-0000AC000000}"/>
    <cellStyle name="Comma 2 2" xfId="899" xr:uid="{00000000-0005-0000-0000-0000AD000000}"/>
    <cellStyle name="Comma 2 2 2" xfId="909" xr:uid="{EBF88BDF-C3E2-48D2-A41D-AD2A12E2F004}"/>
    <cellStyle name="Comma 2 2 2 2" xfId="927" xr:uid="{9BEC0473-148C-4E11-871A-8C634A403A89}"/>
    <cellStyle name="Comma 2 2 2 2 2" xfId="959" xr:uid="{9D1049A2-5E20-4D71-82FA-FF4212D31CCC}"/>
    <cellStyle name="Comma 2 2 2 3" xfId="933" xr:uid="{6FBBFD52-0FAE-431E-8323-E1BEEB5C9E7D}"/>
    <cellStyle name="Comma 2 2 2 3 2" xfId="965" xr:uid="{53AA43BC-596C-4040-AC71-29B139F6A252}"/>
    <cellStyle name="Comma 2 2 2 4" xfId="940" xr:uid="{996E2A21-F4D5-40B8-AAE9-708F2124BD75}"/>
    <cellStyle name="Comma 2 2 2 4 2" xfId="972" xr:uid="{BC01E790-1542-4927-AB6D-17A505986985}"/>
    <cellStyle name="Comma 2 2 2 5" xfId="949" xr:uid="{CBCFA1F4-1234-4C27-8AED-A5614361EAE1}"/>
    <cellStyle name="Comma 2 2 3" xfId="948" xr:uid="{4BE5EFCE-5E13-4B6B-9EDA-F47C57D41DCA}"/>
    <cellStyle name="Comma 2 2 4" xfId="908" xr:uid="{FA9D771B-BDD9-4E7A-BCA5-DEB85DE7642E}"/>
    <cellStyle name="Comma 2 3" xfId="910" xr:uid="{116872F3-8129-4E9A-B940-148CD7DD2D09}"/>
    <cellStyle name="Comma 2 3 2" xfId="950" xr:uid="{5A63AFD6-165C-4523-9821-0AB6E1677F82}"/>
    <cellStyle name="Comma 2 4" xfId="929" xr:uid="{EE728F48-A862-42DF-815A-CA8B450A0DC6}"/>
    <cellStyle name="Comma 2 4 2" xfId="901" xr:uid="{DFF4494C-3881-4F0D-8210-4192FDA4B6B1}"/>
    <cellStyle name="Comma 2 4 2 2" xfId="961" xr:uid="{C61180AA-B7AB-4718-B878-C39474ED544D}"/>
    <cellStyle name="Comma 2 5" xfId="935" xr:uid="{05017C65-01A5-44EA-A1C1-3B5B75831379}"/>
    <cellStyle name="Comma 2 5 2" xfId="967" xr:uid="{39B09271-ABC2-4C39-AE03-F0B81E9172A4}"/>
    <cellStyle name="Comma 2 6" xfId="942" xr:uid="{3497CD58-18BA-466A-8FA6-5003F479DD21}"/>
    <cellStyle name="Comma 2 6 2" xfId="974" xr:uid="{65415893-5D3B-4BF7-9E67-760BBA7768F3}"/>
    <cellStyle name="Comma 2 7" xfId="947" xr:uid="{28D8A679-5615-4521-9258-3CFDFB343AE2}"/>
    <cellStyle name="Comma 2 8" xfId="907" xr:uid="{2E661B95-B8DD-4479-B553-D21D47C725EF}"/>
    <cellStyle name="Comma 3" xfId="911" xr:uid="{01DEB815-E39A-4511-8B9C-67D7D7803C6D}"/>
    <cellStyle name="Comma 3 2" xfId="912" xr:uid="{1E171B20-C50A-4CB1-A7D4-BA47734691B7}"/>
    <cellStyle name="Comma 3 2 2" xfId="952" xr:uid="{58487F73-9EB7-405B-899B-69C90A990B8A}"/>
    <cellStyle name="Comma 3 3" xfId="913" xr:uid="{DF19AEFE-F407-400D-A9C4-5F3AA218E7F9}"/>
    <cellStyle name="Comma 3 3 2" xfId="953" xr:uid="{CDC9444C-D178-41CB-A0F2-955F6DC667A2}"/>
    <cellStyle name="Comma 3 4" xfId="951" xr:uid="{681A263E-5AA6-4098-8CFC-04328A92D1F8}"/>
    <cellStyle name="Comma 4" xfId="914" xr:uid="{17494527-1EBD-462F-9A34-CDD5E0CB52B2}"/>
    <cellStyle name="Comma 4 2" xfId="926" xr:uid="{232C2ECC-415A-4861-B583-469FBF7F84D6}"/>
    <cellStyle name="Comma 4 2 2" xfId="958" xr:uid="{38BBB440-4396-49E2-A891-793405CAABB7}"/>
    <cellStyle name="Comma 4 3" xfId="932" xr:uid="{B33E9F27-0385-4680-BF90-FA5F726A81FE}"/>
    <cellStyle name="Comma 4 3 2" xfId="964" xr:uid="{14C63ADB-0C5F-4894-9895-A56BD198624F}"/>
    <cellStyle name="Comma 4 4" xfId="939" xr:uid="{4A8A509A-F11C-4DBC-92DC-AF9D4F0C7D3E}"/>
    <cellStyle name="Comma 4 4 2" xfId="971" xr:uid="{8A481F04-BB4D-407D-8C67-981122213E67}"/>
    <cellStyle name="Comma 4 5" xfId="954" xr:uid="{5F87EDFD-6927-4F4F-B8FB-0D20F888929C}"/>
    <cellStyle name="Comma 5" xfId="925" xr:uid="{86A0965E-6D16-429F-870E-D4F308119E0A}"/>
    <cellStyle name="Comma 5 2" xfId="957" xr:uid="{2ED0B076-5B00-4538-AB47-394CB06D640D}"/>
    <cellStyle name="Comma 6" xfId="931" xr:uid="{08111CED-EEB5-4E68-A314-B7FC2533E4A1}"/>
    <cellStyle name="Comma 6 2" xfId="963" xr:uid="{202A25E7-2B0F-4B18-BFAA-38DBF95E0C14}"/>
    <cellStyle name="Comma 7" xfId="938" xr:uid="{3A75FDEE-D35A-462A-BE32-420004CD90D6}"/>
    <cellStyle name="Comma 7 2" xfId="970" xr:uid="{652D9445-C720-4DD9-9838-91371F50055B}"/>
    <cellStyle name="Comma 8" xfId="944" xr:uid="{D1D283B9-42D9-4CBC-B1F3-0C0ADD715CEE}"/>
    <cellStyle name="Comma 9" xfId="904" xr:uid="{02BF1C83-0E91-42EE-B6A7-DB928A9F4907}"/>
    <cellStyle name="Comma Cents" xfId="173" xr:uid="{00000000-0005-0000-0000-0000AE000000}"/>
    <cellStyle name="Comma0" xfId="174" xr:uid="{00000000-0005-0000-0000-0000AF000000}"/>
    <cellStyle name="Commas" xfId="175" xr:uid="{00000000-0005-0000-0000-0000B0000000}"/>
    <cellStyle name="CommasBold" xfId="176" xr:uid="{00000000-0005-0000-0000-0000B1000000}"/>
    <cellStyle name="CompanyTitle" xfId="177" xr:uid="{00000000-0005-0000-0000-0000B2000000}"/>
    <cellStyle name="Copied" xfId="178" xr:uid="{00000000-0005-0000-0000-0000B3000000}"/>
    <cellStyle name="Currency $" xfId="179" xr:uid="{00000000-0005-0000-0000-0000B4000000}"/>
    <cellStyle name="Currency [0]; --" xfId="180" xr:uid="{00000000-0005-0000-0000-0000B5000000}"/>
    <cellStyle name="Currency [00]" xfId="181" xr:uid="{00000000-0005-0000-0000-0000B6000000}"/>
    <cellStyle name="Currency [1]" xfId="182" xr:uid="{00000000-0005-0000-0000-0000B7000000}"/>
    <cellStyle name="Currency [2]" xfId="183" xr:uid="{00000000-0005-0000-0000-0000B8000000}"/>
    <cellStyle name="data" xfId="184" xr:uid="{00000000-0005-0000-0000-0000B9000000}"/>
    <cellStyle name="Date" xfId="185" xr:uid="{00000000-0005-0000-0000-0000BA000000}"/>
    <cellStyle name="Date Short" xfId="186" xr:uid="{00000000-0005-0000-0000-0000BB000000}"/>
    <cellStyle name="Date_COMPS - Directories" xfId="187" xr:uid="{00000000-0005-0000-0000-0000BC000000}"/>
    <cellStyle name="DateLeftBold" xfId="188" xr:uid="{00000000-0005-0000-0000-0000BD000000}"/>
    <cellStyle name="Default" xfId="189" xr:uid="{00000000-0005-0000-0000-0000BE000000}"/>
    <cellStyle name="DELTA" xfId="190" xr:uid="{00000000-0005-0000-0000-0000BF000000}"/>
    <cellStyle name="Dollars" xfId="191" xr:uid="{00000000-0005-0000-0000-0000C0000000}"/>
    <cellStyle name="Dollars []" xfId="192" xr:uid="{00000000-0005-0000-0000-0000C1000000}"/>
    <cellStyle name="Dollars_Pro Forma TTM 9.30.07 (CW NEIRB Acquisition)" xfId="193" xr:uid="{00000000-0005-0000-0000-0000C2000000}"/>
    <cellStyle name="Double" xfId="194" xr:uid="{00000000-0005-0000-0000-0000C3000000}"/>
    <cellStyle name="Double Accounting" xfId="195" xr:uid="{00000000-0005-0000-0000-0000C4000000}"/>
    <cellStyle name="Enter Currency (0)" xfId="196" xr:uid="{00000000-0005-0000-0000-0000C5000000}"/>
    <cellStyle name="Enter Currency (2)" xfId="197" xr:uid="{00000000-0005-0000-0000-0000C6000000}"/>
    <cellStyle name="Enter Units (0)" xfId="198" xr:uid="{00000000-0005-0000-0000-0000C7000000}"/>
    <cellStyle name="Enter Units (1)" xfId="199" xr:uid="{00000000-0005-0000-0000-0000C8000000}"/>
    <cellStyle name="Enter Units (2)" xfId="200" xr:uid="{00000000-0005-0000-0000-0000C9000000}"/>
    <cellStyle name="Entered" xfId="201" xr:uid="{00000000-0005-0000-0000-0000CA000000}"/>
    <cellStyle name="Euro" xfId="202" xr:uid="{00000000-0005-0000-0000-0000CB000000}"/>
    <cellStyle name="Fit" xfId="203" xr:uid="{00000000-0005-0000-0000-0000CC000000}"/>
    <cellStyle name="Footer" xfId="204" xr:uid="{00000000-0005-0000-0000-0000CD000000}"/>
    <cellStyle name="Footnotes" xfId="205" xr:uid="{00000000-0005-0000-0000-0000CE000000}"/>
    <cellStyle name="Grey" xfId="206" xr:uid="{00000000-0005-0000-0000-0000CF000000}"/>
    <cellStyle name="GreybarHeader" xfId="207" xr:uid="{00000000-0005-0000-0000-0000D0000000}"/>
    <cellStyle name="Grouped Head" xfId="208" xr:uid="{00000000-0005-0000-0000-0000D1000000}"/>
    <cellStyle name="h" xfId="209" xr:uid="{00000000-0005-0000-0000-0000D2000000}"/>
    <cellStyle name="HAlignCenter" xfId="210" xr:uid="{00000000-0005-0000-0000-0000D3000000}"/>
    <cellStyle name="HAlignLeft" xfId="211" xr:uid="{00000000-0005-0000-0000-0000D4000000}"/>
    <cellStyle name="HAlignRight" xfId="212" xr:uid="{00000000-0005-0000-0000-0000D5000000}"/>
    <cellStyle name="Head 1" xfId="213" xr:uid="{00000000-0005-0000-0000-0000D6000000}"/>
    <cellStyle name="Header" xfId="214" xr:uid="{00000000-0005-0000-0000-0000D7000000}"/>
    <cellStyle name="Header1" xfId="215" xr:uid="{00000000-0005-0000-0000-0000D8000000}"/>
    <cellStyle name="Header2" xfId="216" xr:uid="{00000000-0005-0000-0000-0000D9000000}"/>
    <cellStyle name="headers" xfId="217" xr:uid="{00000000-0005-0000-0000-0000DA000000}"/>
    <cellStyle name="Heading" xfId="218" xr:uid="{00000000-0005-0000-0000-0000DB000000}"/>
    <cellStyle name="HEADINGS" xfId="219" xr:uid="{00000000-0005-0000-0000-0000DC000000}"/>
    <cellStyle name="HEADINGSTOP" xfId="220" xr:uid="{00000000-0005-0000-0000-0000DD000000}"/>
    <cellStyle name="imput" xfId="221" xr:uid="{00000000-0005-0000-0000-0000DE000000}"/>
    <cellStyle name="Input [yellow]" xfId="222" xr:uid="{00000000-0005-0000-0000-0000DF000000}"/>
    <cellStyle name="Invisible" xfId="223" xr:uid="{00000000-0005-0000-0000-0000E0000000}"/>
    <cellStyle name="ItalicHeader" xfId="224" xr:uid="{00000000-0005-0000-0000-0000E1000000}"/>
    <cellStyle name="Item Descriptions" xfId="225" xr:uid="{00000000-0005-0000-0000-0000E2000000}"/>
    <cellStyle name="Item Descriptions - Bold" xfId="226" xr:uid="{00000000-0005-0000-0000-0000E3000000}"/>
    <cellStyle name="Item Descriptions_6079BX" xfId="227" xr:uid="{00000000-0005-0000-0000-0000E4000000}"/>
    <cellStyle name="Left" xfId="228" xr:uid="{00000000-0005-0000-0000-0000E5000000}"/>
    <cellStyle name="LeftBold" xfId="229" xr:uid="{00000000-0005-0000-0000-0000E6000000}"/>
    <cellStyle name="LeftBoldBottomRule" xfId="230" xr:uid="{00000000-0005-0000-0000-0000E7000000}"/>
    <cellStyle name="LeftBoldCenterRule" xfId="231" xr:uid="{00000000-0005-0000-0000-0000E8000000}"/>
    <cellStyle name="Line" xfId="232" xr:uid="{00000000-0005-0000-0000-0000E9000000}"/>
    <cellStyle name="Link Currency (0)" xfId="233" xr:uid="{00000000-0005-0000-0000-0000EA000000}"/>
    <cellStyle name="Link Currency (2)" xfId="234" xr:uid="{00000000-0005-0000-0000-0000EB000000}"/>
    <cellStyle name="Link Units (0)" xfId="235" xr:uid="{00000000-0005-0000-0000-0000EC000000}"/>
    <cellStyle name="Link Units (1)" xfId="236" xr:uid="{00000000-0005-0000-0000-0000ED000000}"/>
    <cellStyle name="Link Units (2)" xfId="237" xr:uid="{00000000-0005-0000-0000-0000EE000000}"/>
    <cellStyle name="locked" xfId="238" xr:uid="{00000000-0005-0000-0000-0000EF000000}"/>
    <cellStyle name="m&amp;a" xfId="239" xr:uid="{00000000-0005-0000-0000-0000F0000000}"/>
    <cellStyle name="Map Labels" xfId="240" xr:uid="{00000000-0005-0000-0000-0000F1000000}"/>
    <cellStyle name="Map Legend" xfId="241" xr:uid="{00000000-0005-0000-0000-0000F2000000}"/>
    <cellStyle name="Merrill" xfId="242" xr:uid="{00000000-0005-0000-0000-0000F3000000}"/>
    <cellStyle name="Millares_Inv Detail A7" xfId="243" xr:uid="{00000000-0005-0000-0000-0000F4000000}"/>
    <cellStyle name="Milliers [0]_r00SC" xfId="244" xr:uid="{00000000-0005-0000-0000-0000F5000000}"/>
    <cellStyle name="Milliers_r00SC" xfId="245" xr:uid="{00000000-0005-0000-0000-0000F6000000}"/>
    <cellStyle name="Mix" xfId="246" xr:uid="{00000000-0005-0000-0000-0000F7000000}"/>
    <cellStyle name="mon" xfId="247" xr:uid="{00000000-0005-0000-0000-0000F8000000}"/>
    <cellStyle name="Monétaire [0]_r00SC" xfId="248" xr:uid="{00000000-0005-0000-0000-0000F9000000}"/>
    <cellStyle name="Monétaire_r00SC" xfId="249" xr:uid="{00000000-0005-0000-0000-0000FA000000}"/>
    <cellStyle name="Money" xfId="250" xr:uid="{00000000-0005-0000-0000-0000FB000000}"/>
    <cellStyle name="Multiple" xfId="251" xr:uid="{00000000-0005-0000-0000-0000FC000000}"/>
    <cellStyle name="Multiple []" xfId="252" xr:uid="{00000000-0005-0000-0000-0000FD000000}"/>
    <cellStyle name="Multiple [0]" xfId="253" xr:uid="{00000000-0005-0000-0000-0000FE000000}"/>
    <cellStyle name="Multiple [0] []" xfId="254" xr:uid="{00000000-0005-0000-0000-0000FF000000}"/>
    <cellStyle name="Multiple [0]_New MA Public Comps and WACC Model" xfId="255" xr:uid="{00000000-0005-0000-0000-000000010000}"/>
    <cellStyle name="Multiple [1]" xfId="256" xr:uid="{00000000-0005-0000-0000-000001010000}"/>
    <cellStyle name="Multiple [1] []" xfId="257" xr:uid="{00000000-0005-0000-0000-000002010000}"/>
    <cellStyle name="Multiple [1]_New MA Public Comps and WACC Model" xfId="258" xr:uid="{00000000-0005-0000-0000-000003010000}"/>
    <cellStyle name="Multiple_CapitalSum" xfId="259" xr:uid="{00000000-0005-0000-0000-000004010000}"/>
    <cellStyle name="N2Style" xfId="260" xr:uid="{00000000-0005-0000-0000-000005010000}"/>
    <cellStyle name="NewColumnHeaderNormal" xfId="261" xr:uid="{00000000-0005-0000-0000-000006010000}"/>
    <cellStyle name="NewSectionHeaderNormal" xfId="262" xr:uid="{00000000-0005-0000-0000-000007010000}"/>
    <cellStyle name="NewTitleNormal" xfId="263" xr:uid="{00000000-0005-0000-0000-000008010000}"/>
    <cellStyle name="Normal" xfId="0" builtinId="0"/>
    <cellStyle name="Normal - Style1" xfId="264" xr:uid="{00000000-0005-0000-0000-00000A010000}"/>
    <cellStyle name="Normal 10 2" xfId="915" xr:uid="{09DB4578-C380-4A7E-8335-88E3478DFA0E}"/>
    <cellStyle name="Normal 13" xfId="916" xr:uid="{45A6C639-43BE-48AE-B0B0-B12B69950A64}"/>
    <cellStyle name="Normal 13 2" xfId="928" xr:uid="{86FF2BCB-48F0-4823-8FA5-56042D0D0F22}"/>
    <cellStyle name="Normal 13 2 2" xfId="960" xr:uid="{0BE19B3B-6B54-4066-9D83-E22F8AD7D83B}"/>
    <cellStyle name="Normal 13 3" xfId="934" xr:uid="{C45AB5DC-57E2-4363-ABB8-82F3F48E1520}"/>
    <cellStyle name="Normal 13 3 2" xfId="966" xr:uid="{D2D3BC3E-5CFE-4531-B950-E7144B19AEA1}"/>
    <cellStyle name="Normal 13 4" xfId="941" xr:uid="{45561226-1E80-4AAC-AE5C-9CB1BD2EC370}"/>
    <cellStyle name="Normal 13 4 2" xfId="973" xr:uid="{C6AC695D-9A55-4005-8BA2-9C7A25E3A23F}"/>
    <cellStyle name="Normal 13 5" xfId="955" xr:uid="{7A89E603-C601-4CA1-BF60-71614BC0AC97}"/>
    <cellStyle name="Normal 2" xfId="265" xr:uid="{00000000-0005-0000-0000-00000B010000}"/>
    <cellStyle name="Normal 2 12" xfId="918" xr:uid="{EB6BD940-0FC0-4399-8EC7-7A703E263802}"/>
    <cellStyle name="Normal 2 2" xfId="266" xr:uid="{00000000-0005-0000-0000-00000C010000}"/>
    <cellStyle name="Normal 2 2 2" xfId="896" xr:uid="{00000000-0005-0000-0000-00000D010000}"/>
    <cellStyle name="Normal 2 2 2 2" xfId="920" xr:uid="{E758FE6F-A9C7-4606-A49D-387AF4EB1987}"/>
    <cellStyle name="Normal 2 2 3" xfId="919" xr:uid="{ECB063E8-BA84-475D-BB38-DA219015445A}"/>
    <cellStyle name="Normal 2 3" xfId="921" xr:uid="{CC073A64-523A-426E-B504-E6854D014C9F}"/>
    <cellStyle name="Normal 2 4" xfId="917" xr:uid="{3CA2B06F-4AC4-4F91-9D96-B543E67B5E6C}"/>
    <cellStyle name="Normal 3" xfId="894" xr:uid="{00000000-0005-0000-0000-00000E010000}"/>
    <cellStyle name="Normal 3 2" xfId="898" xr:uid="{00000000-0005-0000-0000-00000F010000}"/>
    <cellStyle name="Normal 3 2 2" xfId="956" xr:uid="{6AA2B0D8-4FFE-4FE6-A60E-3B5AC55D56C0}"/>
    <cellStyle name="Normal 3 3" xfId="924" xr:uid="{DA5235A9-6799-4F32-B40F-C044B30010DF}"/>
    <cellStyle name="Normal 4" xfId="930" xr:uid="{84532BA1-3476-4CF0-93DE-3B4B3884156E}"/>
    <cellStyle name="Normal 4 2" xfId="962" xr:uid="{0BD2273F-3EB3-48AB-BA95-A835110F24B2}"/>
    <cellStyle name="Normal 5" xfId="937" xr:uid="{2258FF96-2518-409A-8833-3CE7ECC07435}"/>
    <cellStyle name="Normal 5 2" xfId="969" xr:uid="{DE93657B-340F-4473-B6A3-E337FB6B2149}"/>
    <cellStyle name="Normal 6" xfId="903" xr:uid="{33C9A0BB-D517-43E3-BCDF-40C44BB3E779}"/>
    <cellStyle name="Normal1" xfId="267" xr:uid="{00000000-0005-0000-0000-000010010000}"/>
    <cellStyle name="Normal10" xfId="268" xr:uid="{00000000-0005-0000-0000-000011010000}"/>
    <cellStyle name="Normal100" xfId="269" xr:uid="{00000000-0005-0000-0000-000012010000}"/>
    <cellStyle name="Normal101" xfId="270" xr:uid="{00000000-0005-0000-0000-000013010000}"/>
    <cellStyle name="Normal102" xfId="271" xr:uid="{00000000-0005-0000-0000-000014010000}"/>
    <cellStyle name="Normal103" xfId="272" xr:uid="{00000000-0005-0000-0000-000015010000}"/>
    <cellStyle name="Normal104" xfId="273" xr:uid="{00000000-0005-0000-0000-000016010000}"/>
    <cellStyle name="Normal105" xfId="274" xr:uid="{00000000-0005-0000-0000-000017010000}"/>
    <cellStyle name="Normal106" xfId="275" xr:uid="{00000000-0005-0000-0000-000018010000}"/>
    <cellStyle name="Normal107" xfId="276" xr:uid="{00000000-0005-0000-0000-000019010000}"/>
    <cellStyle name="Normal108" xfId="277" xr:uid="{00000000-0005-0000-0000-00001A010000}"/>
    <cellStyle name="Normal109" xfId="278" xr:uid="{00000000-0005-0000-0000-00001B010000}"/>
    <cellStyle name="Normal11" xfId="279" xr:uid="{00000000-0005-0000-0000-00001C010000}"/>
    <cellStyle name="Normal110" xfId="280" xr:uid="{00000000-0005-0000-0000-00001D010000}"/>
    <cellStyle name="Normal111" xfId="281" xr:uid="{00000000-0005-0000-0000-00001E010000}"/>
    <cellStyle name="Normal112" xfId="282" xr:uid="{00000000-0005-0000-0000-00001F010000}"/>
    <cellStyle name="Normal113" xfId="283" xr:uid="{00000000-0005-0000-0000-000020010000}"/>
    <cellStyle name="Normal114" xfId="284" xr:uid="{00000000-0005-0000-0000-000021010000}"/>
    <cellStyle name="Normal115" xfId="285" xr:uid="{00000000-0005-0000-0000-000022010000}"/>
    <cellStyle name="Normal116" xfId="286" xr:uid="{00000000-0005-0000-0000-000023010000}"/>
    <cellStyle name="Normal117" xfId="287" xr:uid="{00000000-0005-0000-0000-000024010000}"/>
    <cellStyle name="Normal118" xfId="288" xr:uid="{00000000-0005-0000-0000-000025010000}"/>
    <cellStyle name="Normal119" xfId="289" xr:uid="{00000000-0005-0000-0000-000026010000}"/>
    <cellStyle name="Normal12" xfId="290" xr:uid="{00000000-0005-0000-0000-000027010000}"/>
    <cellStyle name="Normal120" xfId="291" xr:uid="{00000000-0005-0000-0000-000028010000}"/>
    <cellStyle name="Normal121" xfId="292" xr:uid="{00000000-0005-0000-0000-000029010000}"/>
    <cellStyle name="Normal122" xfId="293" xr:uid="{00000000-0005-0000-0000-00002A010000}"/>
    <cellStyle name="Normal123" xfId="294" xr:uid="{00000000-0005-0000-0000-00002B010000}"/>
    <cellStyle name="Normal124" xfId="295" xr:uid="{00000000-0005-0000-0000-00002C010000}"/>
    <cellStyle name="Normal125" xfId="296" xr:uid="{00000000-0005-0000-0000-00002D010000}"/>
    <cellStyle name="Normal126" xfId="297" xr:uid="{00000000-0005-0000-0000-00002E010000}"/>
    <cellStyle name="Normal127" xfId="298" xr:uid="{00000000-0005-0000-0000-00002F010000}"/>
    <cellStyle name="Normal128" xfId="299" xr:uid="{00000000-0005-0000-0000-000030010000}"/>
    <cellStyle name="Normal129" xfId="300" xr:uid="{00000000-0005-0000-0000-000031010000}"/>
    <cellStyle name="Normal13" xfId="301" xr:uid="{00000000-0005-0000-0000-000032010000}"/>
    <cellStyle name="Normal130" xfId="302" xr:uid="{00000000-0005-0000-0000-000033010000}"/>
    <cellStyle name="Normal131" xfId="303" xr:uid="{00000000-0005-0000-0000-000034010000}"/>
    <cellStyle name="Normal132" xfId="304" xr:uid="{00000000-0005-0000-0000-000035010000}"/>
    <cellStyle name="Normal133" xfId="305" xr:uid="{00000000-0005-0000-0000-000036010000}"/>
    <cellStyle name="Normal134" xfId="306" xr:uid="{00000000-0005-0000-0000-000037010000}"/>
    <cellStyle name="Normal135" xfId="307" xr:uid="{00000000-0005-0000-0000-000038010000}"/>
    <cellStyle name="Normal136" xfId="308" xr:uid="{00000000-0005-0000-0000-000039010000}"/>
    <cellStyle name="Normal137" xfId="309" xr:uid="{00000000-0005-0000-0000-00003A010000}"/>
    <cellStyle name="Normal138" xfId="310" xr:uid="{00000000-0005-0000-0000-00003B010000}"/>
    <cellStyle name="Normal139" xfId="311" xr:uid="{00000000-0005-0000-0000-00003C010000}"/>
    <cellStyle name="Normal14" xfId="312" xr:uid="{00000000-0005-0000-0000-00003D010000}"/>
    <cellStyle name="Normal140" xfId="313" xr:uid="{00000000-0005-0000-0000-00003E010000}"/>
    <cellStyle name="Normal141" xfId="314" xr:uid="{00000000-0005-0000-0000-00003F010000}"/>
    <cellStyle name="Normal142" xfId="315" xr:uid="{00000000-0005-0000-0000-000040010000}"/>
    <cellStyle name="Normal143" xfId="316" xr:uid="{00000000-0005-0000-0000-000041010000}"/>
    <cellStyle name="Normal144" xfId="317" xr:uid="{00000000-0005-0000-0000-000042010000}"/>
    <cellStyle name="Normal145" xfId="318" xr:uid="{00000000-0005-0000-0000-000043010000}"/>
    <cellStyle name="Normal146" xfId="319" xr:uid="{00000000-0005-0000-0000-000044010000}"/>
    <cellStyle name="Normal147" xfId="320" xr:uid="{00000000-0005-0000-0000-000045010000}"/>
    <cellStyle name="Normal148" xfId="321" xr:uid="{00000000-0005-0000-0000-000046010000}"/>
    <cellStyle name="Normal149" xfId="322" xr:uid="{00000000-0005-0000-0000-000047010000}"/>
    <cellStyle name="Normal15" xfId="323" xr:uid="{00000000-0005-0000-0000-000048010000}"/>
    <cellStyle name="Normal150" xfId="324" xr:uid="{00000000-0005-0000-0000-000049010000}"/>
    <cellStyle name="Normal151" xfId="325" xr:uid="{00000000-0005-0000-0000-00004A010000}"/>
    <cellStyle name="Normal152" xfId="326" xr:uid="{00000000-0005-0000-0000-00004B010000}"/>
    <cellStyle name="Normal153" xfId="327" xr:uid="{00000000-0005-0000-0000-00004C010000}"/>
    <cellStyle name="Normal154" xfId="328" xr:uid="{00000000-0005-0000-0000-00004D010000}"/>
    <cellStyle name="Normal155" xfId="329" xr:uid="{00000000-0005-0000-0000-00004E010000}"/>
    <cellStyle name="Normal156" xfId="330" xr:uid="{00000000-0005-0000-0000-00004F010000}"/>
    <cellStyle name="Normal157" xfId="331" xr:uid="{00000000-0005-0000-0000-000050010000}"/>
    <cellStyle name="Normal158" xfId="332" xr:uid="{00000000-0005-0000-0000-000051010000}"/>
    <cellStyle name="Normal159" xfId="333" xr:uid="{00000000-0005-0000-0000-000052010000}"/>
    <cellStyle name="Normal16" xfId="334" xr:uid="{00000000-0005-0000-0000-000053010000}"/>
    <cellStyle name="Normal160" xfId="335" xr:uid="{00000000-0005-0000-0000-000054010000}"/>
    <cellStyle name="Normal161" xfId="336" xr:uid="{00000000-0005-0000-0000-000055010000}"/>
    <cellStyle name="Normal162" xfId="337" xr:uid="{00000000-0005-0000-0000-000056010000}"/>
    <cellStyle name="Normal163" xfId="338" xr:uid="{00000000-0005-0000-0000-000057010000}"/>
    <cellStyle name="Normal164" xfId="339" xr:uid="{00000000-0005-0000-0000-000058010000}"/>
    <cellStyle name="Normal165" xfId="340" xr:uid="{00000000-0005-0000-0000-000059010000}"/>
    <cellStyle name="Normal166" xfId="341" xr:uid="{00000000-0005-0000-0000-00005A010000}"/>
    <cellStyle name="Normal167" xfId="342" xr:uid="{00000000-0005-0000-0000-00005B010000}"/>
    <cellStyle name="Normal168" xfId="343" xr:uid="{00000000-0005-0000-0000-00005C010000}"/>
    <cellStyle name="Normal169" xfId="344" xr:uid="{00000000-0005-0000-0000-00005D010000}"/>
    <cellStyle name="Normal17" xfId="345" xr:uid="{00000000-0005-0000-0000-00005E010000}"/>
    <cellStyle name="Normal170" xfId="346" xr:uid="{00000000-0005-0000-0000-00005F010000}"/>
    <cellStyle name="Normal171" xfId="347" xr:uid="{00000000-0005-0000-0000-000060010000}"/>
    <cellStyle name="Normal172" xfId="348" xr:uid="{00000000-0005-0000-0000-000061010000}"/>
    <cellStyle name="Normal173" xfId="349" xr:uid="{00000000-0005-0000-0000-000062010000}"/>
    <cellStyle name="Normal174" xfId="350" xr:uid="{00000000-0005-0000-0000-000063010000}"/>
    <cellStyle name="Normal175" xfId="351" xr:uid="{00000000-0005-0000-0000-000064010000}"/>
    <cellStyle name="Normal176" xfId="352" xr:uid="{00000000-0005-0000-0000-000065010000}"/>
    <cellStyle name="Normal177" xfId="353" xr:uid="{00000000-0005-0000-0000-000066010000}"/>
    <cellStyle name="Normal178" xfId="354" xr:uid="{00000000-0005-0000-0000-000067010000}"/>
    <cellStyle name="Normal179" xfId="355" xr:uid="{00000000-0005-0000-0000-000068010000}"/>
    <cellStyle name="Normal18" xfId="356" xr:uid="{00000000-0005-0000-0000-000069010000}"/>
    <cellStyle name="Normal180" xfId="357" xr:uid="{00000000-0005-0000-0000-00006A010000}"/>
    <cellStyle name="Normal181" xfId="358" xr:uid="{00000000-0005-0000-0000-00006B010000}"/>
    <cellStyle name="Normal182" xfId="359" xr:uid="{00000000-0005-0000-0000-00006C010000}"/>
    <cellStyle name="Normal183" xfId="360" xr:uid="{00000000-0005-0000-0000-00006D010000}"/>
    <cellStyle name="Normal184" xfId="361" xr:uid="{00000000-0005-0000-0000-00006E010000}"/>
    <cellStyle name="Normal185" xfId="362" xr:uid="{00000000-0005-0000-0000-00006F010000}"/>
    <cellStyle name="Normal186" xfId="363" xr:uid="{00000000-0005-0000-0000-000070010000}"/>
    <cellStyle name="Normal187" xfId="364" xr:uid="{00000000-0005-0000-0000-000071010000}"/>
    <cellStyle name="Normal188" xfId="365" xr:uid="{00000000-0005-0000-0000-000072010000}"/>
    <cellStyle name="Normal189" xfId="366" xr:uid="{00000000-0005-0000-0000-000073010000}"/>
    <cellStyle name="Normal19" xfId="367" xr:uid="{00000000-0005-0000-0000-000074010000}"/>
    <cellStyle name="Normal190" xfId="368" xr:uid="{00000000-0005-0000-0000-000075010000}"/>
    <cellStyle name="Normal191" xfId="369" xr:uid="{00000000-0005-0000-0000-000076010000}"/>
    <cellStyle name="Normal192" xfId="370" xr:uid="{00000000-0005-0000-0000-000077010000}"/>
    <cellStyle name="Normal193" xfId="371" xr:uid="{00000000-0005-0000-0000-000078010000}"/>
    <cellStyle name="Normal194" xfId="372" xr:uid="{00000000-0005-0000-0000-000079010000}"/>
    <cellStyle name="Normal195" xfId="373" xr:uid="{00000000-0005-0000-0000-00007A010000}"/>
    <cellStyle name="Normal196" xfId="374" xr:uid="{00000000-0005-0000-0000-00007B010000}"/>
    <cellStyle name="Normal197" xfId="375" xr:uid="{00000000-0005-0000-0000-00007C010000}"/>
    <cellStyle name="Normal198" xfId="376" xr:uid="{00000000-0005-0000-0000-00007D010000}"/>
    <cellStyle name="Normal199" xfId="377" xr:uid="{00000000-0005-0000-0000-00007E010000}"/>
    <cellStyle name="Normal2" xfId="378" xr:uid="{00000000-0005-0000-0000-00007F010000}"/>
    <cellStyle name="Normal20" xfId="379" xr:uid="{00000000-0005-0000-0000-000080010000}"/>
    <cellStyle name="Normal200" xfId="380" xr:uid="{00000000-0005-0000-0000-000081010000}"/>
    <cellStyle name="Normal201" xfId="381" xr:uid="{00000000-0005-0000-0000-000082010000}"/>
    <cellStyle name="Normal202" xfId="382" xr:uid="{00000000-0005-0000-0000-000083010000}"/>
    <cellStyle name="Normal203" xfId="383" xr:uid="{00000000-0005-0000-0000-000084010000}"/>
    <cellStyle name="Normal204" xfId="384" xr:uid="{00000000-0005-0000-0000-000085010000}"/>
    <cellStyle name="Normal205" xfId="385" xr:uid="{00000000-0005-0000-0000-000086010000}"/>
    <cellStyle name="Normal206" xfId="386" xr:uid="{00000000-0005-0000-0000-000087010000}"/>
    <cellStyle name="Normal207" xfId="387" xr:uid="{00000000-0005-0000-0000-000088010000}"/>
    <cellStyle name="Normal208" xfId="388" xr:uid="{00000000-0005-0000-0000-000089010000}"/>
    <cellStyle name="Normal209" xfId="389" xr:uid="{00000000-0005-0000-0000-00008A010000}"/>
    <cellStyle name="Normal21" xfId="390" xr:uid="{00000000-0005-0000-0000-00008B010000}"/>
    <cellStyle name="Normal210" xfId="391" xr:uid="{00000000-0005-0000-0000-00008C010000}"/>
    <cellStyle name="Normal211" xfId="392" xr:uid="{00000000-0005-0000-0000-00008D010000}"/>
    <cellStyle name="Normal212" xfId="393" xr:uid="{00000000-0005-0000-0000-00008E010000}"/>
    <cellStyle name="Normal213" xfId="394" xr:uid="{00000000-0005-0000-0000-00008F010000}"/>
    <cellStyle name="Normal214" xfId="395" xr:uid="{00000000-0005-0000-0000-000090010000}"/>
    <cellStyle name="Normal215" xfId="396" xr:uid="{00000000-0005-0000-0000-000091010000}"/>
    <cellStyle name="Normal216" xfId="397" xr:uid="{00000000-0005-0000-0000-000092010000}"/>
    <cellStyle name="Normal217" xfId="398" xr:uid="{00000000-0005-0000-0000-000093010000}"/>
    <cellStyle name="Normal218" xfId="399" xr:uid="{00000000-0005-0000-0000-000094010000}"/>
    <cellStyle name="Normal219" xfId="400" xr:uid="{00000000-0005-0000-0000-000095010000}"/>
    <cellStyle name="Normal22" xfId="401" xr:uid="{00000000-0005-0000-0000-000096010000}"/>
    <cellStyle name="Normal220" xfId="402" xr:uid="{00000000-0005-0000-0000-000097010000}"/>
    <cellStyle name="Normal221" xfId="403" xr:uid="{00000000-0005-0000-0000-000098010000}"/>
    <cellStyle name="Normal222" xfId="404" xr:uid="{00000000-0005-0000-0000-000099010000}"/>
    <cellStyle name="Normal223" xfId="405" xr:uid="{00000000-0005-0000-0000-00009A010000}"/>
    <cellStyle name="Normal224" xfId="406" xr:uid="{00000000-0005-0000-0000-00009B010000}"/>
    <cellStyle name="Normal225" xfId="407" xr:uid="{00000000-0005-0000-0000-00009C010000}"/>
    <cellStyle name="Normal226" xfId="408" xr:uid="{00000000-0005-0000-0000-00009D010000}"/>
    <cellStyle name="Normal227" xfId="409" xr:uid="{00000000-0005-0000-0000-00009E010000}"/>
    <cellStyle name="Normal228" xfId="410" xr:uid="{00000000-0005-0000-0000-00009F010000}"/>
    <cellStyle name="Normal229" xfId="411" xr:uid="{00000000-0005-0000-0000-0000A0010000}"/>
    <cellStyle name="Normal23" xfId="412" xr:uid="{00000000-0005-0000-0000-0000A1010000}"/>
    <cellStyle name="Normal230" xfId="413" xr:uid="{00000000-0005-0000-0000-0000A2010000}"/>
    <cellStyle name="Normal231" xfId="414" xr:uid="{00000000-0005-0000-0000-0000A3010000}"/>
    <cellStyle name="Normal232" xfId="415" xr:uid="{00000000-0005-0000-0000-0000A4010000}"/>
    <cellStyle name="Normal233" xfId="416" xr:uid="{00000000-0005-0000-0000-0000A5010000}"/>
    <cellStyle name="Normal234" xfId="417" xr:uid="{00000000-0005-0000-0000-0000A6010000}"/>
    <cellStyle name="Normal235" xfId="418" xr:uid="{00000000-0005-0000-0000-0000A7010000}"/>
    <cellStyle name="Normal236" xfId="419" xr:uid="{00000000-0005-0000-0000-0000A8010000}"/>
    <cellStyle name="Normal237" xfId="420" xr:uid="{00000000-0005-0000-0000-0000A9010000}"/>
    <cellStyle name="Normal238" xfId="421" xr:uid="{00000000-0005-0000-0000-0000AA010000}"/>
    <cellStyle name="Normal239" xfId="422" xr:uid="{00000000-0005-0000-0000-0000AB010000}"/>
    <cellStyle name="Normal24" xfId="423" xr:uid="{00000000-0005-0000-0000-0000AC010000}"/>
    <cellStyle name="Normal240" xfId="424" xr:uid="{00000000-0005-0000-0000-0000AD010000}"/>
    <cellStyle name="Normal241" xfId="425" xr:uid="{00000000-0005-0000-0000-0000AE010000}"/>
    <cellStyle name="Normal242" xfId="426" xr:uid="{00000000-0005-0000-0000-0000AF010000}"/>
    <cellStyle name="Normal243" xfId="427" xr:uid="{00000000-0005-0000-0000-0000B0010000}"/>
    <cellStyle name="Normal244" xfId="428" xr:uid="{00000000-0005-0000-0000-0000B1010000}"/>
    <cellStyle name="Normal245" xfId="429" xr:uid="{00000000-0005-0000-0000-0000B2010000}"/>
    <cellStyle name="Normal246" xfId="430" xr:uid="{00000000-0005-0000-0000-0000B3010000}"/>
    <cellStyle name="Normal247" xfId="431" xr:uid="{00000000-0005-0000-0000-0000B4010000}"/>
    <cellStyle name="Normal248" xfId="432" xr:uid="{00000000-0005-0000-0000-0000B5010000}"/>
    <cellStyle name="Normal249" xfId="433" xr:uid="{00000000-0005-0000-0000-0000B6010000}"/>
    <cellStyle name="Normal25" xfId="434" xr:uid="{00000000-0005-0000-0000-0000B7010000}"/>
    <cellStyle name="Normal250" xfId="435" xr:uid="{00000000-0005-0000-0000-0000B8010000}"/>
    <cellStyle name="Normal251" xfId="436" xr:uid="{00000000-0005-0000-0000-0000B9010000}"/>
    <cellStyle name="Normal252" xfId="437" xr:uid="{00000000-0005-0000-0000-0000BA010000}"/>
    <cellStyle name="Normal253" xfId="438" xr:uid="{00000000-0005-0000-0000-0000BB010000}"/>
    <cellStyle name="Normal26" xfId="439" xr:uid="{00000000-0005-0000-0000-0000BC010000}"/>
    <cellStyle name="Normal27" xfId="440" xr:uid="{00000000-0005-0000-0000-0000BD010000}"/>
    <cellStyle name="Normal28" xfId="441" xr:uid="{00000000-0005-0000-0000-0000BE010000}"/>
    <cellStyle name="Normal29" xfId="442" xr:uid="{00000000-0005-0000-0000-0000BF010000}"/>
    <cellStyle name="Normal3" xfId="443" xr:uid="{00000000-0005-0000-0000-0000C0010000}"/>
    <cellStyle name="Normal30" xfId="444" xr:uid="{00000000-0005-0000-0000-0000C1010000}"/>
    <cellStyle name="Normal31" xfId="445" xr:uid="{00000000-0005-0000-0000-0000C2010000}"/>
    <cellStyle name="Normal32" xfId="446" xr:uid="{00000000-0005-0000-0000-0000C3010000}"/>
    <cellStyle name="Normal33" xfId="447" xr:uid="{00000000-0005-0000-0000-0000C4010000}"/>
    <cellStyle name="Normal34" xfId="448" xr:uid="{00000000-0005-0000-0000-0000C5010000}"/>
    <cellStyle name="Normal35" xfId="449" xr:uid="{00000000-0005-0000-0000-0000C6010000}"/>
    <cellStyle name="Normal36" xfId="450" xr:uid="{00000000-0005-0000-0000-0000C7010000}"/>
    <cellStyle name="Normal37" xfId="451" xr:uid="{00000000-0005-0000-0000-0000C8010000}"/>
    <cellStyle name="Normal38" xfId="452" xr:uid="{00000000-0005-0000-0000-0000C9010000}"/>
    <cellStyle name="Normal39" xfId="453" xr:uid="{00000000-0005-0000-0000-0000CA010000}"/>
    <cellStyle name="Normal4" xfId="454" xr:uid="{00000000-0005-0000-0000-0000CB010000}"/>
    <cellStyle name="Normal40" xfId="455" xr:uid="{00000000-0005-0000-0000-0000CC010000}"/>
    <cellStyle name="Normal41" xfId="456" xr:uid="{00000000-0005-0000-0000-0000CD010000}"/>
    <cellStyle name="Normal42" xfId="457" xr:uid="{00000000-0005-0000-0000-0000CE010000}"/>
    <cellStyle name="Normal43" xfId="458" xr:uid="{00000000-0005-0000-0000-0000CF010000}"/>
    <cellStyle name="Normal44" xfId="459" xr:uid="{00000000-0005-0000-0000-0000D0010000}"/>
    <cellStyle name="Normal45" xfId="460" xr:uid="{00000000-0005-0000-0000-0000D1010000}"/>
    <cellStyle name="Normal46" xfId="461" xr:uid="{00000000-0005-0000-0000-0000D2010000}"/>
    <cellStyle name="Normal47" xfId="462" xr:uid="{00000000-0005-0000-0000-0000D3010000}"/>
    <cellStyle name="Normal48" xfId="463" xr:uid="{00000000-0005-0000-0000-0000D4010000}"/>
    <cellStyle name="Normal49" xfId="464" xr:uid="{00000000-0005-0000-0000-0000D5010000}"/>
    <cellStyle name="Normal5" xfId="465" xr:uid="{00000000-0005-0000-0000-0000D6010000}"/>
    <cellStyle name="Normal50" xfId="466" xr:uid="{00000000-0005-0000-0000-0000D7010000}"/>
    <cellStyle name="Normal51" xfId="467" xr:uid="{00000000-0005-0000-0000-0000D8010000}"/>
    <cellStyle name="Normal52" xfId="468" xr:uid="{00000000-0005-0000-0000-0000D9010000}"/>
    <cellStyle name="Normal53" xfId="469" xr:uid="{00000000-0005-0000-0000-0000DA010000}"/>
    <cellStyle name="Normal54" xfId="470" xr:uid="{00000000-0005-0000-0000-0000DB010000}"/>
    <cellStyle name="Normal55" xfId="471" xr:uid="{00000000-0005-0000-0000-0000DC010000}"/>
    <cellStyle name="Normal56" xfId="472" xr:uid="{00000000-0005-0000-0000-0000DD010000}"/>
    <cellStyle name="Normal57" xfId="473" xr:uid="{00000000-0005-0000-0000-0000DE010000}"/>
    <cellStyle name="Normal58" xfId="474" xr:uid="{00000000-0005-0000-0000-0000DF010000}"/>
    <cellStyle name="Normal59" xfId="475" xr:uid="{00000000-0005-0000-0000-0000E0010000}"/>
    <cellStyle name="Normal6" xfId="476" xr:uid="{00000000-0005-0000-0000-0000E1010000}"/>
    <cellStyle name="Normal60" xfId="477" xr:uid="{00000000-0005-0000-0000-0000E2010000}"/>
    <cellStyle name="Normal61" xfId="478" xr:uid="{00000000-0005-0000-0000-0000E3010000}"/>
    <cellStyle name="Normal62" xfId="479" xr:uid="{00000000-0005-0000-0000-0000E4010000}"/>
    <cellStyle name="Normal63" xfId="480" xr:uid="{00000000-0005-0000-0000-0000E5010000}"/>
    <cellStyle name="Normal64" xfId="481" xr:uid="{00000000-0005-0000-0000-0000E6010000}"/>
    <cellStyle name="Normal65" xfId="482" xr:uid="{00000000-0005-0000-0000-0000E7010000}"/>
    <cellStyle name="Normal66" xfId="483" xr:uid="{00000000-0005-0000-0000-0000E8010000}"/>
    <cellStyle name="Normal67" xfId="484" xr:uid="{00000000-0005-0000-0000-0000E9010000}"/>
    <cellStyle name="Normal68" xfId="485" xr:uid="{00000000-0005-0000-0000-0000EA010000}"/>
    <cellStyle name="Normal69" xfId="486" xr:uid="{00000000-0005-0000-0000-0000EB010000}"/>
    <cellStyle name="Normal7" xfId="487" xr:uid="{00000000-0005-0000-0000-0000EC010000}"/>
    <cellStyle name="Normal70" xfId="488" xr:uid="{00000000-0005-0000-0000-0000ED010000}"/>
    <cellStyle name="Normal71" xfId="489" xr:uid="{00000000-0005-0000-0000-0000EE010000}"/>
    <cellStyle name="Normal72" xfId="490" xr:uid="{00000000-0005-0000-0000-0000EF010000}"/>
    <cellStyle name="Normal73" xfId="491" xr:uid="{00000000-0005-0000-0000-0000F0010000}"/>
    <cellStyle name="Normal74" xfId="492" xr:uid="{00000000-0005-0000-0000-0000F1010000}"/>
    <cellStyle name="Normal75" xfId="493" xr:uid="{00000000-0005-0000-0000-0000F2010000}"/>
    <cellStyle name="Normal76" xfId="494" xr:uid="{00000000-0005-0000-0000-0000F3010000}"/>
    <cellStyle name="Normal77" xfId="495" xr:uid="{00000000-0005-0000-0000-0000F4010000}"/>
    <cellStyle name="Normal78" xfId="496" xr:uid="{00000000-0005-0000-0000-0000F5010000}"/>
    <cellStyle name="Normal79" xfId="497" xr:uid="{00000000-0005-0000-0000-0000F6010000}"/>
    <cellStyle name="Normal8" xfId="498" xr:uid="{00000000-0005-0000-0000-0000F7010000}"/>
    <cellStyle name="Normal80" xfId="499" xr:uid="{00000000-0005-0000-0000-0000F8010000}"/>
    <cellStyle name="Normal81" xfId="500" xr:uid="{00000000-0005-0000-0000-0000F9010000}"/>
    <cellStyle name="Normal82" xfId="501" xr:uid="{00000000-0005-0000-0000-0000FA010000}"/>
    <cellStyle name="Normal83" xfId="502" xr:uid="{00000000-0005-0000-0000-0000FB010000}"/>
    <cellStyle name="Normal84" xfId="503" xr:uid="{00000000-0005-0000-0000-0000FC010000}"/>
    <cellStyle name="Normal85" xfId="504" xr:uid="{00000000-0005-0000-0000-0000FD010000}"/>
    <cellStyle name="Normal86" xfId="505" xr:uid="{00000000-0005-0000-0000-0000FE010000}"/>
    <cellStyle name="Normal87" xfId="506" xr:uid="{00000000-0005-0000-0000-0000FF010000}"/>
    <cellStyle name="Normal88" xfId="507" xr:uid="{00000000-0005-0000-0000-000000020000}"/>
    <cellStyle name="Normal89" xfId="508" xr:uid="{00000000-0005-0000-0000-000001020000}"/>
    <cellStyle name="Normal9" xfId="509" xr:uid="{00000000-0005-0000-0000-000002020000}"/>
    <cellStyle name="Normal90" xfId="510" xr:uid="{00000000-0005-0000-0000-000003020000}"/>
    <cellStyle name="Normal91" xfId="511" xr:uid="{00000000-0005-0000-0000-000004020000}"/>
    <cellStyle name="Normal92" xfId="512" xr:uid="{00000000-0005-0000-0000-000005020000}"/>
    <cellStyle name="Normal93" xfId="513" xr:uid="{00000000-0005-0000-0000-000006020000}"/>
    <cellStyle name="Normal94" xfId="514" xr:uid="{00000000-0005-0000-0000-000007020000}"/>
    <cellStyle name="Normal95" xfId="515" xr:uid="{00000000-0005-0000-0000-000008020000}"/>
    <cellStyle name="Normal96" xfId="516" xr:uid="{00000000-0005-0000-0000-000009020000}"/>
    <cellStyle name="Normal97" xfId="517" xr:uid="{00000000-0005-0000-0000-00000A020000}"/>
    <cellStyle name="Normal98" xfId="518" xr:uid="{00000000-0005-0000-0000-00000B020000}"/>
    <cellStyle name="Normal99" xfId="519" xr:uid="{00000000-0005-0000-0000-00000C020000}"/>
    <cellStyle name="NotDeclared_1" xfId="520" xr:uid="{00000000-0005-0000-0000-00000D020000}"/>
    <cellStyle name="Numbers" xfId="521" xr:uid="{00000000-0005-0000-0000-00000E020000}"/>
    <cellStyle name="Numbers - Bold" xfId="522" xr:uid="{00000000-0005-0000-0000-00000F020000}"/>
    <cellStyle name="Numbers - Bold - Italic" xfId="523" xr:uid="{00000000-0005-0000-0000-000010020000}"/>
    <cellStyle name="Numbers - Bold_6079BX" xfId="524" xr:uid="{00000000-0005-0000-0000-000011020000}"/>
    <cellStyle name="Numbers - Large" xfId="525" xr:uid="{00000000-0005-0000-0000-000012020000}"/>
    <cellStyle name="Numbers_6079BX" xfId="526" xr:uid="{00000000-0005-0000-0000-000013020000}"/>
    <cellStyle name="OSW_RowLabels" xfId="527" xr:uid="{00000000-0005-0000-0000-000014020000}"/>
    <cellStyle name="Outline" xfId="528" xr:uid="{00000000-0005-0000-0000-000015020000}"/>
    <cellStyle name="Output Amounts" xfId="529" xr:uid="{00000000-0005-0000-0000-000016020000}"/>
    <cellStyle name="OUTPUT AMOUNTS 2" xfId="922" xr:uid="{6047602A-A2C7-4023-BDD9-CCC59AC4A2C4}"/>
    <cellStyle name="Output Column Headings" xfId="530" xr:uid="{00000000-0005-0000-0000-000017020000}"/>
    <cellStyle name="Output Line Items" xfId="531" xr:uid="{00000000-0005-0000-0000-000018020000}"/>
    <cellStyle name="Output Report Heading" xfId="532" xr:uid="{00000000-0005-0000-0000-000019020000}"/>
    <cellStyle name="OUTPUT REPORT HEADING 2" xfId="923" xr:uid="{F3264B50-A661-4CFE-B36E-A2115285C8ED}"/>
    <cellStyle name="Page" xfId="533" xr:uid="{00000000-0005-0000-0000-00001A020000}"/>
    <cellStyle name="PB Table Heading" xfId="534" xr:uid="{00000000-0005-0000-0000-00001B020000}"/>
    <cellStyle name="PB Table Highlight1" xfId="535" xr:uid="{00000000-0005-0000-0000-00001C020000}"/>
    <cellStyle name="PB Table Highlight2" xfId="536" xr:uid="{00000000-0005-0000-0000-00001D020000}"/>
    <cellStyle name="PB Table Highlight3" xfId="537" xr:uid="{00000000-0005-0000-0000-00001E020000}"/>
    <cellStyle name="PB Table Standard Row" xfId="538" xr:uid="{00000000-0005-0000-0000-00001F020000}"/>
    <cellStyle name="PB Table Subtotal Row" xfId="539" xr:uid="{00000000-0005-0000-0000-000020020000}"/>
    <cellStyle name="PB Table Total Row" xfId="540" xr:uid="{00000000-0005-0000-0000-000021020000}"/>
    <cellStyle name="Per cent" xfId="902" builtinId="5"/>
    <cellStyle name="per.style" xfId="541" xr:uid="{00000000-0005-0000-0000-000022020000}"/>
    <cellStyle name="Percent [0]" xfId="542" xr:uid="{00000000-0005-0000-0000-000023020000}"/>
    <cellStyle name="Percent [00]" xfId="543" xr:uid="{00000000-0005-0000-0000-000024020000}"/>
    <cellStyle name="Percent [1]" xfId="544" xr:uid="{00000000-0005-0000-0000-000025020000}"/>
    <cellStyle name="Percent [1][]" xfId="545" xr:uid="{00000000-0005-0000-0000-000026020000}"/>
    <cellStyle name="Percent [1]_New MA Public Comps and WACC Model" xfId="546" xr:uid="{00000000-0005-0000-0000-000027020000}"/>
    <cellStyle name="Percent [2]" xfId="547" xr:uid="{00000000-0005-0000-0000-000028020000}"/>
    <cellStyle name="Percent 2" xfId="897" xr:uid="{00000000-0005-0000-0000-000029020000}"/>
    <cellStyle name="Percent 2 2" xfId="975" xr:uid="{E50EC71B-E86C-41A5-BA6E-F173F66C0B2B}"/>
    <cellStyle name="Percent 2 3" xfId="943" xr:uid="{507B2093-28F6-48A3-8F22-0382BED894B0}"/>
    <cellStyle name="Percent 3" xfId="968" xr:uid="{621AC9D8-EB5B-4F76-ACDE-704BDD8CA560}"/>
    <cellStyle name="Percent 4" xfId="936" xr:uid="{F1820049-E629-49FE-80AD-4D10C2E4D203}"/>
    <cellStyle name="Percent Comma" xfId="548" xr:uid="{00000000-0005-0000-0000-00002A020000}"/>
    <cellStyle name="Percent1" xfId="549" xr:uid="{00000000-0005-0000-0000-00002B020000}"/>
    <cellStyle name="Percent10" xfId="550" xr:uid="{00000000-0005-0000-0000-00002C020000}"/>
    <cellStyle name="Percent100" xfId="551" xr:uid="{00000000-0005-0000-0000-00002D020000}"/>
    <cellStyle name="Percent101" xfId="552" xr:uid="{00000000-0005-0000-0000-00002E020000}"/>
    <cellStyle name="Percent102" xfId="553" xr:uid="{00000000-0005-0000-0000-00002F020000}"/>
    <cellStyle name="Percent103" xfId="554" xr:uid="{00000000-0005-0000-0000-000030020000}"/>
    <cellStyle name="Percent104" xfId="555" xr:uid="{00000000-0005-0000-0000-000031020000}"/>
    <cellStyle name="Percent105" xfId="556" xr:uid="{00000000-0005-0000-0000-000032020000}"/>
    <cellStyle name="Percent106" xfId="557" xr:uid="{00000000-0005-0000-0000-000033020000}"/>
    <cellStyle name="Percent107" xfId="558" xr:uid="{00000000-0005-0000-0000-000034020000}"/>
    <cellStyle name="Percent108" xfId="559" xr:uid="{00000000-0005-0000-0000-000035020000}"/>
    <cellStyle name="Percent109" xfId="560" xr:uid="{00000000-0005-0000-0000-000036020000}"/>
    <cellStyle name="Percent11" xfId="561" xr:uid="{00000000-0005-0000-0000-000037020000}"/>
    <cellStyle name="Percent110" xfId="562" xr:uid="{00000000-0005-0000-0000-000038020000}"/>
    <cellStyle name="Percent111" xfId="563" xr:uid="{00000000-0005-0000-0000-000039020000}"/>
    <cellStyle name="Percent112" xfId="564" xr:uid="{00000000-0005-0000-0000-00003A020000}"/>
    <cellStyle name="Percent113" xfId="565" xr:uid="{00000000-0005-0000-0000-00003B020000}"/>
    <cellStyle name="Percent114" xfId="566" xr:uid="{00000000-0005-0000-0000-00003C020000}"/>
    <cellStyle name="Percent115" xfId="567" xr:uid="{00000000-0005-0000-0000-00003D020000}"/>
    <cellStyle name="Percent116" xfId="568" xr:uid="{00000000-0005-0000-0000-00003E020000}"/>
    <cellStyle name="Percent117" xfId="569" xr:uid="{00000000-0005-0000-0000-00003F020000}"/>
    <cellStyle name="Percent118" xfId="570" xr:uid="{00000000-0005-0000-0000-000040020000}"/>
    <cellStyle name="Percent119" xfId="571" xr:uid="{00000000-0005-0000-0000-000041020000}"/>
    <cellStyle name="Percent12" xfId="572" xr:uid="{00000000-0005-0000-0000-000042020000}"/>
    <cellStyle name="Percent120" xfId="573" xr:uid="{00000000-0005-0000-0000-000043020000}"/>
    <cellStyle name="Percent121" xfId="574" xr:uid="{00000000-0005-0000-0000-000044020000}"/>
    <cellStyle name="Percent122" xfId="575" xr:uid="{00000000-0005-0000-0000-000045020000}"/>
    <cellStyle name="Percent123" xfId="576" xr:uid="{00000000-0005-0000-0000-000046020000}"/>
    <cellStyle name="Percent124" xfId="577" xr:uid="{00000000-0005-0000-0000-000047020000}"/>
    <cellStyle name="Percent125" xfId="578" xr:uid="{00000000-0005-0000-0000-000048020000}"/>
    <cellStyle name="Percent126" xfId="579" xr:uid="{00000000-0005-0000-0000-000049020000}"/>
    <cellStyle name="Percent127" xfId="580" xr:uid="{00000000-0005-0000-0000-00004A020000}"/>
    <cellStyle name="Percent128" xfId="581" xr:uid="{00000000-0005-0000-0000-00004B020000}"/>
    <cellStyle name="Percent129" xfId="582" xr:uid="{00000000-0005-0000-0000-00004C020000}"/>
    <cellStyle name="Percent13" xfId="583" xr:uid="{00000000-0005-0000-0000-00004D020000}"/>
    <cellStyle name="Percent130" xfId="584" xr:uid="{00000000-0005-0000-0000-00004E020000}"/>
    <cellStyle name="Percent131" xfId="585" xr:uid="{00000000-0005-0000-0000-00004F020000}"/>
    <cellStyle name="Percent132" xfId="586" xr:uid="{00000000-0005-0000-0000-000050020000}"/>
    <cellStyle name="Percent133" xfId="587" xr:uid="{00000000-0005-0000-0000-000051020000}"/>
    <cellStyle name="Percent134" xfId="588" xr:uid="{00000000-0005-0000-0000-000052020000}"/>
    <cellStyle name="Percent135" xfId="589" xr:uid="{00000000-0005-0000-0000-000053020000}"/>
    <cellStyle name="Percent136" xfId="590" xr:uid="{00000000-0005-0000-0000-000054020000}"/>
    <cellStyle name="Percent137" xfId="591" xr:uid="{00000000-0005-0000-0000-000055020000}"/>
    <cellStyle name="Percent138" xfId="592" xr:uid="{00000000-0005-0000-0000-000056020000}"/>
    <cellStyle name="Percent139" xfId="593" xr:uid="{00000000-0005-0000-0000-000057020000}"/>
    <cellStyle name="Percent14" xfId="594" xr:uid="{00000000-0005-0000-0000-000058020000}"/>
    <cellStyle name="Percent140" xfId="595" xr:uid="{00000000-0005-0000-0000-000059020000}"/>
    <cellStyle name="Percent141" xfId="596" xr:uid="{00000000-0005-0000-0000-00005A020000}"/>
    <cellStyle name="Percent142" xfId="597" xr:uid="{00000000-0005-0000-0000-00005B020000}"/>
    <cellStyle name="Percent143" xfId="598" xr:uid="{00000000-0005-0000-0000-00005C020000}"/>
    <cellStyle name="Percent144" xfId="599" xr:uid="{00000000-0005-0000-0000-00005D020000}"/>
    <cellStyle name="Percent145" xfId="600" xr:uid="{00000000-0005-0000-0000-00005E020000}"/>
    <cellStyle name="Percent146" xfId="601" xr:uid="{00000000-0005-0000-0000-00005F020000}"/>
    <cellStyle name="Percent147" xfId="602" xr:uid="{00000000-0005-0000-0000-000060020000}"/>
    <cellStyle name="Percent148" xfId="603" xr:uid="{00000000-0005-0000-0000-000061020000}"/>
    <cellStyle name="Percent149" xfId="604" xr:uid="{00000000-0005-0000-0000-000062020000}"/>
    <cellStyle name="Percent15" xfId="605" xr:uid="{00000000-0005-0000-0000-000063020000}"/>
    <cellStyle name="Percent150" xfId="606" xr:uid="{00000000-0005-0000-0000-000064020000}"/>
    <cellStyle name="Percent151" xfId="607" xr:uid="{00000000-0005-0000-0000-000065020000}"/>
    <cellStyle name="Percent152" xfId="608" xr:uid="{00000000-0005-0000-0000-000066020000}"/>
    <cellStyle name="Percent153" xfId="609" xr:uid="{00000000-0005-0000-0000-000067020000}"/>
    <cellStyle name="Percent154" xfId="610" xr:uid="{00000000-0005-0000-0000-000068020000}"/>
    <cellStyle name="Percent155" xfId="611" xr:uid="{00000000-0005-0000-0000-000069020000}"/>
    <cellStyle name="Percent156" xfId="612" xr:uid="{00000000-0005-0000-0000-00006A020000}"/>
    <cellStyle name="Percent157" xfId="613" xr:uid="{00000000-0005-0000-0000-00006B020000}"/>
    <cellStyle name="Percent158" xfId="614" xr:uid="{00000000-0005-0000-0000-00006C020000}"/>
    <cellStyle name="Percent159" xfId="615" xr:uid="{00000000-0005-0000-0000-00006D020000}"/>
    <cellStyle name="Percent16" xfId="616" xr:uid="{00000000-0005-0000-0000-00006E020000}"/>
    <cellStyle name="Percent160" xfId="617" xr:uid="{00000000-0005-0000-0000-00006F020000}"/>
    <cellStyle name="Percent161" xfId="618" xr:uid="{00000000-0005-0000-0000-000070020000}"/>
    <cellStyle name="Percent162" xfId="619" xr:uid="{00000000-0005-0000-0000-000071020000}"/>
    <cellStyle name="Percent163" xfId="620" xr:uid="{00000000-0005-0000-0000-000072020000}"/>
    <cellStyle name="Percent164" xfId="621" xr:uid="{00000000-0005-0000-0000-000073020000}"/>
    <cellStyle name="Percent165" xfId="622" xr:uid="{00000000-0005-0000-0000-000074020000}"/>
    <cellStyle name="Percent166" xfId="623" xr:uid="{00000000-0005-0000-0000-000075020000}"/>
    <cellStyle name="Percent167" xfId="624" xr:uid="{00000000-0005-0000-0000-000076020000}"/>
    <cellStyle name="Percent168" xfId="625" xr:uid="{00000000-0005-0000-0000-000077020000}"/>
    <cellStyle name="Percent169" xfId="626" xr:uid="{00000000-0005-0000-0000-000078020000}"/>
    <cellStyle name="Percent17" xfId="627" xr:uid="{00000000-0005-0000-0000-000079020000}"/>
    <cellStyle name="Percent170" xfId="628" xr:uid="{00000000-0005-0000-0000-00007A020000}"/>
    <cellStyle name="Percent171" xfId="629" xr:uid="{00000000-0005-0000-0000-00007B020000}"/>
    <cellStyle name="Percent172" xfId="630" xr:uid="{00000000-0005-0000-0000-00007C020000}"/>
    <cellStyle name="Percent173" xfId="631" xr:uid="{00000000-0005-0000-0000-00007D020000}"/>
    <cellStyle name="Percent174" xfId="632" xr:uid="{00000000-0005-0000-0000-00007E020000}"/>
    <cellStyle name="Percent175" xfId="633" xr:uid="{00000000-0005-0000-0000-00007F020000}"/>
    <cellStyle name="Percent176" xfId="634" xr:uid="{00000000-0005-0000-0000-000080020000}"/>
    <cellStyle name="Percent177" xfId="635" xr:uid="{00000000-0005-0000-0000-000081020000}"/>
    <cellStyle name="Percent178" xfId="636" xr:uid="{00000000-0005-0000-0000-000082020000}"/>
    <cellStyle name="Percent179" xfId="637" xr:uid="{00000000-0005-0000-0000-000083020000}"/>
    <cellStyle name="Percent18" xfId="638" xr:uid="{00000000-0005-0000-0000-000084020000}"/>
    <cellStyle name="Percent180" xfId="639" xr:uid="{00000000-0005-0000-0000-000085020000}"/>
    <cellStyle name="Percent181" xfId="640" xr:uid="{00000000-0005-0000-0000-000086020000}"/>
    <cellStyle name="Percent182" xfId="641" xr:uid="{00000000-0005-0000-0000-000087020000}"/>
    <cellStyle name="Percent183" xfId="642" xr:uid="{00000000-0005-0000-0000-000088020000}"/>
    <cellStyle name="Percent184" xfId="643" xr:uid="{00000000-0005-0000-0000-000089020000}"/>
    <cellStyle name="Percent185" xfId="644" xr:uid="{00000000-0005-0000-0000-00008A020000}"/>
    <cellStyle name="Percent186" xfId="645" xr:uid="{00000000-0005-0000-0000-00008B020000}"/>
    <cellStyle name="Percent187" xfId="646" xr:uid="{00000000-0005-0000-0000-00008C020000}"/>
    <cellStyle name="Percent188" xfId="647" xr:uid="{00000000-0005-0000-0000-00008D020000}"/>
    <cellStyle name="Percent189" xfId="648" xr:uid="{00000000-0005-0000-0000-00008E020000}"/>
    <cellStyle name="Percent19" xfId="649" xr:uid="{00000000-0005-0000-0000-00008F020000}"/>
    <cellStyle name="Percent190" xfId="650" xr:uid="{00000000-0005-0000-0000-000090020000}"/>
    <cellStyle name="Percent191" xfId="651" xr:uid="{00000000-0005-0000-0000-000091020000}"/>
    <cellStyle name="Percent192" xfId="652" xr:uid="{00000000-0005-0000-0000-000092020000}"/>
    <cellStyle name="Percent193" xfId="653" xr:uid="{00000000-0005-0000-0000-000093020000}"/>
    <cellStyle name="Percent194" xfId="654" xr:uid="{00000000-0005-0000-0000-000094020000}"/>
    <cellStyle name="Percent195" xfId="655" xr:uid="{00000000-0005-0000-0000-000095020000}"/>
    <cellStyle name="Percent196" xfId="656" xr:uid="{00000000-0005-0000-0000-000096020000}"/>
    <cellStyle name="Percent197" xfId="657" xr:uid="{00000000-0005-0000-0000-000097020000}"/>
    <cellStyle name="Percent198" xfId="658" xr:uid="{00000000-0005-0000-0000-000098020000}"/>
    <cellStyle name="Percent199" xfId="659" xr:uid="{00000000-0005-0000-0000-000099020000}"/>
    <cellStyle name="Percent1Bold" xfId="660" xr:uid="{00000000-0005-0000-0000-00009A020000}"/>
    <cellStyle name="Percent2" xfId="661" xr:uid="{00000000-0005-0000-0000-00009B020000}"/>
    <cellStyle name="Percent20" xfId="662" xr:uid="{00000000-0005-0000-0000-00009C020000}"/>
    <cellStyle name="Percent200" xfId="663" xr:uid="{00000000-0005-0000-0000-00009D020000}"/>
    <cellStyle name="Percent201" xfId="664" xr:uid="{00000000-0005-0000-0000-00009E020000}"/>
    <cellStyle name="Percent202" xfId="665" xr:uid="{00000000-0005-0000-0000-00009F020000}"/>
    <cellStyle name="Percent203" xfId="666" xr:uid="{00000000-0005-0000-0000-0000A0020000}"/>
    <cellStyle name="Percent204" xfId="667" xr:uid="{00000000-0005-0000-0000-0000A1020000}"/>
    <cellStyle name="Percent205" xfId="668" xr:uid="{00000000-0005-0000-0000-0000A2020000}"/>
    <cellStyle name="Percent206" xfId="669" xr:uid="{00000000-0005-0000-0000-0000A3020000}"/>
    <cellStyle name="Percent207" xfId="670" xr:uid="{00000000-0005-0000-0000-0000A4020000}"/>
    <cellStyle name="Percent208" xfId="671" xr:uid="{00000000-0005-0000-0000-0000A5020000}"/>
    <cellStyle name="Percent209" xfId="672" xr:uid="{00000000-0005-0000-0000-0000A6020000}"/>
    <cellStyle name="Percent21" xfId="673" xr:uid="{00000000-0005-0000-0000-0000A7020000}"/>
    <cellStyle name="Percent210" xfId="674" xr:uid="{00000000-0005-0000-0000-0000A8020000}"/>
    <cellStyle name="Percent211" xfId="675" xr:uid="{00000000-0005-0000-0000-0000A9020000}"/>
    <cellStyle name="Percent212" xfId="676" xr:uid="{00000000-0005-0000-0000-0000AA020000}"/>
    <cellStyle name="Percent213" xfId="677" xr:uid="{00000000-0005-0000-0000-0000AB020000}"/>
    <cellStyle name="Percent214" xfId="678" xr:uid="{00000000-0005-0000-0000-0000AC020000}"/>
    <cellStyle name="Percent215" xfId="679" xr:uid="{00000000-0005-0000-0000-0000AD020000}"/>
    <cellStyle name="Percent216" xfId="680" xr:uid="{00000000-0005-0000-0000-0000AE020000}"/>
    <cellStyle name="Percent217" xfId="681" xr:uid="{00000000-0005-0000-0000-0000AF020000}"/>
    <cellStyle name="Percent218" xfId="682" xr:uid="{00000000-0005-0000-0000-0000B0020000}"/>
    <cellStyle name="Percent219" xfId="683" xr:uid="{00000000-0005-0000-0000-0000B1020000}"/>
    <cellStyle name="Percent22" xfId="684" xr:uid="{00000000-0005-0000-0000-0000B2020000}"/>
    <cellStyle name="Percent220" xfId="685" xr:uid="{00000000-0005-0000-0000-0000B3020000}"/>
    <cellStyle name="Percent221" xfId="686" xr:uid="{00000000-0005-0000-0000-0000B4020000}"/>
    <cellStyle name="Percent222" xfId="687" xr:uid="{00000000-0005-0000-0000-0000B5020000}"/>
    <cellStyle name="Percent223" xfId="688" xr:uid="{00000000-0005-0000-0000-0000B6020000}"/>
    <cellStyle name="Percent224" xfId="689" xr:uid="{00000000-0005-0000-0000-0000B7020000}"/>
    <cellStyle name="Percent225" xfId="690" xr:uid="{00000000-0005-0000-0000-0000B8020000}"/>
    <cellStyle name="Percent226" xfId="691" xr:uid="{00000000-0005-0000-0000-0000B9020000}"/>
    <cellStyle name="Percent227" xfId="692" xr:uid="{00000000-0005-0000-0000-0000BA020000}"/>
    <cellStyle name="Percent228" xfId="693" xr:uid="{00000000-0005-0000-0000-0000BB020000}"/>
    <cellStyle name="Percent229" xfId="694" xr:uid="{00000000-0005-0000-0000-0000BC020000}"/>
    <cellStyle name="Percent23" xfId="695" xr:uid="{00000000-0005-0000-0000-0000BD020000}"/>
    <cellStyle name="Percent230" xfId="696" xr:uid="{00000000-0005-0000-0000-0000BE020000}"/>
    <cellStyle name="Percent231" xfId="697" xr:uid="{00000000-0005-0000-0000-0000BF020000}"/>
    <cellStyle name="Percent232" xfId="698" xr:uid="{00000000-0005-0000-0000-0000C0020000}"/>
    <cellStyle name="Percent233" xfId="699" xr:uid="{00000000-0005-0000-0000-0000C1020000}"/>
    <cellStyle name="Percent234" xfId="700" xr:uid="{00000000-0005-0000-0000-0000C2020000}"/>
    <cellStyle name="Percent235" xfId="701" xr:uid="{00000000-0005-0000-0000-0000C3020000}"/>
    <cellStyle name="Percent236" xfId="702" xr:uid="{00000000-0005-0000-0000-0000C4020000}"/>
    <cellStyle name="Percent24" xfId="703" xr:uid="{00000000-0005-0000-0000-0000C5020000}"/>
    <cellStyle name="Percent25" xfId="704" xr:uid="{00000000-0005-0000-0000-0000C6020000}"/>
    <cellStyle name="Percent26" xfId="705" xr:uid="{00000000-0005-0000-0000-0000C7020000}"/>
    <cellStyle name="Percent27" xfId="706" xr:uid="{00000000-0005-0000-0000-0000C8020000}"/>
    <cellStyle name="Percent28" xfId="707" xr:uid="{00000000-0005-0000-0000-0000C9020000}"/>
    <cellStyle name="Percent29" xfId="708" xr:uid="{00000000-0005-0000-0000-0000CA020000}"/>
    <cellStyle name="Percent3" xfId="709" xr:uid="{00000000-0005-0000-0000-0000CB020000}"/>
    <cellStyle name="Percent30" xfId="710" xr:uid="{00000000-0005-0000-0000-0000CC020000}"/>
    <cellStyle name="Percent31" xfId="711" xr:uid="{00000000-0005-0000-0000-0000CD020000}"/>
    <cellStyle name="Percent32" xfId="712" xr:uid="{00000000-0005-0000-0000-0000CE020000}"/>
    <cellStyle name="Percent33" xfId="713" xr:uid="{00000000-0005-0000-0000-0000CF020000}"/>
    <cellStyle name="Percent34" xfId="714" xr:uid="{00000000-0005-0000-0000-0000D0020000}"/>
    <cellStyle name="Percent35" xfId="715" xr:uid="{00000000-0005-0000-0000-0000D1020000}"/>
    <cellStyle name="Percent36" xfId="716" xr:uid="{00000000-0005-0000-0000-0000D2020000}"/>
    <cellStyle name="Percent37" xfId="717" xr:uid="{00000000-0005-0000-0000-0000D3020000}"/>
    <cellStyle name="Percent38" xfId="718" xr:uid="{00000000-0005-0000-0000-0000D4020000}"/>
    <cellStyle name="Percent39" xfId="719" xr:uid="{00000000-0005-0000-0000-0000D5020000}"/>
    <cellStyle name="Percent4" xfId="720" xr:uid="{00000000-0005-0000-0000-0000D6020000}"/>
    <cellStyle name="Percent40" xfId="721" xr:uid="{00000000-0005-0000-0000-0000D7020000}"/>
    <cellStyle name="Percent41" xfId="722" xr:uid="{00000000-0005-0000-0000-0000D8020000}"/>
    <cellStyle name="Percent42" xfId="723" xr:uid="{00000000-0005-0000-0000-0000D9020000}"/>
    <cellStyle name="Percent43" xfId="724" xr:uid="{00000000-0005-0000-0000-0000DA020000}"/>
    <cellStyle name="Percent44" xfId="725" xr:uid="{00000000-0005-0000-0000-0000DB020000}"/>
    <cellStyle name="Percent45" xfId="726" xr:uid="{00000000-0005-0000-0000-0000DC020000}"/>
    <cellStyle name="Percent46" xfId="727" xr:uid="{00000000-0005-0000-0000-0000DD020000}"/>
    <cellStyle name="Percent47" xfId="728" xr:uid="{00000000-0005-0000-0000-0000DE020000}"/>
    <cellStyle name="Percent48" xfId="729" xr:uid="{00000000-0005-0000-0000-0000DF020000}"/>
    <cellStyle name="Percent49" xfId="730" xr:uid="{00000000-0005-0000-0000-0000E0020000}"/>
    <cellStyle name="Percent5" xfId="731" xr:uid="{00000000-0005-0000-0000-0000E1020000}"/>
    <cellStyle name="Percent50" xfId="732" xr:uid="{00000000-0005-0000-0000-0000E2020000}"/>
    <cellStyle name="Percent51" xfId="733" xr:uid="{00000000-0005-0000-0000-0000E3020000}"/>
    <cellStyle name="Percent52" xfId="734" xr:uid="{00000000-0005-0000-0000-0000E4020000}"/>
    <cellStyle name="Percent53" xfId="735" xr:uid="{00000000-0005-0000-0000-0000E5020000}"/>
    <cellStyle name="Percent54" xfId="736" xr:uid="{00000000-0005-0000-0000-0000E6020000}"/>
    <cellStyle name="Percent55" xfId="737" xr:uid="{00000000-0005-0000-0000-0000E7020000}"/>
    <cellStyle name="Percent56" xfId="738" xr:uid="{00000000-0005-0000-0000-0000E8020000}"/>
    <cellStyle name="Percent57" xfId="739" xr:uid="{00000000-0005-0000-0000-0000E9020000}"/>
    <cellStyle name="Percent58" xfId="740" xr:uid="{00000000-0005-0000-0000-0000EA020000}"/>
    <cellStyle name="Percent59" xfId="741" xr:uid="{00000000-0005-0000-0000-0000EB020000}"/>
    <cellStyle name="Percent6" xfId="742" xr:uid="{00000000-0005-0000-0000-0000EC020000}"/>
    <cellStyle name="Percent60" xfId="743" xr:uid="{00000000-0005-0000-0000-0000ED020000}"/>
    <cellStyle name="Percent61" xfId="744" xr:uid="{00000000-0005-0000-0000-0000EE020000}"/>
    <cellStyle name="Percent62" xfId="745" xr:uid="{00000000-0005-0000-0000-0000EF020000}"/>
    <cellStyle name="Percent63" xfId="746" xr:uid="{00000000-0005-0000-0000-0000F0020000}"/>
    <cellStyle name="Percent64" xfId="747" xr:uid="{00000000-0005-0000-0000-0000F1020000}"/>
    <cellStyle name="Percent65" xfId="748" xr:uid="{00000000-0005-0000-0000-0000F2020000}"/>
    <cellStyle name="Percent66" xfId="749" xr:uid="{00000000-0005-0000-0000-0000F3020000}"/>
    <cellStyle name="Percent67" xfId="750" xr:uid="{00000000-0005-0000-0000-0000F4020000}"/>
    <cellStyle name="Percent68" xfId="751" xr:uid="{00000000-0005-0000-0000-0000F5020000}"/>
    <cellStyle name="Percent69" xfId="752" xr:uid="{00000000-0005-0000-0000-0000F6020000}"/>
    <cellStyle name="Percent7" xfId="753" xr:uid="{00000000-0005-0000-0000-0000F7020000}"/>
    <cellStyle name="Percent70" xfId="754" xr:uid="{00000000-0005-0000-0000-0000F8020000}"/>
    <cellStyle name="Percent71" xfId="755" xr:uid="{00000000-0005-0000-0000-0000F9020000}"/>
    <cellStyle name="Percent72" xfId="756" xr:uid="{00000000-0005-0000-0000-0000FA020000}"/>
    <cellStyle name="Percent73" xfId="757" xr:uid="{00000000-0005-0000-0000-0000FB020000}"/>
    <cellStyle name="Percent74" xfId="758" xr:uid="{00000000-0005-0000-0000-0000FC020000}"/>
    <cellStyle name="Percent75" xfId="759" xr:uid="{00000000-0005-0000-0000-0000FD020000}"/>
    <cellStyle name="Percent76" xfId="760" xr:uid="{00000000-0005-0000-0000-0000FE020000}"/>
    <cellStyle name="Percent77" xfId="761" xr:uid="{00000000-0005-0000-0000-0000FF020000}"/>
    <cellStyle name="Percent78" xfId="762" xr:uid="{00000000-0005-0000-0000-000000030000}"/>
    <cellStyle name="Percent79" xfId="763" xr:uid="{00000000-0005-0000-0000-000001030000}"/>
    <cellStyle name="Percent8" xfId="764" xr:uid="{00000000-0005-0000-0000-000002030000}"/>
    <cellStyle name="Percent80" xfId="765" xr:uid="{00000000-0005-0000-0000-000003030000}"/>
    <cellStyle name="Percent81" xfId="766" xr:uid="{00000000-0005-0000-0000-000004030000}"/>
    <cellStyle name="Percent82" xfId="767" xr:uid="{00000000-0005-0000-0000-000005030000}"/>
    <cellStyle name="Percent83" xfId="768" xr:uid="{00000000-0005-0000-0000-000006030000}"/>
    <cellStyle name="Percent84" xfId="769" xr:uid="{00000000-0005-0000-0000-000007030000}"/>
    <cellStyle name="Percent85" xfId="770" xr:uid="{00000000-0005-0000-0000-000008030000}"/>
    <cellStyle name="Percent86" xfId="771" xr:uid="{00000000-0005-0000-0000-000009030000}"/>
    <cellStyle name="Percent87" xfId="772" xr:uid="{00000000-0005-0000-0000-00000A030000}"/>
    <cellStyle name="Percent88" xfId="773" xr:uid="{00000000-0005-0000-0000-00000B030000}"/>
    <cellStyle name="Percent89" xfId="774" xr:uid="{00000000-0005-0000-0000-00000C030000}"/>
    <cellStyle name="Percent9" xfId="775" xr:uid="{00000000-0005-0000-0000-00000D030000}"/>
    <cellStyle name="Percent90" xfId="776" xr:uid="{00000000-0005-0000-0000-00000E030000}"/>
    <cellStyle name="Percent91" xfId="777" xr:uid="{00000000-0005-0000-0000-00000F030000}"/>
    <cellStyle name="Percent92" xfId="778" xr:uid="{00000000-0005-0000-0000-000010030000}"/>
    <cellStyle name="Percent93" xfId="779" xr:uid="{00000000-0005-0000-0000-000011030000}"/>
    <cellStyle name="Percent94" xfId="780" xr:uid="{00000000-0005-0000-0000-000012030000}"/>
    <cellStyle name="Percent95" xfId="781" xr:uid="{00000000-0005-0000-0000-000013030000}"/>
    <cellStyle name="Percent96" xfId="782" xr:uid="{00000000-0005-0000-0000-000014030000}"/>
    <cellStyle name="Percent97" xfId="783" xr:uid="{00000000-0005-0000-0000-000015030000}"/>
    <cellStyle name="Percent98" xfId="784" xr:uid="{00000000-0005-0000-0000-000016030000}"/>
    <cellStyle name="Percent99" xfId="785" xr:uid="{00000000-0005-0000-0000-000017030000}"/>
    <cellStyle name="Percentage" xfId="786" xr:uid="{00000000-0005-0000-0000-000018030000}"/>
    <cellStyle name="PercentStyle" xfId="787" xr:uid="{00000000-0005-0000-0000-000019030000}"/>
    <cellStyle name="PrePop Currency (0)" xfId="788" xr:uid="{00000000-0005-0000-0000-00001A030000}"/>
    <cellStyle name="PrePop Currency (2)" xfId="789" xr:uid="{00000000-0005-0000-0000-00001B030000}"/>
    <cellStyle name="PrePop Units (0)" xfId="790" xr:uid="{00000000-0005-0000-0000-00001C030000}"/>
    <cellStyle name="PrePop Units (1)" xfId="791" xr:uid="{00000000-0005-0000-0000-00001D030000}"/>
    <cellStyle name="PrePop Units (2)" xfId="792" xr:uid="{00000000-0005-0000-0000-00001E030000}"/>
    <cellStyle name="Price" xfId="793" xr:uid="{00000000-0005-0000-0000-00001F030000}"/>
    <cellStyle name="Product Header" xfId="794" xr:uid="{00000000-0005-0000-0000-000020030000}"/>
    <cellStyle name="PSChar" xfId="795" xr:uid="{00000000-0005-0000-0000-000021030000}"/>
    <cellStyle name="PSDate" xfId="796" xr:uid="{00000000-0005-0000-0000-000022030000}"/>
    <cellStyle name="PSDec" xfId="797" xr:uid="{00000000-0005-0000-0000-000023030000}"/>
    <cellStyle name="PSHeading" xfId="798" xr:uid="{00000000-0005-0000-0000-000024030000}"/>
    <cellStyle name="PSInt" xfId="799" xr:uid="{00000000-0005-0000-0000-000025030000}"/>
    <cellStyle name="PSSpacer" xfId="800" xr:uid="{00000000-0005-0000-0000-000026030000}"/>
    <cellStyle name="r" xfId="801" xr:uid="{00000000-0005-0000-0000-000027030000}"/>
    <cellStyle name="r_F&amp;W Servicing Model" xfId="802" xr:uid="{00000000-0005-0000-0000-000028030000}"/>
    <cellStyle name="r_F&amp;W Servicing Model v2" xfId="803" xr:uid="{00000000-0005-0000-0000-000029030000}"/>
    <cellStyle name="r_Yell Servicing Model" xfId="804" xr:uid="{00000000-0005-0000-0000-00002A030000}"/>
    <cellStyle name="rate" xfId="805" xr:uid="{00000000-0005-0000-0000-00002B030000}"/>
    <cellStyle name="Ratio" xfId="806" xr:uid="{00000000-0005-0000-0000-00002C030000}"/>
    <cellStyle name="Ratio Comma" xfId="807" xr:uid="{00000000-0005-0000-0000-00002D030000}"/>
    <cellStyle name="Ratio_Private" xfId="808" xr:uid="{00000000-0005-0000-0000-00002E030000}"/>
    <cellStyle name="regstoresfromspecstores" xfId="809" xr:uid="{00000000-0005-0000-0000-00002F030000}"/>
    <cellStyle name="RevList" xfId="810" xr:uid="{00000000-0005-0000-0000-000030030000}"/>
    <cellStyle name="Right" xfId="811" xr:uid="{00000000-0005-0000-0000-000031030000}"/>
    <cellStyle name="RightBold" xfId="812" xr:uid="{00000000-0005-0000-0000-000032030000}"/>
    <cellStyle name="RightBoldBottomRule" xfId="813" xr:uid="{00000000-0005-0000-0000-000033030000}"/>
    <cellStyle name="RightBoldCenterRule" xfId="814" xr:uid="{00000000-0005-0000-0000-000034030000}"/>
    <cellStyle name="Section" xfId="815" xr:uid="{00000000-0005-0000-0000-000035030000}"/>
    <cellStyle name="SectionHeaderNormal" xfId="816" xr:uid="{00000000-0005-0000-0000-000036030000}"/>
    <cellStyle name="SHADEDSTORES" xfId="817" xr:uid="{00000000-0005-0000-0000-000037030000}"/>
    <cellStyle name="Short $" xfId="818" xr:uid="{00000000-0005-0000-0000-000038030000}"/>
    <cellStyle name="ShOut" xfId="819" xr:uid="{00000000-0005-0000-0000-000039030000}"/>
    <cellStyle name="Simple" xfId="820" xr:uid="{00000000-0005-0000-0000-00003A030000}"/>
    <cellStyle name="SimpleBold" xfId="821" xr:uid="{00000000-0005-0000-0000-00003B030000}"/>
    <cellStyle name="Single Accounting" xfId="822" xr:uid="{00000000-0005-0000-0000-00003C030000}"/>
    <cellStyle name="specstores" xfId="823" xr:uid="{00000000-0005-0000-0000-00003D030000}"/>
    <cellStyle name="Stock Comma" xfId="824" xr:uid="{00000000-0005-0000-0000-00003E030000}"/>
    <cellStyle name="Stock Price" xfId="825" xr:uid="{00000000-0005-0000-0000-00003F030000}"/>
    <cellStyle name="Style 1" xfId="826" xr:uid="{00000000-0005-0000-0000-000040030000}"/>
    <cellStyle name="Style 21" xfId="827" xr:uid="{00000000-0005-0000-0000-000041030000}"/>
    <cellStyle name="Style 22" xfId="828" xr:uid="{00000000-0005-0000-0000-000042030000}"/>
    <cellStyle name="Style 23" xfId="829" xr:uid="{00000000-0005-0000-0000-000043030000}"/>
    <cellStyle name="Style 24" xfId="830" xr:uid="{00000000-0005-0000-0000-000044030000}"/>
    <cellStyle name="Style 25" xfId="831" xr:uid="{00000000-0005-0000-0000-000045030000}"/>
    <cellStyle name="Style 26" xfId="832" xr:uid="{00000000-0005-0000-0000-000046030000}"/>
    <cellStyle name="Style 27" xfId="833" xr:uid="{00000000-0005-0000-0000-000047030000}"/>
    <cellStyle name="Style 28" xfId="834" xr:uid="{00000000-0005-0000-0000-000048030000}"/>
    <cellStyle name="Style 29" xfId="835" xr:uid="{00000000-0005-0000-0000-000049030000}"/>
    <cellStyle name="Style 30" xfId="836" xr:uid="{00000000-0005-0000-0000-00004A030000}"/>
    <cellStyle name="Style 31" xfId="837" xr:uid="{00000000-0005-0000-0000-00004B030000}"/>
    <cellStyle name="Style 32" xfId="838" xr:uid="{00000000-0005-0000-0000-00004C030000}"/>
    <cellStyle name="Style 33" xfId="839" xr:uid="{00000000-0005-0000-0000-00004D030000}"/>
    <cellStyle name="Style 34" xfId="840" xr:uid="{00000000-0005-0000-0000-00004E030000}"/>
    <cellStyle name="Style 35" xfId="841" xr:uid="{00000000-0005-0000-0000-00004F030000}"/>
    <cellStyle name="Style 36" xfId="842" xr:uid="{00000000-0005-0000-0000-000050030000}"/>
    <cellStyle name="Style 37" xfId="843" xr:uid="{00000000-0005-0000-0000-000051030000}"/>
    <cellStyle name="Style 38" xfId="844" xr:uid="{00000000-0005-0000-0000-000052030000}"/>
    <cellStyle name="Style 39" xfId="845" xr:uid="{00000000-0005-0000-0000-000053030000}"/>
    <cellStyle name="Style 40" xfId="846" xr:uid="{00000000-0005-0000-0000-000054030000}"/>
    <cellStyle name="Style 41" xfId="847" xr:uid="{00000000-0005-0000-0000-000055030000}"/>
    <cellStyle name="Style 42" xfId="848" xr:uid="{00000000-0005-0000-0000-000056030000}"/>
    <cellStyle name="Style 43" xfId="849" xr:uid="{00000000-0005-0000-0000-000057030000}"/>
    <cellStyle name="Style 44" xfId="850" xr:uid="{00000000-0005-0000-0000-000058030000}"/>
    <cellStyle name="Style 45" xfId="851" xr:uid="{00000000-0005-0000-0000-000059030000}"/>
    <cellStyle name="Style 46" xfId="852" xr:uid="{00000000-0005-0000-0000-00005A030000}"/>
    <cellStyle name="Style 47" xfId="853" xr:uid="{00000000-0005-0000-0000-00005B030000}"/>
    <cellStyle name="Style 48" xfId="854" xr:uid="{00000000-0005-0000-0000-00005C030000}"/>
    <cellStyle name="STYLE1" xfId="855" xr:uid="{00000000-0005-0000-0000-00005D030000}"/>
    <cellStyle name="SubScript" xfId="856" xr:uid="{00000000-0005-0000-0000-00005E030000}"/>
    <cellStyle name="Subtotal" xfId="857" xr:uid="{00000000-0005-0000-0000-00005F030000}"/>
    <cellStyle name="Sum" xfId="858" xr:uid="{00000000-0005-0000-0000-000060030000}"/>
    <cellStyle name="SuperScript" xfId="859" xr:uid="{00000000-0005-0000-0000-000061030000}"/>
    <cellStyle name="Table_Title" xfId="860" xr:uid="{00000000-0005-0000-0000-000062030000}"/>
    <cellStyle name="Test" xfId="861" xr:uid="{00000000-0005-0000-0000-000063030000}"/>
    <cellStyle name="Text Indent A" xfId="862" xr:uid="{00000000-0005-0000-0000-000064030000}"/>
    <cellStyle name="Text Indent B" xfId="863" xr:uid="{00000000-0005-0000-0000-000065030000}"/>
    <cellStyle name="Text Indent C" xfId="864" xr:uid="{00000000-0005-0000-0000-000066030000}"/>
    <cellStyle name="TextBold" xfId="865" xr:uid="{00000000-0005-0000-0000-000067030000}"/>
    <cellStyle name="TextItalic" xfId="866" xr:uid="{00000000-0005-0000-0000-000068030000}"/>
    <cellStyle name="TextNormal" xfId="867" xr:uid="{00000000-0005-0000-0000-000069030000}"/>
    <cellStyle name="Time" xfId="868" xr:uid="{00000000-0005-0000-0000-00006A030000}"/>
    <cellStyle name="Times 10" xfId="869" xr:uid="{00000000-0005-0000-0000-00006B030000}"/>
    <cellStyle name="Times 12" xfId="870" xr:uid="{00000000-0005-0000-0000-00006C030000}"/>
    <cellStyle name="Title - PROJECT" xfId="871" xr:uid="{00000000-0005-0000-0000-00006D030000}"/>
    <cellStyle name="Title - Underline" xfId="872" xr:uid="{00000000-0005-0000-0000-00006E030000}"/>
    <cellStyle name="Title1" xfId="873" xr:uid="{00000000-0005-0000-0000-00006F030000}"/>
    <cellStyle name="Title2" xfId="874" xr:uid="{00000000-0005-0000-0000-000070030000}"/>
    <cellStyle name="TitleNormal" xfId="875" xr:uid="{00000000-0005-0000-0000-000071030000}"/>
    <cellStyle name="Titles - Col. Headings" xfId="876" xr:uid="{00000000-0005-0000-0000-000072030000}"/>
    <cellStyle name="Titles - Other" xfId="877" xr:uid="{00000000-0005-0000-0000-000073030000}"/>
    <cellStyle name="Top Edge" xfId="878" xr:uid="{00000000-0005-0000-0000-000074030000}"/>
    <cellStyle name="Total" xfId="879" builtinId="25" customBuiltin="1"/>
    <cellStyle name="ubordinated Debt" xfId="880" xr:uid="{00000000-0005-0000-0000-000076030000}"/>
    <cellStyle name="wheat merger's and acquisitions" xfId="881" xr:uid="{00000000-0005-0000-0000-000077030000}"/>
    <cellStyle name="x" xfId="882" xr:uid="{00000000-0005-0000-0000-000078030000}"/>
    <cellStyle name="x_TSA Model - 1 8 06 - v2" xfId="883" xr:uid="{00000000-0005-0000-0000-000079030000}"/>
    <cellStyle name="Y2K Compliant Date Fmt" xfId="884" xr:uid="{00000000-0005-0000-0000-00007A030000}"/>
    <cellStyle name="Years" xfId="885" xr:uid="{00000000-0005-0000-0000-00007B030000}"/>
    <cellStyle name="yellow" xfId="886" xr:uid="{00000000-0005-0000-0000-00007C030000}"/>
    <cellStyle name="Yen" xfId="887" xr:uid="{00000000-0005-0000-0000-00007D030000}"/>
    <cellStyle name="YYYY" xfId="888" xr:uid="{00000000-0005-0000-0000-00007E030000}"/>
    <cellStyle name="桁区切り [0.00]_Appendix" xfId="889" xr:uid="{00000000-0005-0000-0000-00007F030000}"/>
    <cellStyle name="桁区切り_Appendix" xfId="890" xr:uid="{00000000-0005-0000-0000-000080030000}"/>
    <cellStyle name="標準_Appendix" xfId="891" xr:uid="{00000000-0005-0000-0000-000081030000}"/>
    <cellStyle name="通貨 [0.00]_Appendix" xfId="892" xr:uid="{00000000-0005-0000-0000-000082030000}"/>
    <cellStyle name="通貨_Appendix" xfId="893" xr:uid="{00000000-0005-0000-0000-00008303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33</xdr:row>
      <xdr:rowOff>28575</xdr:rowOff>
    </xdr:from>
    <xdr:to>
      <xdr:col>6</xdr:col>
      <xdr:colOff>2657476</xdr:colOff>
      <xdr:row>59</xdr:row>
      <xdr:rowOff>151986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F2395-2E8E-01F3-B86B-D578DD2AC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6362700"/>
          <a:ext cx="9429750" cy="50764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9525</xdr:colOff>
      <xdr:row>87</xdr:row>
      <xdr:rowOff>152400</xdr:rowOff>
    </xdr:from>
    <xdr:to>
      <xdr:col>35</xdr:col>
      <xdr:colOff>354096</xdr:colOff>
      <xdr:row>114</xdr:row>
      <xdr:rowOff>10413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19E40-34AC-7AF7-19FB-B4A2A6B92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14458950"/>
          <a:ext cx="7974096" cy="42299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nbk7h1e/Local%20Settings/Temporary%20Internet%20Files/OLK61/Bank%20Austria/Returns@@@2.xls" TargetMode="External"/><Relationship Id="rId1" Type="http://schemas.openxmlformats.org/officeDocument/2006/relationships/externalLinkPath" Target="/Documents%20and%20Settings/nbk7h1e/Local%20Settings/Temporary%20Internet%20Files/OLK61/Bank%20Austria/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I585"/>
  <sheetViews>
    <sheetView showGridLines="0" zoomScaleNormal="100" workbookViewId="0">
      <selection activeCell="O2" sqref="O2"/>
    </sheetView>
  </sheetViews>
  <sheetFormatPr defaultColWidth="9.28515625" defaultRowHeight="15"/>
  <cols>
    <col min="1" max="1" width="9.28515625" style="1"/>
    <col min="2" max="2" width="50.7109375" style="1" customWidth="1"/>
    <col min="3" max="6" width="12.7109375" style="1" customWidth="1"/>
    <col min="7" max="7" width="50.7109375" style="1" customWidth="1"/>
    <col min="8" max="8" width="12.7109375" style="1" customWidth="1"/>
    <col min="9" max="16384" width="9.28515625" style="1"/>
  </cols>
  <sheetData>
    <row r="3" spans="1:8">
      <c r="A3" s="250" t="s">
        <v>0</v>
      </c>
      <c r="B3" s="251"/>
      <c r="C3" s="251"/>
      <c r="D3" s="251"/>
    </row>
    <row r="4" spans="1:8" ht="15.75" thickBot="1"/>
    <row r="5" spans="1:8">
      <c r="B5" s="192" t="s">
        <v>1</v>
      </c>
      <c r="C5" s="193" t="s">
        <v>2</v>
      </c>
      <c r="D5" s="194" t="s">
        <v>3</v>
      </c>
      <c r="G5" s="199" t="s">
        <v>4</v>
      </c>
      <c r="H5" s="198" t="s">
        <v>5</v>
      </c>
    </row>
    <row r="6" spans="1:8">
      <c r="B6" s="168"/>
      <c r="C6" s="169"/>
      <c r="D6" s="26"/>
      <c r="G6" s="172" t="s">
        <v>6</v>
      </c>
      <c r="H6" s="197">
        <v>4353</v>
      </c>
    </row>
    <row r="7" spans="1:8">
      <c r="B7" s="23" t="s">
        <v>7</v>
      </c>
      <c r="C7" s="22">
        <f>SUM(C8)</f>
        <v>830.10899999999992</v>
      </c>
      <c r="D7" s="26"/>
      <c r="G7" s="154" t="s">
        <v>8</v>
      </c>
      <c r="H7" s="155">
        <v>0.26</v>
      </c>
    </row>
    <row r="8" spans="1:8" ht="15.75" thickBot="1">
      <c r="B8" s="167" t="s">
        <v>9</v>
      </c>
      <c r="C8" s="191">
        <f>Model!$AG$106</f>
        <v>830.10899999999992</v>
      </c>
      <c r="D8" s="26"/>
      <c r="G8" s="156" t="s">
        <v>10</v>
      </c>
      <c r="H8" s="157">
        <v>0.61</v>
      </c>
    </row>
    <row r="9" spans="1:8">
      <c r="B9" s="23"/>
      <c r="C9" s="22"/>
      <c r="D9" s="26"/>
    </row>
    <row r="10" spans="1:8">
      <c r="B10" s="23" t="s">
        <v>11</v>
      </c>
      <c r="C10" s="22">
        <f>SUM(C11)</f>
        <v>2449.44</v>
      </c>
      <c r="D10" s="26"/>
    </row>
    <row r="11" spans="1:8">
      <c r="B11" s="167" t="s">
        <v>9</v>
      </c>
      <c r="C11" s="191">
        <f>Model!$AG$107</f>
        <v>2449.44</v>
      </c>
      <c r="D11" s="26"/>
    </row>
    <row r="12" spans="1:8">
      <c r="B12" s="25"/>
      <c r="C12" s="150"/>
      <c r="D12" s="26"/>
    </row>
    <row r="13" spans="1:8">
      <c r="B13" s="23" t="s">
        <v>12</v>
      </c>
      <c r="C13" s="22">
        <f>SUM(C14:C15)</f>
        <v>1073.788</v>
      </c>
      <c r="D13" s="26"/>
    </row>
    <row r="14" spans="1:8">
      <c r="B14" s="167" t="s">
        <v>13</v>
      </c>
      <c r="C14" s="150">
        <f>Model!$AG$111</f>
        <v>410</v>
      </c>
      <c r="D14" s="26"/>
    </row>
    <row r="15" spans="1:8">
      <c r="B15" s="167" t="s">
        <v>14</v>
      </c>
      <c r="C15" s="150">
        <f>Model!$AG$112</f>
        <v>663.78800000000001</v>
      </c>
    </row>
    <row r="16" spans="1:8">
      <c r="B16" s="167"/>
      <c r="C16" s="150"/>
    </row>
    <row r="17" spans="2:9">
      <c r="B17" s="18" t="s">
        <v>15</v>
      </c>
      <c r="C17" s="17">
        <f>C13+C7+C10</f>
        <v>4353.3369999999995</v>
      </c>
      <c r="D17" s="129">
        <f>C17/C23</f>
        <v>0.64801086632926463</v>
      </c>
      <c r="E17" s="21"/>
      <c r="F17" s="21"/>
    </row>
    <row r="18" spans="2:9">
      <c r="B18" s="13" t="s">
        <v>16</v>
      </c>
      <c r="C18" s="150">
        <f>Model!$AG$119</f>
        <v>2498.0889999999999</v>
      </c>
      <c r="D18" s="221"/>
      <c r="I18" s="128"/>
    </row>
    <row r="19" spans="2:9">
      <c r="B19" s="69" t="s">
        <v>17</v>
      </c>
      <c r="C19" s="150">
        <f>Model!$AG$120</f>
        <v>98.813000000000002</v>
      </c>
      <c r="D19" s="221"/>
    </row>
    <row r="20" spans="2:9">
      <c r="B20" s="18" t="s">
        <v>18</v>
      </c>
      <c r="C20" s="17">
        <f>C17-C18-C19</f>
        <v>1756.4349999999995</v>
      </c>
      <c r="D20" s="129">
        <f>C20/C23</f>
        <v>0.26145206906817497</v>
      </c>
    </row>
    <row r="21" spans="2:9" s="231" customFormat="1">
      <c r="B21" s="13" t="s">
        <v>19</v>
      </c>
      <c r="C21" s="185">
        <f>Model!$AG$124</f>
        <v>17067.98</v>
      </c>
      <c r="D21" s="19"/>
    </row>
    <row r="22" spans="2:9">
      <c r="B22" s="8" t="s">
        <v>20</v>
      </c>
      <c r="C22" s="16">
        <f>C20+C21</f>
        <v>18824.415000000001</v>
      </c>
      <c r="D22" s="15"/>
    </row>
    <row r="23" spans="2:9" s="230" customFormat="1">
      <c r="B23" s="8" t="s">
        <v>21</v>
      </c>
      <c r="C23" s="58">
        <f>Model!$AG$90</f>
        <v>6718</v>
      </c>
      <c r="D23" s="8"/>
    </row>
    <row r="24" spans="2:9">
      <c r="B24" s="12" t="s">
        <v>22</v>
      </c>
      <c r="C24" s="11">
        <f>+C17-Model!$AG$118</f>
        <v>0</v>
      </c>
      <c r="D24" s="10"/>
    </row>
    <row r="25" spans="2:9" ht="15.75" thickBot="1">
      <c r="B25" s="12"/>
      <c r="C25" s="11"/>
      <c r="D25" s="10"/>
    </row>
    <row r="26" spans="2:9">
      <c r="B26" s="195" t="s">
        <v>23</v>
      </c>
      <c r="C26" s="201" t="s">
        <v>2</v>
      </c>
      <c r="D26" s="10"/>
    </row>
    <row r="27" spans="2:9">
      <c r="B27" s="94" t="s">
        <v>16</v>
      </c>
      <c r="C27" s="109">
        <f>C18</f>
        <v>2498.0889999999999</v>
      </c>
      <c r="D27" s="10"/>
    </row>
    <row r="28" spans="2:9">
      <c r="B28" s="94" t="s">
        <v>17</v>
      </c>
      <c r="C28" s="109">
        <f>C19</f>
        <v>98.813000000000002</v>
      </c>
      <c r="D28" s="10"/>
    </row>
    <row r="29" spans="2:9" ht="15.75" thickBot="1">
      <c r="B29" s="3" t="s">
        <v>24</v>
      </c>
      <c r="C29" s="2">
        <f>SUM(C27:C28)</f>
        <v>2596.902</v>
      </c>
      <c r="D29" s="10"/>
    </row>
    <row r="30" spans="2:9">
      <c r="B30" s="12"/>
      <c r="C30" s="11"/>
      <c r="D30" s="10"/>
    </row>
    <row r="31" spans="2:9">
      <c r="B31" s="12"/>
      <c r="C31" s="11"/>
      <c r="D31" s="10"/>
    </row>
    <row r="32" spans="2:9" ht="15.75" thickBot="1">
      <c r="B32" s="8"/>
      <c r="C32" s="7"/>
    </row>
    <row r="33" spans="2:5">
      <c r="B33" s="195" t="s">
        <v>25</v>
      </c>
      <c r="C33" s="196"/>
      <c r="D33" s="231"/>
      <c r="E33" s="231"/>
    </row>
    <row r="34" spans="2:5">
      <c r="B34" s="12"/>
      <c r="C34" s="200"/>
    </row>
    <row r="35" spans="2:5">
      <c r="B35" s="12"/>
      <c r="C35" s="200"/>
    </row>
    <row r="36" spans="2:5">
      <c r="B36" s="12"/>
      <c r="C36" s="200"/>
    </row>
    <row r="37" spans="2:5">
      <c r="B37" s="12"/>
      <c r="C37" s="200"/>
    </row>
    <row r="38" spans="2:5">
      <c r="B38" s="12"/>
      <c r="C38" s="200"/>
    </row>
    <row r="39" spans="2:5">
      <c r="B39" s="12"/>
      <c r="C39" s="200"/>
    </row>
    <row r="40" spans="2:5">
      <c r="B40" s="12"/>
      <c r="C40" s="200"/>
    </row>
    <row r="41" spans="2:5">
      <c r="B41" s="12"/>
      <c r="C41" s="200"/>
    </row>
    <row r="42" spans="2:5">
      <c r="C42" s="11"/>
    </row>
    <row r="43" spans="2:5">
      <c r="B43" s="8"/>
      <c r="C43" s="7"/>
    </row>
    <row r="48" spans="2:5">
      <c r="B48" s="8"/>
      <c r="C48" s="7"/>
    </row>
    <row r="49" spans="2:3">
      <c r="B49" s="8"/>
      <c r="C49" s="7"/>
    </row>
    <row r="50" spans="2:3">
      <c r="B50" s="8"/>
      <c r="C50" s="7"/>
    </row>
    <row r="65" spans="1:9">
      <c r="A65" s="250" t="s">
        <v>26</v>
      </c>
      <c r="B65" s="251"/>
      <c r="C65" s="251"/>
      <c r="D65" s="251"/>
    </row>
    <row r="66" spans="1:9" ht="15.75" thickBot="1"/>
    <row r="67" spans="1:9">
      <c r="B67" s="192" t="s">
        <v>27</v>
      </c>
      <c r="C67" s="193" t="s">
        <v>2</v>
      </c>
      <c r="D67" s="194" t="s">
        <v>3</v>
      </c>
      <c r="G67" s="199" t="s">
        <v>4</v>
      </c>
      <c r="H67" s="198" t="s">
        <v>5</v>
      </c>
    </row>
    <row r="68" spans="1:9">
      <c r="B68" s="168"/>
      <c r="C68" s="169"/>
      <c r="D68" s="26"/>
      <c r="G68" s="172" t="s">
        <v>6</v>
      </c>
      <c r="H68" s="197">
        <v>3943</v>
      </c>
    </row>
    <row r="69" spans="1:9">
      <c r="B69" s="23" t="s">
        <v>7</v>
      </c>
      <c r="C69" s="22">
        <f>SUM(C70)</f>
        <v>228.10500000000002</v>
      </c>
      <c r="D69" s="26"/>
      <c r="G69" s="154" t="s">
        <v>8</v>
      </c>
      <c r="H69" s="155">
        <v>0.24</v>
      </c>
    </row>
    <row r="70" spans="1:9" ht="15.75" thickBot="1">
      <c r="B70" s="167" t="s">
        <v>9</v>
      </c>
      <c r="C70" s="191">
        <f>Model!$AF$106</f>
        <v>228.10500000000002</v>
      </c>
      <c r="D70" s="26"/>
      <c r="G70" s="156" t="s">
        <v>10</v>
      </c>
      <c r="H70" s="157">
        <v>0.64</v>
      </c>
    </row>
    <row r="71" spans="1:9">
      <c r="B71" s="23"/>
      <c r="C71" s="22"/>
      <c r="D71" s="26"/>
    </row>
    <row r="72" spans="1:9">
      <c r="B72" s="23" t="s">
        <v>11</v>
      </c>
      <c r="C72" s="22">
        <f>SUM(C73)</f>
        <v>2603.826</v>
      </c>
      <c r="D72" s="26"/>
    </row>
    <row r="73" spans="1:9">
      <c r="B73" s="167" t="s">
        <v>9</v>
      </c>
      <c r="C73" s="191">
        <f>Model!$AF$107</f>
        <v>2603.826</v>
      </c>
      <c r="D73" s="26"/>
    </row>
    <row r="74" spans="1:9">
      <c r="B74" s="25"/>
      <c r="C74" s="150"/>
      <c r="D74" s="26"/>
    </row>
    <row r="75" spans="1:9">
      <c r="B75" s="23" t="s">
        <v>12</v>
      </c>
      <c r="C75" s="22">
        <f>SUM(C76:C77)</f>
        <v>1111.1130000000001</v>
      </c>
      <c r="D75" s="26"/>
    </row>
    <row r="76" spans="1:9">
      <c r="B76" s="167" t="s">
        <v>13</v>
      </c>
      <c r="C76" s="150">
        <f>Model!$AF$111</f>
        <v>433</v>
      </c>
      <c r="D76" s="26"/>
    </row>
    <row r="77" spans="1:9">
      <c r="B77" s="167" t="s">
        <v>14</v>
      </c>
      <c r="C77" s="150">
        <f>Model!$AF$112</f>
        <v>678.11300000000006</v>
      </c>
    </row>
    <row r="78" spans="1:9">
      <c r="B78" s="167"/>
      <c r="C78" s="150"/>
    </row>
    <row r="79" spans="1:9">
      <c r="B79" s="18" t="s">
        <v>15</v>
      </c>
      <c r="C79" s="17">
        <f>C75+C69+C72</f>
        <v>3943.0439999999999</v>
      </c>
      <c r="D79" s="129">
        <f>C79/C85</f>
        <v>0.64000064924525235</v>
      </c>
      <c r="E79" s="21"/>
      <c r="F79" s="21"/>
    </row>
    <row r="80" spans="1:9">
      <c r="B80" s="13" t="s">
        <v>16</v>
      </c>
      <c r="C80" s="150">
        <f>Model!$AF$119</f>
        <v>2460.3580000000002</v>
      </c>
      <c r="D80" s="221"/>
      <c r="I80" s="128"/>
    </row>
    <row r="81" spans="2:5">
      <c r="B81" s="69" t="s">
        <v>17</v>
      </c>
      <c r="C81" s="150">
        <f>Model!$AF$120</f>
        <v>71.838999999999999</v>
      </c>
      <c r="D81" s="221"/>
    </row>
    <row r="82" spans="2:5">
      <c r="B82" s="18" t="s">
        <v>18</v>
      </c>
      <c r="C82" s="17">
        <f>C79-C80-C81</f>
        <v>1410.8469999999998</v>
      </c>
      <c r="D82" s="129">
        <f>C82/C85</f>
        <v>0.22899642915111179</v>
      </c>
    </row>
    <row r="83" spans="2:5" s="231" customFormat="1">
      <c r="B83" s="13" t="s">
        <v>19</v>
      </c>
      <c r="C83" s="185">
        <f>Model!$AF$124</f>
        <v>16226.257</v>
      </c>
      <c r="D83" s="19"/>
    </row>
    <row r="84" spans="2:5">
      <c r="B84" s="8" t="s">
        <v>20</v>
      </c>
      <c r="C84" s="16">
        <f>C82+C83</f>
        <v>17637.103999999999</v>
      </c>
      <c r="D84" s="15"/>
    </row>
    <row r="85" spans="2:5" s="230" customFormat="1">
      <c r="B85" s="8" t="s">
        <v>21</v>
      </c>
      <c r="C85" s="58">
        <f>Model!$AF$90</f>
        <v>6161</v>
      </c>
      <c r="D85" s="8"/>
    </row>
    <row r="86" spans="2:5">
      <c r="B86" s="12" t="s">
        <v>22</v>
      </c>
      <c r="C86" s="11">
        <f>+C79-Model!$AF$118</f>
        <v>0</v>
      </c>
      <c r="D86" s="10"/>
    </row>
    <row r="87" spans="2:5">
      <c r="B87" s="12"/>
      <c r="C87" s="11"/>
      <c r="D87" s="10"/>
    </row>
    <row r="88" spans="2:5" ht="15.75" thickBot="1">
      <c r="B88" s="8"/>
      <c r="C88" s="7"/>
    </row>
    <row r="89" spans="2:5">
      <c r="B89" s="195" t="s">
        <v>28</v>
      </c>
      <c r="C89" s="196" t="s">
        <v>2</v>
      </c>
      <c r="D89" s="231"/>
      <c r="E89" s="231"/>
    </row>
    <row r="90" spans="2:5">
      <c r="B90" s="5">
        <v>2026</v>
      </c>
      <c r="C90" s="4">
        <v>227</v>
      </c>
    </row>
    <row r="91" spans="2:5">
      <c r="B91" s="5">
        <v>2027</v>
      </c>
      <c r="C91" s="4">
        <v>648</v>
      </c>
    </row>
    <row r="92" spans="2:5">
      <c r="B92" s="5">
        <v>2029</v>
      </c>
      <c r="C92" s="4">
        <v>379</v>
      </c>
    </row>
    <row r="93" spans="2:5">
      <c r="B93" s="5">
        <v>2030</v>
      </c>
      <c r="C93" s="4">
        <v>350</v>
      </c>
    </row>
    <row r="94" spans="2:5">
      <c r="B94" s="5">
        <v>2032</v>
      </c>
      <c r="C94" s="4">
        <v>179</v>
      </c>
    </row>
    <row r="95" spans="2:5">
      <c r="B95" s="5">
        <v>2042</v>
      </c>
      <c r="C95" s="4">
        <v>458</v>
      </c>
    </row>
    <row r="96" spans="2:5">
      <c r="B96" s="5">
        <v>2059</v>
      </c>
      <c r="C96" s="4">
        <v>600</v>
      </c>
    </row>
    <row r="97" spans="1:8" ht="15.75" thickBot="1">
      <c r="B97" s="3" t="s">
        <v>24</v>
      </c>
      <c r="C97" s="2">
        <f>SUM(C90:C96)</f>
        <v>2841</v>
      </c>
    </row>
    <row r="98" spans="1:8">
      <c r="B98" s="12"/>
      <c r="C98" s="200"/>
    </row>
    <row r="99" spans="1:8">
      <c r="C99" s="11"/>
    </row>
    <row r="100" spans="1:8" ht="15.75" thickBot="1">
      <c r="B100" s="8"/>
      <c r="C100" s="7"/>
    </row>
    <row r="101" spans="1:8">
      <c r="B101" s="195" t="s">
        <v>23</v>
      </c>
      <c r="C101" s="201" t="s">
        <v>2</v>
      </c>
    </row>
    <row r="102" spans="1:8">
      <c r="B102" s="94" t="s">
        <v>16</v>
      </c>
      <c r="C102" s="109">
        <f>C80</f>
        <v>2460.3580000000002</v>
      </c>
    </row>
    <row r="103" spans="1:8">
      <c r="B103" s="94" t="s">
        <v>17</v>
      </c>
      <c r="C103" s="109">
        <f>C81</f>
        <v>71.838999999999999</v>
      </c>
    </row>
    <row r="104" spans="1:8" ht="15.75" thickBot="1">
      <c r="B104" s="3" t="s">
        <v>24</v>
      </c>
      <c r="C104" s="2">
        <f>SUM(C102:C103)</f>
        <v>2532.1970000000001</v>
      </c>
    </row>
    <row r="105" spans="1:8">
      <c r="B105" s="8"/>
      <c r="C105" s="7"/>
    </row>
    <row r="106" spans="1:8">
      <c r="B106" s="8"/>
      <c r="C106" s="7"/>
    </row>
    <row r="107" spans="1:8">
      <c r="B107" s="8"/>
      <c r="C107" s="7"/>
    </row>
    <row r="110" spans="1:8">
      <c r="A110" s="29" t="s">
        <v>29</v>
      </c>
    </row>
    <row r="111" spans="1:8" ht="15.75" thickBot="1"/>
    <row r="112" spans="1:8">
      <c r="B112" s="192" t="s">
        <v>30</v>
      </c>
      <c r="C112" s="193" t="s">
        <v>2</v>
      </c>
      <c r="D112" s="194" t="s">
        <v>3</v>
      </c>
      <c r="G112" s="199" t="s">
        <v>4</v>
      </c>
      <c r="H112" s="198" t="s">
        <v>5</v>
      </c>
    </row>
    <row r="113" spans="2:9">
      <c r="B113" s="168"/>
      <c r="C113" s="169"/>
      <c r="D113" s="26"/>
      <c r="G113" s="172" t="s">
        <v>31</v>
      </c>
      <c r="H113" s="197">
        <v>4014</v>
      </c>
    </row>
    <row r="114" spans="2:9">
      <c r="B114" s="23" t="s">
        <v>7</v>
      </c>
      <c r="C114" s="22">
        <f>SUM(C115)</f>
        <v>236.87199999999996</v>
      </c>
      <c r="D114" s="26"/>
      <c r="G114" s="154" t="s">
        <v>8</v>
      </c>
      <c r="H114" s="155">
        <v>0.24</v>
      </c>
    </row>
    <row r="115" spans="2:9" ht="15.75" thickBot="1">
      <c r="B115" s="167" t="s">
        <v>9</v>
      </c>
      <c r="C115" s="191">
        <f>Model!$AE$106</f>
        <v>236.87199999999996</v>
      </c>
      <c r="D115" s="26"/>
      <c r="G115" s="156" t="s">
        <v>10</v>
      </c>
      <c r="H115" s="157">
        <v>0.65</v>
      </c>
    </row>
    <row r="116" spans="2:9">
      <c r="B116" s="23"/>
      <c r="C116" s="22"/>
      <c r="D116" s="26"/>
    </row>
    <row r="117" spans="2:9">
      <c r="B117" s="23" t="s">
        <v>11</v>
      </c>
      <c r="C117" s="22">
        <f>SUM(C118)</f>
        <v>2631.1329999999998</v>
      </c>
      <c r="D117" s="26"/>
    </row>
    <row r="118" spans="2:9">
      <c r="B118" s="167" t="s">
        <v>9</v>
      </c>
      <c r="C118" s="191">
        <f>Model!$AE$107</f>
        <v>2631.1329999999998</v>
      </c>
      <c r="D118" s="26"/>
    </row>
    <row r="119" spans="2:9">
      <c r="B119" s="25"/>
      <c r="C119" s="150"/>
      <c r="D119" s="26"/>
    </row>
    <row r="120" spans="2:9">
      <c r="B120" s="23" t="s">
        <v>12</v>
      </c>
      <c r="C120" s="22">
        <f>SUM(C121:C122)</f>
        <v>1146.0419999999999</v>
      </c>
      <c r="D120" s="26"/>
    </row>
    <row r="121" spans="2:9">
      <c r="B121" s="167" t="s">
        <v>13</v>
      </c>
      <c r="C121" s="150">
        <f>Model!$AE$111</f>
        <v>432</v>
      </c>
      <c r="D121" s="26"/>
    </row>
    <row r="122" spans="2:9">
      <c r="B122" s="167" t="s">
        <v>14</v>
      </c>
      <c r="C122" s="150">
        <f>Model!$AE$112</f>
        <v>714.04200000000003</v>
      </c>
    </row>
    <row r="123" spans="2:9">
      <c r="B123" s="167"/>
      <c r="C123" s="150"/>
    </row>
    <row r="124" spans="2:9">
      <c r="B124" s="18" t="s">
        <v>15</v>
      </c>
      <c r="C124" s="17">
        <f>C120+C114+C117</f>
        <v>4014.0469999999996</v>
      </c>
      <c r="D124" s="129">
        <f>C124/C130</f>
        <v>0.67395013431833439</v>
      </c>
      <c r="E124" s="21"/>
      <c r="F124" s="21"/>
    </row>
    <row r="125" spans="2:9">
      <c r="B125" s="13" t="s">
        <v>16</v>
      </c>
      <c r="C125" s="150">
        <f>Model!$AE$119</f>
        <v>2313.7919999999999</v>
      </c>
      <c r="D125" s="221"/>
      <c r="I125" s="128"/>
    </row>
    <row r="126" spans="2:9">
      <c r="B126" s="69" t="s">
        <v>17</v>
      </c>
      <c r="C126" s="150">
        <f>Model!$AE$120</f>
        <v>121.839</v>
      </c>
      <c r="D126" s="221"/>
    </row>
    <row r="127" spans="2:9">
      <c r="B127" s="18" t="s">
        <v>18</v>
      </c>
      <c r="C127" s="17">
        <f>C124-C125-C126</f>
        <v>1578.4159999999997</v>
      </c>
      <c r="D127" s="129">
        <f>C127/C130</f>
        <v>0.26501276024177295</v>
      </c>
    </row>
    <row r="128" spans="2:9">
      <c r="B128" s="8" t="s">
        <v>19</v>
      </c>
      <c r="C128" s="16">
        <f>Model!$AE$124</f>
        <v>16451.133999999998</v>
      </c>
      <c r="D128" s="15"/>
    </row>
    <row r="129" spans="2:5">
      <c r="B129" s="8" t="s">
        <v>20</v>
      </c>
      <c r="C129" s="16">
        <f>C127+C128</f>
        <v>18029.55</v>
      </c>
      <c r="D129" s="15"/>
    </row>
    <row r="130" spans="2:5">
      <c r="B130" s="13" t="s">
        <v>21</v>
      </c>
      <c r="C130" s="14">
        <f>Model!$AE$90</f>
        <v>5956</v>
      </c>
      <c r="D130" s="13"/>
    </row>
    <row r="131" spans="2:5">
      <c r="B131" s="12" t="s">
        <v>22</v>
      </c>
      <c r="C131" s="11">
        <f>+C124-Model!$AE$118</f>
        <v>0</v>
      </c>
      <c r="D131" s="10"/>
    </row>
    <row r="132" spans="2:5">
      <c r="B132" s="12"/>
      <c r="C132" s="11"/>
      <c r="D132" s="10"/>
    </row>
    <row r="133" spans="2:5" ht="15.75" thickBot="1">
      <c r="B133" s="8"/>
      <c r="C133" s="7"/>
    </row>
    <row r="134" spans="2:5">
      <c r="B134" s="195" t="s">
        <v>32</v>
      </c>
      <c r="C134" s="196" t="s">
        <v>2</v>
      </c>
      <c r="D134" s="231"/>
      <c r="E134" s="231"/>
    </row>
    <row r="135" spans="2:5">
      <c r="B135" s="5">
        <v>2026</v>
      </c>
      <c r="C135" s="4">
        <v>229</v>
      </c>
    </row>
    <row r="136" spans="2:5">
      <c r="B136" s="5">
        <v>2027</v>
      </c>
      <c r="C136" s="4">
        <v>648</v>
      </c>
    </row>
    <row r="137" spans="2:5">
      <c r="B137" s="5">
        <v>2029</v>
      </c>
      <c r="C137" s="4">
        <v>379</v>
      </c>
    </row>
    <row r="138" spans="2:5">
      <c r="B138" s="5">
        <v>2030</v>
      </c>
      <c r="C138" s="4">
        <v>350</v>
      </c>
    </row>
    <row r="139" spans="2:5">
      <c r="B139" s="5">
        <v>2032</v>
      </c>
      <c r="C139" s="4">
        <v>180</v>
      </c>
    </row>
    <row r="140" spans="2:5">
      <c r="B140" s="5">
        <v>2042</v>
      </c>
      <c r="C140" s="4">
        <v>458</v>
      </c>
    </row>
    <row r="141" spans="2:5">
      <c r="B141" s="5">
        <v>2059</v>
      </c>
      <c r="C141" s="4">
        <v>600</v>
      </c>
    </row>
    <row r="142" spans="2:5" ht="15.75" thickBot="1">
      <c r="B142" s="3" t="s">
        <v>24</v>
      </c>
      <c r="C142" s="2">
        <f>SUM(C135:C141)</f>
        <v>2844</v>
      </c>
    </row>
    <row r="143" spans="2:5">
      <c r="B143" s="12" t="s">
        <v>22</v>
      </c>
      <c r="C143" s="200"/>
    </row>
    <row r="144" spans="2:5">
      <c r="C144" s="11"/>
    </row>
    <row r="145" spans="1:8" ht="15.75" thickBot="1">
      <c r="B145" s="8"/>
      <c r="C145" s="7"/>
    </row>
    <row r="146" spans="1:8">
      <c r="B146" s="195" t="s">
        <v>33</v>
      </c>
      <c r="C146" s="201" t="s">
        <v>2</v>
      </c>
    </row>
    <row r="147" spans="1:8">
      <c r="B147" s="94" t="s">
        <v>16</v>
      </c>
      <c r="C147" s="109">
        <f>C125</f>
        <v>2313.7919999999999</v>
      </c>
    </row>
    <row r="148" spans="1:8">
      <c r="B148" s="94" t="s">
        <v>17</v>
      </c>
      <c r="C148" s="109">
        <f>C126</f>
        <v>121.839</v>
      </c>
    </row>
    <row r="149" spans="1:8" ht="15.75" thickBot="1">
      <c r="B149" s="3" t="s">
        <v>24</v>
      </c>
      <c r="C149" s="2">
        <f>SUM(C147:C148)</f>
        <v>2435.6309999999999</v>
      </c>
    </row>
    <row r="150" spans="1:8">
      <c r="B150" s="8"/>
      <c r="C150" s="7"/>
    </row>
    <row r="151" spans="1:8">
      <c r="B151" s="8"/>
      <c r="C151" s="7"/>
    </row>
    <row r="152" spans="1:8">
      <c r="B152" s="8"/>
      <c r="C152" s="7"/>
    </row>
    <row r="153" spans="1:8">
      <c r="B153" s="8"/>
      <c r="C153" s="7"/>
    </row>
    <row r="156" spans="1:8">
      <c r="A156" s="29" t="s">
        <v>34</v>
      </c>
    </row>
    <row r="157" spans="1:8" ht="15.75" thickBot="1"/>
    <row r="158" spans="1:8">
      <c r="B158" s="192" t="s">
        <v>35</v>
      </c>
      <c r="C158" s="193" t="s">
        <v>2</v>
      </c>
      <c r="D158" s="194" t="s">
        <v>3</v>
      </c>
      <c r="G158" s="199" t="s">
        <v>4</v>
      </c>
      <c r="H158" s="198" t="s">
        <v>5</v>
      </c>
    </row>
    <row r="159" spans="1:8">
      <c r="B159" s="168"/>
      <c r="C159" s="169"/>
      <c r="D159" s="26"/>
      <c r="G159" s="172" t="s">
        <v>31</v>
      </c>
      <c r="H159" s="197">
        <v>3976</v>
      </c>
    </row>
    <row r="160" spans="1:8">
      <c r="B160" s="23" t="s">
        <v>7</v>
      </c>
      <c r="C160" s="22">
        <f>SUM(C161)</f>
        <v>46.72199999999998</v>
      </c>
      <c r="D160" s="26"/>
      <c r="G160" s="154" t="s">
        <v>8</v>
      </c>
      <c r="H160" s="155">
        <v>0.25</v>
      </c>
    </row>
    <row r="161" spans="2:9" ht="15.75" thickBot="1">
      <c r="B161" s="167" t="s">
        <v>9</v>
      </c>
      <c r="C161" s="191">
        <f>Model!$AD$106</f>
        <v>46.72199999999998</v>
      </c>
      <c r="D161" s="26"/>
      <c r="G161" s="156" t="s">
        <v>10</v>
      </c>
      <c r="H161" s="157">
        <v>0.64</v>
      </c>
    </row>
    <row r="162" spans="2:9">
      <c r="B162" s="23"/>
      <c r="C162" s="22"/>
      <c r="D162" s="26"/>
    </row>
    <row r="163" spans="2:9">
      <c r="B163" s="23" t="s">
        <v>11</v>
      </c>
      <c r="C163" s="22">
        <f>SUM(C164)</f>
        <v>2799</v>
      </c>
      <c r="D163" s="26"/>
    </row>
    <row r="164" spans="2:9">
      <c r="B164" s="167" t="s">
        <v>9</v>
      </c>
      <c r="C164" s="191">
        <f>Model!$AD$107</f>
        <v>2799</v>
      </c>
      <c r="D164" s="26"/>
    </row>
    <row r="165" spans="2:9">
      <c r="B165" s="25"/>
      <c r="C165" s="150"/>
      <c r="D165" s="26"/>
    </row>
    <row r="166" spans="2:9">
      <c r="B166" s="23" t="s">
        <v>12</v>
      </c>
      <c r="C166" s="22">
        <f>SUM(C167:C168)</f>
        <v>1129.623</v>
      </c>
      <c r="D166" s="26"/>
    </row>
    <row r="167" spans="2:9">
      <c r="B167" s="167" t="s">
        <v>13</v>
      </c>
      <c r="C167" s="150">
        <f>Model!$AD$111</f>
        <v>418</v>
      </c>
      <c r="D167" s="26"/>
    </row>
    <row r="168" spans="2:9">
      <c r="B168" s="167" t="s">
        <v>14</v>
      </c>
      <c r="C168" s="150">
        <f>Model!$AD$112</f>
        <v>711.62300000000005</v>
      </c>
    </row>
    <row r="169" spans="2:9">
      <c r="B169" s="167"/>
      <c r="C169" s="150"/>
    </row>
    <row r="170" spans="2:9">
      <c r="B170" s="18" t="s">
        <v>15</v>
      </c>
      <c r="C170" s="17">
        <f>C166+C160+C163</f>
        <v>3975.3450000000003</v>
      </c>
      <c r="D170" s="153">
        <f>C170/C176</f>
        <v>0.65308772794480041</v>
      </c>
      <c r="E170" s="21"/>
      <c r="F170" s="21"/>
    </row>
    <row r="171" spans="2:9">
      <c r="B171" s="13" t="s">
        <v>16</v>
      </c>
      <c r="C171" s="150">
        <f>Model!$AD$119</f>
        <v>2565.5439999999999</v>
      </c>
      <c r="D171" s="19"/>
      <c r="I171" s="128"/>
    </row>
    <row r="172" spans="2:9">
      <c r="B172" s="69" t="s">
        <v>17</v>
      </c>
      <c r="C172" s="150">
        <f>Model!$AD$120</f>
        <v>217.58099999999999</v>
      </c>
      <c r="D172" s="19"/>
    </row>
    <row r="173" spans="2:9">
      <c r="B173" s="18" t="s">
        <v>18</v>
      </c>
      <c r="C173" s="17">
        <f>C170-C171-C172</f>
        <v>1192.2200000000005</v>
      </c>
      <c r="D173" s="153">
        <f>C173/C176</f>
        <v>0.19586331526203393</v>
      </c>
    </row>
    <row r="174" spans="2:9">
      <c r="B174" s="8" t="s">
        <v>19</v>
      </c>
      <c r="C174" s="16">
        <f>Model!$AD$124</f>
        <v>15943.031000000001</v>
      </c>
      <c r="D174" s="15"/>
    </row>
    <row r="175" spans="2:9">
      <c r="B175" s="8" t="s">
        <v>20</v>
      </c>
      <c r="C175" s="16">
        <f>C173+C174</f>
        <v>17135.251</v>
      </c>
      <c r="D175" s="15"/>
    </row>
    <row r="176" spans="2:9">
      <c r="B176" s="13" t="s">
        <v>21</v>
      </c>
      <c r="C176" s="14">
        <f>Model!$AD$90</f>
        <v>6087</v>
      </c>
      <c r="D176" s="13"/>
    </row>
    <row r="177" spans="2:5">
      <c r="B177" s="12" t="s">
        <v>22</v>
      </c>
      <c r="C177" s="11">
        <f>+C170-Model!$AD$118</f>
        <v>0</v>
      </c>
      <c r="D177" s="10"/>
    </row>
    <row r="178" spans="2:5">
      <c r="B178" s="12"/>
      <c r="C178" s="11"/>
      <c r="D178" s="10"/>
    </row>
    <row r="179" spans="2:5" ht="15.75" thickBot="1">
      <c r="B179" s="8"/>
      <c r="C179" s="7"/>
    </row>
    <row r="180" spans="2:5">
      <c r="B180" s="195" t="s">
        <v>36</v>
      </c>
      <c r="C180" s="196" t="s">
        <v>2</v>
      </c>
      <c r="D180" s="231"/>
      <c r="E180" s="231"/>
    </row>
    <row r="181" spans="2:5">
      <c r="B181" s="5">
        <v>2026</v>
      </c>
      <c r="C181" s="4">
        <v>228</v>
      </c>
    </row>
    <row r="182" spans="2:5">
      <c r="B182" s="5">
        <v>2027</v>
      </c>
      <c r="C182" s="4">
        <v>648</v>
      </c>
    </row>
    <row r="183" spans="2:5">
      <c r="B183" s="5">
        <v>2029</v>
      </c>
      <c r="C183" s="4">
        <v>379</v>
      </c>
    </row>
    <row r="184" spans="2:5">
      <c r="B184" s="5">
        <v>2030</v>
      </c>
      <c r="C184" s="4">
        <v>350</v>
      </c>
    </row>
    <row r="185" spans="2:5">
      <c r="B185" s="5">
        <v>2032</v>
      </c>
      <c r="C185" s="4">
        <v>179</v>
      </c>
    </row>
    <row r="186" spans="2:5">
      <c r="B186" s="5">
        <v>2042</v>
      </c>
      <c r="C186" s="4">
        <v>458</v>
      </c>
    </row>
    <row r="187" spans="2:5">
      <c r="B187" s="5">
        <v>2059</v>
      </c>
      <c r="C187" s="4">
        <v>600</v>
      </c>
    </row>
    <row r="188" spans="2:5" ht="15.75" thickBot="1">
      <c r="B188" s="3" t="s">
        <v>24</v>
      </c>
      <c r="C188" s="2">
        <f>SUM(C181:C187)</f>
        <v>2842</v>
      </c>
    </row>
    <row r="189" spans="2:5">
      <c r="B189" s="12" t="s">
        <v>22</v>
      </c>
      <c r="C189" s="200"/>
    </row>
    <row r="190" spans="2:5">
      <c r="C190" s="11"/>
    </row>
    <row r="191" spans="2:5" ht="15.75" thickBot="1">
      <c r="B191" s="8"/>
      <c r="C191" s="7"/>
    </row>
    <row r="192" spans="2:5">
      <c r="B192" s="195" t="s">
        <v>37</v>
      </c>
      <c r="C192" s="201" t="s">
        <v>2</v>
      </c>
    </row>
    <row r="193" spans="1:8">
      <c r="B193" s="94" t="s">
        <v>16</v>
      </c>
      <c r="C193" s="109">
        <f>C171</f>
        <v>2565.5439999999999</v>
      </c>
    </row>
    <row r="194" spans="1:8">
      <c r="B194" s="94" t="s">
        <v>17</v>
      </c>
      <c r="C194" s="109">
        <f>C172</f>
        <v>217.58099999999999</v>
      </c>
    </row>
    <row r="195" spans="1:8" ht="15.75" thickBot="1">
      <c r="B195" s="3" t="s">
        <v>24</v>
      </c>
      <c r="C195" s="2">
        <f>SUM(C193:C194)</f>
        <v>2783.125</v>
      </c>
    </row>
    <row r="196" spans="1:8">
      <c r="B196" s="8"/>
      <c r="C196" s="7"/>
    </row>
    <row r="197" spans="1:8">
      <c r="B197" s="8"/>
      <c r="C197" s="7"/>
    </row>
    <row r="198" spans="1:8">
      <c r="B198" s="8"/>
      <c r="C198" s="7"/>
    </row>
    <row r="199" spans="1:8">
      <c r="B199" s="8"/>
      <c r="C199" s="7"/>
    </row>
    <row r="201" spans="1:8">
      <c r="A201" s="29" t="s">
        <v>38</v>
      </c>
    </row>
    <row r="202" spans="1:8" ht="15.75" thickBot="1"/>
    <row r="203" spans="1:8">
      <c r="B203" s="158" t="s">
        <v>39</v>
      </c>
      <c r="C203" s="159" t="s">
        <v>2</v>
      </c>
      <c r="D203" s="160" t="s">
        <v>3</v>
      </c>
      <c r="G203" s="171" t="s">
        <v>4</v>
      </c>
      <c r="H203" s="161" t="s">
        <v>5</v>
      </c>
    </row>
    <row r="204" spans="1:8">
      <c r="B204" s="168"/>
      <c r="C204" s="169"/>
      <c r="D204" s="26"/>
      <c r="G204" s="172" t="s">
        <v>31</v>
      </c>
      <c r="H204" s="173">
        <v>3883</v>
      </c>
    </row>
    <row r="205" spans="1:8">
      <c r="B205" s="23" t="s">
        <v>7</v>
      </c>
      <c r="C205" s="22">
        <f>SUM(C206)</f>
        <v>46</v>
      </c>
      <c r="D205" s="26"/>
      <c r="G205" s="154" t="s">
        <v>8</v>
      </c>
      <c r="H205" s="155">
        <v>0.24</v>
      </c>
    </row>
    <row r="206" spans="1:8" ht="15.75" thickBot="1">
      <c r="B206" s="167" t="s">
        <v>9</v>
      </c>
      <c r="C206" s="170">
        <v>46</v>
      </c>
      <c r="D206" s="26"/>
      <c r="G206" s="156" t="s">
        <v>10</v>
      </c>
      <c r="H206" s="157">
        <v>0.61</v>
      </c>
    </row>
    <row r="207" spans="1:8">
      <c r="B207" s="23"/>
      <c r="C207" s="22"/>
      <c r="D207" s="26"/>
    </row>
    <row r="208" spans="1:8">
      <c r="B208" s="23" t="s">
        <v>11</v>
      </c>
      <c r="C208" s="22">
        <f>SUM(C209)</f>
        <v>2791</v>
      </c>
      <c r="D208" s="26"/>
    </row>
    <row r="209" spans="2:9">
      <c r="B209" s="167" t="s">
        <v>9</v>
      </c>
      <c r="C209" s="170">
        <v>2791</v>
      </c>
      <c r="D209" s="26"/>
    </row>
    <row r="210" spans="2:9">
      <c r="B210" s="25"/>
      <c r="C210" s="24"/>
      <c r="D210" s="26"/>
    </row>
    <row r="211" spans="2:9">
      <c r="B211" s="23" t="s">
        <v>12</v>
      </c>
      <c r="C211" s="22">
        <f>SUM(C212:C213)</f>
        <v>1046</v>
      </c>
      <c r="D211" s="26"/>
    </row>
    <row r="212" spans="2:9">
      <c r="B212" s="167" t="s">
        <v>13</v>
      </c>
      <c r="C212" s="24">
        <v>415</v>
      </c>
      <c r="D212" s="26"/>
    </row>
    <row r="213" spans="2:9">
      <c r="B213" s="167" t="s">
        <v>14</v>
      </c>
      <c r="C213" s="24">
        <v>631</v>
      </c>
    </row>
    <row r="214" spans="2:9">
      <c r="B214" s="167"/>
      <c r="C214" s="150"/>
    </row>
    <row r="215" spans="2:9">
      <c r="B215" s="18" t="s">
        <v>15</v>
      </c>
      <c r="C215" s="17">
        <f>C211+C205+C208</f>
        <v>3883</v>
      </c>
      <c r="D215" s="153">
        <f>C215/C221</f>
        <v>0.62780921584478577</v>
      </c>
      <c r="E215" s="21"/>
      <c r="F215" s="21"/>
    </row>
    <row r="216" spans="2:9">
      <c r="B216" s="13" t="s">
        <v>16</v>
      </c>
      <c r="C216" s="150">
        <f>Model!$AC$119</f>
        <v>3482.8850000000002</v>
      </c>
      <c r="D216" s="19"/>
      <c r="I216" s="128"/>
    </row>
    <row r="217" spans="2:9">
      <c r="B217" s="69" t="s">
        <v>17</v>
      </c>
      <c r="C217" s="150">
        <f>Model!$AC$120</f>
        <v>235</v>
      </c>
      <c r="D217" s="19"/>
    </row>
    <row r="218" spans="2:9">
      <c r="B218" s="18" t="s">
        <v>18</v>
      </c>
      <c r="C218" s="17">
        <f>C215-C216-C217</f>
        <v>165.11499999999978</v>
      </c>
      <c r="D218" s="153">
        <f>C218/C221</f>
        <v>2.6696038803556959E-2</v>
      </c>
    </row>
    <row r="219" spans="2:9">
      <c r="B219" s="8" t="s">
        <v>19</v>
      </c>
      <c r="C219" s="16">
        <f>Model!$AC$124</f>
        <v>16076.031999999999</v>
      </c>
      <c r="D219" s="15"/>
    </row>
    <row r="220" spans="2:9">
      <c r="B220" s="8" t="s">
        <v>20</v>
      </c>
      <c r="C220" s="16">
        <f>C218+C219</f>
        <v>16241.146999999999</v>
      </c>
      <c r="D220" s="15"/>
    </row>
    <row r="221" spans="2:9">
      <c r="B221" s="13" t="s">
        <v>21</v>
      </c>
      <c r="C221" s="14">
        <f>Model!$AC$90</f>
        <v>6185</v>
      </c>
      <c r="D221" s="13"/>
    </row>
    <row r="222" spans="2:9">
      <c r="B222" s="12" t="s">
        <v>22</v>
      </c>
      <c r="C222" s="11">
        <f>+C215-Model!$AC$118</f>
        <v>0.26400000000012369</v>
      </c>
      <c r="D222" s="10"/>
    </row>
    <row r="223" spans="2:9">
      <c r="B223" s="12"/>
      <c r="C223" s="11"/>
      <c r="D223" s="10"/>
    </row>
    <row r="224" spans="2:9" ht="15.75" thickBot="1">
      <c r="B224" s="8"/>
      <c r="C224" s="7"/>
    </row>
    <row r="225" spans="2:5">
      <c r="B225" s="6" t="s">
        <v>40</v>
      </c>
      <c r="C225" s="9" t="s">
        <v>2</v>
      </c>
      <c r="D225" s="231"/>
      <c r="E225" s="231"/>
    </row>
    <row r="226" spans="2:5">
      <c r="B226" s="5">
        <v>2026</v>
      </c>
      <c r="C226" s="4">
        <v>230</v>
      </c>
    </row>
    <row r="227" spans="2:5">
      <c r="B227" s="5">
        <v>2027</v>
      </c>
      <c r="C227" s="4">
        <v>653</v>
      </c>
    </row>
    <row r="228" spans="2:5">
      <c r="B228" s="5">
        <v>2029</v>
      </c>
      <c r="C228" s="4">
        <v>381</v>
      </c>
    </row>
    <row r="229" spans="2:5">
      <c r="B229" s="5">
        <v>2030</v>
      </c>
      <c r="C229" s="4">
        <v>333</v>
      </c>
    </row>
    <row r="230" spans="2:5">
      <c r="B230" s="5">
        <v>2032</v>
      </c>
      <c r="C230" s="4">
        <v>184</v>
      </c>
    </row>
    <row r="231" spans="2:5">
      <c r="B231" s="5">
        <v>2042</v>
      </c>
      <c r="C231" s="4">
        <v>458</v>
      </c>
    </row>
    <row r="232" spans="2:5">
      <c r="B232" s="5">
        <v>2059</v>
      </c>
      <c r="C232" s="4">
        <v>598</v>
      </c>
    </row>
    <row r="233" spans="2:5" ht="15.75" thickBot="1">
      <c r="B233" s="3" t="s">
        <v>24</v>
      </c>
      <c r="C233" s="2">
        <f>SUM(C226:C232)</f>
        <v>2837</v>
      </c>
    </row>
    <row r="234" spans="2:5">
      <c r="B234" s="12" t="s">
        <v>22</v>
      </c>
      <c r="C234" s="12">
        <f>C233-C205-C208</f>
        <v>0</v>
      </c>
    </row>
    <row r="235" spans="2:5">
      <c r="C235" s="11"/>
    </row>
    <row r="236" spans="2:5" ht="15.75" thickBot="1">
      <c r="B236" s="8"/>
      <c r="C236" s="7"/>
    </row>
    <row r="237" spans="2:5">
      <c r="B237" s="6" t="s">
        <v>41</v>
      </c>
      <c r="C237" s="9" t="s">
        <v>2</v>
      </c>
    </row>
    <row r="238" spans="2:5">
      <c r="B238" s="94" t="s">
        <v>16</v>
      </c>
      <c r="C238" s="109">
        <f>C216</f>
        <v>3482.8850000000002</v>
      </c>
    </row>
    <row r="239" spans="2:5">
      <c r="B239" s="94" t="s">
        <v>17</v>
      </c>
      <c r="C239" s="109">
        <f>C217</f>
        <v>235</v>
      </c>
    </row>
    <row r="240" spans="2:5" ht="15.75" thickBot="1">
      <c r="B240" s="3" t="s">
        <v>24</v>
      </c>
      <c r="C240" s="2">
        <f>SUM(C238:C239)</f>
        <v>3717.8850000000002</v>
      </c>
    </row>
    <row r="242" spans="1:9">
      <c r="A242" s="29" t="s">
        <v>42</v>
      </c>
    </row>
    <row r="243" spans="1:9" ht="15.75" thickBot="1"/>
    <row r="244" spans="1:9">
      <c r="B244" s="158" t="s">
        <v>43</v>
      </c>
      <c r="C244" s="159" t="s">
        <v>2</v>
      </c>
      <c r="D244" s="160" t="s">
        <v>3</v>
      </c>
      <c r="G244" s="164" t="s">
        <v>4</v>
      </c>
      <c r="H244" s="161" t="s">
        <v>5</v>
      </c>
    </row>
    <row r="245" spans="1:9">
      <c r="B245" s="23" t="s">
        <v>44</v>
      </c>
      <c r="C245" s="22">
        <f>SUM(C246:C247)</f>
        <v>2798.0129999999999</v>
      </c>
      <c r="D245" s="26"/>
      <c r="G245" s="162" t="s">
        <v>31</v>
      </c>
      <c r="H245" s="163">
        <v>3882</v>
      </c>
    </row>
    <row r="246" spans="1:9">
      <c r="B246" s="25" t="s">
        <v>9</v>
      </c>
      <c r="C246" s="24">
        <v>2798.0129999999999</v>
      </c>
      <c r="D246" s="26"/>
      <c r="G246" s="154" t="s">
        <v>8</v>
      </c>
      <c r="H246" s="155">
        <v>0.25</v>
      </c>
    </row>
    <row r="247" spans="1:9" ht="15.75" thickBot="1">
      <c r="B247" s="25" t="s">
        <v>45</v>
      </c>
      <c r="C247" s="24">
        <v>0</v>
      </c>
      <c r="D247" s="26"/>
      <c r="G247" s="156" t="s">
        <v>10</v>
      </c>
      <c r="H247" s="157">
        <v>0.59</v>
      </c>
    </row>
    <row r="248" spans="1:9">
      <c r="B248" s="23" t="s">
        <v>46</v>
      </c>
      <c r="C248" s="150">
        <f>Model!$AB$113</f>
        <v>1084.5050000000001</v>
      </c>
    </row>
    <row r="249" spans="1:9">
      <c r="B249" s="18" t="s">
        <v>15</v>
      </c>
      <c r="C249" s="17">
        <f>C248+C245</f>
        <v>3882.518</v>
      </c>
      <c r="D249" s="153">
        <f>C249/C255</f>
        <v>0.60616986729117872</v>
      </c>
      <c r="E249" s="21"/>
      <c r="F249" s="21"/>
    </row>
    <row r="250" spans="1:9">
      <c r="B250" s="13" t="s">
        <v>16</v>
      </c>
      <c r="C250" s="150">
        <f>Model!$AB$119</f>
        <v>4143.6660000000002</v>
      </c>
      <c r="D250" s="19"/>
      <c r="I250" s="128"/>
    </row>
    <row r="251" spans="1:9">
      <c r="B251" s="69" t="s">
        <v>17</v>
      </c>
      <c r="C251" s="150">
        <f>Model!$AB$120</f>
        <v>370</v>
      </c>
      <c r="D251" s="19"/>
    </row>
    <row r="252" spans="1:9">
      <c r="B252" s="18" t="s">
        <v>18</v>
      </c>
      <c r="C252" s="17">
        <f>C249-C250-C251</f>
        <v>-631.14800000000014</v>
      </c>
      <c r="D252" s="153">
        <f>C252/C255</f>
        <v>-9.8539890710382536E-2</v>
      </c>
    </row>
    <row r="253" spans="1:9">
      <c r="B253" s="8" t="s">
        <v>19</v>
      </c>
      <c r="C253" s="16">
        <f>Model!$AB$124</f>
        <v>15648.687</v>
      </c>
      <c r="D253" s="15"/>
    </row>
    <row r="254" spans="1:9">
      <c r="B254" s="8" t="s">
        <v>20</v>
      </c>
      <c r="C254" s="16">
        <f>C252+C253</f>
        <v>15017.539000000001</v>
      </c>
      <c r="D254" s="15"/>
    </row>
    <row r="255" spans="1:9">
      <c r="B255" s="13" t="s">
        <v>21</v>
      </c>
      <c r="C255" s="14">
        <f>Model!$AB$90</f>
        <v>6405</v>
      </c>
      <c r="D255" s="13"/>
    </row>
    <row r="256" spans="1:9">
      <c r="B256" s="12" t="s">
        <v>22</v>
      </c>
      <c r="C256" s="11">
        <f>+C249-Model!$AB$118</f>
        <v>0</v>
      </c>
      <c r="D256" s="10"/>
    </row>
    <row r="257" spans="2:5">
      <c r="B257" s="12"/>
      <c r="C257" s="11"/>
      <c r="D257" s="10"/>
    </row>
    <row r="258" spans="2:5" ht="15.75" thickBot="1">
      <c r="B258" s="8"/>
      <c r="C258" s="7"/>
    </row>
    <row r="259" spans="2:5">
      <c r="B259" s="6" t="s">
        <v>47</v>
      </c>
      <c r="C259" s="9" t="s">
        <v>2</v>
      </c>
      <c r="D259" s="231"/>
      <c r="E259" s="231"/>
    </row>
    <row r="260" spans="2:5">
      <c r="B260" s="5">
        <v>2026</v>
      </c>
      <c r="C260" s="4">
        <v>226</v>
      </c>
    </row>
    <row r="261" spans="2:5">
      <c r="B261" s="5">
        <v>2027</v>
      </c>
      <c r="C261" s="4">
        <v>648</v>
      </c>
    </row>
    <row r="262" spans="2:5">
      <c r="B262" s="5">
        <v>2029</v>
      </c>
      <c r="C262" s="4">
        <v>379</v>
      </c>
    </row>
    <row r="263" spans="2:5">
      <c r="B263" s="94" t="s">
        <v>48</v>
      </c>
      <c r="C263" s="4">
        <f>350+179+458+600</f>
        <v>1587</v>
      </c>
    </row>
    <row r="264" spans="2:5" ht="15.75" thickBot="1">
      <c r="B264" s="3" t="s">
        <v>24</v>
      </c>
      <c r="C264" s="2">
        <f>SUM(C260:C263)</f>
        <v>2840</v>
      </c>
    </row>
    <row r="265" spans="2:5">
      <c r="C265" s="11"/>
    </row>
    <row r="266" spans="2:5" ht="15.75" thickBot="1">
      <c r="B266" s="8"/>
      <c r="C266" s="7"/>
    </row>
    <row r="267" spans="2:5">
      <c r="B267" s="6" t="s">
        <v>49</v>
      </c>
      <c r="C267" s="9" t="s">
        <v>2</v>
      </c>
    </row>
    <row r="268" spans="2:5">
      <c r="B268" s="94" t="s">
        <v>16</v>
      </c>
      <c r="C268" s="109">
        <f>C250</f>
        <v>4143.6660000000002</v>
      </c>
    </row>
    <row r="269" spans="2:5">
      <c r="B269" s="94" t="s">
        <v>17</v>
      </c>
      <c r="C269" s="109">
        <f>C251</f>
        <v>370</v>
      </c>
    </row>
    <row r="270" spans="2:5">
      <c r="B270" s="94" t="s">
        <v>50</v>
      </c>
      <c r="C270" s="110"/>
    </row>
    <row r="271" spans="2:5" ht="15.75" thickBot="1">
      <c r="B271" s="3" t="s">
        <v>24</v>
      </c>
      <c r="C271" s="2">
        <f>SUM(C268:C270)</f>
        <v>4513.6660000000002</v>
      </c>
    </row>
    <row r="273" spans="1:9">
      <c r="A273" s="29" t="s">
        <v>51</v>
      </c>
    </row>
    <row r="275" spans="1:9" ht="15.75" thickBot="1">
      <c r="B275" s="28" t="s">
        <v>52</v>
      </c>
      <c r="C275" s="93" t="s">
        <v>2</v>
      </c>
      <c r="D275" s="27" t="s">
        <v>3</v>
      </c>
    </row>
    <row r="276" spans="1:9">
      <c r="B276" s="23" t="s">
        <v>44</v>
      </c>
      <c r="C276" s="22">
        <f>SUM(C277:C278)</f>
        <v>2795.37</v>
      </c>
      <c r="D276" s="26"/>
      <c r="G276" s="119" t="s">
        <v>53</v>
      </c>
      <c r="H276" s="120"/>
      <c r="I276" s="121" t="s">
        <v>54</v>
      </c>
    </row>
    <row r="277" spans="1:9">
      <c r="B277" s="25" t="s">
        <v>9</v>
      </c>
      <c r="C277" s="24">
        <v>2795.37</v>
      </c>
      <c r="D277" s="26"/>
      <c r="G277" s="122" t="s">
        <v>8</v>
      </c>
      <c r="H277" s="123"/>
      <c r="I277" s="151">
        <v>0.24</v>
      </c>
    </row>
    <row r="278" spans="1:9" ht="15.75" thickBot="1">
      <c r="B278" s="25" t="s">
        <v>45</v>
      </c>
      <c r="C278" s="24">
        <v>0</v>
      </c>
      <c r="D278" s="26"/>
      <c r="G278" s="124" t="s">
        <v>10</v>
      </c>
      <c r="H278" s="125"/>
      <c r="I278" s="152">
        <v>0.56999999999999995</v>
      </c>
    </row>
    <row r="279" spans="1:9">
      <c r="B279" s="23" t="s">
        <v>46</v>
      </c>
      <c r="C279" s="150">
        <f>Model!$AA$113</f>
        <v>965.81100000000004</v>
      </c>
    </row>
    <row r="280" spans="1:9">
      <c r="B280" s="18" t="s">
        <v>15</v>
      </c>
      <c r="C280" s="17">
        <f>C279+C276</f>
        <v>3761.181</v>
      </c>
      <c r="D280" s="129">
        <f>C280/C286</f>
        <v>0.58204596100278549</v>
      </c>
      <c r="E280" s="21"/>
      <c r="F280" s="21"/>
    </row>
    <row r="281" spans="1:9">
      <c r="B281" s="13" t="s">
        <v>16</v>
      </c>
      <c r="C281" s="150">
        <f>Model!$AA$119</f>
        <v>3938.163</v>
      </c>
      <c r="D281" s="19"/>
      <c r="I281" s="128"/>
    </row>
    <row r="282" spans="1:9">
      <c r="B282" s="69" t="s">
        <v>17</v>
      </c>
      <c r="C282" s="150">
        <f>Model!$AA$120</f>
        <v>291.02300000000002</v>
      </c>
      <c r="D282" s="19"/>
    </row>
    <row r="283" spans="1:9">
      <c r="B283" s="18" t="s">
        <v>18</v>
      </c>
      <c r="C283" s="17">
        <f>C280-C281-C282</f>
        <v>-468.005</v>
      </c>
      <c r="D283" s="129">
        <f>C283/C286</f>
        <v>-7.242417208294645E-2</v>
      </c>
    </row>
    <row r="284" spans="1:9">
      <c r="B284" s="8" t="s">
        <v>19</v>
      </c>
      <c r="C284" s="16">
        <f>Model!$AA$124</f>
        <v>15766.7</v>
      </c>
      <c r="D284" s="15"/>
    </row>
    <row r="285" spans="1:9">
      <c r="B285" s="8" t="s">
        <v>20</v>
      </c>
      <c r="C285" s="16">
        <f>C283+C284</f>
        <v>15298.695000000002</v>
      </c>
      <c r="D285" s="15"/>
    </row>
    <row r="286" spans="1:9">
      <c r="B286" s="13" t="s">
        <v>21</v>
      </c>
      <c r="C286" s="14">
        <f>Model!$AA$90</f>
        <v>6462</v>
      </c>
      <c r="D286" s="13"/>
    </row>
    <row r="287" spans="1:9">
      <c r="B287" s="12" t="s">
        <v>22</v>
      </c>
      <c r="C287" s="11">
        <f>+C280-Model!$AA$118</f>
        <v>0</v>
      </c>
      <c r="D287" s="10"/>
    </row>
    <row r="288" spans="1:9">
      <c r="B288" s="12"/>
      <c r="C288" s="11"/>
      <c r="D288" s="10"/>
    </row>
    <row r="289" spans="1:5" ht="15.75" thickBot="1">
      <c r="B289" s="8"/>
      <c r="C289" s="7"/>
    </row>
    <row r="290" spans="1:5">
      <c r="B290" s="6" t="s">
        <v>55</v>
      </c>
      <c r="C290" s="9" t="s">
        <v>2</v>
      </c>
      <c r="D290" s="231"/>
      <c r="E290" s="231"/>
    </row>
    <row r="291" spans="1:5">
      <c r="B291" s="5">
        <v>2026</v>
      </c>
      <c r="C291" s="4">
        <v>226</v>
      </c>
    </row>
    <row r="292" spans="1:5">
      <c r="B292" s="5">
        <v>2027</v>
      </c>
      <c r="C292" s="4">
        <v>648</v>
      </c>
    </row>
    <row r="293" spans="1:5">
      <c r="B293" s="5">
        <v>2029</v>
      </c>
      <c r="C293" s="4">
        <v>379</v>
      </c>
    </row>
    <row r="294" spans="1:5">
      <c r="B294" s="94" t="s">
        <v>48</v>
      </c>
      <c r="C294" s="4">
        <f>350+179+458+600</f>
        <v>1587</v>
      </c>
    </row>
    <row r="295" spans="1:5" ht="15.75" thickBot="1">
      <c r="B295" s="3" t="s">
        <v>24</v>
      </c>
      <c r="C295" s="2">
        <f>SUM(C291:C294)</f>
        <v>2840</v>
      </c>
    </row>
    <row r="296" spans="1:5">
      <c r="C296" s="11"/>
    </row>
    <row r="297" spans="1:5" ht="15.75" thickBot="1">
      <c r="B297" s="8"/>
      <c r="C297" s="7"/>
    </row>
    <row r="298" spans="1:5">
      <c r="B298" s="6" t="s">
        <v>56</v>
      </c>
      <c r="C298" s="9" t="s">
        <v>2</v>
      </c>
    </row>
    <row r="299" spans="1:5">
      <c r="B299" s="94" t="s">
        <v>16</v>
      </c>
      <c r="C299" s="109">
        <f>C281</f>
        <v>3938.163</v>
      </c>
    </row>
    <row r="300" spans="1:5">
      <c r="B300" s="94" t="s">
        <v>17</v>
      </c>
      <c r="C300" s="109">
        <f>C282</f>
        <v>291.02300000000002</v>
      </c>
    </row>
    <row r="301" spans="1:5">
      <c r="B301" s="94" t="s">
        <v>50</v>
      </c>
      <c r="C301" s="110"/>
    </row>
    <row r="302" spans="1:5" ht="15.75" thickBot="1">
      <c r="B302" s="3" t="s">
        <v>24</v>
      </c>
      <c r="C302" s="2">
        <f>SUM(C299:C301)</f>
        <v>4229.1859999999997</v>
      </c>
    </row>
    <row r="304" spans="1:5">
      <c r="A304" s="29" t="s">
        <v>57</v>
      </c>
    </row>
    <row r="306" spans="2:9" ht="15.75" thickBot="1">
      <c r="B306" s="28" t="s">
        <v>58</v>
      </c>
      <c r="C306" s="93" t="s">
        <v>2</v>
      </c>
      <c r="D306" s="27" t="s">
        <v>3</v>
      </c>
    </row>
    <row r="307" spans="2:9">
      <c r="B307" s="23" t="s">
        <v>44</v>
      </c>
      <c r="C307" s="22">
        <f>SUM(C308:C309)</f>
        <v>2842.123</v>
      </c>
      <c r="D307" s="26"/>
      <c r="G307" s="119" t="s">
        <v>53</v>
      </c>
      <c r="H307" s="120"/>
      <c r="I307" s="121" t="s">
        <v>54</v>
      </c>
    </row>
    <row r="308" spans="2:9">
      <c r="B308" s="25" t="s">
        <v>9</v>
      </c>
      <c r="C308" s="24">
        <v>2842.123</v>
      </c>
      <c r="D308" s="26"/>
      <c r="G308" s="122" t="s">
        <v>8</v>
      </c>
      <c r="H308" s="123"/>
      <c r="I308" s="144">
        <v>0.25</v>
      </c>
    </row>
    <row r="309" spans="2:9" ht="15.75" thickBot="1">
      <c r="B309" s="25" t="s">
        <v>45</v>
      </c>
      <c r="C309" s="24"/>
      <c r="D309" s="26"/>
      <c r="G309" s="124" t="s">
        <v>10</v>
      </c>
      <c r="H309" s="125"/>
      <c r="I309" s="145">
        <v>0.56000000000000005</v>
      </c>
    </row>
    <row r="310" spans="2:9">
      <c r="B310" s="23" t="s">
        <v>46</v>
      </c>
      <c r="C310" s="24">
        <f>Model!$Z$113</f>
        <v>937.69500000000005</v>
      </c>
    </row>
    <row r="311" spans="2:9">
      <c r="B311" s="18" t="s">
        <v>15</v>
      </c>
      <c r="C311" s="17">
        <f>C310+C307</f>
        <v>3779.8180000000002</v>
      </c>
      <c r="D311" s="129">
        <f>C311/C317</f>
        <v>0.57531476407914772</v>
      </c>
      <c r="E311" s="21"/>
      <c r="F311" s="21"/>
    </row>
    <row r="312" spans="2:9">
      <c r="B312" s="13" t="s">
        <v>16</v>
      </c>
      <c r="C312" s="24">
        <f>Model!$Z$119</f>
        <v>4069.6439999999998</v>
      </c>
      <c r="D312" s="19"/>
      <c r="I312" s="128"/>
    </row>
    <row r="313" spans="2:9">
      <c r="B313" s="69" t="s">
        <v>17</v>
      </c>
      <c r="C313" s="24">
        <f>Model!$Z$120</f>
        <v>50.851999999999997</v>
      </c>
      <c r="D313" s="19"/>
    </row>
    <row r="314" spans="2:9">
      <c r="B314" s="18" t="s">
        <v>18</v>
      </c>
      <c r="C314" s="17">
        <f>C311-C312-C313</f>
        <v>-340.67799999999954</v>
      </c>
      <c r="D314" s="129">
        <f>C314/C317</f>
        <v>-5.1853576864535698E-2</v>
      </c>
    </row>
    <row r="315" spans="2:9">
      <c r="B315" s="8" t="s">
        <v>19</v>
      </c>
      <c r="C315" s="16">
        <f>Model!$Z$124</f>
        <v>15175.446</v>
      </c>
      <c r="D315" s="15"/>
    </row>
    <row r="316" spans="2:9">
      <c r="B316" s="8" t="s">
        <v>20</v>
      </c>
      <c r="C316" s="16">
        <f>C314+C315</f>
        <v>14834.768</v>
      </c>
      <c r="D316" s="15"/>
    </row>
    <row r="317" spans="2:9">
      <c r="B317" s="13" t="s">
        <v>21</v>
      </c>
      <c r="C317" s="14">
        <f>Model!$Z$90</f>
        <v>6570</v>
      </c>
      <c r="D317" s="13"/>
    </row>
    <row r="318" spans="2:9">
      <c r="B318" s="12" t="s">
        <v>22</v>
      </c>
      <c r="C318" s="11">
        <f>+C311-Model!$Z$118</f>
        <v>0</v>
      </c>
      <c r="D318" s="10"/>
    </row>
    <row r="319" spans="2:9">
      <c r="B319" s="12"/>
      <c r="C319" s="11"/>
      <c r="D319" s="10"/>
    </row>
    <row r="320" spans="2:9" ht="15.75" thickBot="1">
      <c r="B320" s="8"/>
      <c r="C320" s="7"/>
    </row>
    <row r="321" spans="1:5">
      <c r="B321" s="6" t="s">
        <v>59</v>
      </c>
      <c r="C321" s="9" t="s">
        <v>2</v>
      </c>
      <c r="D321" s="231"/>
      <c r="E321" s="231"/>
    </row>
    <row r="322" spans="1:5">
      <c r="B322" s="5" t="s">
        <v>60</v>
      </c>
      <c r="C322" s="4"/>
    </row>
    <row r="323" spans="1:5">
      <c r="B323" s="5" t="s">
        <v>61</v>
      </c>
      <c r="C323" s="4">
        <v>0</v>
      </c>
    </row>
    <row r="324" spans="1:5">
      <c r="B324" s="94" t="s">
        <v>62</v>
      </c>
      <c r="C324" s="4">
        <f>223+648</f>
        <v>871</v>
      </c>
    </row>
    <row r="325" spans="1:5">
      <c r="B325" s="94" t="s">
        <v>63</v>
      </c>
      <c r="C325" s="4">
        <f>379+350+178+458+600</f>
        <v>1965</v>
      </c>
    </row>
    <row r="326" spans="1:5" ht="15.75" thickBot="1">
      <c r="B326" s="3" t="s">
        <v>24</v>
      </c>
      <c r="C326" s="2">
        <f>SUM(C322:C325)</f>
        <v>2836</v>
      </c>
    </row>
    <row r="327" spans="1:5">
      <c r="C327" s="11"/>
    </row>
    <row r="328" spans="1:5" ht="15.75" thickBot="1">
      <c r="B328" s="8"/>
      <c r="C328" s="7"/>
    </row>
    <row r="329" spans="1:5">
      <c r="B329" s="6" t="s">
        <v>64</v>
      </c>
      <c r="C329" s="9" t="s">
        <v>2</v>
      </c>
    </row>
    <row r="330" spans="1:5">
      <c r="B330" s="94" t="s">
        <v>16</v>
      </c>
      <c r="C330" s="109">
        <f>C312</f>
        <v>4069.6439999999998</v>
      </c>
    </row>
    <row r="331" spans="1:5">
      <c r="B331" s="94" t="s">
        <v>17</v>
      </c>
      <c r="C331" s="109">
        <f>C313</f>
        <v>50.851999999999997</v>
      </c>
    </row>
    <row r="332" spans="1:5">
      <c r="B332" s="94" t="s">
        <v>50</v>
      </c>
      <c r="C332" s="110"/>
    </row>
    <row r="333" spans="1:5" ht="15.75" thickBot="1">
      <c r="B333" s="3" t="s">
        <v>24</v>
      </c>
      <c r="C333" s="2">
        <f>SUM(C330:C332)</f>
        <v>4120.4960000000001</v>
      </c>
    </row>
    <row r="335" spans="1:5">
      <c r="A335" s="29" t="s">
        <v>65</v>
      </c>
    </row>
    <row r="337" spans="2:9" ht="15.75" thickBot="1">
      <c r="B337" s="28" t="s">
        <v>66</v>
      </c>
      <c r="C337" s="93" t="s">
        <v>2</v>
      </c>
      <c r="D337" s="27" t="s">
        <v>3</v>
      </c>
    </row>
    <row r="338" spans="2:9">
      <c r="B338" s="23" t="s">
        <v>44</v>
      </c>
      <c r="C338" s="22">
        <f>SUM(C339:C340)</f>
        <v>2722.8519999999999</v>
      </c>
      <c r="D338" s="26"/>
      <c r="G338" s="119" t="s">
        <v>53</v>
      </c>
      <c r="H338" s="120"/>
      <c r="I338" s="121" t="s">
        <v>54</v>
      </c>
    </row>
    <row r="339" spans="2:9">
      <c r="B339" s="25" t="s">
        <v>9</v>
      </c>
      <c r="C339" s="24">
        <v>2722.8519999999999</v>
      </c>
      <c r="D339" s="26"/>
      <c r="G339" s="122" t="s">
        <v>8</v>
      </c>
      <c r="H339" s="123"/>
      <c r="I339" s="144">
        <v>0.24</v>
      </c>
    </row>
    <row r="340" spans="2:9" ht="15.75" thickBot="1">
      <c r="B340" s="25" t="s">
        <v>45</v>
      </c>
      <c r="C340" s="24"/>
      <c r="D340" s="26"/>
      <c r="G340" s="124" t="s">
        <v>10</v>
      </c>
      <c r="H340" s="125"/>
      <c r="I340" s="145">
        <v>0.59</v>
      </c>
    </row>
    <row r="341" spans="2:9">
      <c r="B341" s="23" t="s">
        <v>46</v>
      </c>
      <c r="C341" s="24">
        <f>Model!$Y$113</f>
        <v>910.60900000000004</v>
      </c>
    </row>
    <row r="342" spans="2:9">
      <c r="B342" s="18" t="s">
        <v>15</v>
      </c>
      <c r="C342" s="17">
        <f>C341+C338</f>
        <v>3633.4609999999998</v>
      </c>
      <c r="D342" s="129">
        <f>C342/C348</f>
        <v>0.54589257812499992</v>
      </c>
      <c r="E342" s="21"/>
      <c r="F342" s="21"/>
    </row>
    <row r="343" spans="2:9">
      <c r="B343" s="13" t="s">
        <v>16</v>
      </c>
      <c r="C343" s="24">
        <f>Model!$Y$119</f>
        <v>3751.221</v>
      </c>
      <c r="D343" s="19"/>
      <c r="I343" s="128"/>
    </row>
    <row r="344" spans="2:9">
      <c r="B344" s="69" t="s">
        <v>17</v>
      </c>
      <c r="C344" s="24">
        <f>Model!$Y$120</f>
        <v>80.287999999999997</v>
      </c>
      <c r="D344" s="19"/>
    </row>
    <row r="345" spans="2:9">
      <c r="B345" s="18" t="s">
        <v>18</v>
      </c>
      <c r="C345" s="17">
        <f>C342-C343-C344</f>
        <v>-198.04800000000023</v>
      </c>
      <c r="D345" s="129">
        <f>C345/C348</f>
        <v>-2.9754807692307726E-2</v>
      </c>
    </row>
    <row r="346" spans="2:9">
      <c r="B346" s="8" t="s">
        <v>19</v>
      </c>
      <c r="C346" s="16">
        <f>Model!$Y$124</f>
        <v>15195.209000000001</v>
      </c>
      <c r="D346" s="15"/>
    </row>
    <row r="347" spans="2:9">
      <c r="B347" s="8" t="s">
        <v>20</v>
      </c>
      <c r="C347" s="16">
        <f>C345+C346</f>
        <v>14997.161</v>
      </c>
      <c r="D347" s="15"/>
    </row>
    <row r="348" spans="2:9">
      <c r="B348" s="13" t="s">
        <v>21</v>
      </c>
      <c r="C348" s="14">
        <f>Model!$Y$90</f>
        <v>6656</v>
      </c>
      <c r="D348" s="13"/>
    </row>
    <row r="349" spans="2:9">
      <c r="B349" s="12" t="s">
        <v>22</v>
      </c>
      <c r="C349" s="11">
        <f>+C342-Model!$Y$118</f>
        <v>0</v>
      </c>
      <c r="D349" s="10"/>
    </row>
    <row r="350" spans="2:9">
      <c r="B350" s="12"/>
      <c r="C350" s="11"/>
      <c r="D350" s="10"/>
    </row>
    <row r="351" spans="2:9" ht="15.75" thickBot="1">
      <c r="B351" s="8"/>
      <c r="C351" s="7"/>
    </row>
    <row r="352" spans="2:9">
      <c r="B352" s="6" t="s">
        <v>59</v>
      </c>
      <c r="C352" s="9" t="s">
        <v>2</v>
      </c>
      <c r="D352" s="231"/>
      <c r="E352" s="231"/>
    </row>
    <row r="353" spans="1:4">
      <c r="B353" s="5" t="s">
        <v>60</v>
      </c>
      <c r="C353" s="4"/>
    </row>
    <row r="354" spans="1:4">
      <c r="B354" s="5" t="s">
        <v>61</v>
      </c>
      <c r="C354" s="4">
        <v>0</v>
      </c>
    </row>
    <row r="355" spans="1:4">
      <c r="B355" s="94" t="s">
        <v>62</v>
      </c>
      <c r="C355" s="4">
        <f>228+648</f>
        <v>876</v>
      </c>
    </row>
    <row r="356" spans="1:4">
      <c r="B356" s="94" t="s">
        <v>63</v>
      </c>
      <c r="C356" s="4">
        <f>379+350+179+458+600</f>
        <v>1966</v>
      </c>
    </row>
    <row r="357" spans="1:4" ht="15.75" thickBot="1">
      <c r="B357" s="3" t="s">
        <v>24</v>
      </c>
      <c r="C357" s="2">
        <f>SUM(C353:C356)</f>
        <v>2842</v>
      </c>
    </row>
    <row r="358" spans="1:4">
      <c r="C358" s="11"/>
    </row>
    <row r="359" spans="1:4" ht="15.75" thickBot="1">
      <c r="B359" s="8"/>
      <c r="C359" s="7"/>
    </row>
    <row r="360" spans="1:4">
      <c r="B360" s="6" t="s">
        <v>64</v>
      </c>
      <c r="C360" s="9" t="s">
        <v>2</v>
      </c>
    </row>
    <row r="361" spans="1:4">
      <c r="B361" s="94" t="s">
        <v>16</v>
      </c>
      <c r="C361" s="109">
        <f>C343</f>
        <v>3751.221</v>
      </c>
    </row>
    <row r="362" spans="1:4">
      <c r="B362" s="94" t="s">
        <v>17</v>
      </c>
      <c r="C362" s="109">
        <f>C344</f>
        <v>80.287999999999997</v>
      </c>
    </row>
    <row r="363" spans="1:4">
      <c r="B363" s="94" t="s">
        <v>50</v>
      </c>
      <c r="C363" s="110"/>
    </row>
    <row r="364" spans="1:4" ht="15.75" thickBot="1">
      <c r="B364" s="3" t="s">
        <v>24</v>
      </c>
      <c r="C364" s="2">
        <f>SUM(C361:C363)</f>
        <v>3831.509</v>
      </c>
    </row>
    <row r="366" spans="1:4">
      <c r="A366" s="29" t="s">
        <v>67</v>
      </c>
    </row>
    <row r="368" spans="1:4" ht="15.75" thickBot="1">
      <c r="B368" s="28" t="s">
        <v>68</v>
      </c>
      <c r="C368" s="93" t="s">
        <v>2</v>
      </c>
      <c r="D368" s="27" t="s">
        <v>3</v>
      </c>
    </row>
    <row r="369" spans="2:9">
      <c r="B369" s="23" t="s">
        <v>44</v>
      </c>
      <c r="C369" s="22">
        <f>SUM(C370:C371)</f>
        <v>2730.74</v>
      </c>
      <c r="D369" s="26"/>
      <c r="G369" s="119" t="s">
        <v>53</v>
      </c>
      <c r="H369" s="120"/>
      <c r="I369" s="121" t="s">
        <v>54</v>
      </c>
    </row>
    <row r="370" spans="2:9">
      <c r="B370" s="25" t="s">
        <v>9</v>
      </c>
      <c r="C370" s="24">
        <v>2730.74</v>
      </c>
      <c r="D370" s="26"/>
      <c r="G370" s="122" t="s">
        <v>8</v>
      </c>
      <c r="H370" s="123"/>
      <c r="I370" s="144">
        <v>0.24</v>
      </c>
    </row>
    <row r="371" spans="2:9" ht="15.75" thickBot="1">
      <c r="B371" s="25" t="s">
        <v>45</v>
      </c>
      <c r="C371" s="24"/>
      <c r="D371" s="26"/>
      <c r="G371" s="124" t="s">
        <v>10</v>
      </c>
      <c r="H371" s="125"/>
      <c r="I371" s="145">
        <v>0.59</v>
      </c>
    </row>
    <row r="372" spans="2:9">
      <c r="B372" s="23" t="s">
        <v>46</v>
      </c>
      <c r="C372" s="24">
        <f>Model!$X$113</f>
        <v>954.64400000000001</v>
      </c>
    </row>
    <row r="373" spans="2:9">
      <c r="B373" s="18" t="s">
        <v>15</v>
      </c>
      <c r="C373" s="17">
        <f>C372+C369</f>
        <v>3685.384</v>
      </c>
      <c r="D373" s="129">
        <f>C373/C379</f>
        <v>0.57719404855129208</v>
      </c>
      <c r="E373" s="21"/>
      <c r="F373" s="21"/>
    </row>
    <row r="374" spans="2:9">
      <c r="B374" s="13" t="s">
        <v>16</v>
      </c>
      <c r="C374" s="24">
        <f>Model!$X$119</f>
        <v>5154.3230000000003</v>
      </c>
      <c r="D374" s="19"/>
      <c r="I374" s="128"/>
    </row>
    <row r="375" spans="2:9">
      <c r="B375" s="69" t="s">
        <v>17</v>
      </c>
      <c r="C375" s="24">
        <f>Model!$X$120</f>
        <v>90.287999999999997</v>
      </c>
      <c r="D375" s="19"/>
    </row>
    <row r="376" spans="2:9">
      <c r="B376" s="18" t="s">
        <v>18</v>
      </c>
      <c r="C376" s="17">
        <f>C373-C374-C375</f>
        <v>-1559.2270000000003</v>
      </c>
      <c r="D376" s="129">
        <f>C376/C379</f>
        <v>-0.24420156617071265</v>
      </c>
    </row>
    <row r="377" spans="2:9">
      <c r="B377" s="8" t="s">
        <v>19</v>
      </c>
      <c r="C377" s="16">
        <f>Model!$X$124</f>
        <v>15135.177</v>
      </c>
      <c r="D377" s="15"/>
    </row>
    <row r="378" spans="2:9">
      <c r="B378" s="8" t="s">
        <v>20</v>
      </c>
      <c r="C378" s="16">
        <f>C376+C377</f>
        <v>13575.949999999999</v>
      </c>
      <c r="D378" s="15"/>
    </row>
    <row r="379" spans="2:9">
      <c r="B379" s="13" t="s">
        <v>21</v>
      </c>
      <c r="C379" s="14">
        <f>Model!$X$90</f>
        <v>6385</v>
      </c>
      <c r="D379" s="13"/>
    </row>
    <row r="380" spans="2:9">
      <c r="B380" s="12" t="s">
        <v>22</v>
      </c>
      <c r="C380" s="11">
        <f>+C373-Model!$X$118</f>
        <v>0</v>
      </c>
      <c r="D380" s="10"/>
    </row>
    <row r="381" spans="2:9">
      <c r="B381" s="12"/>
      <c r="C381" s="11"/>
      <c r="D381" s="10"/>
    </row>
    <row r="382" spans="2:9" ht="15.75" thickBot="1">
      <c r="B382" s="8"/>
      <c r="C382" s="7"/>
    </row>
    <row r="383" spans="2:9">
      <c r="B383" s="6" t="s">
        <v>69</v>
      </c>
      <c r="C383" s="9" t="s">
        <v>2</v>
      </c>
      <c r="D383" s="231"/>
      <c r="E383" s="231"/>
    </row>
    <row r="384" spans="2:9">
      <c r="B384" s="5" t="s">
        <v>60</v>
      </c>
      <c r="C384" s="4"/>
    </row>
    <row r="385" spans="1:9">
      <c r="B385" s="5" t="s">
        <v>61</v>
      </c>
      <c r="C385" s="4">
        <v>0</v>
      </c>
    </row>
    <row r="386" spans="1:9">
      <c r="B386" s="94" t="s">
        <v>62</v>
      </c>
      <c r="C386" s="4">
        <f>223+648</f>
        <v>871</v>
      </c>
    </row>
    <row r="387" spans="1:9">
      <c r="B387" s="94" t="s">
        <v>63</v>
      </c>
      <c r="C387" s="4">
        <f>379+350+178+458+600</f>
        <v>1965</v>
      </c>
    </row>
    <row r="388" spans="1:9" ht="15.75" thickBot="1">
      <c r="B388" s="3" t="s">
        <v>24</v>
      </c>
      <c r="C388" s="2">
        <f>SUM(C384:C387)</f>
        <v>2836</v>
      </c>
    </row>
    <row r="389" spans="1:9">
      <c r="C389" s="11"/>
    </row>
    <row r="390" spans="1:9" ht="15.75" thickBot="1">
      <c r="B390" s="8"/>
      <c r="C390" s="7"/>
    </row>
    <row r="391" spans="1:9">
      <c r="B391" s="6" t="s">
        <v>70</v>
      </c>
      <c r="C391" s="9" t="s">
        <v>2</v>
      </c>
    </row>
    <row r="392" spans="1:9">
      <c r="B392" s="94" t="s">
        <v>16</v>
      </c>
      <c r="C392" s="109">
        <f>C374</f>
        <v>5154.3230000000003</v>
      </c>
    </row>
    <row r="393" spans="1:9">
      <c r="B393" s="94" t="s">
        <v>17</v>
      </c>
      <c r="C393" s="109">
        <f>C375</f>
        <v>90.287999999999997</v>
      </c>
    </row>
    <row r="394" spans="1:9">
      <c r="B394" s="94" t="s">
        <v>50</v>
      </c>
      <c r="C394" s="110"/>
    </row>
    <row r="395" spans="1:9" ht="15.75" thickBot="1">
      <c r="B395" s="3" t="s">
        <v>24</v>
      </c>
      <c r="C395" s="2">
        <f>SUM(C392:C394)</f>
        <v>5244.6109999999999</v>
      </c>
    </row>
    <row r="397" spans="1:9">
      <c r="A397" s="29" t="s">
        <v>71</v>
      </c>
    </row>
    <row r="399" spans="1:9" ht="15.75" thickBot="1">
      <c r="B399" s="28" t="s">
        <v>72</v>
      </c>
      <c r="C399" s="93" t="s">
        <v>2</v>
      </c>
      <c r="D399" s="27" t="s">
        <v>3</v>
      </c>
    </row>
    <row r="400" spans="1:9">
      <c r="B400" s="23" t="s">
        <v>44</v>
      </c>
      <c r="C400" s="22">
        <f>SUM(C401:C402)</f>
        <v>2785.2420000000002</v>
      </c>
      <c r="D400" s="26"/>
      <c r="G400" s="119" t="s">
        <v>53</v>
      </c>
      <c r="H400" s="120"/>
      <c r="I400" s="121" t="s">
        <v>54</v>
      </c>
    </row>
    <row r="401" spans="2:9">
      <c r="B401" s="25" t="s">
        <v>9</v>
      </c>
      <c r="C401" s="24">
        <v>2785.2420000000002</v>
      </c>
      <c r="D401" s="26"/>
      <c r="G401" s="122" t="s">
        <v>8</v>
      </c>
      <c r="H401" s="123"/>
      <c r="I401" s="126">
        <v>0.25</v>
      </c>
    </row>
    <row r="402" spans="2:9" ht="15.75" thickBot="1">
      <c r="B402" s="25" t="s">
        <v>45</v>
      </c>
      <c r="C402" s="24"/>
      <c r="D402" s="26"/>
      <c r="G402" s="124" t="s">
        <v>10</v>
      </c>
      <c r="H402" s="125"/>
      <c r="I402" s="127">
        <v>0.57999999999999996</v>
      </c>
    </row>
    <row r="403" spans="2:9">
      <c r="B403" s="23" t="s">
        <v>46</v>
      </c>
      <c r="C403" s="24">
        <f>Model!$G$113</f>
        <v>868.38400000000001</v>
      </c>
    </row>
    <row r="404" spans="2:9">
      <c r="B404" s="18" t="s">
        <v>15</v>
      </c>
      <c r="C404" s="17">
        <f>C403+C400</f>
        <v>3653.6260000000002</v>
      </c>
      <c r="D404" s="129">
        <f>C404/C410</f>
        <v>0.5679505673869113</v>
      </c>
      <c r="E404" s="21"/>
      <c r="F404" s="21"/>
    </row>
    <row r="405" spans="2:9">
      <c r="B405" s="13" t="s">
        <v>16</v>
      </c>
      <c r="C405" s="24">
        <f>Model!$G$119</f>
        <v>4018.9589999999998</v>
      </c>
      <c r="D405" s="19"/>
      <c r="I405" s="128"/>
    </row>
    <row r="406" spans="2:9">
      <c r="B406" s="69" t="s">
        <v>17</v>
      </c>
      <c r="C406" s="24">
        <f>Model!$G$120</f>
        <v>200</v>
      </c>
      <c r="D406" s="19"/>
    </row>
    <row r="407" spans="2:9">
      <c r="B407" s="18" t="s">
        <v>18</v>
      </c>
      <c r="C407" s="17">
        <f>C404-C405-C406</f>
        <v>-565.33299999999963</v>
      </c>
      <c r="D407" s="129">
        <f>C407/C410</f>
        <v>-8.7880149230530016E-2</v>
      </c>
    </row>
    <row r="408" spans="2:9">
      <c r="B408" s="8" t="s">
        <v>19</v>
      </c>
      <c r="C408" s="16">
        <f>Model!$G$124</f>
        <v>14593.669</v>
      </c>
      <c r="D408" s="15"/>
    </row>
    <row r="409" spans="2:9">
      <c r="B409" s="8" t="s">
        <v>20</v>
      </c>
      <c r="C409" s="16">
        <f>C407+C408</f>
        <v>14028.335999999999</v>
      </c>
      <c r="D409" s="15"/>
    </row>
    <row r="410" spans="2:9">
      <c r="B410" s="13" t="s">
        <v>21</v>
      </c>
      <c r="C410" s="14">
        <f>Model!$G$90</f>
        <v>6433</v>
      </c>
      <c r="D410" s="13"/>
    </row>
    <row r="411" spans="2:9">
      <c r="B411" s="12" t="s">
        <v>22</v>
      </c>
      <c r="C411" s="11">
        <f>+C404-Model!$G$118</f>
        <v>0</v>
      </c>
      <c r="D411" s="10"/>
    </row>
    <row r="412" spans="2:9">
      <c r="B412" s="12"/>
      <c r="C412" s="11"/>
      <c r="D412" s="10"/>
    </row>
    <row r="413" spans="2:9" ht="15.75" thickBot="1">
      <c r="B413" s="8"/>
      <c r="C413" s="7"/>
    </row>
    <row r="414" spans="2:9">
      <c r="B414" s="6" t="s">
        <v>73</v>
      </c>
      <c r="C414" s="9" t="s">
        <v>2</v>
      </c>
      <c r="D414" s="231"/>
      <c r="E414" s="231"/>
    </row>
    <row r="415" spans="2:9">
      <c r="B415" s="5" t="s">
        <v>60</v>
      </c>
      <c r="C415" s="4"/>
    </row>
    <row r="416" spans="2:9">
      <c r="B416" s="5" t="s">
        <v>61</v>
      </c>
      <c r="C416" s="4">
        <v>0</v>
      </c>
    </row>
    <row r="417" spans="1:9">
      <c r="B417" s="94" t="s">
        <v>62</v>
      </c>
      <c r="C417" s="4">
        <f>226+648</f>
        <v>874</v>
      </c>
    </row>
    <row r="418" spans="1:9">
      <c r="B418" s="94" t="s">
        <v>63</v>
      </c>
      <c r="C418" s="4">
        <f>379+350+178+458+600</f>
        <v>1965</v>
      </c>
    </row>
    <row r="419" spans="1:9" ht="15.75" thickBot="1">
      <c r="B419" s="3" t="s">
        <v>24</v>
      </c>
      <c r="C419" s="2">
        <f>SUM(C415:C418)</f>
        <v>2839</v>
      </c>
    </row>
    <row r="420" spans="1:9">
      <c r="C420" s="11"/>
    </row>
    <row r="421" spans="1:9" ht="15.75" thickBot="1">
      <c r="B421" s="8"/>
      <c r="C421" s="7"/>
    </row>
    <row r="422" spans="1:9">
      <c r="B422" s="6" t="s">
        <v>74</v>
      </c>
      <c r="C422" s="9" t="s">
        <v>2</v>
      </c>
    </row>
    <row r="423" spans="1:9">
      <c r="B423" s="94" t="s">
        <v>16</v>
      </c>
      <c r="C423" s="109">
        <f>C405</f>
        <v>4018.9589999999998</v>
      </c>
    </row>
    <row r="424" spans="1:9">
      <c r="B424" s="94" t="s">
        <v>17</v>
      </c>
      <c r="C424" s="109">
        <f>C406</f>
        <v>200</v>
      </c>
    </row>
    <row r="425" spans="1:9">
      <c r="B425" s="94" t="s">
        <v>50</v>
      </c>
      <c r="C425" s="110"/>
    </row>
    <row r="426" spans="1:9" ht="15.75" thickBot="1">
      <c r="B426" s="3" t="s">
        <v>24</v>
      </c>
      <c r="C426" s="2">
        <f>SUM(C423:C425)</f>
        <v>4218.9589999999998</v>
      </c>
    </row>
    <row r="428" spans="1:9">
      <c r="A428" s="29" t="s">
        <v>75</v>
      </c>
    </row>
    <row r="430" spans="1:9" ht="15.75" thickBot="1">
      <c r="B430" s="28" t="s">
        <v>76</v>
      </c>
      <c r="C430" s="93" t="s">
        <v>2</v>
      </c>
      <c r="D430" s="27" t="s">
        <v>3</v>
      </c>
    </row>
    <row r="431" spans="1:9">
      <c r="B431" s="23" t="s">
        <v>44</v>
      </c>
      <c r="C431" s="22">
        <f>SUM(C432:C433)</f>
        <v>2726.732</v>
      </c>
      <c r="D431" s="26"/>
      <c r="G431" s="119" t="s">
        <v>53</v>
      </c>
      <c r="H431" s="120"/>
      <c r="I431" s="121" t="s">
        <v>54</v>
      </c>
    </row>
    <row r="432" spans="1:9">
      <c r="B432" s="25" t="s">
        <v>9</v>
      </c>
      <c r="C432" s="24">
        <v>2726.732</v>
      </c>
      <c r="D432" s="26"/>
      <c r="G432" s="122" t="s">
        <v>8</v>
      </c>
      <c r="H432" s="123"/>
      <c r="I432" s="126">
        <v>0.26</v>
      </c>
    </row>
    <row r="433" spans="2:9" ht="15.75" thickBot="1">
      <c r="B433" s="25" t="s">
        <v>45</v>
      </c>
      <c r="C433" s="24"/>
      <c r="D433" s="26"/>
      <c r="G433" s="124" t="s">
        <v>10</v>
      </c>
      <c r="H433" s="125"/>
      <c r="I433" s="127">
        <v>0.59</v>
      </c>
    </row>
    <row r="434" spans="2:9">
      <c r="B434" s="23" t="s">
        <v>46</v>
      </c>
      <c r="C434" s="24">
        <f>Model!$V$113</f>
        <v>874.48199999999997</v>
      </c>
    </row>
    <row r="435" spans="2:9">
      <c r="B435" s="18" t="s">
        <v>15</v>
      </c>
      <c r="C435" s="17">
        <f>C434+C431</f>
        <v>3601.2139999999999</v>
      </c>
      <c r="D435" s="129">
        <f>C435/C441</f>
        <v>0.5439900302114804</v>
      </c>
      <c r="E435" s="21"/>
      <c r="F435" s="21"/>
    </row>
    <row r="436" spans="2:9">
      <c r="B436" s="13" t="s">
        <v>16</v>
      </c>
      <c r="C436" s="24">
        <f>Model!$V$119</f>
        <v>3036.1680000000001</v>
      </c>
      <c r="D436" s="19"/>
      <c r="I436" s="128"/>
    </row>
    <row r="437" spans="2:9">
      <c r="B437" s="69" t="s">
        <v>17</v>
      </c>
      <c r="C437" s="24">
        <f>Model!$V$120</f>
        <v>258.62200000000001</v>
      </c>
      <c r="D437" s="19"/>
    </row>
    <row r="438" spans="2:9">
      <c r="B438" s="18" t="s">
        <v>18</v>
      </c>
      <c r="C438" s="17">
        <f>C435-C436-C437</f>
        <v>306.42399999999981</v>
      </c>
      <c r="D438" s="129">
        <f>C438/C441</f>
        <v>4.6287613293051331E-2</v>
      </c>
    </row>
    <row r="439" spans="2:9">
      <c r="B439" s="8" t="s">
        <v>19</v>
      </c>
      <c r="C439" s="16">
        <f>Model!$V$124</f>
        <v>14091.897999999999</v>
      </c>
      <c r="D439" s="15"/>
    </row>
    <row r="440" spans="2:9">
      <c r="B440" s="8" t="s">
        <v>20</v>
      </c>
      <c r="C440" s="16">
        <f>C438+C439</f>
        <v>14398.321999999998</v>
      </c>
      <c r="D440" s="15"/>
    </row>
    <row r="441" spans="2:9">
      <c r="B441" s="13" t="s">
        <v>21</v>
      </c>
      <c r="C441" s="14">
        <f>Model!$V$90</f>
        <v>6620</v>
      </c>
      <c r="D441" s="13"/>
    </row>
    <row r="442" spans="2:9">
      <c r="B442" s="12" t="s">
        <v>22</v>
      </c>
      <c r="C442" s="11">
        <f>+C435-Model!$V$118</f>
        <v>0</v>
      </c>
      <c r="D442" s="10"/>
    </row>
    <row r="443" spans="2:9">
      <c r="B443" s="12"/>
      <c r="C443" s="11"/>
      <c r="D443" s="10"/>
    </row>
    <row r="444" spans="2:9" ht="15.75" thickBot="1">
      <c r="B444" s="8"/>
      <c r="C444" s="7"/>
    </row>
    <row r="445" spans="2:9">
      <c r="B445" s="6" t="s">
        <v>77</v>
      </c>
      <c r="C445" s="9" t="s">
        <v>2</v>
      </c>
      <c r="D445" s="231"/>
      <c r="E445" s="231"/>
    </row>
    <row r="446" spans="2:9">
      <c r="B446" s="5" t="s">
        <v>60</v>
      </c>
      <c r="C446" s="4"/>
    </row>
    <row r="447" spans="2:9">
      <c r="B447" s="5" t="s">
        <v>61</v>
      </c>
      <c r="C447" s="4">
        <v>0</v>
      </c>
    </row>
    <row r="448" spans="2:9">
      <c r="B448" s="94" t="s">
        <v>62</v>
      </c>
      <c r="C448" s="4">
        <f>223+648</f>
        <v>871</v>
      </c>
    </row>
    <row r="449" spans="1:9">
      <c r="B449" s="94" t="s">
        <v>63</v>
      </c>
      <c r="C449" s="4">
        <f>379+350+178+458+600</f>
        <v>1965</v>
      </c>
    </row>
    <row r="450" spans="1:9" ht="15.75" thickBot="1">
      <c r="B450" s="3" t="s">
        <v>24</v>
      </c>
      <c r="C450" s="2">
        <f>SUM(C446:C449)</f>
        <v>2836</v>
      </c>
    </row>
    <row r="451" spans="1:9">
      <c r="C451" s="11"/>
    </row>
    <row r="452" spans="1:9" ht="15.75" thickBot="1">
      <c r="B452" s="8"/>
      <c r="C452" s="7"/>
    </row>
    <row r="453" spans="1:9">
      <c r="B453" s="6" t="s">
        <v>78</v>
      </c>
      <c r="C453" s="9" t="s">
        <v>2</v>
      </c>
    </row>
    <row r="454" spans="1:9">
      <c r="B454" s="94" t="s">
        <v>16</v>
      </c>
      <c r="C454" s="109">
        <f>C436</f>
        <v>3036.1680000000001</v>
      </c>
    </row>
    <row r="455" spans="1:9">
      <c r="B455" s="94" t="s">
        <v>17</v>
      </c>
      <c r="C455" s="109">
        <f>C437</f>
        <v>258.62200000000001</v>
      </c>
    </row>
    <row r="456" spans="1:9">
      <c r="B456" s="94" t="s">
        <v>50</v>
      </c>
      <c r="C456" s="110"/>
    </row>
    <row r="457" spans="1:9" ht="15.75" thickBot="1">
      <c r="B457" s="3" t="s">
        <v>24</v>
      </c>
      <c r="C457" s="2">
        <f>SUM(C454:C456)</f>
        <v>3294.79</v>
      </c>
    </row>
    <row r="459" spans="1:9">
      <c r="A459" s="29" t="s">
        <v>79</v>
      </c>
    </row>
    <row r="461" spans="1:9" ht="15.75" thickBot="1">
      <c r="B461" s="28" t="s">
        <v>80</v>
      </c>
      <c r="C461" s="93" t="s">
        <v>2</v>
      </c>
      <c r="D461" s="27" t="s">
        <v>3</v>
      </c>
    </row>
    <row r="462" spans="1:9">
      <c r="B462" s="23" t="s">
        <v>44</v>
      </c>
      <c r="C462" s="22">
        <f>SUM(C463:C464)</f>
        <v>2748.424</v>
      </c>
      <c r="D462" s="26"/>
      <c r="G462" s="119" t="s">
        <v>53</v>
      </c>
      <c r="H462" s="120"/>
      <c r="I462" s="121" t="s">
        <v>54</v>
      </c>
    </row>
    <row r="463" spans="1:9">
      <c r="B463" s="25" t="s">
        <v>9</v>
      </c>
      <c r="C463" s="24">
        <v>2748.424</v>
      </c>
      <c r="D463" s="26"/>
      <c r="G463" s="122" t="s">
        <v>8</v>
      </c>
      <c r="H463" s="123"/>
      <c r="I463" s="126">
        <v>0.26</v>
      </c>
    </row>
    <row r="464" spans="1:9" ht="15.75" thickBot="1">
      <c r="B464" s="25" t="s">
        <v>45</v>
      </c>
      <c r="C464" s="24"/>
      <c r="D464" s="26"/>
      <c r="G464" s="124" t="s">
        <v>10</v>
      </c>
      <c r="H464" s="125"/>
      <c r="I464" s="127">
        <v>0.57999999999999996</v>
      </c>
    </row>
    <row r="465" spans="2:9">
      <c r="B465" s="23" t="s">
        <v>46</v>
      </c>
      <c r="C465" s="24">
        <f>Model!U113</f>
        <v>912.44499999999994</v>
      </c>
    </row>
    <row r="466" spans="2:9">
      <c r="B466" s="18" t="s">
        <v>15</v>
      </c>
      <c r="C466" s="17">
        <f>C465+C462</f>
        <v>3660.8689999999997</v>
      </c>
      <c r="D466" s="129">
        <f>C466/C472</f>
        <v>0.53780946084912584</v>
      </c>
      <c r="E466" s="21"/>
      <c r="F466" s="21"/>
    </row>
    <row r="467" spans="2:9">
      <c r="B467" s="13" t="s">
        <v>16</v>
      </c>
      <c r="C467" s="20">
        <f>Model!U119</f>
        <v>3064.6309999999999</v>
      </c>
      <c r="D467" s="19"/>
      <c r="I467" s="128"/>
    </row>
    <row r="468" spans="2:9">
      <c r="B468" s="69" t="s">
        <v>17</v>
      </c>
      <c r="C468" s="20">
        <f>Model!U120</f>
        <v>0</v>
      </c>
      <c r="D468" s="19"/>
    </row>
    <row r="469" spans="2:9">
      <c r="B469" s="18" t="s">
        <v>18</v>
      </c>
      <c r="C469" s="17">
        <f>C466-C467-C468</f>
        <v>596.23799999999983</v>
      </c>
      <c r="D469" s="129">
        <f>C469/C472</f>
        <v>8.75918907007492E-2</v>
      </c>
    </row>
    <row r="470" spans="2:9">
      <c r="B470" s="8" t="s">
        <v>19</v>
      </c>
      <c r="C470" s="16">
        <f>Model!U124</f>
        <v>14077.039000000001</v>
      </c>
      <c r="D470" s="15"/>
    </row>
    <row r="471" spans="2:9">
      <c r="B471" s="8" t="s">
        <v>20</v>
      </c>
      <c r="C471" s="16">
        <f>C469+C470</f>
        <v>14673.277</v>
      </c>
      <c r="D471" s="15"/>
    </row>
    <row r="472" spans="2:9">
      <c r="B472" s="13" t="s">
        <v>21</v>
      </c>
      <c r="C472" s="14">
        <f>Model!U90</f>
        <v>6807</v>
      </c>
      <c r="D472" s="13"/>
    </row>
    <row r="473" spans="2:9">
      <c r="B473" s="12" t="s">
        <v>22</v>
      </c>
      <c r="C473" s="11">
        <f>+C466-Model!U118</f>
        <v>0</v>
      </c>
      <c r="D473" s="10"/>
    </row>
    <row r="474" spans="2:9">
      <c r="B474" s="12"/>
      <c r="C474" s="11"/>
      <c r="D474" s="10"/>
    </row>
    <row r="475" spans="2:9" ht="15.75" thickBot="1">
      <c r="B475" s="8"/>
      <c r="C475" s="7"/>
    </row>
    <row r="476" spans="2:9">
      <c r="B476" s="6" t="s">
        <v>81</v>
      </c>
      <c r="C476" s="9" t="s">
        <v>2</v>
      </c>
      <c r="D476" s="231"/>
      <c r="E476" s="231"/>
    </row>
    <row r="477" spans="2:9">
      <c r="B477" s="5" t="s">
        <v>60</v>
      </c>
      <c r="C477" s="4"/>
    </row>
    <row r="478" spans="2:9">
      <c r="B478" s="5" t="s">
        <v>61</v>
      </c>
      <c r="C478" s="4">
        <v>0</v>
      </c>
    </row>
    <row r="479" spans="2:9">
      <c r="B479" s="94" t="s">
        <v>62</v>
      </c>
      <c r="C479" s="4">
        <f>224+648</f>
        <v>872</v>
      </c>
    </row>
    <row r="480" spans="2:9">
      <c r="B480" s="94" t="s">
        <v>63</v>
      </c>
      <c r="C480" s="4">
        <f>379+350+179+458+600</f>
        <v>1966</v>
      </c>
    </row>
    <row r="481" spans="1:9" ht="15.75" thickBot="1">
      <c r="B481" s="3" t="s">
        <v>24</v>
      </c>
      <c r="C481" s="2">
        <f>SUM(C477:C480)</f>
        <v>2838</v>
      </c>
    </row>
    <row r="482" spans="1:9">
      <c r="C482" s="11"/>
    </row>
    <row r="483" spans="1:9" ht="15.75" thickBot="1">
      <c r="B483" s="8"/>
      <c r="C483" s="7"/>
    </row>
    <row r="484" spans="1:9">
      <c r="B484" s="6" t="s">
        <v>82</v>
      </c>
      <c r="C484" s="9" t="s">
        <v>2</v>
      </c>
    </row>
    <row r="485" spans="1:9">
      <c r="B485" s="94" t="s">
        <v>16</v>
      </c>
      <c r="C485" s="109">
        <f>C467</f>
        <v>3064.6309999999999</v>
      </c>
    </row>
    <row r="486" spans="1:9">
      <c r="B486" s="94" t="s">
        <v>17</v>
      </c>
      <c r="C486" s="109">
        <f>C468</f>
        <v>0</v>
      </c>
    </row>
    <row r="487" spans="1:9">
      <c r="B487" s="94" t="s">
        <v>50</v>
      </c>
      <c r="C487" s="110"/>
    </row>
    <row r="488" spans="1:9" ht="15.75" thickBot="1">
      <c r="B488" s="3" t="s">
        <v>24</v>
      </c>
      <c r="C488" s="2">
        <f>SUM(C485:C487)</f>
        <v>3064.6309999999999</v>
      </c>
    </row>
    <row r="491" spans="1:9">
      <c r="A491" s="29" t="s">
        <v>83</v>
      </c>
    </row>
    <row r="493" spans="1:9" ht="15.75" thickBot="1">
      <c r="B493" s="28" t="s">
        <v>84</v>
      </c>
      <c r="C493" s="93" t="s">
        <v>2</v>
      </c>
      <c r="D493" s="27" t="s">
        <v>3</v>
      </c>
    </row>
    <row r="494" spans="1:9">
      <c r="B494" s="23" t="s">
        <v>44</v>
      </c>
      <c r="C494" s="22">
        <f>SUM(C495:C496)</f>
        <v>2821.7939999999999</v>
      </c>
      <c r="D494" s="26"/>
      <c r="G494" s="119" t="s">
        <v>53</v>
      </c>
      <c r="H494" s="120"/>
      <c r="I494" s="121" t="s">
        <v>54</v>
      </c>
    </row>
    <row r="495" spans="1:9">
      <c r="B495" s="25" t="s">
        <v>9</v>
      </c>
      <c r="C495" s="24">
        <v>2821.7939999999999</v>
      </c>
      <c r="D495" s="26"/>
      <c r="G495" s="122" t="s">
        <v>8</v>
      </c>
      <c r="H495" s="123"/>
      <c r="I495" s="126">
        <v>0.27</v>
      </c>
    </row>
    <row r="496" spans="1:9" ht="15.75" thickBot="1">
      <c r="B496" s="25" t="s">
        <v>45</v>
      </c>
      <c r="C496" s="24"/>
      <c r="D496" s="26"/>
      <c r="G496" s="124" t="s">
        <v>10</v>
      </c>
      <c r="H496" s="125"/>
      <c r="I496" s="127">
        <v>0.56000000000000005</v>
      </c>
    </row>
    <row r="497" spans="2:9">
      <c r="B497" s="23" t="s">
        <v>46</v>
      </c>
      <c r="C497" s="24">
        <f>Model!T113</f>
        <v>1027.327</v>
      </c>
    </row>
    <row r="498" spans="2:9">
      <c r="B498" s="18" t="s">
        <v>15</v>
      </c>
      <c r="C498" s="17">
        <f>C497+C494</f>
        <v>3849.1210000000001</v>
      </c>
      <c r="D498" s="129">
        <f>C498/C504</f>
        <v>0.54075878055633608</v>
      </c>
      <c r="E498" s="21"/>
      <c r="F498" s="21"/>
    </row>
    <row r="499" spans="2:9">
      <c r="B499" s="13" t="s">
        <v>16</v>
      </c>
      <c r="C499" s="20">
        <f>Model!T119</f>
        <v>4241.5910000000003</v>
      </c>
      <c r="D499" s="19"/>
      <c r="I499" s="128"/>
    </row>
    <row r="500" spans="2:9">
      <c r="B500" s="69" t="s">
        <v>17</v>
      </c>
      <c r="C500" s="20">
        <f>Model!T120</f>
        <v>61.088000000000001</v>
      </c>
      <c r="D500" s="19"/>
    </row>
    <row r="501" spans="2:9">
      <c r="B501" s="18" t="s">
        <v>18</v>
      </c>
      <c r="C501" s="17">
        <f>C498-C499-C500</f>
        <v>-453.55800000000028</v>
      </c>
      <c r="D501" s="129">
        <f>C501/C504</f>
        <v>-6.3719865130654724E-2</v>
      </c>
    </row>
    <row r="502" spans="2:9">
      <c r="B502" s="8" t="s">
        <v>19</v>
      </c>
      <c r="C502" s="16">
        <f>Model!T124</f>
        <v>14083.741</v>
      </c>
      <c r="D502" s="15"/>
    </row>
    <row r="503" spans="2:9">
      <c r="B503" s="8" t="s">
        <v>20</v>
      </c>
      <c r="C503" s="16">
        <f>C501+C502</f>
        <v>13630.182999999999</v>
      </c>
      <c r="D503" s="15"/>
    </row>
    <row r="504" spans="2:9">
      <c r="B504" s="13" t="s">
        <v>21</v>
      </c>
      <c r="C504" s="14">
        <f>Model!T90</f>
        <v>7118</v>
      </c>
      <c r="D504" s="13"/>
    </row>
    <row r="505" spans="2:9">
      <c r="B505" s="12" t="s">
        <v>22</v>
      </c>
      <c r="C505" s="11">
        <f>+C498-Model!T118</f>
        <v>0</v>
      </c>
      <c r="D505" s="10"/>
    </row>
    <row r="506" spans="2:9">
      <c r="B506" s="12"/>
      <c r="C506" s="11"/>
      <c r="D506" s="10"/>
    </row>
    <row r="507" spans="2:9" ht="15.75" thickBot="1">
      <c r="B507" s="8"/>
      <c r="C507" s="7"/>
    </row>
    <row r="508" spans="2:9">
      <c r="B508" s="6" t="s">
        <v>85</v>
      </c>
      <c r="C508" s="9" t="s">
        <v>2</v>
      </c>
      <c r="D508" s="231"/>
      <c r="E508" s="231"/>
    </row>
    <row r="509" spans="2:9">
      <c r="B509" s="5" t="s">
        <v>60</v>
      </c>
      <c r="C509" s="4"/>
    </row>
    <row r="510" spans="2:9">
      <c r="B510" s="5" t="s">
        <v>61</v>
      </c>
      <c r="C510" s="4">
        <v>0</v>
      </c>
    </row>
    <row r="511" spans="2:9">
      <c r="B511" s="94" t="s">
        <v>62</v>
      </c>
      <c r="C511" s="4">
        <f>182+648</f>
        <v>830</v>
      </c>
    </row>
    <row r="512" spans="2:9">
      <c r="B512" s="94" t="s">
        <v>63</v>
      </c>
      <c r="C512" s="4">
        <f>379+350+179+490+650</f>
        <v>2048</v>
      </c>
    </row>
    <row r="513" spans="1:9" ht="15.75" thickBot="1">
      <c r="B513" s="3" t="s">
        <v>24</v>
      </c>
      <c r="C513" s="2">
        <f>SUM(C509:C512)</f>
        <v>2878</v>
      </c>
    </row>
    <row r="514" spans="1:9">
      <c r="C514" s="11"/>
    </row>
    <row r="515" spans="1:9" ht="15.75" thickBot="1">
      <c r="B515" s="8"/>
      <c r="C515" s="7"/>
    </row>
    <row r="516" spans="1:9">
      <c r="B516" s="6" t="s">
        <v>86</v>
      </c>
      <c r="C516" s="9" t="s">
        <v>2</v>
      </c>
    </row>
    <row r="517" spans="1:9">
      <c r="B517" s="94" t="s">
        <v>16</v>
      </c>
      <c r="C517" s="109">
        <f>C499</f>
        <v>4241.5910000000003</v>
      </c>
    </row>
    <row r="518" spans="1:9">
      <c r="B518" s="94" t="s">
        <v>17</v>
      </c>
      <c r="C518" s="109">
        <f>C500</f>
        <v>61.088000000000001</v>
      </c>
    </row>
    <row r="519" spans="1:9">
      <c r="B519" s="94" t="s">
        <v>50</v>
      </c>
      <c r="C519" s="110"/>
    </row>
    <row r="520" spans="1:9" ht="15.75" thickBot="1">
      <c r="B520" s="3" t="s">
        <v>24</v>
      </c>
      <c r="C520" s="2">
        <f>SUM(C517:C519)</f>
        <v>4302.6790000000001</v>
      </c>
    </row>
    <row r="523" spans="1:9">
      <c r="A523" s="29" t="s">
        <v>87</v>
      </c>
    </row>
    <row r="525" spans="1:9" ht="15.75" thickBot="1">
      <c r="B525" s="28" t="s">
        <v>88</v>
      </c>
      <c r="C525" s="93" t="s">
        <v>2</v>
      </c>
      <c r="D525" s="27" t="s">
        <v>3</v>
      </c>
    </row>
    <row r="526" spans="1:9">
      <c r="B526" s="23" t="s">
        <v>44</v>
      </c>
      <c r="C526" s="22">
        <f>SUM(C527:C528)</f>
        <v>3112.4530000000004</v>
      </c>
      <c r="D526" s="26"/>
      <c r="G526" s="119" t="s">
        <v>53</v>
      </c>
      <c r="H526" s="120"/>
      <c r="I526" s="121" t="s">
        <v>54</v>
      </c>
    </row>
    <row r="527" spans="1:9">
      <c r="B527" s="25" t="s">
        <v>9</v>
      </c>
      <c r="C527" s="24">
        <v>2809.26</v>
      </c>
      <c r="D527" s="26"/>
      <c r="G527" s="122" t="s">
        <v>8</v>
      </c>
      <c r="H527" s="123"/>
      <c r="I527" s="126">
        <v>0.28000000000000003</v>
      </c>
    </row>
    <row r="528" spans="1:9" ht="15.75" thickBot="1">
      <c r="B528" s="25" t="s">
        <v>45</v>
      </c>
      <c r="C528" s="24">
        <v>303.19299999999998</v>
      </c>
      <c r="D528" s="26"/>
      <c r="G528" s="124" t="s">
        <v>10</v>
      </c>
      <c r="H528" s="125"/>
      <c r="I528" s="127">
        <v>0.56000000000000005</v>
      </c>
    </row>
    <row r="529" spans="2:9">
      <c r="B529" s="23" t="s">
        <v>46</v>
      </c>
      <c r="C529" s="24">
        <f>720.569</f>
        <v>720.56899999999996</v>
      </c>
    </row>
    <row r="530" spans="2:9">
      <c r="B530" s="18" t="s">
        <v>15</v>
      </c>
      <c r="C530" s="17">
        <f>C529+C526</f>
        <v>3833.0220000000004</v>
      </c>
      <c r="D530" s="129">
        <f>C530/C536</f>
        <v>0.53963423905392094</v>
      </c>
      <c r="E530" s="21"/>
      <c r="F530" s="21"/>
    </row>
    <row r="531" spans="2:9">
      <c r="B531" s="13" t="s">
        <v>16</v>
      </c>
      <c r="C531" s="20">
        <f>Model!F119</f>
        <v>3539.22</v>
      </c>
      <c r="D531" s="19"/>
      <c r="I531" s="128"/>
    </row>
    <row r="532" spans="2:9">
      <c r="B532" s="69" t="s">
        <v>17</v>
      </c>
      <c r="C532" s="20">
        <f>Model!F120</f>
        <v>0</v>
      </c>
      <c r="D532" s="19"/>
    </row>
    <row r="533" spans="2:9">
      <c r="B533" s="18" t="s">
        <v>18</v>
      </c>
      <c r="C533" s="17">
        <f>C530-C531-C532</f>
        <v>293.80200000000059</v>
      </c>
      <c r="D533" s="129">
        <f>C533/C536</f>
        <v>4.1363086019991634E-2</v>
      </c>
    </row>
    <row r="534" spans="2:9">
      <c r="B534" s="8" t="s">
        <v>19</v>
      </c>
      <c r="C534" s="16">
        <f>Model!F124</f>
        <v>13515.290999999999</v>
      </c>
      <c r="D534" s="15"/>
    </row>
    <row r="535" spans="2:9">
      <c r="B535" s="8" t="s">
        <v>20</v>
      </c>
      <c r="C535" s="16">
        <f>C533+C534</f>
        <v>13809.093000000001</v>
      </c>
      <c r="D535" s="15"/>
    </row>
    <row r="536" spans="2:9">
      <c r="B536" s="13" t="s">
        <v>21</v>
      </c>
      <c r="C536" s="14">
        <f>Model!F55</f>
        <v>7103</v>
      </c>
      <c r="D536" s="13"/>
    </row>
    <row r="537" spans="2:9">
      <c r="B537" s="12" t="s">
        <v>22</v>
      </c>
      <c r="C537" s="11">
        <f>+C530-Model!F118</f>
        <v>0</v>
      </c>
      <c r="D537" s="10"/>
    </row>
    <row r="538" spans="2:9">
      <c r="B538" s="12"/>
      <c r="C538" s="11"/>
      <c r="D538" s="10"/>
    </row>
    <row r="539" spans="2:9" ht="15.75" thickBot="1">
      <c r="B539" s="8"/>
      <c r="C539" s="7"/>
    </row>
    <row r="540" spans="2:9">
      <c r="B540" s="6" t="s">
        <v>89</v>
      </c>
      <c r="C540" s="9" t="s">
        <v>2</v>
      </c>
      <c r="D540" s="231"/>
      <c r="E540" s="231"/>
    </row>
    <row r="541" spans="2:9">
      <c r="B541" s="5" t="s">
        <v>60</v>
      </c>
      <c r="C541" s="4"/>
    </row>
    <row r="542" spans="2:9">
      <c r="B542" s="5" t="s">
        <v>61</v>
      </c>
      <c r="C542" s="4">
        <v>0</v>
      </c>
    </row>
    <row r="543" spans="2:9">
      <c r="B543" s="94" t="s">
        <v>62</v>
      </c>
      <c r="C543" s="4">
        <f>182+648</f>
        <v>830</v>
      </c>
    </row>
    <row r="544" spans="2:9">
      <c r="B544" s="94" t="s">
        <v>63</v>
      </c>
      <c r="C544" s="4">
        <f>379+350+179+490+650</f>
        <v>2048</v>
      </c>
    </row>
    <row r="545" spans="1:9" ht="15.75" thickBot="1">
      <c r="B545" s="3" t="s">
        <v>24</v>
      </c>
      <c r="C545" s="2">
        <f>SUM(C541:C544)</f>
        <v>2878</v>
      </c>
    </row>
    <row r="546" spans="1:9">
      <c r="C546" s="11"/>
    </row>
    <row r="547" spans="1:9" ht="15.75" thickBot="1">
      <c r="B547" s="8"/>
      <c r="C547" s="7"/>
    </row>
    <row r="548" spans="1:9">
      <c r="B548" s="6" t="s">
        <v>90</v>
      </c>
      <c r="C548" s="9" t="s">
        <v>2</v>
      </c>
    </row>
    <row r="549" spans="1:9">
      <c r="B549" s="94" t="s">
        <v>16</v>
      </c>
      <c r="C549" s="109">
        <f>C531</f>
        <v>3539.22</v>
      </c>
    </row>
    <row r="550" spans="1:9">
      <c r="B550" s="94" t="s">
        <v>17</v>
      </c>
      <c r="C550" s="110"/>
    </row>
    <row r="551" spans="1:9">
      <c r="B551" s="94" t="s">
        <v>50</v>
      </c>
      <c r="C551" s="110"/>
    </row>
    <row r="552" spans="1:9" ht="15.75" thickBot="1">
      <c r="B552" s="3" t="s">
        <v>24</v>
      </c>
      <c r="C552" s="2">
        <f>SUM(C549:C551)</f>
        <v>3539.22</v>
      </c>
    </row>
    <row r="556" spans="1:9">
      <c r="A556" s="29" t="s">
        <v>91</v>
      </c>
    </row>
    <row r="558" spans="1:9" ht="15.75" thickBot="1">
      <c r="B558" s="28" t="s">
        <v>92</v>
      </c>
      <c r="C558" s="93" t="s">
        <v>2</v>
      </c>
      <c r="D558" s="27" t="s">
        <v>3</v>
      </c>
    </row>
    <row r="559" spans="1:9">
      <c r="B559" s="23" t="s">
        <v>44</v>
      </c>
      <c r="C559" s="22">
        <f>SUM(C560:C561)</f>
        <v>3330.4189999999999</v>
      </c>
      <c r="D559" s="26"/>
      <c r="G559" s="119" t="s">
        <v>53</v>
      </c>
      <c r="H559" s="120"/>
      <c r="I559" s="121" t="s">
        <v>54</v>
      </c>
    </row>
    <row r="560" spans="1:9">
      <c r="B560" s="25" t="s">
        <v>9</v>
      </c>
      <c r="C560" s="24">
        <v>2733.3139999999999</v>
      </c>
      <c r="D560" s="26"/>
      <c r="G560" s="122" t="s">
        <v>8</v>
      </c>
      <c r="H560" s="123"/>
      <c r="I560" s="126">
        <v>0.33</v>
      </c>
    </row>
    <row r="561" spans="2:9" ht="15.75" thickBot="1">
      <c r="B561" s="25" t="s">
        <v>45</v>
      </c>
      <c r="C561" s="24">
        <v>597.10500000000002</v>
      </c>
      <c r="D561" s="26"/>
      <c r="G561" s="124" t="s">
        <v>10</v>
      </c>
      <c r="H561" s="125"/>
      <c r="I561" s="127">
        <v>0.62</v>
      </c>
    </row>
    <row r="562" spans="2:9">
      <c r="B562" s="23" t="s">
        <v>46</v>
      </c>
      <c r="C562" s="24">
        <f>684.341+258.951</f>
        <v>943.29200000000003</v>
      </c>
    </row>
    <row r="563" spans="2:9">
      <c r="B563" s="18" t="s">
        <v>15</v>
      </c>
      <c r="C563" s="17">
        <f>C562+C559</f>
        <v>4273.7110000000002</v>
      </c>
      <c r="D563" s="129">
        <f>C563/C569</f>
        <v>0.64900698557327263</v>
      </c>
      <c r="E563" s="21"/>
      <c r="F563" s="21"/>
    </row>
    <row r="564" spans="2:9">
      <c r="B564" s="13" t="s">
        <v>16</v>
      </c>
      <c r="C564" s="20">
        <f>Model!R119</f>
        <v>3436.056</v>
      </c>
      <c r="D564" s="19"/>
      <c r="I564" s="128"/>
    </row>
    <row r="565" spans="2:9">
      <c r="B565" s="69" t="s">
        <v>17</v>
      </c>
      <c r="C565" s="20">
        <f>Model!R120</f>
        <v>0</v>
      </c>
      <c r="D565" s="19"/>
    </row>
    <row r="566" spans="2:9">
      <c r="B566" s="18" t="s">
        <v>18</v>
      </c>
      <c r="C566" s="17">
        <f>C563-C564-C565</f>
        <v>837.6550000000002</v>
      </c>
      <c r="D566" s="129">
        <f>C566/C569</f>
        <v>0.127206529992407</v>
      </c>
    </row>
    <row r="567" spans="2:9">
      <c r="B567" s="8" t="s">
        <v>19</v>
      </c>
      <c r="C567" s="16">
        <f>Model!R124</f>
        <v>13061.164000000001</v>
      </c>
      <c r="D567" s="15"/>
    </row>
    <row r="568" spans="2:9">
      <c r="B568" s="8" t="s">
        <v>20</v>
      </c>
      <c r="C568" s="16">
        <f>C566+C567</f>
        <v>13898.819000000001</v>
      </c>
      <c r="D568" s="15"/>
    </row>
    <row r="569" spans="2:9">
      <c r="B569" s="13" t="s">
        <v>21</v>
      </c>
      <c r="C569" s="14">
        <f>SUM(Model!O55:R55)</f>
        <v>6585</v>
      </c>
      <c r="D569" s="13"/>
    </row>
    <row r="570" spans="2:9">
      <c r="B570" s="12" t="s">
        <v>22</v>
      </c>
      <c r="C570" s="142">
        <f>+C563-Model!R118</f>
        <v>0</v>
      </c>
      <c r="D570" s="10"/>
    </row>
    <row r="571" spans="2:9">
      <c r="B571" s="12"/>
      <c r="C571" s="11"/>
      <c r="D571" s="10"/>
    </row>
    <row r="572" spans="2:9" ht="15.75" thickBot="1">
      <c r="B572" s="8"/>
      <c r="C572" s="7"/>
    </row>
    <row r="573" spans="2:9">
      <c r="B573" s="6" t="s">
        <v>93</v>
      </c>
      <c r="C573" s="9" t="s">
        <v>2</v>
      </c>
      <c r="D573" s="231"/>
      <c r="E573" s="231"/>
    </row>
    <row r="574" spans="2:9">
      <c r="B574" s="5" t="s">
        <v>60</v>
      </c>
      <c r="C574" s="4"/>
    </row>
    <row r="575" spans="2:9">
      <c r="B575" s="5" t="s">
        <v>61</v>
      </c>
      <c r="C575" s="4">
        <v>600</v>
      </c>
    </row>
    <row r="576" spans="2:9">
      <c r="B576" s="94" t="s">
        <v>62</v>
      </c>
      <c r="C576" s="4">
        <f>182+648</f>
        <v>830</v>
      </c>
    </row>
    <row r="577" spans="2:3">
      <c r="B577" s="94" t="s">
        <v>63</v>
      </c>
      <c r="C577" s="4">
        <f>379+350+178+490+650</f>
        <v>2047</v>
      </c>
    </row>
    <row r="578" spans="2:3" ht="15.75" thickBot="1">
      <c r="B578" s="3" t="s">
        <v>24</v>
      </c>
      <c r="C578" s="2">
        <f>SUM(C574:C577)</f>
        <v>3477</v>
      </c>
    </row>
    <row r="579" spans="2:3">
      <c r="C579" s="11"/>
    </row>
    <row r="580" spans="2:3" ht="15.75" thickBot="1">
      <c r="B580" s="8"/>
      <c r="C580" s="7"/>
    </row>
    <row r="581" spans="2:3">
      <c r="B581" s="6" t="s">
        <v>94</v>
      </c>
      <c r="C581" s="9" t="s">
        <v>2</v>
      </c>
    </row>
    <row r="582" spans="2:3">
      <c r="B582" s="94" t="s">
        <v>16</v>
      </c>
      <c r="C582" s="109">
        <f>C564</f>
        <v>3436.056</v>
      </c>
    </row>
    <row r="583" spans="2:3">
      <c r="B583" s="94" t="s">
        <v>17</v>
      </c>
      <c r="C583" s="110"/>
    </row>
    <row r="584" spans="2:3">
      <c r="B584" s="94" t="s">
        <v>50</v>
      </c>
      <c r="C584" s="110"/>
    </row>
    <row r="585" spans="2:3" ht="15.75" thickBot="1">
      <c r="B585" s="3" t="s">
        <v>24</v>
      </c>
      <c r="C585" s="2">
        <f>SUM(C582:C584)</f>
        <v>3436.056</v>
      </c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I275"/>
  <sheetViews>
    <sheetView showGridLines="0" tabSelected="1" zoomScaleNormal="100" workbookViewId="0">
      <pane xSplit="2" ySplit="6" topLeftCell="AE7" activePane="bottomRight" state="frozen"/>
      <selection pane="bottomRight" activeCell="AI1" sqref="AI1"/>
      <selection pane="bottomLeft" activeCell="J91" sqref="J91"/>
      <selection pane="topRight" activeCell="J91" sqref="J91"/>
    </sheetView>
  </sheetViews>
  <sheetFormatPr defaultColWidth="11.42578125" defaultRowHeight="12.75" outlineLevelCol="1"/>
  <cols>
    <col min="1" max="1" width="2.7109375" style="30" customWidth="1"/>
    <col min="2" max="2" width="50.7109375" style="30" customWidth="1"/>
    <col min="3" max="6" width="12.7109375" style="30" hidden="1" customWidth="1" outlineLevel="1"/>
    <col min="7" max="7" width="12.7109375" style="30" customWidth="1" collapsed="1"/>
    <col min="8" max="11" width="12.7109375" style="30" customWidth="1"/>
    <col min="12" max="15" width="12.7109375" style="30" hidden="1" customWidth="1" outlineLevel="1"/>
    <col min="16" max="16" width="12.7109375" style="30" hidden="1" customWidth="1" outlineLevel="1" collapsed="1"/>
    <col min="17" max="20" width="12.7109375" style="30" hidden="1" customWidth="1" outlineLevel="1"/>
    <col min="21" max="21" width="12.7109375" style="30" hidden="1" customWidth="1" outlineLevel="1" collapsed="1"/>
    <col min="22" max="24" width="12.7109375" style="30" hidden="1" customWidth="1" outlineLevel="1"/>
    <col min="25" max="25" width="12.7109375" style="30" hidden="1" customWidth="1" outlineLevel="1" collapsed="1"/>
    <col min="26" max="26" width="12.7109375" style="30" hidden="1" customWidth="1" outlineLevel="1"/>
    <col min="27" max="27" width="12.7109375" style="30" customWidth="1" collapsed="1"/>
    <col min="28" max="28" width="12.7109375" style="30" customWidth="1"/>
    <col min="29" max="29" width="12.7109375" style="30" customWidth="1" collapsed="1"/>
    <col min="30" max="32" width="12.7109375" style="30" customWidth="1"/>
    <col min="33" max="33" width="12.7109375" style="30" customWidth="1" collapsed="1"/>
    <col min="34" max="37" width="12.7109375" style="30" customWidth="1"/>
    <col min="38" max="250" width="11.42578125" style="30"/>
    <col min="251" max="251" width="3.5703125" style="30" customWidth="1"/>
    <col min="252" max="252" width="13.28515625" style="30" customWidth="1"/>
    <col min="253" max="260" width="11.42578125" style="30" customWidth="1"/>
    <col min="261" max="261" width="9.7109375" style="30" bestFit="1" customWidth="1"/>
    <col min="262" max="265" width="0" style="30" hidden="1" customWidth="1"/>
    <col min="266" max="274" width="11.42578125" style="30" customWidth="1"/>
    <col min="275" max="506" width="11.42578125" style="30"/>
    <col min="507" max="507" width="3.5703125" style="30" customWidth="1"/>
    <col min="508" max="508" width="13.28515625" style="30" customWidth="1"/>
    <col min="509" max="516" width="11.42578125" style="30" customWidth="1"/>
    <col min="517" max="517" width="9.7109375" style="30" bestFit="1" customWidth="1"/>
    <col min="518" max="521" width="0" style="30" hidden="1" customWidth="1"/>
    <col min="522" max="530" width="11.42578125" style="30" customWidth="1"/>
    <col min="531" max="762" width="11.42578125" style="30"/>
    <col min="763" max="763" width="3.5703125" style="30" customWidth="1"/>
    <col min="764" max="764" width="13.28515625" style="30" customWidth="1"/>
    <col min="765" max="772" width="11.42578125" style="30" customWidth="1"/>
    <col min="773" max="773" width="9.7109375" style="30" bestFit="1" customWidth="1"/>
    <col min="774" max="777" width="0" style="30" hidden="1" customWidth="1"/>
    <col min="778" max="786" width="11.42578125" style="30" customWidth="1"/>
    <col min="787" max="1018" width="11.42578125" style="30"/>
    <col min="1019" max="1019" width="3.5703125" style="30" customWidth="1"/>
    <col min="1020" max="1020" width="13.28515625" style="30" customWidth="1"/>
    <col min="1021" max="1028" width="11.42578125" style="30" customWidth="1"/>
    <col min="1029" max="1029" width="9.7109375" style="30" bestFit="1" customWidth="1"/>
    <col min="1030" max="1033" width="0" style="30" hidden="1" customWidth="1"/>
    <col min="1034" max="1042" width="11.42578125" style="30" customWidth="1"/>
    <col min="1043" max="1274" width="11.42578125" style="30"/>
    <col min="1275" max="1275" width="3.5703125" style="30" customWidth="1"/>
    <col min="1276" max="1276" width="13.28515625" style="30" customWidth="1"/>
    <col min="1277" max="1284" width="11.42578125" style="30" customWidth="1"/>
    <col min="1285" max="1285" width="9.7109375" style="30" bestFit="1" customWidth="1"/>
    <col min="1286" max="1289" width="0" style="30" hidden="1" customWidth="1"/>
    <col min="1290" max="1298" width="11.42578125" style="30" customWidth="1"/>
    <col min="1299" max="1530" width="11.42578125" style="30"/>
    <col min="1531" max="1531" width="3.5703125" style="30" customWidth="1"/>
    <col min="1532" max="1532" width="13.28515625" style="30" customWidth="1"/>
    <col min="1533" max="1540" width="11.42578125" style="30" customWidth="1"/>
    <col min="1541" max="1541" width="9.7109375" style="30" bestFit="1" customWidth="1"/>
    <col min="1542" max="1545" width="0" style="30" hidden="1" customWidth="1"/>
    <col min="1546" max="1554" width="11.42578125" style="30" customWidth="1"/>
    <col min="1555" max="1786" width="11.42578125" style="30"/>
    <col min="1787" max="1787" width="3.5703125" style="30" customWidth="1"/>
    <col min="1788" max="1788" width="13.28515625" style="30" customWidth="1"/>
    <col min="1789" max="1796" width="11.42578125" style="30" customWidth="1"/>
    <col min="1797" max="1797" width="9.7109375" style="30" bestFit="1" customWidth="1"/>
    <col min="1798" max="1801" width="0" style="30" hidden="1" customWidth="1"/>
    <col min="1802" max="1810" width="11.42578125" style="30" customWidth="1"/>
    <col min="1811" max="2042" width="11.42578125" style="30"/>
    <col min="2043" max="2043" width="3.5703125" style="30" customWidth="1"/>
    <col min="2044" max="2044" width="13.28515625" style="30" customWidth="1"/>
    <col min="2045" max="2052" width="11.42578125" style="30" customWidth="1"/>
    <col min="2053" max="2053" width="9.7109375" style="30" bestFit="1" customWidth="1"/>
    <col min="2054" max="2057" width="0" style="30" hidden="1" customWidth="1"/>
    <col min="2058" max="2066" width="11.42578125" style="30" customWidth="1"/>
    <col min="2067" max="2298" width="11.42578125" style="30"/>
    <col min="2299" max="2299" width="3.5703125" style="30" customWidth="1"/>
    <col min="2300" max="2300" width="13.28515625" style="30" customWidth="1"/>
    <col min="2301" max="2308" width="11.42578125" style="30" customWidth="1"/>
    <col min="2309" max="2309" width="9.7109375" style="30" bestFit="1" customWidth="1"/>
    <col min="2310" max="2313" width="0" style="30" hidden="1" customWidth="1"/>
    <col min="2314" max="2322" width="11.42578125" style="30" customWidth="1"/>
    <col min="2323" max="2554" width="11.42578125" style="30"/>
    <col min="2555" max="2555" width="3.5703125" style="30" customWidth="1"/>
    <col min="2556" max="2556" width="13.28515625" style="30" customWidth="1"/>
    <col min="2557" max="2564" width="11.42578125" style="30" customWidth="1"/>
    <col min="2565" max="2565" width="9.7109375" style="30" bestFit="1" customWidth="1"/>
    <col min="2566" max="2569" width="0" style="30" hidden="1" customWidth="1"/>
    <col min="2570" max="2578" width="11.42578125" style="30" customWidth="1"/>
    <col min="2579" max="2810" width="11.42578125" style="30"/>
    <col min="2811" max="2811" width="3.5703125" style="30" customWidth="1"/>
    <col min="2812" max="2812" width="13.28515625" style="30" customWidth="1"/>
    <col min="2813" max="2820" width="11.42578125" style="30" customWidth="1"/>
    <col min="2821" max="2821" width="9.7109375" style="30" bestFit="1" customWidth="1"/>
    <col min="2822" max="2825" width="0" style="30" hidden="1" customWidth="1"/>
    <col min="2826" max="2834" width="11.42578125" style="30" customWidth="1"/>
    <col min="2835" max="3066" width="11.42578125" style="30"/>
    <col min="3067" max="3067" width="3.5703125" style="30" customWidth="1"/>
    <col min="3068" max="3068" width="13.28515625" style="30" customWidth="1"/>
    <col min="3069" max="3076" width="11.42578125" style="30" customWidth="1"/>
    <col min="3077" max="3077" width="9.7109375" style="30" bestFit="1" customWidth="1"/>
    <col min="3078" max="3081" width="0" style="30" hidden="1" customWidth="1"/>
    <col min="3082" max="3090" width="11.42578125" style="30" customWidth="1"/>
    <col min="3091" max="3322" width="11.42578125" style="30"/>
    <col min="3323" max="3323" width="3.5703125" style="30" customWidth="1"/>
    <col min="3324" max="3324" width="13.28515625" style="30" customWidth="1"/>
    <col min="3325" max="3332" width="11.42578125" style="30" customWidth="1"/>
    <col min="3333" max="3333" width="9.7109375" style="30" bestFit="1" customWidth="1"/>
    <col min="3334" max="3337" width="0" style="30" hidden="1" customWidth="1"/>
    <col min="3338" max="3346" width="11.42578125" style="30" customWidth="1"/>
    <col min="3347" max="3578" width="11.42578125" style="30"/>
    <col min="3579" max="3579" width="3.5703125" style="30" customWidth="1"/>
    <col min="3580" max="3580" width="13.28515625" style="30" customWidth="1"/>
    <col min="3581" max="3588" width="11.42578125" style="30" customWidth="1"/>
    <col min="3589" max="3589" width="9.7109375" style="30" bestFit="1" customWidth="1"/>
    <col min="3590" max="3593" width="0" style="30" hidden="1" customWidth="1"/>
    <col min="3594" max="3602" width="11.42578125" style="30" customWidth="1"/>
    <col min="3603" max="3834" width="11.42578125" style="30"/>
    <col min="3835" max="3835" width="3.5703125" style="30" customWidth="1"/>
    <col min="3836" max="3836" width="13.28515625" style="30" customWidth="1"/>
    <col min="3837" max="3844" width="11.42578125" style="30" customWidth="1"/>
    <col min="3845" max="3845" width="9.7109375" style="30" bestFit="1" customWidth="1"/>
    <col min="3846" max="3849" width="0" style="30" hidden="1" customWidth="1"/>
    <col min="3850" max="3858" width="11.42578125" style="30" customWidth="1"/>
    <col min="3859" max="4090" width="11.42578125" style="30"/>
    <col min="4091" max="4091" width="3.5703125" style="30" customWidth="1"/>
    <col min="4092" max="4092" width="13.28515625" style="30" customWidth="1"/>
    <col min="4093" max="4100" width="11.42578125" style="30" customWidth="1"/>
    <col min="4101" max="4101" width="9.7109375" style="30" bestFit="1" customWidth="1"/>
    <col min="4102" max="4105" width="0" style="30" hidden="1" customWidth="1"/>
    <col min="4106" max="4114" width="11.42578125" style="30" customWidth="1"/>
    <col min="4115" max="4346" width="11.42578125" style="30"/>
    <col min="4347" max="4347" width="3.5703125" style="30" customWidth="1"/>
    <col min="4348" max="4348" width="13.28515625" style="30" customWidth="1"/>
    <col min="4349" max="4356" width="11.42578125" style="30" customWidth="1"/>
    <col min="4357" max="4357" width="9.7109375" style="30" bestFit="1" customWidth="1"/>
    <col min="4358" max="4361" width="0" style="30" hidden="1" customWidth="1"/>
    <col min="4362" max="4370" width="11.42578125" style="30" customWidth="1"/>
    <col min="4371" max="4602" width="11.42578125" style="30"/>
    <col min="4603" max="4603" width="3.5703125" style="30" customWidth="1"/>
    <col min="4604" max="4604" width="13.28515625" style="30" customWidth="1"/>
    <col min="4605" max="4612" width="11.42578125" style="30" customWidth="1"/>
    <col min="4613" max="4613" width="9.7109375" style="30" bestFit="1" customWidth="1"/>
    <col min="4614" max="4617" width="0" style="30" hidden="1" customWidth="1"/>
    <col min="4618" max="4626" width="11.42578125" style="30" customWidth="1"/>
    <col min="4627" max="4858" width="11.42578125" style="30"/>
    <col min="4859" max="4859" width="3.5703125" style="30" customWidth="1"/>
    <col min="4860" max="4860" width="13.28515625" style="30" customWidth="1"/>
    <col min="4861" max="4868" width="11.42578125" style="30" customWidth="1"/>
    <col min="4869" max="4869" width="9.7109375" style="30" bestFit="1" customWidth="1"/>
    <col min="4870" max="4873" width="0" style="30" hidden="1" customWidth="1"/>
    <col min="4874" max="4882" width="11.42578125" style="30" customWidth="1"/>
    <col min="4883" max="5114" width="11.42578125" style="30"/>
    <col min="5115" max="5115" width="3.5703125" style="30" customWidth="1"/>
    <col min="5116" max="5116" width="13.28515625" style="30" customWidth="1"/>
    <col min="5117" max="5124" width="11.42578125" style="30" customWidth="1"/>
    <col min="5125" max="5125" width="9.7109375" style="30" bestFit="1" customWidth="1"/>
    <col min="5126" max="5129" width="0" style="30" hidden="1" customWidth="1"/>
    <col min="5130" max="5138" width="11.42578125" style="30" customWidth="1"/>
    <col min="5139" max="5370" width="11.42578125" style="30"/>
    <col min="5371" max="5371" width="3.5703125" style="30" customWidth="1"/>
    <col min="5372" max="5372" width="13.28515625" style="30" customWidth="1"/>
    <col min="5373" max="5380" width="11.42578125" style="30" customWidth="1"/>
    <col min="5381" max="5381" width="9.7109375" style="30" bestFit="1" customWidth="1"/>
    <col min="5382" max="5385" width="0" style="30" hidden="1" customWidth="1"/>
    <col min="5386" max="5394" width="11.42578125" style="30" customWidth="1"/>
    <col min="5395" max="5626" width="11.42578125" style="30"/>
    <col min="5627" max="5627" width="3.5703125" style="30" customWidth="1"/>
    <col min="5628" max="5628" width="13.28515625" style="30" customWidth="1"/>
    <col min="5629" max="5636" width="11.42578125" style="30" customWidth="1"/>
    <col min="5637" max="5637" width="9.7109375" style="30" bestFit="1" customWidth="1"/>
    <col min="5638" max="5641" width="0" style="30" hidden="1" customWidth="1"/>
    <col min="5642" max="5650" width="11.42578125" style="30" customWidth="1"/>
    <col min="5651" max="5882" width="11.42578125" style="30"/>
    <col min="5883" max="5883" width="3.5703125" style="30" customWidth="1"/>
    <col min="5884" max="5884" width="13.28515625" style="30" customWidth="1"/>
    <col min="5885" max="5892" width="11.42578125" style="30" customWidth="1"/>
    <col min="5893" max="5893" width="9.7109375" style="30" bestFit="1" customWidth="1"/>
    <col min="5894" max="5897" width="0" style="30" hidden="1" customWidth="1"/>
    <col min="5898" max="5906" width="11.42578125" style="30" customWidth="1"/>
    <col min="5907" max="6138" width="11.42578125" style="30"/>
    <col min="6139" max="6139" width="3.5703125" style="30" customWidth="1"/>
    <col min="6140" max="6140" width="13.28515625" style="30" customWidth="1"/>
    <col min="6141" max="6148" width="11.42578125" style="30" customWidth="1"/>
    <col min="6149" max="6149" width="9.7109375" style="30" bestFit="1" customWidth="1"/>
    <col min="6150" max="6153" width="0" style="30" hidden="1" customWidth="1"/>
    <col min="6154" max="6162" width="11.42578125" style="30" customWidth="1"/>
    <col min="6163" max="6394" width="11.42578125" style="30"/>
    <col min="6395" max="6395" width="3.5703125" style="30" customWidth="1"/>
    <col min="6396" max="6396" width="13.28515625" style="30" customWidth="1"/>
    <col min="6397" max="6404" width="11.42578125" style="30" customWidth="1"/>
    <col min="6405" max="6405" width="9.7109375" style="30" bestFit="1" customWidth="1"/>
    <col min="6406" max="6409" width="0" style="30" hidden="1" customWidth="1"/>
    <col min="6410" max="6418" width="11.42578125" style="30" customWidth="1"/>
    <col min="6419" max="6650" width="11.42578125" style="30"/>
    <col min="6651" max="6651" width="3.5703125" style="30" customWidth="1"/>
    <col min="6652" max="6652" width="13.28515625" style="30" customWidth="1"/>
    <col min="6653" max="6660" width="11.42578125" style="30" customWidth="1"/>
    <col min="6661" max="6661" width="9.7109375" style="30" bestFit="1" customWidth="1"/>
    <col min="6662" max="6665" width="0" style="30" hidden="1" customWidth="1"/>
    <col min="6666" max="6674" width="11.42578125" style="30" customWidth="1"/>
    <col min="6675" max="6906" width="11.42578125" style="30"/>
    <col min="6907" max="6907" width="3.5703125" style="30" customWidth="1"/>
    <col min="6908" max="6908" width="13.28515625" style="30" customWidth="1"/>
    <col min="6909" max="6916" width="11.42578125" style="30" customWidth="1"/>
    <col min="6917" max="6917" width="9.7109375" style="30" bestFit="1" customWidth="1"/>
    <col min="6918" max="6921" width="0" style="30" hidden="1" customWidth="1"/>
    <col min="6922" max="6930" width="11.42578125" style="30" customWidth="1"/>
    <col min="6931" max="7162" width="11.42578125" style="30"/>
    <col min="7163" max="7163" width="3.5703125" style="30" customWidth="1"/>
    <col min="7164" max="7164" width="13.28515625" style="30" customWidth="1"/>
    <col min="7165" max="7172" width="11.42578125" style="30" customWidth="1"/>
    <col min="7173" max="7173" width="9.7109375" style="30" bestFit="1" customWidth="1"/>
    <col min="7174" max="7177" width="0" style="30" hidden="1" customWidth="1"/>
    <col min="7178" max="7186" width="11.42578125" style="30" customWidth="1"/>
    <col min="7187" max="7418" width="11.42578125" style="30"/>
    <col min="7419" max="7419" width="3.5703125" style="30" customWidth="1"/>
    <col min="7420" max="7420" width="13.28515625" style="30" customWidth="1"/>
    <col min="7421" max="7428" width="11.42578125" style="30" customWidth="1"/>
    <col min="7429" max="7429" width="9.7109375" style="30" bestFit="1" customWidth="1"/>
    <col min="7430" max="7433" width="0" style="30" hidden="1" customWidth="1"/>
    <col min="7434" max="7442" width="11.42578125" style="30" customWidth="1"/>
    <col min="7443" max="7674" width="11.42578125" style="30"/>
    <col min="7675" max="7675" width="3.5703125" style="30" customWidth="1"/>
    <col min="7676" max="7676" width="13.28515625" style="30" customWidth="1"/>
    <col min="7677" max="7684" width="11.42578125" style="30" customWidth="1"/>
    <col min="7685" max="7685" width="9.7109375" style="30" bestFit="1" customWidth="1"/>
    <col min="7686" max="7689" width="0" style="30" hidden="1" customWidth="1"/>
    <col min="7690" max="7698" width="11.42578125" style="30" customWidth="1"/>
    <col min="7699" max="7930" width="11.42578125" style="30"/>
    <col min="7931" max="7931" width="3.5703125" style="30" customWidth="1"/>
    <col min="7932" max="7932" width="13.28515625" style="30" customWidth="1"/>
    <col min="7933" max="7940" width="11.42578125" style="30" customWidth="1"/>
    <col min="7941" max="7941" width="9.7109375" style="30" bestFit="1" customWidth="1"/>
    <col min="7942" max="7945" width="0" style="30" hidden="1" customWidth="1"/>
    <col min="7946" max="7954" width="11.42578125" style="30" customWidth="1"/>
    <col min="7955" max="8186" width="11.42578125" style="30"/>
    <col min="8187" max="8187" width="3.5703125" style="30" customWidth="1"/>
    <col min="8188" max="8188" width="13.28515625" style="30" customWidth="1"/>
    <col min="8189" max="8196" width="11.42578125" style="30" customWidth="1"/>
    <col min="8197" max="8197" width="9.7109375" style="30" bestFit="1" customWidth="1"/>
    <col min="8198" max="8201" width="0" style="30" hidden="1" customWidth="1"/>
    <col min="8202" max="8210" width="11.42578125" style="30" customWidth="1"/>
    <col min="8211" max="8442" width="11.42578125" style="30"/>
    <col min="8443" max="8443" width="3.5703125" style="30" customWidth="1"/>
    <col min="8444" max="8444" width="13.28515625" style="30" customWidth="1"/>
    <col min="8445" max="8452" width="11.42578125" style="30" customWidth="1"/>
    <col min="8453" max="8453" width="9.7109375" style="30" bestFit="1" customWidth="1"/>
    <col min="8454" max="8457" width="0" style="30" hidden="1" customWidth="1"/>
    <col min="8458" max="8466" width="11.42578125" style="30" customWidth="1"/>
    <col min="8467" max="8698" width="11.42578125" style="30"/>
    <col min="8699" max="8699" width="3.5703125" style="30" customWidth="1"/>
    <col min="8700" max="8700" width="13.28515625" style="30" customWidth="1"/>
    <col min="8701" max="8708" width="11.42578125" style="30" customWidth="1"/>
    <col min="8709" max="8709" width="9.7109375" style="30" bestFit="1" customWidth="1"/>
    <col min="8710" max="8713" width="0" style="30" hidden="1" customWidth="1"/>
    <col min="8714" max="8722" width="11.42578125" style="30" customWidth="1"/>
    <col min="8723" max="8954" width="11.42578125" style="30"/>
    <col min="8955" max="8955" width="3.5703125" style="30" customWidth="1"/>
    <col min="8956" max="8956" width="13.28515625" style="30" customWidth="1"/>
    <col min="8957" max="8964" width="11.42578125" style="30" customWidth="1"/>
    <col min="8965" max="8965" width="9.7109375" style="30" bestFit="1" customWidth="1"/>
    <col min="8966" max="8969" width="0" style="30" hidden="1" customWidth="1"/>
    <col min="8970" max="8978" width="11.42578125" style="30" customWidth="1"/>
    <col min="8979" max="9210" width="11.42578125" style="30"/>
    <col min="9211" max="9211" width="3.5703125" style="30" customWidth="1"/>
    <col min="9212" max="9212" width="13.28515625" style="30" customWidth="1"/>
    <col min="9213" max="9220" width="11.42578125" style="30" customWidth="1"/>
    <col min="9221" max="9221" width="9.7109375" style="30" bestFit="1" customWidth="1"/>
    <col min="9222" max="9225" width="0" style="30" hidden="1" customWidth="1"/>
    <col min="9226" max="9234" width="11.42578125" style="30" customWidth="1"/>
    <col min="9235" max="9466" width="11.42578125" style="30"/>
    <col min="9467" max="9467" width="3.5703125" style="30" customWidth="1"/>
    <col min="9468" max="9468" width="13.28515625" style="30" customWidth="1"/>
    <col min="9469" max="9476" width="11.42578125" style="30" customWidth="1"/>
    <col min="9477" max="9477" width="9.7109375" style="30" bestFit="1" customWidth="1"/>
    <col min="9478" max="9481" width="0" style="30" hidden="1" customWidth="1"/>
    <col min="9482" max="9490" width="11.42578125" style="30" customWidth="1"/>
    <col min="9491" max="9722" width="11.42578125" style="30"/>
    <col min="9723" max="9723" width="3.5703125" style="30" customWidth="1"/>
    <col min="9724" max="9724" width="13.28515625" style="30" customWidth="1"/>
    <col min="9725" max="9732" width="11.42578125" style="30" customWidth="1"/>
    <col min="9733" max="9733" width="9.7109375" style="30" bestFit="1" customWidth="1"/>
    <col min="9734" max="9737" width="0" style="30" hidden="1" customWidth="1"/>
    <col min="9738" max="9746" width="11.42578125" style="30" customWidth="1"/>
    <col min="9747" max="9978" width="11.42578125" style="30"/>
    <col min="9979" max="9979" width="3.5703125" style="30" customWidth="1"/>
    <col min="9980" max="9980" width="13.28515625" style="30" customWidth="1"/>
    <col min="9981" max="9988" width="11.42578125" style="30" customWidth="1"/>
    <col min="9989" max="9989" width="9.7109375" style="30" bestFit="1" customWidth="1"/>
    <col min="9990" max="9993" width="0" style="30" hidden="1" customWidth="1"/>
    <col min="9994" max="10002" width="11.42578125" style="30" customWidth="1"/>
    <col min="10003" max="10234" width="11.42578125" style="30"/>
    <col min="10235" max="10235" width="3.5703125" style="30" customWidth="1"/>
    <col min="10236" max="10236" width="13.28515625" style="30" customWidth="1"/>
    <col min="10237" max="10244" width="11.42578125" style="30" customWidth="1"/>
    <col min="10245" max="10245" width="9.7109375" style="30" bestFit="1" customWidth="1"/>
    <col min="10246" max="10249" width="0" style="30" hidden="1" customWidth="1"/>
    <col min="10250" max="10258" width="11.42578125" style="30" customWidth="1"/>
    <col min="10259" max="10490" width="11.42578125" style="30"/>
    <col min="10491" max="10491" width="3.5703125" style="30" customWidth="1"/>
    <col min="10492" max="10492" width="13.28515625" style="30" customWidth="1"/>
    <col min="10493" max="10500" width="11.42578125" style="30" customWidth="1"/>
    <col min="10501" max="10501" width="9.7109375" style="30" bestFit="1" customWidth="1"/>
    <col min="10502" max="10505" width="0" style="30" hidden="1" customWidth="1"/>
    <col min="10506" max="10514" width="11.42578125" style="30" customWidth="1"/>
    <col min="10515" max="10746" width="11.42578125" style="30"/>
    <col min="10747" max="10747" width="3.5703125" style="30" customWidth="1"/>
    <col min="10748" max="10748" width="13.28515625" style="30" customWidth="1"/>
    <col min="10749" max="10756" width="11.42578125" style="30" customWidth="1"/>
    <col min="10757" max="10757" width="9.7109375" style="30" bestFit="1" customWidth="1"/>
    <col min="10758" max="10761" width="0" style="30" hidden="1" customWidth="1"/>
    <col min="10762" max="10770" width="11.42578125" style="30" customWidth="1"/>
    <col min="10771" max="11002" width="11.42578125" style="30"/>
    <col min="11003" max="11003" width="3.5703125" style="30" customWidth="1"/>
    <col min="11004" max="11004" width="13.28515625" style="30" customWidth="1"/>
    <col min="11005" max="11012" width="11.42578125" style="30" customWidth="1"/>
    <col min="11013" max="11013" width="9.7109375" style="30" bestFit="1" customWidth="1"/>
    <col min="11014" max="11017" width="0" style="30" hidden="1" customWidth="1"/>
    <col min="11018" max="11026" width="11.42578125" style="30" customWidth="1"/>
    <col min="11027" max="11258" width="11.42578125" style="30"/>
    <col min="11259" max="11259" width="3.5703125" style="30" customWidth="1"/>
    <col min="11260" max="11260" width="13.28515625" style="30" customWidth="1"/>
    <col min="11261" max="11268" width="11.42578125" style="30" customWidth="1"/>
    <col min="11269" max="11269" width="9.7109375" style="30" bestFit="1" customWidth="1"/>
    <col min="11270" max="11273" width="0" style="30" hidden="1" customWidth="1"/>
    <col min="11274" max="11282" width="11.42578125" style="30" customWidth="1"/>
    <col min="11283" max="11514" width="11.42578125" style="30"/>
    <col min="11515" max="11515" width="3.5703125" style="30" customWidth="1"/>
    <col min="11516" max="11516" width="13.28515625" style="30" customWidth="1"/>
    <col min="11517" max="11524" width="11.42578125" style="30" customWidth="1"/>
    <col min="11525" max="11525" width="9.7109375" style="30" bestFit="1" customWidth="1"/>
    <col min="11526" max="11529" width="0" style="30" hidden="1" customWidth="1"/>
    <col min="11530" max="11538" width="11.42578125" style="30" customWidth="1"/>
    <col min="11539" max="11770" width="11.42578125" style="30"/>
    <col min="11771" max="11771" width="3.5703125" style="30" customWidth="1"/>
    <col min="11772" max="11772" width="13.28515625" style="30" customWidth="1"/>
    <col min="11773" max="11780" width="11.42578125" style="30" customWidth="1"/>
    <col min="11781" max="11781" width="9.7109375" style="30" bestFit="1" customWidth="1"/>
    <col min="11782" max="11785" width="0" style="30" hidden="1" customWidth="1"/>
    <col min="11786" max="11794" width="11.42578125" style="30" customWidth="1"/>
    <col min="11795" max="12026" width="11.42578125" style="30"/>
    <col min="12027" max="12027" width="3.5703125" style="30" customWidth="1"/>
    <col min="12028" max="12028" width="13.28515625" style="30" customWidth="1"/>
    <col min="12029" max="12036" width="11.42578125" style="30" customWidth="1"/>
    <col min="12037" max="12037" width="9.7109375" style="30" bestFit="1" customWidth="1"/>
    <col min="12038" max="12041" width="0" style="30" hidden="1" customWidth="1"/>
    <col min="12042" max="12050" width="11.42578125" style="30" customWidth="1"/>
    <col min="12051" max="12282" width="11.42578125" style="30"/>
    <col min="12283" max="12283" width="3.5703125" style="30" customWidth="1"/>
    <col min="12284" max="12284" width="13.28515625" style="30" customWidth="1"/>
    <col min="12285" max="12292" width="11.42578125" style="30" customWidth="1"/>
    <col min="12293" max="12293" width="9.7109375" style="30" bestFit="1" customWidth="1"/>
    <col min="12294" max="12297" width="0" style="30" hidden="1" customWidth="1"/>
    <col min="12298" max="12306" width="11.42578125" style="30" customWidth="1"/>
    <col min="12307" max="12538" width="11.42578125" style="30"/>
    <col min="12539" max="12539" width="3.5703125" style="30" customWidth="1"/>
    <col min="12540" max="12540" width="13.28515625" style="30" customWidth="1"/>
    <col min="12541" max="12548" width="11.42578125" style="30" customWidth="1"/>
    <col min="12549" max="12549" width="9.7109375" style="30" bestFit="1" customWidth="1"/>
    <col min="12550" max="12553" width="0" style="30" hidden="1" customWidth="1"/>
    <col min="12554" max="12562" width="11.42578125" style="30" customWidth="1"/>
    <col min="12563" max="12794" width="11.42578125" style="30"/>
    <col min="12795" max="12795" width="3.5703125" style="30" customWidth="1"/>
    <col min="12796" max="12796" width="13.28515625" style="30" customWidth="1"/>
    <col min="12797" max="12804" width="11.42578125" style="30" customWidth="1"/>
    <col min="12805" max="12805" width="9.7109375" style="30" bestFit="1" customWidth="1"/>
    <col min="12806" max="12809" width="0" style="30" hidden="1" customWidth="1"/>
    <col min="12810" max="12818" width="11.42578125" style="30" customWidth="1"/>
    <col min="12819" max="13050" width="11.42578125" style="30"/>
    <col min="13051" max="13051" width="3.5703125" style="30" customWidth="1"/>
    <col min="13052" max="13052" width="13.28515625" style="30" customWidth="1"/>
    <col min="13053" max="13060" width="11.42578125" style="30" customWidth="1"/>
    <col min="13061" max="13061" width="9.7109375" style="30" bestFit="1" customWidth="1"/>
    <col min="13062" max="13065" width="0" style="30" hidden="1" customWidth="1"/>
    <col min="13066" max="13074" width="11.42578125" style="30" customWidth="1"/>
    <col min="13075" max="13306" width="11.42578125" style="30"/>
    <col min="13307" max="13307" width="3.5703125" style="30" customWidth="1"/>
    <col min="13308" max="13308" width="13.28515625" style="30" customWidth="1"/>
    <col min="13309" max="13316" width="11.42578125" style="30" customWidth="1"/>
    <col min="13317" max="13317" width="9.7109375" style="30" bestFit="1" customWidth="1"/>
    <col min="13318" max="13321" width="0" style="30" hidden="1" customWidth="1"/>
    <col min="13322" max="13330" width="11.42578125" style="30" customWidth="1"/>
    <col min="13331" max="13562" width="11.42578125" style="30"/>
    <col min="13563" max="13563" width="3.5703125" style="30" customWidth="1"/>
    <col min="13564" max="13564" width="13.28515625" style="30" customWidth="1"/>
    <col min="13565" max="13572" width="11.42578125" style="30" customWidth="1"/>
    <col min="13573" max="13573" width="9.7109375" style="30" bestFit="1" customWidth="1"/>
    <col min="13574" max="13577" width="0" style="30" hidden="1" customWidth="1"/>
    <col min="13578" max="13586" width="11.42578125" style="30" customWidth="1"/>
    <col min="13587" max="13818" width="11.42578125" style="30"/>
    <col min="13819" max="13819" width="3.5703125" style="30" customWidth="1"/>
    <col min="13820" max="13820" width="13.28515625" style="30" customWidth="1"/>
    <col min="13821" max="13828" width="11.42578125" style="30" customWidth="1"/>
    <col min="13829" max="13829" width="9.7109375" style="30" bestFit="1" customWidth="1"/>
    <col min="13830" max="13833" width="0" style="30" hidden="1" customWidth="1"/>
    <col min="13834" max="13842" width="11.42578125" style="30" customWidth="1"/>
    <col min="13843" max="14074" width="11.42578125" style="30"/>
    <col min="14075" max="14075" width="3.5703125" style="30" customWidth="1"/>
    <col min="14076" max="14076" width="13.28515625" style="30" customWidth="1"/>
    <col min="14077" max="14084" width="11.42578125" style="30" customWidth="1"/>
    <col min="14085" max="14085" width="9.7109375" style="30" bestFit="1" customWidth="1"/>
    <col min="14086" max="14089" width="0" style="30" hidden="1" customWidth="1"/>
    <col min="14090" max="14098" width="11.42578125" style="30" customWidth="1"/>
    <col min="14099" max="14330" width="11.42578125" style="30"/>
    <col min="14331" max="14331" width="3.5703125" style="30" customWidth="1"/>
    <col min="14332" max="14332" width="13.28515625" style="30" customWidth="1"/>
    <col min="14333" max="14340" width="11.42578125" style="30" customWidth="1"/>
    <col min="14341" max="14341" width="9.7109375" style="30" bestFit="1" customWidth="1"/>
    <col min="14342" max="14345" width="0" style="30" hidden="1" customWidth="1"/>
    <col min="14346" max="14354" width="11.42578125" style="30" customWidth="1"/>
    <col min="14355" max="14586" width="11.42578125" style="30"/>
    <col min="14587" max="14587" width="3.5703125" style="30" customWidth="1"/>
    <col min="14588" max="14588" width="13.28515625" style="30" customWidth="1"/>
    <col min="14589" max="14596" width="11.42578125" style="30" customWidth="1"/>
    <col min="14597" max="14597" width="9.7109375" style="30" bestFit="1" customWidth="1"/>
    <col min="14598" max="14601" width="0" style="30" hidden="1" customWidth="1"/>
    <col min="14602" max="14610" width="11.42578125" style="30" customWidth="1"/>
    <col min="14611" max="14842" width="11.42578125" style="30"/>
    <col min="14843" max="14843" width="3.5703125" style="30" customWidth="1"/>
    <col min="14844" max="14844" width="13.28515625" style="30" customWidth="1"/>
    <col min="14845" max="14852" width="11.42578125" style="30" customWidth="1"/>
    <col min="14853" max="14853" width="9.7109375" style="30" bestFit="1" customWidth="1"/>
    <col min="14854" max="14857" width="0" style="30" hidden="1" customWidth="1"/>
    <col min="14858" max="14866" width="11.42578125" style="30" customWidth="1"/>
    <col min="14867" max="15098" width="11.42578125" style="30"/>
    <col min="15099" max="15099" width="3.5703125" style="30" customWidth="1"/>
    <col min="15100" max="15100" width="13.28515625" style="30" customWidth="1"/>
    <col min="15101" max="15108" width="11.42578125" style="30" customWidth="1"/>
    <col min="15109" max="15109" width="9.7109375" style="30" bestFit="1" customWidth="1"/>
    <col min="15110" max="15113" width="0" style="30" hidden="1" customWidth="1"/>
    <col min="15114" max="15122" width="11.42578125" style="30" customWidth="1"/>
    <col min="15123" max="15354" width="11.42578125" style="30"/>
    <col min="15355" max="15355" width="3.5703125" style="30" customWidth="1"/>
    <col min="15356" max="15356" width="13.28515625" style="30" customWidth="1"/>
    <col min="15357" max="15364" width="11.42578125" style="30" customWidth="1"/>
    <col min="15365" max="15365" width="9.7109375" style="30" bestFit="1" customWidth="1"/>
    <col min="15366" max="15369" width="0" style="30" hidden="1" customWidth="1"/>
    <col min="15370" max="15378" width="11.42578125" style="30" customWidth="1"/>
    <col min="15379" max="15610" width="11.42578125" style="30"/>
    <col min="15611" max="15611" width="3.5703125" style="30" customWidth="1"/>
    <col min="15612" max="15612" width="13.28515625" style="30" customWidth="1"/>
    <col min="15613" max="15620" width="11.42578125" style="30" customWidth="1"/>
    <col min="15621" max="15621" width="9.7109375" style="30" bestFit="1" customWidth="1"/>
    <col min="15622" max="15625" width="0" style="30" hidden="1" customWidth="1"/>
    <col min="15626" max="15634" width="11.42578125" style="30" customWidth="1"/>
    <col min="15635" max="15866" width="11.42578125" style="30"/>
    <col min="15867" max="15867" width="3.5703125" style="30" customWidth="1"/>
    <col min="15868" max="15868" width="13.28515625" style="30" customWidth="1"/>
    <col min="15869" max="15876" width="11.42578125" style="30" customWidth="1"/>
    <col min="15877" max="15877" width="9.7109375" style="30" bestFit="1" customWidth="1"/>
    <col min="15878" max="15881" width="0" style="30" hidden="1" customWidth="1"/>
    <col min="15882" max="15890" width="11.42578125" style="30" customWidth="1"/>
    <col min="15891" max="16122" width="11.42578125" style="30"/>
    <col min="16123" max="16123" width="3.5703125" style="30" customWidth="1"/>
    <col min="16124" max="16124" width="13.28515625" style="30" customWidth="1"/>
    <col min="16125" max="16132" width="11.42578125" style="30" customWidth="1"/>
    <col min="16133" max="16133" width="9.7109375" style="30" bestFit="1" customWidth="1"/>
    <col min="16134" max="16137" width="0" style="30" hidden="1" customWidth="1"/>
    <col min="16138" max="16146" width="11.42578125" style="30" customWidth="1"/>
    <col min="16147" max="16384" width="11.42578125" style="30"/>
  </cols>
  <sheetData>
    <row r="1" spans="2:35"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</row>
    <row r="2" spans="2:35" s="53" customFormat="1" ht="24.75" customHeight="1">
      <c r="B2" s="233" t="s">
        <v>95</v>
      </c>
      <c r="C2" s="234" t="s">
        <v>96</v>
      </c>
      <c r="D2" s="234" t="s">
        <v>96</v>
      </c>
      <c r="E2" s="234" t="s">
        <v>96</v>
      </c>
      <c r="F2" s="234" t="s">
        <v>96</v>
      </c>
      <c r="G2" s="234" t="s">
        <v>96</v>
      </c>
      <c r="H2" s="234" t="s">
        <v>96</v>
      </c>
      <c r="I2" s="234" t="s">
        <v>96</v>
      </c>
      <c r="J2" s="248" t="s">
        <v>97</v>
      </c>
      <c r="K2" s="235"/>
      <c r="L2" s="234" t="s">
        <v>98</v>
      </c>
      <c r="M2" s="234" t="s">
        <v>98</v>
      </c>
      <c r="N2" s="234" t="s">
        <v>98</v>
      </c>
      <c r="O2" s="234" t="s">
        <v>98</v>
      </c>
      <c r="P2" s="234" t="s">
        <v>98</v>
      </c>
      <c r="Q2" s="234" t="s">
        <v>98</v>
      </c>
      <c r="R2" s="234" t="s">
        <v>98</v>
      </c>
      <c r="S2" s="234" t="s">
        <v>98</v>
      </c>
      <c r="T2" s="234" t="s">
        <v>98</v>
      </c>
      <c r="U2" s="234" t="s">
        <v>98</v>
      </c>
      <c r="V2" s="234" t="s">
        <v>98</v>
      </c>
      <c r="W2" s="234" t="s">
        <v>98</v>
      </c>
      <c r="X2" s="234" t="s">
        <v>98</v>
      </c>
      <c r="Y2" s="234" t="s">
        <v>98</v>
      </c>
      <c r="Z2" s="234" t="s">
        <v>98</v>
      </c>
      <c r="AA2" s="234" t="s">
        <v>98</v>
      </c>
      <c r="AB2" s="234" t="s">
        <v>98</v>
      </c>
      <c r="AC2" s="234" t="s">
        <v>98</v>
      </c>
      <c r="AD2" s="234" t="s">
        <v>98</v>
      </c>
      <c r="AE2" s="234" t="s">
        <v>98</v>
      </c>
      <c r="AF2" s="234" t="s">
        <v>98</v>
      </c>
      <c r="AG2" s="248" t="s">
        <v>98</v>
      </c>
      <c r="AH2" s="236"/>
    </row>
    <row r="3" spans="2:35" s="53" customFormat="1" ht="13.5" customHeight="1">
      <c r="B3" s="237" t="s">
        <v>99</v>
      </c>
      <c r="C3" s="238">
        <v>43830</v>
      </c>
      <c r="D3" s="238">
        <v>44196</v>
      </c>
      <c r="E3" s="238">
        <v>44561</v>
      </c>
      <c r="F3" s="238">
        <v>44926</v>
      </c>
      <c r="G3" s="238">
        <v>45291</v>
      </c>
      <c r="H3" s="238">
        <v>45657</v>
      </c>
      <c r="I3" s="238">
        <v>46022</v>
      </c>
      <c r="J3" s="249">
        <f>AG3</f>
        <v>46203</v>
      </c>
      <c r="K3" s="239"/>
      <c r="L3" s="238">
        <v>44286</v>
      </c>
      <c r="M3" s="238">
        <v>44377</v>
      </c>
      <c r="N3" s="238">
        <v>44469</v>
      </c>
      <c r="O3" s="238">
        <v>44561</v>
      </c>
      <c r="P3" s="238">
        <v>44651</v>
      </c>
      <c r="Q3" s="238">
        <v>44742</v>
      </c>
      <c r="R3" s="238">
        <v>44834</v>
      </c>
      <c r="S3" s="238">
        <v>44926</v>
      </c>
      <c r="T3" s="238">
        <v>45016</v>
      </c>
      <c r="U3" s="238">
        <v>45107</v>
      </c>
      <c r="V3" s="238">
        <v>45199</v>
      </c>
      <c r="W3" s="238">
        <v>45291</v>
      </c>
      <c r="X3" s="238">
        <v>45382</v>
      </c>
      <c r="Y3" s="238">
        <v>45473</v>
      </c>
      <c r="Z3" s="238">
        <v>45565</v>
      </c>
      <c r="AA3" s="238">
        <v>45657</v>
      </c>
      <c r="AB3" s="238">
        <v>45747</v>
      </c>
      <c r="AC3" s="238">
        <v>45838</v>
      </c>
      <c r="AD3" s="238">
        <v>45930</v>
      </c>
      <c r="AE3" s="238">
        <v>46022</v>
      </c>
      <c r="AF3" s="238">
        <v>46112</v>
      </c>
      <c r="AG3" s="249">
        <v>46203</v>
      </c>
      <c r="AH3" s="236"/>
    </row>
    <row r="4" spans="2:35" s="33" customFormat="1" ht="13.5" customHeight="1">
      <c r="B4" s="237"/>
      <c r="C4" s="238" t="s">
        <v>100</v>
      </c>
      <c r="D4" s="238" t="s">
        <v>100</v>
      </c>
      <c r="E4" s="238" t="s">
        <v>100</v>
      </c>
      <c r="F4" s="238" t="s">
        <v>100</v>
      </c>
      <c r="G4" s="238" t="s">
        <v>100</v>
      </c>
      <c r="H4" s="238" t="s">
        <v>100</v>
      </c>
      <c r="I4" s="238" t="s">
        <v>100</v>
      </c>
      <c r="J4" s="249" t="s">
        <v>100</v>
      </c>
      <c r="K4" s="239"/>
      <c r="L4" s="238" t="s">
        <v>100</v>
      </c>
      <c r="M4" s="238" t="s">
        <v>100</v>
      </c>
      <c r="N4" s="238" t="s">
        <v>100</v>
      </c>
      <c r="O4" s="238" t="s">
        <v>100</v>
      </c>
      <c r="P4" s="238" t="s">
        <v>100</v>
      </c>
      <c r="Q4" s="238" t="s">
        <v>100</v>
      </c>
      <c r="R4" s="238" t="s">
        <v>100</v>
      </c>
      <c r="S4" s="238" t="s">
        <v>100</v>
      </c>
      <c r="T4" s="238" t="s">
        <v>100</v>
      </c>
      <c r="U4" s="238" t="s">
        <v>100</v>
      </c>
      <c r="V4" s="238" t="s">
        <v>100</v>
      </c>
      <c r="W4" s="238" t="s">
        <v>100</v>
      </c>
      <c r="X4" s="238" t="s">
        <v>100</v>
      </c>
      <c r="Y4" s="238" t="s">
        <v>100</v>
      </c>
      <c r="Z4" s="238" t="s">
        <v>100</v>
      </c>
      <c r="AA4" s="238" t="s">
        <v>100</v>
      </c>
      <c r="AB4" s="238" t="s">
        <v>100</v>
      </c>
      <c r="AC4" s="238" t="s">
        <v>100</v>
      </c>
      <c r="AD4" s="238" t="s">
        <v>100</v>
      </c>
      <c r="AE4" s="238" t="s">
        <v>100</v>
      </c>
      <c r="AF4" s="238" t="s">
        <v>100</v>
      </c>
      <c r="AG4" s="249" t="s">
        <v>100</v>
      </c>
      <c r="AH4" s="240"/>
    </row>
    <row r="5" spans="2:35" s="85" customFormat="1" ht="13.5" customHeight="1">
      <c r="B5" s="241"/>
      <c r="C5" s="242" t="s">
        <v>101</v>
      </c>
      <c r="D5" s="242" t="s">
        <v>101</v>
      </c>
      <c r="E5" s="242" t="s">
        <v>101</v>
      </c>
      <c r="F5" s="242" t="s">
        <v>101</v>
      </c>
      <c r="G5" s="242" t="s">
        <v>101</v>
      </c>
      <c r="H5" s="242" t="s">
        <v>101</v>
      </c>
      <c r="I5" s="242" t="s">
        <v>101</v>
      </c>
      <c r="J5" s="243" t="s">
        <v>97</v>
      </c>
      <c r="K5" s="242"/>
      <c r="L5" s="242" t="s">
        <v>102</v>
      </c>
      <c r="M5" s="242" t="s">
        <v>103</v>
      </c>
      <c r="N5" s="242" t="s">
        <v>104</v>
      </c>
      <c r="O5" s="243" t="s">
        <v>105</v>
      </c>
      <c r="P5" s="242" t="s">
        <v>102</v>
      </c>
      <c r="Q5" s="242" t="s">
        <v>103</v>
      </c>
      <c r="R5" s="242" t="s">
        <v>104</v>
      </c>
      <c r="S5" s="243" t="s">
        <v>105</v>
      </c>
      <c r="T5" s="242" t="s">
        <v>102</v>
      </c>
      <c r="U5" s="242" t="s">
        <v>103</v>
      </c>
      <c r="V5" s="242" t="s">
        <v>104</v>
      </c>
      <c r="W5" s="243" t="s">
        <v>105</v>
      </c>
      <c r="X5" s="242" t="s">
        <v>102</v>
      </c>
      <c r="Y5" s="242" t="s">
        <v>103</v>
      </c>
      <c r="Z5" s="242" t="s">
        <v>104</v>
      </c>
      <c r="AA5" s="243" t="s">
        <v>105</v>
      </c>
      <c r="AB5" s="242" t="s">
        <v>102</v>
      </c>
      <c r="AC5" s="242" t="s">
        <v>103</v>
      </c>
      <c r="AD5" s="242" t="s">
        <v>104</v>
      </c>
      <c r="AE5" s="243" t="s">
        <v>105</v>
      </c>
      <c r="AF5" s="242" t="s">
        <v>102</v>
      </c>
      <c r="AG5" s="242" t="s">
        <v>103</v>
      </c>
      <c r="AH5" s="241"/>
    </row>
    <row r="6" spans="2:35" ht="13.5" customHeight="1">
      <c r="B6" s="244" t="s">
        <v>106</v>
      </c>
      <c r="C6" s="245"/>
      <c r="D6" s="245"/>
      <c r="E6" s="245"/>
      <c r="F6" s="245"/>
      <c r="G6" s="245"/>
      <c r="H6" s="245"/>
      <c r="I6" s="245"/>
      <c r="J6" s="245"/>
      <c r="K6" s="232"/>
      <c r="L6" s="246"/>
      <c r="M6" s="245"/>
      <c r="N6" s="245"/>
      <c r="O6" s="246"/>
      <c r="P6" s="246"/>
      <c r="Q6" s="245"/>
      <c r="R6" s="245"/>
      <c r="S6" s="246"/>
      <c r="T6" s="246"/>
      <c r="U6" s="245"/>
      <c r="V6" s="245"/>
      <c r="W6" s="246"/>
      <c r="X6" s="246"/>
      <c r="Y6" s="245"/>
      <c r="Z6" s="245"/>
      <c r="AA6" s="246"/>
      <c r="AB6" s="246"/>
      <c r="AC6" s="245"/>
      <c r="AD6" s="245"/>
      <c r="AE6" s="246"/>
      <c r="AF6" s="246"/>
      <c r="AG6" s="245"/>
      <c r="AH6" s="232"/>
    </row>
    <row r="7" spans="2:35" s="33" customFormat="1" ht="13.5" customHeight="1">
      <c r="B7" s="75" t="s">
        <v>107</v>
      </c>
      <c r="C7" s="58">
        <f>C8+C9</f>
        <v>6162.8122949999997</v>
      </c>
      <c r="D7" s="58">
        <f t="shared" ref="D7:E7" si="0">D8+D9</f>
        <v>5135.5200000000004</v>
      </c>
      <c r="E7" s="58">
        <f t="shared" si="0"/>
        <v>6824.0069999999996</v>
      </c>
      <c r="F7" s="58">
        <f t="shared" ref="F7:G7" si="1">F8+F9</f>
        <v>9421.487000000001</v>
      </c>
      <c r="G7" s="58">
        <f t="shared" si="1"/>
        <v>8639.1460000000006</v>
      </c>
      <c r="H7" s="58">
        <f t="shared" ref="H7:I7" si="2">H8+H9</f>
        <v>8842.3009999999995</v>
      </c>
      <c r="I7" s="58">
        <f t="shared" si="2"/>
        <v>8562.1899999999987</v>
      </c>
      <c r="J7" s="58">
        <f>J8+J9</f>
        <v>9669.378999999999</v>
      </c>
      <c r="L7" s="58">
        <f t="shared" ref="L7:R7" si="3">L8+L9</f>
        <v>1411.7270000000001</v>
      </c>
      <c r="M7" s="58">
        <f t="shared" si="3"/>
        <v>1748.6990000000001</v>
      </c>
      <c r="N7" s="58">
        <f t="shared" si="3"/>
        <v>1770.3249999999998</v>
      </c>
      <c r="O7" s="58">
        <f t="shared" si="3"/>
        <v>1893.2559999999999</v>
      </c>
      <c r="P7" s="58">
        <f t="shared" si="3"/>
        <v>2060.6330000000003</v>
      </c>
      <c r="Q7" s="58">
        <f t="shared" si="3"/>
        <v>2415.2550000000001</v>
      </c>
      <c r="R7" s="58">
        <f t="shared" si="3"/>
        <v>2431.326</v>
      </c>
      <c r="S7" s="58">
        <f t="shared" ref="S7:V7" si="4">S8+S9</f>
        <v>2514.2730000000001</v>
      </c>
      <c r="T7" s="58">
        <f t="shared" si="4"/>
        <v>2227.2289999999998</v>
      </c>
      <c r="U7" s="58">
        <f t="shared" si="4"/>
        <v>1957.471</v>
      </c>
      <c r="V7" s="58">
        <f t="shared" si="4"/>
        <v>2223.4079999999999</v>
      </c>
      <c r="W7" s="58">
        <f t="shared" ref="W7" si="5">W8+W9</f>
        <v>2231.0379999999996</v>
      </c>
      <c r="X7" s="58">
        <f>X8+X9</f>
        <v>2122.8989999999999</v>
      </c>
      <c r="Y7" s="58">
        <f t="shared" ref="Y7:AA7" si="6">Y8+Y9</f>
        <v>2298.348</v>
      </c>
      <c r="Z7" s="58">
        <f t="shared" si="6"/>
        <v>2173.4589999999998</v>
      </c>
      <c r="AA7" s="58">
        <f t="shared" si="6"/>
        <v>2247.5949999999993</v>
      </c>
      <c r="AB7" s="58">
        <f>AB8+AB9</f>
        <v>2095.7870000000003</v>
      </c>
      <c r="AC7" s="58">
        <f t="shared" ref="AC7:AE7" si="7">AC8+AC9</f>
        <v>2150.8399999999997</v>
      </c>
      <c r="AD7" s="58">
        <f t="shared" si="7"/>
        <v>2126.7350000000001</v>
      </c>
      <c r="AE7" s="58">
        <f t="shared" si="7"/>
        <v>2188.8279999999995</v>
      </c>
      <c r="AF7" s="58">
        <f>AF8+AF9</f>
        <v>2404.0860000000002</v>
      </c>
      <c r="AG7" s="58">
        <f t="shared" ref="AG7" si="8">AG8+AG9</f>
        <v>2949.7300000000005</v>
      </c>
      <c r="AI7" s="30"/>
    </row>
    <row r="8" spans="2:35" s="45" customFormat="1" ht="13.5" customHeight="1">
      <c r="B8" s="69" t="s">
        <v>108</v>
      </c>
      <c r="C8" s="66">
        <v>6046.416158</v>
      </c>
      <c r="D8" s="66">
        <v>5043.17</v>
      </c>
      <c r="E8" s="66">
        <v>6730.86</v>
      </c>
      <c r="F8" s="66">
        <v>9270.5640000000003</v>
      </c>
      <c r="G8" s="66">
        <v>8511.0789999999997</v>
      </c>
      <c r="H8" s="66">
        <v>8698.4629999999997</v>
      </c>
      <c r="I8" s="66">
        <v>8437.3349999999991</v>
      </c>
      <c r="J8" s="14">
        <f>SUM(AD8:AG8)</f>
        <v>9553.8379999999997</v>
      </c>
      <c r="K8" s="33"/>
      <c r="L8" s="66">
        <v>1391.318</v>
      </c>
      <c r="M8" s="66">
        <v>1728.895</v>
      </c>
      <c r="N8" s="66">
        <v>1743.6389999999999</v>
      </c>
      <c r="O8" s="14">
        <f>E8-SUM(L8:N8)</f>
        <v>1867.0079999999998</v>
      </c>
      <c r="P8" s="66">
        <v>2030.2750000000001</v>
      </c>
      <c r="Q8" s="66">
        <v>2382.5360000000001</v>
      </c>
      <c r="R8" s="66">
        <v>2388.3049999999998</v>
      </c>
      <c r="S8" s="14">
        <f>F8-SUM(P8:R8)</f>
        <v>2469.4480000000003</v>
      </c>
      <c r="T8" s="66">
        <v>2193.0479999999998</v>
      </c>
      <c r="U8" s="66">
        <v>1923.876</v>
      </c>
      <c r="V8" s="66">
        <v>2192.607</v>
      </c>
      <c r="W8" s="14">
        <f>G8-SUM(T8:V8)</f>
        <v>2201.5479999999998</v>
      </c>
      <c r="X8" s="66">
        <v>2093.482</v>
      </c>
      <c r="Y8" s="66">
        <v>2257.4670000000001</v>
      </c>
      <c r="Z8" s="66">
        <v>2133.415</v>
      </c>
      <c r="AA8" s="14">
        <f>H8-SUM(X8:Z8)</f>
        <v>2214.0989999999993</v>
      </c>
      <c r="AB8" s="66">
        <v>2063.8020000000001</v>
      </c>
      <c r="AC8" s="66">
        <f>4184.017-AB8</f>
        <v>2120.2149999999997</v>
      </c>
      <c r="AD8" s="66">
        <v>2093.2130000000002</v>
      </c>
      <c r="AE8" s="14">
        <f>I8-SUM(AB8:AD8)</f>
        <v>2160.1049999999996</v>
      </c>
      <c r="AF8" s="66">
        <v>2376.8710000000001</v>
      </c>
      <c r="AG8" s="66">
        <f>5300.52-AF8</f>
        <v>2923.6490000000003</v>
      </c>
      <c r="AI8" s="30"/>
    </row>
    <row r="9" spans="2:35" s="45" customFormat="1" ht="13.5" customHeight="1">
      <c r="B9" s="69" t="s">
        <v>109</v>
      </c>
      <c r="C9" s="66">
        <v>116.396137</v>
      </c>
      <c r="D9" s="66">
        <v>92.35</v>
      </c>
      <c r="E9" s="66">
        <v>93.147000000000006</v>
      </c>
      <c r="F9" s="66">
        <v>150.923</v>
      </c>
      <c r="G9" s="66">
        <v>128.06700000000001</v>
      </c>
      <c r="H9" s="66">
        <v>143.83799999999999</v>
      </c>
      <c r="I9" s="66">
        <v>124.855</v>
      </c>
      <c r="J9" s="14">
        <f>SUM(AD9:AG9)</f>
        <v>115.541</v>
      </c>
      <c r="L9" s="66">
        <v>20.408999999999999</v>
      </c>
      <c r="M9" s="66">
        <v>19.803999999999998</v>
      </c>
      <c r="N9" s="66">
        <v>26.686</v>
      </c>
      <c r="O9" s="14">
        <f>E9-SUM(L9:N9)</f>
        <v>26.248000000000005</v>
      </c>
      <c r="P9" s="66">
        <v>30.358000000000001</v>
      </c>
      <c r="Q9" s="66">
        <v>32.719000000000001</v>
      </c>
      <c r="R9" s="66">
        <v>43.021000000000001</v>
      </c>
      <c r="S9" s="14">
        <f>F9-SUM(P9:R9)</f>
        <v>44.825000000000003</v>
      </c>
      <c r="T9" s="66">
        <v>34.180999999999997</v>
      </c>
      <c r="U9" s="66">
        <v>33.594999999999999</v>
      </c>
      <c r="V9" s="66">
        <v>30.800999999999998</v>
      </c>
      <c r="W9" s="14">
        <f>G9-SUM(T9:V9)</f>
        <v>29.490000000000009</v>
      </c>
      <c r="X9" s="66">
        <v>29.417000000000002</v>
      </c>
      <c r="Y9" s="66">
        <v>40.881</v>
      </c>
      <c r="Z9" s="66">
        <v>40.043999999999997</v>
      </c>
      <c r="AA9" s="14">
        <f t="shared" ref="AA9" si="9">H9-SUM(X9:Z9)</f>
        <v>33.495999999999995</v>
      </c>
      <c r="AB9" s="66">
        <v>31.984999999999999</v>
      </c>
      <c r="AC9" s="66">
        <f>62.61-AB9</f>
        <v>30.625</v>
      </c>
      <c r="AD9" s="66">
        <v>33.521999999999998</v>
      </c>
      <c r="AE9" s="14">
        <f>I9-SUM(AB9:AD9)</f>
        <v>28.722999999999999</v>
      </c>
      <c r="AF9" s="66">
        <v>27.215</v>
      </c>
      <c r="AG9" s="66">
        <f>53.296-AF9</f>
        <v>26.081</v>
      </c>
    </row>
    <row r="10" spans="2:35" s="33" customFormat="1" ht="13.5" customHeight="1">
      <c r="B10" s="33" t="s">
        <v>110</v>
      </c>
      <c r="C10" s="83"/>
      <c r="D10" s="83">
        <f t="shared" ref="D10:I10" si="10">(D7/C7)-1</f>
        <v>-0.1666921278510235</v>
      </c>
      <c r="E10" s="83">
        <f t="shared" si="10"/>
        <v>0.32878598467146447</v>
      </c>
      <c r="F10" s="83">
        <f t="shared" si="10"/>
        <v>0.38063853099799005</v>
      </c>
      <c r="G10" s="83">
        <f t="shared" si="10"/>
        <v>-8.3037953562956734E-2</v>
      </c>
      <c r="H10" s="83">
        <f t="shared" si="10"/>
        <v>2.3515634531468654E-2</v>
      </c>
      <c r="I10" s="83">
        <f t="shared" si="10"/>
        <v>-3.1678518973737857E-2</v>
      </c>
      <c r="J10" s="83"/>
      <c r="K10" s="45"/>
      <c r="L10" s="83"/>
      <c r="M10" s="83"/>
      <c r="N10" s="83"/>
      <c r="O10" s="83"/>
      <c r="P10" s="83">
        <f t="shared" ref="P10:AG10" si="11">(P7/L7)-1</f>
        <v>0.45965402659296029</v>
      </c>
      <c r="Q10" s="83">
        <f t="shared" si="11"/>
        <v>0.38117251739721936</v>
      </c>
      <c r="R10" s="83">
        <f t="shared" si="11"/>
        <v>0.37337833448660573</v>
      </c>
      <c r="S10" s="83">
        <f t="shared" si="11"/>
        <v>0.32801533442915298</v>
      </c>
      <c r="T10" s="83">
        <f t="shared" si="11"/>
        <v>8.0847001867872414E-2</v>
      </c>
      <c r="U10" s="83">
        <f t="shared" si="11"/>
        <v>-0.18953857874220326</v>
      </c>
      <c r="V10" s="83">
        <f t="shared" si="11"/>
        <v>-8.5516298513650613E-2</v>
      </c>
      <c r="W10" s="83">
        <f t="shared" si="11"/>
        <v>-0.11265085374579475</v>
      </c>
      <c r="X10" s="83">
        <f t="shared" si="11"/>
        <v>-4.6842960467917694E-2</v>
      </c>
      <c r="Y10" s="83">
        <f t="shared" si="11"/>
        <v>0.17414153262040655</v>
      </c>
      <c r="Z10" s="83">
        <f t="shared" si="11"/>
        <v>-2.2465062642573974E-2</v>
      </c>
      <c r="AA10" s="83">
        <f t="shared" si="11"/>
        <v>7.421209320504607E-3</v>
      </c>
      <c r="AB10" s="83">
        <f t="shared" si="11"/>
        <v>-1.2771215210897746E-2</v>
      </c>
      <c r="AC10" s="83">
        <f t="shared" si="11"/>
        <v>-6.4180011034012385E-2</v>
      </c>
      <c r="AD10" s="83">
        <f t="shared" si="11"/>
        <v>-2.1497529974110252E-2</v>
      </c>
      <c r="AE10" s="83">
        <f t="shared" si="11"/>
        <v>-2.6146614492379538E-2</v>
      </c>
      <c r="AF10" s="83">
        <f t="shared" si="11"/>
        <v>0.1471041665970827</v>
      </c>
      <c r="AG10" s="83">
        <f t="shared" si="11"/>
        <v>0.37143162671328445</v>
      </c>
    </row>
    <row r="11" spans="2:35" s="45" customFormat="1" ht="13.5" customHeight="1">
      <c r="B11" s="33" t="s">
        <v>111</v>
      </c>
      <c r="C11" s="58"/>
      <c r="D11" s="58"/>
      <c r="E11" s="58"/>
      <c r="F11" s="58"/>
      <c r="G11" s="58"/>
      <c r="H11" s="58"/>
      <c r="I11" s="58"/>
      <c r="J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</row>
    <row r="12" spans="2:35" s="45" customFormat="1" ht="13.5" customHeight="1">
      <c r="B12" s="84" t="s">
        <v>112</v>
      </c>
      <c r="C12" s="66">
        <v>-750.68232699999999</v>
      </c>
      <c r="D12" s="66">
        <v>-795.11199999999997</v>
      </c>
      <c r="E12" s="66">
        <v>-861.495</v>
      </c>
      <c r="F12" s="66">
        <v>-1110.01</v>
      </c>
      <c r="G12" s="66">
        <v>-1224.8409999999999</v>
      </c>
      <c r="H12" s="66">
        <v>-1401.808</v>
      </c>
      <c r="I12" s="66">
        <v>-1530.354</v>
      </c>
      <c r="J12" s="14">
        <f t="shared" ref="J12:J23" si="12">SUM(AD12:AG12)</f>
        <v>-1722.6370000000002</v>
      </c>
      <c r="L12" s="66">
        <v>-174.202</v>
      </c>
      <c r="M12" s="66">
        <v>-192.45500000000001</v>
      </c>
      <c r="N12" s="66">
        <v>-219.80099999999999</v>
      </c>
      <c r="O12" s="14">
        <f t="shared" ref="O12:O23" si="13">E12-SUM(L12:N12)</f>
        <v>-275.03699999999992</v>
      </c>
      <c r="P12" s="66">
        <v>-196.71899999999999</v>
      </c>
      <c r="Q12" s="66">
        <v>-291.59800000000001</v>
      </c>
      <c r="R12" s="66">
        <v>-300.286</v>
      </c>
      <c r="S12" s="14">
        <f t="shared" ref="S12:S23" si="14">F12-SUM(P12:R12)</f>
        <v>-321.40699999999993</v>
      </c>
      <c r="T12" s="66">
        <v>-360.053</v>
      </c>
      <c r="U12" s="66">
        <v>-247.249</v>
      </c>
      <c r="V12" s="66">
        <v>-337.23700000000002</v>
      </c>
      <c r="W12" s="14">
        <f t="shared" ref="W12:W23" si="15">G12-SUM(T12:V12)</f>
        <v>-280.30199999999991</v>
      </c>
      <c r="X12" s="143">
        <v>-299.61</v>
      </c>
      <c r="Y12" s="66">
        <v>-309.71800000000002</v>
      </c>
      <c r="Z12" s="66">
        <v>-367.98599999999999</v>
      </c>
      <c r="AA12" s="14">
        <f t="shared" ref="AA12:AA23" si="16">H12-SUM(X12:Z12)</f>
        <v>-424.49400000000003</v>
      </c>
      <c r="AB12" s="66">
        <v>-356.12799999999999</v>
      </c>
      <c r="AC12" s="66">
        <f>-734.836-AB12</f>
        <v>-378.70800000000003</v>
      </c>
      <c r="AD12" s="66">
        <v>-369.78899999999999</v>
      </c>
      <c r="AE12" s="14">
        <f t="shared" ref="AE12:AE23" si="17">I12-SUM(AB12:AD12)</f>
        <v>-425.72900000000004</v>
      </c>
      <c r="AF12" s="66">
        <v>-424.43</v>
      </c>
      <c r="AG12" s="66">
        <f>-927.119-AF12</f>
        <v>-502.68900000000002</v>
      </c>
    </row>
    <row r="13" spans="2:35" s="45" customFormat="1" ht="13.5" customHeight="1">
      <c r="B13" s="84" t="s">
        <v>113</v>
      </c>
      <c r="C13" s="66">
        <v>-128.09799000000001</v>
      </c>
      <c r="D13" s="66">
        <v>-104.31399999999999</v>
      </c>
      <c r="E13" s="66">
        <v>-226.25200000000001</v>
      </c>
      <c r="F13" s="66">
        <v>-71.683000000000007</v>
      </c>
      <c r="G13" s="66">
        <v>-94.043999999999997</v>
      </c>
      <c r="H13" s="66">
        <v>-124.794</v>
      </c>
      <c r="I13" s="66">
        <v>-133.44999999999999</v>
      </c>
      <c r="J13" s="14">
        <f t="shared" si="12"/>
        <v>-137.23499999999999</v>
      </c>
      <c r="K13" s="176"/>
      <c r="L13" s="66">
        <v>-148.80500000000001</v>
      </c>
      <c r="M13" s="66">
        <v>-7.4640000000000004</v>
      </c>
      <c r="N13" s="66">
        <v>-50.284999999999997</v>
      </c>
      <c r="O13" s="14">
        <f t="shared" si="13"/>
        <v>-19.698000000000008</v>
      </c>
      <c r="P13" s="66">
        <v>-6.1219999999999999</v>
      </c>
      <c r="Q13" s="66">
        <v>-16.553000000000001</v>
      </c>
      <c r="R13" s="66">
        <v>-41.497</v>
      </c>
      <c r="S13" s="14">
        <f t="shared" si="14"/>
        <v>-7.5110000000000099</v>
      </c>
      <c r="T13" s="66">
        <v>-10.842000000000001</v>
      </c>
      <c r="U13" s="66">
        <v>-5.625</v>
      </c>
      <c r="V13" s="66">
        <v>-15.426</v>
      </c>
      <c r="W13" s="14">
        <f t="shared" si="15"/>
        <v>-62.150999999999996</v>
      </c>
      <c r="X13" s="143">
        <v>-46.298999999999999</v>
      </c>
      <c r="Y13" s="66">
        <v>-26.600999999999999</v>
      </c>
      <c r="Z13" s="66">
        <v>-45.837000000000003</v>
      </c>
      <c r="AA13" s="14">
        <f t="shared" si="16"/>
        <v>-6.0569999999999879</v>
      </c>
      <c r="AB13" s="66">
        <v>-8.4540000000000006</v>
      </c>
      <c r="AC13" s="66">
        <f>-48.96-AB13</f>
        <v>-40.506</v>
      </c>
      <c r="AD13" s="66">
        <v>-35.781999999999996</v>
      </c>
      <c r="AE13" s="14">
        <f t="shared" si="17"/>
        <v>-48.707999999999998</v>
      </c>
      <c r="AF13" s="66">
        <v>-6.7610000000000001</v>
      </c>
      <c r="AG13" s="66">
        <f>-52.745-AF13</f>
        <v>-45.983999999999995</v>
      </c>
    </row>
    <row r="14" spans="2:35" s="45" customFormat="1" ht="13.5" customHeight="1">
      <c r="B14" s="84" t="s">
        <v>114</v>
      </c>
      <c r="C14" s="66">
        <v>-383.77651200000003</v>
      </c>
      <c r="D14" s="66">
        <v>-314.11700000000002</v>
      </c>
      <c r="E14" s="66">
        <v>-355.03899999999999</v>
      </c>
      <c r="F14" s="66">
        <v>-578.36300000000006</v>
      </c>
      <c r="G14" s="66">
        <v>-486.93799999999999</v>
      </c>
      <c r="H14" s="66">
        <v>-516.07100000000003</v>
      </c>
      <c r="I14" s="66">
        <v>-618.14499999999998</v>
      </c>
      <c r="J14" s="14">
        <f t="shared" si="12"/>
        <v>-684.18899999999996</v>
      </c>
      <c r="K14" s="176"/>
      <c r="L14" s="66">
        <v>-74.944999999999993</v>
      </c>
      <c r="M14" s="66">
        <v>-82.935000000000002</v>
      </c>
      <c r="N14" s="66">
        <v>-71.625</v>
      </c>
      <c r="O14" s="14">
        <f t="shared" si="13"/>
        <v>-125.53399999999999</v>
      </c>
      <c r="P14" s="66">
        <v>-92.608999999999995</v>
      </c>
      <c r="Q14" s="66">
        <v>-112.4</v>
      </c>
      <c r="R14" s="66">
        <v>-80.444000000000003</v>
      </c>
      <c r="S14" s="14">
        <f t="shared" si="14"/>
        <v>-292.91000000000003</v>
      </c>
      <c r="T14" s="66">
        <v>-100.29300000000001</v>
      </c>
      <c r="U14" s="66">
        <v>-105.718</v>
      </c>
      <c r="V14" s="66">
        <v>-113.15300000000001</v>
      </c>
      <c r="W14" s="14">
        <f t="shared" si="15"/>
        <v>-167.77399999999994</v>
      </c>
      <c r="X14" s="143">
        <v>-105.35599999999999</v>
      </c>
      <c r="Y14" s="66">
        <v>-111.533</v>
      </c>
      <c r="Z14" s="66">
        <v>-129.43600000000001</v>
      </c>
      <c r="AA14" s="14">
        <f t="shared" si="16"/>
        <v>-169.74599999999998</v>
      </c>
      <c r="AB14" s="66">
        <v>-125.502</v>
      </c>
      <c r="AC14" s="66">
        <f>-251.496-AB14</f>
        <v>-125.99400000000001</v>
      </c>
      <c r="AD14" s="66">
        <v>-166.273</v>
      </c>
      <c r="AE14" s="14">
        <f t="shared" si="17"/>
        <v>-200.37599999999998</v>
      </c>
      <c r="AF14" s="66">
        <v>-152.81800000000001</v>
      </c>
      <c r="AG14" s="66">
        <f>-317.54-AF14</f>
        <v>-164.72200000000001</v>
      </c>
    </row>
    <row r="15" spans="2:35" s="45" customFormat="1" ht="13.5" customHeight="1">
      <c r="B15" s="84" t="s">
        <v>115</v>
      </c>
      <c r="C15" s="66">
        <v>-546.33420899999999</v>
      </c>
      <c r="D15" s="66">
        <v>-410.154</v>
      </c>
      <c r="E15" s="66">
        <v>-530.21500000000003</v>
      </c>
      <c r="F15" s="66">
        <v>-687.72299999999996</v>
      </c>
      <c r="G15" s="66">
        <v>-450.15499999999997</v>
      </c>
      <c r="H15" s="66">
        <v>-396.387</v>
      </c>
      <c r="I15" s="66">
        <v>-362.67599999999999</v>
      </c>
      <c r="J15" s="14">
        <f t="shared" si="12"/>
        <v>-406.89399999999995</v>
      </c>
      <c r="K15" s="176"/>
      <c r="L15" s="66">
        <v>-117.6</v>
      </c>
      <c r="M15" s="66">
        <v>-137.964</v>
      </c>
      <c r="N15" s="66">
        <v>-131.99700000000001</v>
      </c>
      <c r="O15" s="14">
        <f t="shared" si="13"/>
        <v>-142.654</v>
      </c>
      <c r="P15" s="66">
        <v>-164.209</v>
      </c>
      <c r="Q15" s="66">
        <v>-178.68100000000001</v>
      </c>
      <c r="R15" s="66">
        <v>-170.82400000000001</v>
      </c>
      <c r="S15" s="14">
        <f t="shared" si="14"/>
        <v>-174.00900000000001</v>
      </c>
      <c r="T15" s="66">
        <v>-140.51599999999999</v>
      </c>
      <c r="U15" s="66">
        <v>-93.561999999999998</v>
      </c>
      <c r="V15" s="66">
        <v>-106.837</v>
      </c>
      <c r="W15" s="14">
        <f t="shared" si="15"/>
        <v>-109.24000000000001</v>
      </c>
      <c r="X15" s="143">
        <v>-103.908</v>
      </c>
      <c r="Y15" s="66">
        <v>-104.226</v>
      </c>
      <c r="Z15" s="66">
        <v>-93.522999999999996</v>
      </c>
      <c r="AA15" s="14">
        <f t="shared" si="16"/>
        <v>-94.729999999999961</v>
      </c>
      <c r="AB15" s="66">
        <v>-95.096999999999994</v>
      </c>
      <c r="AC15" s="66">
        <f>-183.889-AB15</f>
        <v>-88.792000000000016</v>
      </c>
      <c r="AD15" s="66">
        <v>-87.983000000000004</v>
      </c>
      <c r="AE15" s="14">
        <f t="shared" si="17"/>
        <v>-90.803999999999974</v>
      </c>
      <c r="AF15" s="66">
        <v>-104.38800000000001</v>
      </c>
      <c r="AG15" s="66">
        <f>-228.107-AF15</f>
        <v>-123.71899999999999</v>
      </c>
    </row>
    <row r="16" spans="2:35" s="45" customFormat="1" ht="13.5" customHeight="1">
      <c r="B16" s="84" t="s">
        <v>116</v>
      </c>
      <c r="C16" s="66">
        <v>-2026.0555870000001</v>
      </c>
      <c r="D16" s="66">
        <v>-2086.0830000000001</v>
      </c>
      <c r="E16" s="66">
        <v>-2202.0639999999999</v>
      </c>
      <c r="F16" s="66">
        <v>-2363.1350000000002</v>
      </c>
      <c r="G16" s="66">
        <v>-2334.7109999999998</v>
      </c>
      <c r="H16" s="66">
        <v>-2688.9409999999998</v>
      </c>
      <c r="I16" s="66">
        <v>-2897.0439999999999</v>
      </c>
      <c r="J16" s="14">
        <f t="shared" si="12"/>
        <v>-2879.6289999999999</v>
      </c>
      <c r="K16" s="176"/>
      <c r="L16" s="66">
        <v>-546.65899999999999</v>
      </c>
      <c r="M16" s="66">
        <v>-629.71400000000006</v>
      </c>
      <c r="N16" s="66">
        <v>-605.82100000000003</v>
      </c>
      <c r="O16" s="14">
        <f t="shared" si="13"/>
        <v>-419.86999999999989</v>
      </c>
      <c r="P16" s="66">
        <v>-516.75900000000001</v>
      </c>
      <c r="Q16" s="66">
        <v>-565.33000000000004</v>
      </c>
      <c r="R16" s="66">
        <v>-631.11199999999997</v>
      </c>
      <c r="S16" s="14">
        <f t="shared" si="14"/>
        <v>-649.9340000000002</v>
      </c>
      <c r="T16" s="66">
        <v>-491.62400000000002</v>
      </c>
      <c r="U16" s="66">
        <v>-559.71600000000001</v>
      </c>
      <c r="V16" s="66">
        <v>-629.44399999999996</v>
      </c>
      <c r="W16" s="14">
        <f t="shared" si="15"/>
        <v>-653.92699999999968</v>
      </c>
      <c r="X16" s="143">
        <v>-623.245</v>
      </c>
      <c r="Y16" s="66">
        <v>-716.25</v>
      </c>
      <c r="Z16" s="66">
        <v>-722.53300000000002</v>
      </c>
      <c r="AA16" s="14">
        <f t="shared" si="16"/>
        <v>-626.91300000000001</v>
      </c>
      <c r="AB16" s="66">
        <v>-680.71100000000001</v>
      </c>
      <c r="AC16" s="66">
        <f>-1435.575-AB16</f>
        <v>-754.86400000000003</v>
      </c>
      <c r="AD16" s="66">
        <v>-736.68200000000002</v>
      </c>
      <c r="AE16" s="14">
        <f t="shared" si="17"/>
        <v>-724.78699999999981</v>
      </c>
      <c r="AF16" s="66">
        <v>-668.85799999999995</v>
      </c>
      <c r="AG16" s="66">
        <f>-1418.16-AF16</f>
        <v>-749.30200000000013</v>
      </c>
    </row>
    <row r="17" spans="2:33" s="45" customFormat="1" ht="13.5" customHeight="1">
      <c r="B17" s="84" t="s">
        <v>117</v>
      </c>
      <c r="C17" s="66">
        <v>108.59753000000001</v>
      </c>
      <c r="D17" s="66">
        <v>26.062000000000001</v>
      </c>
      <c r="E17" s="66">
        <v>-37.591999999999999</v>
      </c>
      <c r="F17" s="66">
        <v>-91.063999999999993</v>
      </c>
      <c r="G17" s="66">
        <v>48.128999999999998</v>
      </c>
      <c r="H17" s="66">
        <v>6.49</v>
      </c>
      <c r="I17" s="66">
        <v>51.424999999999997</v>
      </c>
      <c r="J17" s="14">
        <f t="shared" si="12"/>
        <v>38.052999999999997</v>
      </c>
      <c r="K17" s="176"/>
      <c r="L17" s="66">
        <v>-4.4619999999999997</v>
      </c>
      <c r="M17" s="66">
        <v>-1.7529999999999999</v>
      </c>
      <c r="N17" s="66">
        <v>-36.323</v>
      </c>
      <c r="O17" s="14">
        <f t="shared" si="13"/>
        <v>4.945999999999998</v>
      </c>
      <c r="P17" s="66">
        <v>-4.8239999999999998</v>
      </c>
      <c r="Q17" s="66">
        <v>-44.216999999999999</v>
      </c>
      <c r="R17" s="66">
        <v>-86.590999999999994</v>
      </c>
      <c r="S17" s="14">
        <f t="shared" si="14"/>
        <v>44.568000000000012</v>
      </c>
      <c r="T17" s="66">
        <v>18.966000000000001</v>
      </c>
      <c r="U17" s="66">
        <v>8.798</v>
      </c>
      <c r="V17" s="66">
        <v>-4.9050000000000002</v>
      </c>
      <c r="W17" s="14">
        <f t="shared" si="15"/>
        <v>25.269999999999996</v>
      </c>
      <c r="X17" s="143">
        <v>-2.0630000000000002</v>
      </c>
      <c r="Y17" s="66">
        <v>0.79900000000000004</v>
      </c>
      <c r="Z17" s="66">
        <v>0</v>
      </c>
      <c r="AA17" s="14">
        <f t="shared" si="16"/>
        <v>7.7540000000000004</v>
      </c>
      <c r="AB17" s="66">
        <v>0</v>
      </c>
      <c r="AC17" s="66">
        <f>1.814-AB17</f>
        <v>1.8140000000000001</v>
      </c>
      <c r="AD17" s="66">
        <v>0</v>
      </c>
      <c r="AE17" s="14">
        <f t="shared" si="17"/>
        <v>49.610999999999997</v>
      </c>
      <c r="AF17" s="66">
        <v>23.190999999999999</v>
      </c>
      <c r="AG17" s="66">
        <f>-11.558-AF17</f>
        <v>-34.748999999999995</v>
      </c>
    </row>
    <row r="18" spans="2:33" s="45" customFormat="1" ht="13.5" customHeight="1">
      <c r="B18" s="84" t="s">
        <v>118</v>
      </c>
      <c r="C18" s="66">
        <v>-109.39972400000001</v>
      </c>
      <c r="D18" s="66">
        <v>0</v>
      </c>
      <c r="E18" s="66">
        <v>-234.29</v>
      </c>
      <c r="F18" s="66">
        <v>-184.48599999999999</v>
      </c>
      <c r="G18" s="66">
        <v>-55.588000000000001</v>
      </c>
      <c r="H18" s="66">
        <v>0</v>
      </c>
      <c r="I18" s="66">
        <v>0</v>
      </c>
      <c r="J18" s="14">
        <f t="shared" si="12"/>
        <v>-152.523</v>
      </c>
      <c r="K18" s="176"/>
      <c r="L18" s="66">
        <v>-98.358999999999995</v>
      </c>
      <c r="M18" s="66">
        <v>-124.35</v>
      </c>
      <c r="N18" s="66">
        <v>-5.0519999999999996</v>
      </c>
      <c r="O18" s="14">
        <f t="shared" si="13"/>
        <v>-6.5289999999999964</v>
      </c>
      <c r="P18" s="66">
        <v>-245.61199999999999</v>
      </c>
      <c r="Q18" s="66">
        <v>0</v>
      </c>
      <c r="R18" s="66">
        <v>0</v>
      </c>
      <c r="S18" s="14">
        <f t="shared" si="14"/>
        <v>61.126000000000005</v>
      </c>
      <c r="T18" s="66">
        <v>-41.765000000000001</v>
      </c>
      <c r="U18" s="66">
        <v>0</v>
      </c>
      <c r="V18" s="66">
        <v>-19.904</v>
      </c>
      <c r="W18" s="14">
        <f t="shared" si="15"/>
        <v>6.080999999999996</v>
      </c>
      <c r="X18" s="143">
        <v>-11.832000000000001</v>
      </c>
      <c r="Y18" s="66">
        <v>0</v>
      </c>
      <c r="Z18" s="66">
        <v>-31.036000000000001</v>
      </c>
      <c r="AA18" s="14">
        <f t="shared" si="16"/>
        <v>42.868000000000002</v>
      </c>
      <c r="AB18" s="66">
        <v>0</v>
      </c>
      <c r="AC18" s="66">
        <f>0-AB18</f>
        <v>0</v>
      </c>
      <c r="AD18" s="66">
        <v>-17.577000000000002</v>
      </c>
      <c r="AE18" s="14">
        <f t="shared" si="17"/>
        <v>17.577000000000002</v>
      </c>
      <c r="AF18" s="66">
        <v>-276.41000000000003</v>
      </c>
      <c r="AG18" s="66">
        <f>-152.523-AF18</f>
        <v>123.88700000000003</v>
      </c>
    </row>
    <row r="19" spans="2:33" s="45" customFormat="1" ht="13.5" customHeight="1">
      <c r="B19" s="84" t="s">
        <v>119</v>
      </c>
      <c r="C19" s="66">
        <v>0</v>
      </c>
      <c r="D19" s="66">
        <v>-91.575999999999993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14">
        <f t="shared" si="12"/>
        <v>0</v>
      </c>
      <c r="K19" s="176"/>
      <c r="L19" s="66">
        <v>0</v>
      </c>
      <c r="M19" s="66">
        <v>0</v>
      </c>
      <c r="N19" s="66">
        <v>0</v>
      </c>
      <c r="O19" s="14">
        <f t="shared" si="13"/>
        <v>0</v>
      </c>
      <c r="P19" s="66">
        <v>0</v>
      </c>
      <c r="Q19" s="66">
        <v>0</v>
      </c>
      <c r="R19" s="66">
        <v>0</v>
      </c>
      <c r="S19" s="14">
        <f t="shared" si="14"/>
        <v>0</v>
      </c>
      <c r="T19" s="66">
        <v>0</v>
      </c>
      <c r="U19" s="66">
        <v>0</v>
      </c>
      <c r="V19" s="66">
        <v>0</v>
      </c>
      <c r="W19" s="14">
        <f t="shared" si="15"/>
        <v>0</v>
      </c>
      <c r="X19" s="143">
        <v>0</v>
      </c>
      <c r="Y19" s="66">
        <v>0</v>
      </c>
      <c r="Z19" s="66">
        <v>0</v>
      </c>
      <c r="AA19" s="14">
        <f t="shared" si="16"/>
        <v>0</v>
      </c>
      <c r="AB19" s="66">
        <v>0</v>
      </c>
      <c r="AC19" s="66">
        <f t="shared" ref="AC19:AC21" si="18">0-AB19</f>
        <v>0</v>
      </c>
      <c r="AD19" s="66">
        <v>0</v>
      </c>
      <c r="AE19" s="14">
        <f t="shared" si="17"/>
        <v>0</v>
      </c>
      <c r="AF19" s="66">
        <v>0</v>
      </c>
      <c r="AG19" s="66">
        <f t="shared" ref="AG19:AG21" si="19">0-AF19</f>
        <v>0</v>
      </c>
    </row>
    <row r="20" spans="2:33" s="45" customFormat="1" ht="13.5" customHeight="1">
      <c r="B20" s="84" t="s">
        <v>120</v>
      </c>
      <c r="C20" s="66">
        <v>0</v>
      </c>
      <c r="D20" s="66">
        <v>0</v>
      </c>
      <c r="E20" s="66">
        <v>-183</v>
      </c>
      <c r="F20" s="66">
        <v>-300.08</v>
      </c>
      <c r="G20" s="66">
        <v>-120</v>
      </c>
      <c r="H20" s="66">
        <v>0</v>
      </c>
      <c r="I20" s="66">
        <v>0</v>
      </c>
      <c r="J20" s="14">
        <f t="shared" si="12"/>
        <v>0</v>
      </c>
      <c r="K20" s="176"/>
      <c r="L20" s="66">
        <v>0</v>
      </c>
      <c r="M20" s="66">
        <v>0</v>
      </c>
      <c r="N20" s="66">
        <v>0</v>
      </c>
      <c r="O20" s="14">
        <f t="shared" si="13"/>
        <v>-183</v>
      </c>
      <c r="P20" s="66">
        <v>0</v>
      </c>
      <c r="Q20" s="66">
        <v>0</v>
      </c>
      <c r="R20" s="66">
        <v>-94.995999999999995</v>
      </c>
      <c r="S20" s="14">
        <f t="shared" si="14"/>
        <v>-205.084</v>
      </c>
      <c r="T20" s="66">
        <v>0</v>
      </c>
      <c r="U20" s="66">
        <v>0</v>
      </c>
      <c r="V20" s="66">
        <v>0</v>
      </c>
      <c r="W20" s="14">
        <f t="shared" si="15"/>
        <v>-120</v>
      </c>
      <c r="X20" s="143">
        <v>0</v>
      </c>
      <c r="Y20" s="66">
        <v>0</v>
      </c>
      <c r="Z20" s="66">
        <v>0</v>
      </c>
      <c r="AA20" s="14">
        <f t="shared" si="16"/>
        <v>0</v>
      </c>
      <c r="AB20" s="66">
        <v>0</v>
      </c>
      <c r="AC20" s="66">
        <f t="shared" si="18"/>
        <v>0</v>
      </c>
      <c r="AD20" s="66">
        <v>0</v>
      </c>
      <c r="AE20" s="14">
        <f t="shared" si="17"/>
        <v>0</v>
      </c>
      <c r="AF20" s="66">
        <v>0</v>
      </c>
      <c r="AG20" s="66">
        <f t="shared" si="19"/>
        <v>0</v>
      </c>
    </row>
    <row r="21" spans="2:33" s="45" customFormat="1" ht="13.5" customHeight="1">
      <c r="B21" s="84" t="s">
        <v>121</v>
      </c>
      <c r="C21" s="66">
        <v>0</v>
      </c>
      <c r="D21" s="66">
        <v>22.306999999999999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14">
        <f t="shared" si="12"/>
        <v>0</v>
      </c>
      <c r="K21" s="176"/>
      <c r="L21" s="66">
        <v>0</v>
      </c>
      <c r="M21" s="66">
        <v>0</v>
      </c>
      <c r="N21" s="66">
        <v>0</v>
      </c>
      <c r="O21" s="14">
        <f t="shared" si="13"/>
        <v>0</v>
      </c>
      <c r="P21" s="66">
        <v>0</v>
      </c>
      <c r="Q21" s="66">
        <v>0</v>
      </c>
      <c r="R21" s="66">
        <v>0</v>
      </c>
      <c r="S21" s="14">
        <f t="shared" si="14"/>
        <v>0</v>
      </c>
      <c r="T21" s="66">
        <v>0</v>
      </c>
      <c r="U21" s="66">
        <v>0</v>
      </c>
      <c r="V21" s="66">
        <v>0</v>
      </c>
      <c r="W21" s="14">
        <f t="shared" si="15"/>
        <v>0</v>
      </c>
      <c r="X21" s="143">
        <v>0</v>
      </c>
      <c r="Y21" s="66">
        <v>0</v>
      </c>
      <c r="Z21" s="66">
        <v>22.741</v>
      </c>
      <c r="AA21" s="14">
        <f t="shared" si="16"/>
        <v>-22.741</v>
      </c>
      <c r="AB21" s="66">
        <v>-8.202</v>
      </c>
      <c r="AC21" s="66">
        <f t="shared" si="18"/>
        <v>8.202</v>
      </c>
      <c r="AD21" s="66">
        <v>34.655999999999999</v>
      </c>
      <c r="AE21" s="14">
        <f t="shared" si="17"/>
        <v>-34.655999999999999</v>
      </c>
      <c r="AF21" s="66">
        <v>0</v>
      </c>
      <c r="AG21" s="66">
        <f t="shared" si="19"/>
        <v>0</v>
      </c>
    </row>
    <row r="22" spans="2:33" s="45" customFormat="1" ht="13.5" customHeight="1">
      <c r="B22" s="84" t="s">
        <v>122</v>
      </c>
      <c r="C22" s="66">
        <v>0</v>
      </c>
      <c r="D22" s="66">
        <v>99.331000000000003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14">
        <f t="shared" si="12"/>
        <v>-6.5730000000000004</v>
      </c>
      <c r="K22" s="176"/>
      <c r="L22" s="66">
        <v>0</v>
      </c>
      <c r="M22" s="66">
        <v>0</v>
      </c>
      <c r="N22" s="66">
        <v>0</v>
      </c>
      <c r="O22" s="14">
        <f t="shared" si="13"/>
        <v>0</v>
      </c>
      <c r="P22" s="66">
        <v>0</v>
      </c>
      <c r="Q22" s="66">
        <v>8.7240000000000002</v>
      </c>
      <c r="R22" s="66">
        <v>152.51900000000001</v>
      </c>
      <c r="S22" s="14">
        <f t="shared" si="14"/>
        <v>-161.24299999999999</v>
      </c>
      <c r="T22" s="66">
        <v>0</v>
      </c>
      <c r="U22" s="66">
        <v>28.538</v>
      </c>
      <c r="V22" s="66">
        <v>0</v>
      </c>
      <c r="W22" s="14">
        <f t="shared" si="15"/>
        <v>-28.538</v>
      </c>
      <c r="X22" s="143">
        <v>0</v>
      </c>
      <c r="Y22" s="66">
        <v>13.964</v>
      </c>
      <c r="Z22" s="66">
        <v>0</v>
      </c>
      <c r="AA22" s="14">
        <f t="shared" si="16"/>
        <v>-13.964</v>
      </c>
      <c r="AB22" s="66">
        <v>4.609</v>
      </c>
      <c r="AC22" s="66">
        <f>6.573-AB22</f>
        <v>1.9640000000000004</v>
      </c>
      <c r="AD22" s="66">
        <v>0</v>
      </c>
      <c r="AE22" s="14">
        <f t="shared" si="17"/>
        <v>-6.5730000000000004</v>
      </c>
      <c r="AF22" s="66">
        <v>0</v>
      </c>
      <c r="AG22" s="66">
        <f>0-AF22</f>
        <v>0</v>
      </c>
    </row>
    <row r="23" spans="2:33" s="45" customFormat="1" ht="13.5" customHeight="1">
      <c r="B23" s="84" t="s">
        <v>123</v>
      </c>
      <c r="C23" s="66">
        <v>55.390650999999998</v>
      </c>
      <c r="D23" s="66">
        <f>37.012-20.341</f>
        <v>16.670999999999999</v>
      </c>
      <c r="E23" s="66">
        <v>131.59399999999999</v>
      </c>
      <c r="F23" s="66">
        <v>195.13399999999999</v>
      </c>
      <c r="G23" s="66">
        <f>144.545+73.239</f>
        <v>217.78399999999999</v>
      </c>
      <c r="H23" s="66">
        <f>174.592+11.089</f>
        <v>185.68100000000001</v>
      </c>
      <c r="I23" s="66">
        <f>(17076+161400)/1000</f>
        <v>178.476</v>
      </c>
      <c r="J23" s="14">
        <f t="shared" si="12"/>
        <v>188.303</v>
      </c>
      <c r="K23" s="176"/>
      <c r="L23" s="66">
        <v>11.675000000000001</v>
      </c>
      <c r="M23" s="66">
        <v>14.391999999999999</v>
      </c>
      <c r="N23" s="66">
        <v>10.459</v>
      </c>
      <c r="O23" s="14">
        <f t="shared" si="13"/>
        <v>95.067999999999998</v>
      </c>
      <c r="P23" s="66">
        <v>18.172999999999998</v>
      </c>
      <c r="Q23" s="66">
        <v>39.518999999999998</v>
      </c>
      <c r="R23" s="66">
        <v>21.835000000000001</v>
      </c>
      <c r="S23" s="14">
        <f t="shared" si="14"/>
        <v>115.607</v>
      </c>
      <c r="T23" s="66">
        <v>33.372999999999998</v>
      </c>
      <c r="U23" s="66">
        <v>41.488</v>
      </c>
      <c r="V23" s="66">
        <v>31.442</v>
      </c>
      <c r="W23" s="14">
        <f t="shared" si="15"/>
        <v>111.48099999999999</v>
      </c>
      <c r="X23" s="66">
        <v>29.486999999999998</v>
      </c>
      <c r="Y23" s="66">
        <v>32.170999999999999</v>
      </c>
      <c r="Z23" s="66">
        <v>50.93</v>
      </c>
      <c r="AA23" s="14">
        <f t="shared" si="16"/>
        <v>73.093000000000018</v>
      </c>
      <c r="AB23" s="66">
        <v>30.623000000000001</v>
      </c>
      <c r="AC23" s="66">
        <f>72.194-AB23</f>
        <v>41.570999999999998</v>
      </c>
      <c r="AD23" s="66">
        <v>33.209000000000003</v>
      </c>
      <c r="AE23" s="14">
        <f t="shared" si="17"/>
        <v>73.072999999999993</v>
      </c>
      <c r="AF23" s="66">
        <v>35.631</v>
      </c>
      <c r="AG23" s="66">
        <f>82.021-AF23</f>
        <v>46.39</v>
      </c>
    </row>
    <row r="24" spans="2:33" s="33" customFormat="1" ht="13.5" customHeight="1">
      <c r="B24" s="33" t="s">
        <v>124</v>
      </c>
      <c r="C24" s="58">
        <f t="shared" ref="C24:J24" si="20">C7+SUM(C12:C23)</f>
        <v>2382.4541269999995</v>
      </c>
      <c r="D24" s="58">
        <f t="shared" si="20"/>
        <v>1498.5350000000003</v>
      </c>
      <c r="E24" s="58">
        <f t="shared" si="20"/>
        <v>2325.6539999999995</v>
      </c>
      <c r="F24" s="58">
        <f t="shared" si="20"/>
        <v>4230.0770000000002</v>
      </c>
      <c r="G24" s="58">
        <f t="shared" si="20"/>
        <v>4138.7820000000002</v>
      </c>
      <c r="H24" s="58">
        <f t="shared" si="20"/>
        <v>3906.4709999999986</v>
      </c>
      <c r="I24" s="58">
        <f t="shared" ref="I24" si="21">I7+SUM(I12:I23)</f>
        <v>3250.4219999999987</v>
      </c>
      <c r="J24" s="58">
        <f t="shared" si="20"/>
        <v>3906.0549999999985</v>
      </c>
      <c r="L24" s="58">
        <f t="shared" ref="L24:AC24" si="22">L7+SUM(L12:L23)</f>
        <v>258.37000000000012</v>
      </c>
      <c r="M24" s="58">
        <f t="shared" si="22"/>
        <v>586.45600000000013</v>
      </c>
      <c r="N24" s="58">
        <f t="shared" si="22"/>
        <v>659.87999999999988</v>
      </c>
      <c r="O24" s="58">
        <f t="shared" si="22"/>
        <v>820.94800000000009</v>
      </c>
      <c r="P24" s="58">
        <f t="shared" si="22"/>
        <v>851.95200000000023</v>
      </c>
      <c r="Q24" s="58">
        <f t="shared" si="22"/>
        <v>1254.7189999999998</v>
      </c>
      <c r="R24" s="58">
        <f t="shared" si="22"/>
        <v>1199.93</v>
      </c>
      <c r="S24" s="58">
        <f t="shared" si="22"/>
        <v>923.47599999999989</v>
      </c>
      <c r="T24" s="58">
        <f t="shared" si="22"/>
        <v>1134.4749999999997</v>
      </c>
      <c r="U24" s="58">
        <f t="shared" si="22"/>
        <v>1024.425</v>
      </c>
      <c r="V24" s="58">
        <f t="shared" si="22"/>
        <v>1027.944</v>
      </c>
      <c r="W24" s="58">
        <f t="shared" si="22"/>
        <v>951.93799999999987</v>
      </c>
      <c r="X24" s="58">
        <f t="shared" si="22"/>
        <v>960.07299999999964</v>
      </c>
      <c r="Y24" s="58">
        <f t="shared" si="22"/>
        <v>1076.954</v>
      </c>
      <c r="Z24" s="58">
        <f t="shared" si="22"/>
        <v>856.77899999999977</v>
      </c>
      <c r="AA24" s="58">
        <f t="shared" si="22"/>
        <v>1012.6649999999993</v>
      </c>
      <c r="AB24" s="58">
        <f t="shared" si="22"/>
        <v>856.92500000000018</v>
      </c>
      <c r="AC24" s="58">
        <f t="shared" si="22"/>
        <v>815.52699999999959</v>
      </c>
      <c r="AD24" s="58">
        <f t="shared" ref="AD24" si="23">AD7+SUM(AD12:AD23)</f>
        <v>780.51400000000012</v>
      </c>
      <c r="AE24" s="58">
        <f t="shared" ref="AE24:AG24" si="24">AE7+SUM(AE12:AE23)</f>
        <v>797.4559999999999</v>
      </c>
      <c r="AF24" s="58">
        <f t="shared" si="24"/>
        <v>829.24300000000017</v>
      </c>
      <c r="AG24" s="58">
        <f t="shared" si="24"/>
        <v>1498.8420000000003</v>
      </c>
    </row>
    <row r="25" spans="2:33" s="45" customFormat="1" ht="13.5" customHeight="1">
      <c r="B25" s="84" t="s">
        <v>125</v>
      </c>
      <c r="C25" s="66">
        <v>-234.97874100000001</v>
      </c>
      <c r="D25" s="66">
        <v>-254.476</v>
      </c>
      <c r="E25" s="66">
        <v>-202.226</v>
      </c>
      <c r="F25" s="66">
        <v>-233.583</v>
      </c>
      <c r="G25" s="66">
        <v>-294.45699999999999</v>
      </c>
      <c r="H25" s="66">
        <v>-334.46600000000001</v>
      </c>
      <c r="I25" s="66">
        <v>-397.66199999999998</v>
      </c>
      <c r="J25" s="14">
        <f t="shared" ref="J25:J28" si="25">SUM(AD25:AG25)</f>
        <v>-389.97999999999996</v>
      </c>
      <c r="L25" s="66">
        <v>-48.02</v>
      </c>
      <c r="M25" s="66">
        <v>-51.372</v>
      </c>
      <c r="N25" s="66">
        <v>-52.008000000000003</v>
      </c>
      <c r="O25" s="14">
        <f>E25-SUM(L25:N25)</f>
        <v>-50.825999999999993</v>
      </c>
      <c r="P25" s="66">
        <v>-51.968000000000004</v>
      </c>
      <c r="Q25" s="66">
        <v>-63.694000000000003</v>
      </c>
      <c r="R25" s="66">
        <v>-62.335000000000001</v>
      </c>
      <c r="S25" s="14">
        <f>F25-SUM(P25:R25)</f>
        <v>-55.585999999999984</v>
      </c>
      <c r="T25" s="66">
        <v>-77.159000000000006</v>
      </c>
      <c r="U25" s="66">
        <v>-75.596000000000004</v>
      </c>
      <c r="V25" s="66">
        <v>-75.457999999999998</v>
      </c>
      <c r="W25" s="14">
        <f>G25-SUM(T25:V25)</f>
        <v>-66.244</v>
      </c>
      <c r="X25" s="143">
        <v>-84.853999999999999</v>
      </c>
      <c r="Y25" s="66">
        <v>-87.501000000000005</v>
      </c>
      <c r="Z25" s="66">
        <v>-84.507000000000005</v>
      </c>
      <c r="AA25" s="14">
        <f t="shared" ref="AA25:AA28" si="26">H25-SUM(X25:Z25)</f>
        <v>-77.603999999999985</v>
      </c>
      <c r="AB25" s="66">
        <v>-96.744</v>
      </c>
      <c r="AC25" s="66">
        <f>-193.895-AB25</f>
        <v>-97.15100000000001</v>
      </c>
      <c r="AD25" s="66">
        <v>-98.578999999999994</v>
      </c>
      <c r="AE25" s="14">
        <f t="shared" ref="AE25:AE28" si="27">I25-SUM(AB25:AD25)</f>
        <v>-105.18799999999999</v>
      </c>
      <c r="AF25" s="66">
        <v>-91.918999999999997</v>
      </c>
      <c r="AG25" s="66">
        <f>-186.213-AF25</f>
        <v>-94.293999999999997</v>
      </c>
    </row>
    <row r="26" spans="2:33" s="45" customFormat="1" ht="13.5" customHeight="1">
      <c r="B26" s="84" t="s">
        <v>126</v>
      </c>
      <c r="C26" s="66">
        <v>86.234820999999997</v>
      </c>
      <c r="D26" s="66">
        <v>36.728999999999999</v>
      </c>
      <c r="E26" s="66">
        <v>16.75</v>
      </c>
      <c r="F26" s="66">
        <v>44.030999999999999</v>
      </c>
      <c r="G26" s="66">
        <v>152.274</v>
      </c>
      <c r="H26" s="66">
        <v>238.34</v>
      </c>
      <c r="I26" s="66">
        <v>178.19200000000001</v>
      </c>
      <c r="J26" s="14">
        <f t="shared" si="25"/>
        <v>133.26700000000002</v>
      </c>
      <c r="L26" s="66">
        <v>5.1310000000000002</v>
      </c>
      <c r="M26" s="66">
        <v>4.726</v>
      </c>
      <c r="N26" s="66">
        <v>3.4649999999999999</v>
      </c>
      <c r="O26" s="14">
        <f>E26-SUM(L26:N26)</f>
        <v>3.4280000000000008</v>
      </c>
      <c r="P26" s="66">
        <v>4.2640000000000002</v>
      </c>
      <c r="Q26" s="66">
        <v>5.5869999999999997</v>
      </c>
      <c r="R26" s="66">
        <v>11.401999999999999</v>
      </c>
      <c r="S26" s="14">
        <f>F26-SUM(P26:R26)</f>
        <v>22.777999999999999</v>
      </c>
      <c r="T26" s="66">
        <v>34.786999999999999</v>
      </c>
      <c r="U26" s="66">
        <v>37.334000000000003</v>
      </c>
      <c r="V26" s="66">
        <v>36.905999999999999</v>
      </c>
      <c r="W26" s="14">
        <f>G26-SUM(T26:V26)</f>
        <v>43.246999999999986</v>
      </c>
      <c r="X26" s="143">
        <v>56.7</v>
      </c>
      <c r="Y26" s="66">
        <v>66.399000000000001</v>
      </c>
      <c r="Z26" s="66">
        <v>59.845999999999997</v>
      </c>
      <c r="AA26" s="14">
        <f t="shared" si="26"/>
        <v>55.39500000000001</v>
      </c>
      <c r="AB26" s="66">
        <v>54.048999999999999</v>
      </c>
      <c r="AC26" s="66">
        <f>103.79-AB26</f>
        <v>49.741000000000007</v>
      </c>
      <c r="AD26" s="66">
        <v>39.804000000000002</v>
      </c>
      <c r="AE26" s="14">
        <f t="shared" si="27"/>
        <v>34.598000000000013</v>
      </c>
      <c r="AF26" s="66">
        <v>28.37</v>
      </c>
      <c r="AG26" s="66">
        <f>58.865-AF26</f>
        <v>30.495000000000001</v>
      </c>
    </row>
    <row r="27" spans="2:33" s="45" customFormat="1" ht="13.5" customHeight="1">
      <c r="B27" s="84" t="s">
        <v>127</v>
      </c>
      <c r="C27" s="66">
        <v>0</v>
      </c>
      <c r="D27" s="66">
        <v>0</v>
      </c>
      <c r="E27" s="66">
        <v>341.87400000000002</v>
      </c>
      <c r="F27" s="66">
        <v>0</v>
      </c>
      <c r="G27" s="66">
        <v>0</v>
      </c>
      <c r="H27" s="66">
        <v>0</v>
      </c>
      <c r="I27" s="66">
        <v>0</v>
      </c>
      <c r="J27" s="14">
        <f t="shared" si="25"/>
        <v>0</v>
      </c>
      <c r="L27" s="66">
        <v>349.971</v>
      </c>
      <c r="M27" s="66">
        <v>0</v>
      </c>
      <c r="N27" s="66">
        <v>0</v>
      </c>
      <c r="O27" s="14">
        <f>E27-SUM(L27:N27)</f>
        <v>-8.09699999999998</v>
      </c>
      <c r="P27" s="66">
        <v>0</v>
      </c>
      <c r="Q27" s="66">
        <v>0</v>
      </c>
      <c r="R27" s="66">
        <v>0</v>
      </c>
      <c r="S27" s="14">
        <f>F27-SUM(P27:R27)</f>
        <v>0</v>
      </c>
      <c r="T27" s="66">
        <v>0</v>
      </c>
      <c r="U27" s="66">
        <v>0</v>
      </c>
      <c r="V27" s="66">
        <v>0</v>
      </c>
      <c r="W27" s="14">
        <f>G27-SUM(T27:V27)</f>
        <v>0</v>
      </c>
      <c r="X27" s="143">
        <v>0</v>
      </c>
      <c r="Y27" s="66">
        <v>0</v>
      </c>
      <c r="Z27" s="66">
        <v>0</v>
      </c>
      <c r="AA27" s="14">
        <f t="shared" si="26"/>
        <v>0</v>
      </c>
      <c r="AB27" s="66">
        <v>0</v>
      </c>
      <c r="AC27" s="66">
        <f>0-AB27</f>
        <v>0</v>
      </c>
      <c r="AD27" s="66">
        <v>0</v>
      </c>
      <c r="AE27" s="14">
        <f t="shared" si="27"/>
        <v>0</v>
      </c>
      <c r="AF27" s="66">
        <v>0</v>
      </c>
      <c r="AG27" s="66">
        <f>0-AF27</f>
        <v>0</v>
      </c>
    </row>
    <row r="28" spans="2:33" ht="13.5" customHeight="1">
      <c r="B28" s="84" t="s">
        <v>128</v>
      </c>
      <c r="C28" s="66">
        <v>12.351839</v>
      </c>
      <c r="D28" s="66">
        <v>41.636000000000003</v>
      </c>
      <c r="E28" s="66">
        <v>15.173999999999999</v>
      </c>
      <c r="F28" s="66">
        <v>19.556000000000001</v>
      </c>
      <c r="G28" s="66">
        <v>42.566000000000003</v>
      </c>
      <c r="H28" s="66">
        <v>37.752000000000002</v>
      </c>
      <c r="I28" s="66">
        <v>130.22399999999999</v>
      </c>
      <c r="J28" s="14">
        <f t="shared" si="25"/>
        <v>152.51299999999998</v>
      </c>
      <c r="L28" s="66">
        <v>2.1789999999999998</v>
      </c>
      <c r="M28" s="66">
        <v>2.7949999999999999</v>
      </c>
      <c r="N28" s="66">
        <v>6.8949999999999996</v>
      </c>
      <c r="O28" s="14">
        <f>E28-SUM(L28:N28)</f>
        <v>3.3049999999999997</v>
      </c>
      <c r="P28" s="66">
        <v>10.567</v>
      </c>
      <c r="Q28" s="66">
        <v>12.964</v>
      </c>
      <c r="R28" s="66">
        <v>-17.484999999999999</v>
      </c>
      <c r="S28" s="14">
        <f>F28-SUM(P28:R28)</f>
        <v>13.510000000000002</v>
      </c>
      <c r="T28" s="66">
        <v>12.42</v>
      </c>
      <c r="U28" s="66">
        <v>9.6229999999999993</v>
      </c>
      <c r="V28" s="66">
        <v>9.0960000000000001</v>
      </c>
      <c r="W28" s="14">
        <f>G28-SUM(T28:V28)</f>
        <v>11.427000000000003</v>
      </c>
      <c r="X28" s="143">
        <v>10.180999999999999</v>
      </c>
      <c r="Y28" s="66">
        <v>5.4749999999999996</v>
      </c>
      <c r="Z28" s="66">
        <v>1.0189999999999999</v>
      </c>
      <c r="AA28" s="14">
        <f t="shared" si="26"/>
        <v>21.077000000000005</v>
      </c>
      <c r="AB28" s="66">
        <v>13.757999999999999</v>
      </c>
      <c r="AC28" s="66">
        <f>18.535-AB28</f>
        <v>4.777000000000001</v>
      </c>
      <c r="AD28" s="66">
        <v>4.8680000000000003</v>
      </c>
      <c r="AE28" s="14">
        <f t="shared" si="27"/>
        <v>106.821</v>
      </c>
      <c r="AF28" s="66">
        <v>24.791</v>
      </c>
      <c r="AG28" s="66">
        <f>40.824-AF28</f>
        <v>16.032999999999998</v>
      </c>
    </row>
    <row r="29" spans="2:33" s="33" customFormat="1" ht="13.5" customHeight="1">
      <c r="B29" s="33" t="s">
        <v>129</v>
      </c>
      <c r="C29" s="58">
        <f>C24+SUM(C25:C28)</f>
        <v>2246.0620459999996</v>
      </c>
      <c r="D29" s="58">
        <f t="shared" ref="D29:E29" si="28">D24+SUM(D25:D28)</f>
        <v>1322.4240000000002</v>
      </c>
      <c r="E29" s="58">
        <f t="shared" si="28"/>
        <v>2497.2259999999997</v>
      </c>
      <c r="F29" s="58">
        <f t="shared" ref="F29:G29" si="29">F24+SUM(F25:F28)</f>
        <v>4060.0810000000001</v>
      </c>
      <c r="G29" s="58">
        <f t="shared" si="29"/>
        <v>4039.165</v>
      </c>
      <c r="H29" s="58">
        <f t="shared" ref="H29:I29" si="30">H24+SUM(H25:H28)</f>
        <v>3848.0969999999988</v>
      </c>
      <c r="I29" s="58">
        <f t="shared" si="30"/>
        <v>3161.1759999999986</v>
      </c>
      <c r="J29" s="58">
        <f t="shared" ref="J29" si="31">J24+SUM(J25:J28)</f>
        <v>3801.8549999999987</v>
      </c>
      <c r="L29" s="58">
        <f t="shared" ref="L29" si="32">L24+SUM(L25:L28)</f>
        <v>567.63100000000009</v>
      </c>
      <c r="M29" s="58">
        <f t="shared" ref="M29:N29" si="33">M24+SUM(M25:M28)</f>
        <v>542.60500000000013</v>
      </c>
      <c r="N29" s="96">
        <f t="shared" si="33"/>
        <v>618.23199999999986</v>
      </c>
      <c r="O29" s="58">
        <f t="shared" ref="O29:R29" si="34">O24+SUM(O25:O28)</f>
        <v>768.75800000000015</v>
      </c>
      <c r="P29" s="58">
        <f t="shared" si="34"/>
        <v>814.81500000000028</v>
      </c>
      <c r="Q29" s="58">
        <f t="shared" si="34"/>
        <v>1209.5759999999998</v>
      </c>
      <c r="R29" s="96">
        <f t="shared" si="34"/>
        <v>1131.5120000000002</v>
      </c>
      <c r="S29" s="58">
        <f t="shared" ref="S29:V29" si="35">S24+SUM(S25:S28)</f>
        <v>904.17799999999988</v>
      </c>
      <c r="T29" s="58">
        <f t="shared" si="35"/>
        <v>1104.5229999999997</v>
      </c>
      <c r="U29" s="58">
        <f t="shared" si="35"/>
        <v>995.78599999999994</v>
      </c>
      <c r="V29" s="96">
        <f t="shared" si="35"/>
        <v>998.48799999999994</v>
      </c>
      <c r="W29" s="58">
        <f t="shared" ref="W29:Z29" si="36">W24+SUM(W25:W28)</f>
        <v>940.36799999999982</v>
      </c>
      <c r="X29" s="58">
        <f t="shared" si="36"/>
        <v>942.09999999999968</v>
      </c>
      <c r="Y29" s="58">
        <f t="shared" si="36"/>
        <v>1061.327</v>
      </c>
      <c r="Z29" s="96">
        <f t="shared" si="36"/>
        <v>833.13699999999972</v>
      </c>
      <c r="AA29" s="58">
        <f t="shared" ref="AA29:AD29" si="37">AA24+SUM(AA25:AA28)</f>
        <v>1011.5329999999993</v>
      </c>
      <c r="AB29" s="165">
        <f t="shared" si="37"/>
        <v>827.98800000000017</v>
      </c>
      <c r="AC29" s="58">
        <f t="shared" si="37"/>
        <v>772.89399999999955</v>
      </c>
      <c r="AD29" s="58">
        <f t="shared" si="37"/>
        <v>726.60700000000008</v>
      </c>
      <c r="AE29" s="58">
        <f t="shared" ref="AE29:AG29" si="38">AE24+SUM(AE25:AE28)</f>
        <v>833.6869999999999</v>
      </c>
      <c r="AF29" s="165">
        <f t="shared" si="38"/>
        <v>790.48500000000013</v>
      </c>
      <c r="AG29" s="58">
        <f t="shared" si="38"/>
        <v>1451.0760000000002</v>
      </c>
    </row>
    <row r="30" spans="2:33" ht="13.5" customHeight="1">
      <c r="B30" s="30" t="s">
        <v>130</v>
      </c>
      <c r="C30" s="66">
        <v>-676.99804500000005</v>
      </c>
      <c r="D30" s="66">
        <v>-602.88</v>
      </c>
      <c r="E30" s="66">
        <v>-1286.6880000000001</v>
      </c>
      <c r="F30" s="66">
        <v>-2061.5010000000002</v>
      </c>
      <c r="G30" s="66">
        <v>-1831.3879999999999</v>
      </c>
      <c r="H30" s="66">
        <v>-1621.1790000000001</v>
      </c>
      <c r="I30" s="66">
        <v>-1331.232</v>
      </c>
      <c r="J30" s="14">
        <f>SUM(AD30:AG30)</f>
        <v>-1657.9989999999998</v>
      </c>
      <c r="K30" s="177"/>
      <c r="L30" s="66">
        <v>-191.61099999999999</v>
      </c>
      <c r="M30" s="66">
        <v>-320.95699999999999</v>
      </c>
      <c r="N30" s="66">
        <v>-326.17899999999997</v>
      </c>
      <c r="O30" s="14">
        <f>E30-SUM(L30:N30)</f>
        <v>-447.94100000000014</v>
      </c>
      <c r="P30" s="66">
        <v>-496.78500000000003</v>
      </c>
      <c r="Q30" s="66">
        <v>-609.83500000000004</v>
      </c>
      <c r="R30" s="66">
        <v>-467.916</v>
      </c>
      <c r="S30" s="14">
        <f>F30-SUM(P30:R30)</f>
        <v>-486.96500000000015</v>
      </c>
      <c r="T30" s="66">
        <v>-535.27599999999995</v>
      </c>
      <c r="U30" s="66">
        <v>-385.423</v>
      </c>
      <c r="V30" s="66">
        <v>-484.44200000000001</v>
      </c>
      <c r="W30" s="14">
        <f>G30-SUM(T30:V30)</f>
        <v>-426.24699999999984</v>
      </c>
      <c r="X30" s="66">
        <v>-418.589</v>
      </c>
      <c r="Y30" s="66">
        <v>-408.27699999999999</v>
      </c>
      <c r="Z30" s="66">
        <v>-321.66199999999998</v>
      </c>
      <c r="AA30" s="14">
        <f>H30-SUM(X30:Z30)</f>
        <v>-472.65100000000007</v>
      </c>
      <c r="AB30" s="66">
        <v>-340.53699999999998</v>
      </c>
      <c r="AC30" s="66">
        <f>-705.767-AB30</f>
        <v>-365.23000000000008</v>
      </c>
      <c r="AD30" s="66">
        <v>-334.07100000000003</v>
      </c>
      <c r="AE30" s="14">
        <f>I30-SUM(AB30:AD30)</f>
        <v>-291.39399999999978</v>
      </c>
      <c r="AF30" s="66">
        <f>(-414661)/1000</f>
        <v>-414.661</v>
      </c>
      <c r="AG30" s="66">
        <f>-1032.534-AF30</f>
        <v>-617.87300000000005</v>
      </c>
    </row>
    <row r="31" spans="2:33" s="33" customFormat="1" ht="13.5" customHeight="1">
      <c r="B31" s="33" t="s">
        <v>131</v>
      </c>
      <c r="C31" s="58">
        <f t="shared" ref="C31:E31" si="39">+C29+C30</f>
        <v>1569.0640009999995</v>
      </c>
      <c r="D31" s="58">
        <f t="shared" si="39"/>
        <v>719.54400000000021</v>
      </c>
      <c r="E31" s="58">
        <f t="shared" si="39"/>
        <v>1210.5379999999996</v>
      </c>
      <c r="F31" s="58">
        <f t="shared" ref="F31:G31" si="40">+F29+F30</f>
        <v>1998.58</v>
      </c>
      <c r="G31" s="58">
        <f t="shared" si="40"/>
        <v>2207.777</v>
      </c>
      <c r="H31" s="58">
        <f t="shared" ref="H31:I31" si="41">+H29+H30</f>
        <v>2226.9179999999988</v>
      </c>
      <c r="I31" s="58">
        <f t="shared" si="41"/>
        <v>1829.9439999999986</v>
      </c>
      <c r="J31" s="58">
        <f>+J29+J30</f>
        <v>2143.8559999999989</v>
      </c>
      <c r="L31" s="58">
        <f t="shared" ref="L31:O31" si="42">+L29+L30</f>
        <v>376.0200000000001</v>
      </c>
      <c r="M31" s="58">
        <f t="shared" si="42"/>
        <v>221.64800000000014</v>
      </c>
      <c r="N31" s="58">
        <f t="shared" si="42"/>
        <v>292.05299999999988</v>
      </c>
      <c r="O31" s="58">
        <f t="shared" si="42"/>
        <v>320.81700000000001</v>
      </c>
      <c r="P31" s="58">
        <f t="shared" ref="P31:S31" si="43">+P29+P30</f>
        <v>318.03000000000026</v>
      </c>
      <c r="Q31" s="58">
        <f t="shared" si="43"/>
        <v>599.74099999999976</v>
      </c>
      <c r="R31" s="58">
        <f t="shared" si="43"/>
        <v>663.59600000000023</v>
      </c>
      <c r="S31" s="58">
        <f t="shared" si="43"/>
        <v>417.21299999999974</v>
      </c>
      <c r="T31" s="58">
        <f t="shared" ref="T31:W31" si="44">+T29+T30</f>
        <v>569.24699999999973</v>
      </c>
      <c r="U31" s="58">
        <f t="shared" si="44"/>
        <v>610.36299999999994</v>
      </c>
      <c r="V31" s="58">
        <f t="shared" si="44"/>
        <v>514.04599999999994</v>
      </c>
      <c r="W31" s="58">
        <f t="shared" si="44"/>
        <v>514.12099999999998</v>
      </c>
      <c r="X31" s="58">
        <f t="shared" ref="X31:AA31" si="45">+X29+X30</f>
        <v>523.51099999999974</v>
      </c>
      <c r="Y31" s="58">
        <f t="shared" si="45"/>
        <v>653.04999999999995</v>
      </c>
      <c r="Z31" s="58">
        <f t="shared" si="45"/>
        <v>511.47499999999974</v>
      </c>
      <c r="AA31" s="58">
        <f t="shared" si="45"/>
        <v>538.88199999999927</v>
      </c>
      <c r="AB31" s="58">
        <f t="shared" ref="AB31:AE31" si="46">+AB29+AB30</f>
        <v>487.45100000000019</v>
      </c>
      <c r="AC31" s="58">
        <f t="shared" si="46"/>
        <v>407.66399999999948</v>
      </c>
      <c r="AD31" s="58">
        <f t="shared" si="46"/>
        <v>392.53600000000006</v>
      </c>
      <c r="AE31" s="58">
        <f t="shared" si="46"/>
        <v>542.29300000000012</v>
      </c>
      <c r="AF31" s="58">
        <f t="shared" ref="AF31:AG31" si="47">+AF29+AF30</f>
        <v>375.82400000000013</v>
      </c>
      <c r="AG31" s="58">
        <f t="shared" si="47"/>
        <v>833.2030000000002</v>
      </c>
    </row>
    <row r="32" spans="2:33" s="45" customFormat="1" ht="13.5" customHeight="1">
      <c r="B32" s="50" t="s">
        <v>132</v>
      </c>
      <c r="C32" s="83">
        <f t="shared" ref="C32:J32" si="48">+C31/C7</f>
        <v>0.25460194565280031</v>
      </c>
      <c r="D32" s="83">
        <f t="shared" si="48"/>
        <v>0.14011122534816342</v>
      </c>
      <c r="E32" s="83">
        <f t="shared" si="48"/>
        <v>0.17739401498269267</v>
      </c>
      <c r="F32" s="83">
        <f t="shared" si="48"/>
        <v>0.21212999603990323</v>
      </c>
      <c r="G32" s="83">
        <f t="shared" si="48"/>
        <v>0.25555500508962342</v>
      </c>
      <c r="H32" s="83">
        <f t="shared" si="48"/>
        <v>0.25184824628792879</v>
      </c>
      <c r="I32" s="83">
        <f t="shared" ref="I32" si="49">+I31/I7</f>
        <v>0.21372382532973444</v>
      </c>
      <c r="J32" s="83">
        <f t="shared" si="48"/>
        <v>0.22171599644610052</v>
      </c>
      <c r="K32" s="33"/>
      <c r="L32" s="83">
        <f t="shared" ref="L32:AC32" si="50">+L31/L7</f>
        <v>0.26635461388781262</v>
      </c>
      <c r="M32" s="83">
        <f t="shared" si="50"/>
        <v>0.12675022974222558</v>
      </c>
      <c r="N32" s="83">
        <f t="shared" si="50"/>
        <v>0.16497140355584422</v>
      </c>
      <c r="O32" s="83">
        <f t="shared" si="50"/>
        <v>0.16945251989165755</v>
      </c>
      <c r="P32" s="83">
        <f t="shared" si="50"/>
        <v>0.154336070518137</v>
      </c>
      <c r="Q32" s="83">
        <f t="shared" si="50"/>
        <v>0.24831373912899454</v>
      </c>
      <c r="R32" s="83">
        <f t="shared" si="50"/>
        <v>0.27293583830387214</v>
      </c>
      <c r="S32" s="83">
        <f t="shared" si="50"/>
        <v>0.16593782775378796</v>
      </c>
      <c r="T32" s="83">
        <f t="shared" si="50"/>
        <v>0.25558530353187742</v>
      </c>
      <c r="U32" s="83">
        <f t="shared" si="50"/>
        <v>0.31181202684484211</v>
      </c>
      <c r="V32" s="83">
        <f t="shared" si="50"/>
        <v>0.23119733310305618</v>
      </c>
      <c r="W32" s="83">
        <f t="shared" si="50"/>
        <v>0.23044027040328316</v>
      </c>
      <c r="X32" s="83">
        <f t="shared" si="50"/>
        <v>0.24660193443022949</v>
      </c>
      <c r="Y32" s="83">
        <f t="shared" si="50"/>
        <v>0.28413886843941821</v>
      </c>
      <c r="Z32" s="83">
        <f t="shared" si="50"/>
        <v>0.23532765053309024</v>
      </c>
      <c r="AA32" s="83">
        <f t="shared" si="50"/>
        <v>0.23975938725615578</v>
      </c>
      <c r="AB32" s="83">
        <f t="shared" si="50"/>
        <v>0.23258613590026092</v>
      </c>
      <c r="AC32" s="83">
        <f t="shared" si="50"/>
        <v>0.18953711108218163</v>
      </c>
      <c r="AD32" s="83">
        <f t="shared" ref="AD32:AG32" si="51">+AD31/AD7</f>
        <v>0.18457212581727392</v>
      </c>
      <c r="AE32" s="83">
        <f t="shared" si="51"/>
        <v>0.24775496292993338</v>
      </c>
      <c r="AF32" s="83">
        <f t="shared" si="51"/>
        <v>0.15632718629865991</v>
      </c>
      <c r="AG32" s="83">
        <f t="shared" si="51"/>
        <v>0.28246754787726336</v>
      </c>
    </row>
    <row r="33" spans="2:33" s="33" customFormat="1" ht="13.5" customHeight="1">
      <c r="B33" s="69"/>
      <c r="C33" s="82"/>
      <c r="D33" s="82"/>
      <c r="E33" s="82"/>
      <c r="F33" s="82"/>
      <c r="G33" s="14"/>
      <c r="H33" s="14"/>
      <c r="I33" s="14"/>
      <c r="J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</row>
    <row r="34" spans="2:33" s="33" customFormat="1" ht="13.5" customHeight="1">
      <c r="B34" s="222" t="s">
        <v>133</v>
      </c>
      <c r="C34" s="202"/>
      <c r="D34" s="202"/>
      <c r="E34" s="202"/>
      <c r="F34" s="202"/>
      <c r="G34" s="202"/>
      <c r="H34" s="202"/>
      <c r="I34" s="202"/>
      <c r="J34" s="203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</row>
    <row r="35" spans="2:33" s="45" customFormat="1" ht="13.5" customHeight="1">
      <c r="B35" s="206" t="str">
        <f>B12</f>
        <v>Operating expenses</v>
      </c>
      <c r="C35" s="81">
        <f t="shared" ref="C35:J35" si="52">-C12/C7</f>
        <v>0.12180840354476512</v>
      </c>
      <c r="D35" s="81">
        <f t="shared" si="52"/>
        <v>0.15482599619902171</v>
      </c>
      <c r="E35" s="81">
        <f t="shared" si="52"/>
        <v>0.12624474154261567</v>
      </c>
      <c r="F35" s="81">
        <f t="shared" si="52"/>
        <v>0.11781685842160583</v>
      </c>
      <c r="G35" s="81">
        <f t="shared" si="52"/>
        <v>0.14177801833653464</v>
      </c>
      <c r="H35" s="81">
        <f t="shared" si="52"/>
        <v>0.15853430006510749</v>
      </c>
      <c r="I35" s="81">
        <f t="shared" ref="I35" si="53">-I12/I7</f>
        <v>0.1787339454041548</v>
      </c>
      <c r="J35" s="81">
        <f t="shared" si="52"/>
        <v>0.17815384007597596</v>
      </c>
      <c r="K35" s="33"/>
      <c r="L35" s="81">
        <f t="shared" ref="L35:AB35" si="54">-L12/L7</f>
        <v>0.12339637904495698</v>
      </c>
      <c r="M35" s="81">
        <f t="shared" si="54"/>
        <v>0.11005610456688086</v>
      </c>
      <c r="N35" s="81">
        <f t="shared" si="54"/>
        <v>0.12415855845678055</v>
      </c>
      <c r="O35" s="81">
        <f t="shared" si="54"/>
        <v>0.14527195476998353</v>
      </c>
      <c r="P35" s="81">
        <f t="shared" si="54"/>
        <v>9.5465325460671532E-2</v>
      </c>
      <c r="Q35" s="81">
        <f t="shared" si="54"/>
        <v>0.12073176538295129</v>
      </c>
      <c r="R35" s="81">
        <f t="shared" si="54"/>
        <v>0.12350709036961724</v>
      </c>
      <c r="S35" s="81">
        <f t="shared" si="54"/>
        <v>0.12783297597357166</v>
      </c>
      <c r="T35" s="81">
        <f t="shared" si="54"/>
        <v>0.16165962278688004</v>
      </c>
      <c r="U35" s="81">
        <f t="shared" si="54"/>
        <v>0.12631042809829621</v>
      </c>
      <c r="V35" s="81">
        <f t="shared" si="54"/>
        <v>0.15167571583802886</v>
      </c>
      <c r="W35" s="81">
        <f t="shared" si="54"/>
        <v>0.12563748353905221</v>
      </c>
      <c r="X35" s="81">
        <f t="shared" si="54"/>
        <v>0.14113247968933049</v>
      </c>
      <c r="Y35" s="81">
        <f t="shared" si="54"/>
        <v>0.13475679052954559</v>
      </c>
      <c r="Z35" s="81">
        <f t="shared" si="54"/>
        <v>0.16930892186141999</v>
      </c>
      <c r="AA35" s="81">
        <f t="shared" si="54"/>
        <v>0.18886587663702764</v>
      </c>
      <c r="AB35" s="81">
        <f t="shared" si="54"/>
        <v>0.16992566515585789</v>
      </c>
      <c r="AC35" s="81">
        <f t="shared" ref="AC35:AF35" si="55">-AC12/AC7</f>
        <v>0.17607446393037143</v>
      </c>
      <c r="AD35" s="81">
        <f t="shared" si="55"/>
        <v>0.17387638798439861</v>
      </c>
      <c r="AE35" s="81">
        <f t="shared" si="55"/>
        <v>0.19450089271518828</v>
      </c>
      <c r="AF35" s="81">
        <f t="shared" si="55"/>
        <v>0.17654526501963738</v>
      </c>
      <c r="AG35" s="81">
        <f t="shared" ref="AG35" si="56">-AG12/AG7</f>
        <v>0.17041864848647162</v>
      </c>
    </row>
    <row r="36" spans="2:33" s="45" customFormat="1" ht="13.5" customHeight="1">
      <c r="B36" s="206" t="str">
        <f>B13</f>
        <v>Exploration expenses</v>
      </c>
      <c r="C36" s="81">
        <f t="shared" ref="C36:J36" si="57">-C13/C7</f>
        <v>2.0785638742222962E-2</v>
      </c>
      <c r="D36" s="81">
        <f t="shared" si="57"/>
        <v>2.0312256597189767E-2</v>
      </c>
      <c r="E36" s="81">
        <f t="shared" si="57"/>
        <v>3.3155300104469418E-2</v>
      </c>
      <c r="F36" s="81">
        <f t="shared" si="57"/>
        <v>7.6084592591381802E-3</v>
      </c>
      <c r="G36" s="81">
        <f t="shared" si="57"/>
        <v>1.088579820273902E-2</v>
      </c>
      <c r="H36" s="81">
        <f t="shared" si="57"/>
        <v>1.411329471819609E-2</v>
      </c>
      <c r="I36" s="81">
        <f t="shared" ref="I36" si="58">-I13/I7</f>
        <v>1.558596574007351E-2</v>
      </c>
      <c r="J36" s="81">
        <f t="shared" si="57"/>
        <v>1.4192741850329789E-2</v>
      </c>
      <c r="K36" s="178"/>
      <c r="L36" s="81">
        <f t="shared" ref="L36:AB36" si="59">-L13/L7</f>
        <v>0.10540635689478206</v>
      </c>
      <c r="M36" s="81">
        <f t="shared" si="59"/>
        <v>4.2683160452427777E-3</v>
      </c>
      <c r="N36" s="81">
        <f t="shared" si="59"/>
        <v>2.8404389024614125E-2</v>
      </c>
      <c r="O36" s="81">
        <f t="shared" si="59"/>
        <v>1.0404298203729453E-2</v>
      </c>
      <c r="P36" s="81">
        <f t="shared" si="59"/>
        <v>2.9709317476717101E-3</v>
      </c>
      <c r="Q36" s="81">
        <f t="shared" si="59"/>
        <v>6.8535206427478672E-3</v>
      </c>
      <c r="R36" s="81">
        <f t="shared" si="59"/>
        <v>1.7067641278874161E-2</v>
      </c>
      <c r="S36" s="81">
        <f t="shared" si="59"/>
        <v>2.9873446519133005E-3</v>
      </c>
      <c r="T36" s="81">
        <f t="shared" si="59"/>
        <v>4.8679323051199503E-3</v>
      </c>
      <c r="U36" s="81">
        <f t="shared" si="59"/>
        <v>2.873605790328439E-3</v>
      </c>
      <c r="V36" s="81">
        <f t="shared" si="59"/>
        <v>6.9379978843289222E-3</v>
      </c>
      <c r="W36" s="81">
        <f t="shared" si="59"/>
        <v>2.7857436762619019E-2</v>
      </c>
      <c r="X36" s="81">
        <f t="shared" si="59"/>
        <v>2.1809327716485808E-2</v>
      </c>
      <c r="Y36" s="81">
        <f t="shared" si="59"/>
        <v>1.157396530029395E-2</v>
      </c>
      <c r="Z36" s="81">
        <f t="shared" si="59"/>
        <v>2.1089424737250624E-2</v>
      </c>
      <c r="AA36" s="81">
        <f t="shared" si="59"/>
        <v>2.6948805278531008E-3</v>
      </c>
      <c r="AB36" s="81">
        <f t="shared" si="59"/>
        <v>4.0338068706409569E-3</v>
      </c>
      <c r="AC36" s="81">
        <f t="shared" ref="AC36:AF36" si="60">-AC13/AC7</f>
        <v>1.8832642130516452E-2</v>
      </c>
      <c r="AD36" s="81">
        <f t="shared" si="60"/>
        <v>1.6824851239105952E-2</v>
      </c>
      <c r="AE36" s="81">
        <f t="shared" si="60"/>
        <v>2.2253004804397607E-2</v>
      </c>
      <c r="AF36" s="81">
        <f t="shared" si="60"/>
        <v>2.8122954004141279E-3</v>
      </c>
      <c r="AG36" s="81">
        <f t="shared" ref="AG36" si="61">-AG13/AG7</f>
        <v>1.5589223420448647E-2</v>
      </c>
    </row>
    <row r="37" spans="2:33" s="45" customFormat="1" ht="13.5" customHeight="1">
      <c r="B37" s="206" t="str">
        <f>B15</f>
        <v>Petroleum royalties</v>
      </c>
      <c r="C37" s="81">
        <f t="shared" ref="C37:J37" si="62">-C15/C7</f>
        <v>8.8650145882789702E-2</v>
      </c>
      <c r="D37" s="81">
        <f t="shared" si="62"/>
        <v>7.9866108982147854E-2</v>
      </c>
      <c r="E37" s="81">
        <f t="shared" si="62"/>
        <v>7.7698484189714354E-2</v>
      </c>
      <c r="F37" s="81">
        <f t="shared" si="62"/>
        <v>7.2995165200567577E-2</v>
      </c>
      <c r="G37" s="81">
        <f t="shared" si="62"/>
        <v>5.2106423482135844E-2</v>
      </c>
      <c r="H37" s="81">
        <f t="shared" si="62"/>
        <v>4.4828489778848291E-2</v>
      </c>
      <c r="I37" s="81">
        <f t="shared" ref="I37" si="63">-I15/I7</f>
        <v>4.2357854707732491E-2</v>
      </c>
      <c r="J37" s="81">
        <f t="shared" si="62"/>
        <v>4.2080675501498077E-2</v>
      </c>
      <c r="K37" s="178"/>
      <c r="L37" s="81">
        <f t="shared" ref="L37:AB37" si="64">-L15/L7</f>
        <v>8.3302224863589056E-2</v>
      </c>
      <c r="M37" s="81">
        <f t="shared" si="64"/>
        <v>7.8895224392534102E-2</v>
      </c>
      <c r="N37" s="81">
        <f t="shared" si="64"/>
        <v>7.4560885713075301E-2</v>
      </c>
      <c r="O37" s="81">
        <f t="shared" si="64"/>
        <v>7.5348500150006131E-2</v>
      </c>
      <c r="P37" s="81">
        <f t="shared" si="64"/>
        <v>7.9688619953189127E-2</v>
      </c>
      <c r="Q37" s="81">
        <f t="shared" si="64"/>
        <v>7.3980180146609786E-2</v>
      </c>
      <c r="R37" s="81">
        <f t="shared" si="64"/>
        <v>7.0259603195951509E-2</v>
      </c>
      <c r="S37" s="81">
        <f t="shared" si="64"/>
        <v>6.9208474974674583E-2</v>
      </c>
      <c r="T37" s="81">
        <f t="shared" si="64"/>
        <v>6.3090054951691094E-2</v>
      </c>
      <c r="U37" s="81">
        <f t="shared" si="64"/>
        <v>4.7797387547503893E-2</v>
      </c>
      <c r="V37" s="81">
        <f t="shared" si="64"/>
        <v>4.8051009981074103E-2</v>
      </c>
      <c r="W37" s="81">
        <f t="shared" si="64"/>
        <v>4.896375588403247E-2</v>
      </c>
      <c r="X37" s="81">
        <f t="shared" si="64"/>
        <v>4.8946275823767406E-2</v>
      </c>
      <c r="Y37" s="81">
        <f t="shared" si="64"/>
        <v>4.5348224028737165E-2</v>
      </c>
      <c r="Z37" s="81">
        <f t="shared" si="64"/>
        <v>4.3029567155396076E-2</v>
      </c>
      <c r="AA37" s="81">
        <f t="shared" si="64"/>
        <v>4.2147272974001095E-2</v>
      </c>
      <c r="AB37" s="81">
        <f t="shared" si="64"/>
        <v>4.5375317243593928E-2</v>
      </c>
      <c r="AC37" s="81">
        <f t="shared" ref="AC37:AF37" si="65">-AC15/AC7</f>
        <v>4.1282475683918851E-2</v>
      </c>
      <c r="AD37" s="81">
        <f t="shared" si="65"/>
        <v>4.1369987327993379E-2</v>
      </c>
      <c r="AE37" s="81">
        <f t="shared" si="65"/>
        <v>4.14852149186688E-2</v>
      </c>
      <c r="AF37" s="81">
        <f t="shared" si="65"/>
        <v>4.3421075618759061E-2</v>
      </c>
      <c r="AG37" s="81">
        <f t="shared" ref="AG37" si="66">-AG15/AG7</f>
        <v>4.1942482871313636E-2</v>
      </c>
    </row>
    <row r="38" spans="2:33" s="45" customFormat="1" ht="13.5" customHeight="1">
      <c r="B38" s="206" t="str">
        <f>B23</f>
        <v>Other operating income/(loss), net</v>
      </c>
      <c r="C38" s="81">
        <f t="shared" ref="C38:J38" si="67">-C23/C7</f>
        <v>-8.9878854569267717E-3</v>
      </c>
      <c r="D38" s="81">
        <f t="shared" si="67"/>
        <v>-3.2462145994952797E-3</v>
      </c>
      <c r="E38" s="81">
        <f t="shared" si="67"/>
        <v>-1.9283977873996907E-2</v>
      </c>
      <c r="F38" s="81">
        <f t="shared" si="67"/>
        <v>-2.0711592554338819E-2</v>
      </c>
      <c r="G38" s="81">
        <f t="shared" si="67"/>
        <v>-2.5208973201749335E-2</v>
      </c>
      <c r="H38" s="81">
        <f t="shared" si="67"/>
        <v>-2.0999172048090198E-2</v>
      </c>
      <c r="I38" s="81">
        <f t="shared" ref="I38" si="68">-I23/I7</f>
        <v>-2.0844667076997826E-2</v>
      </c>
      <c r="J38" s="81">
        <f t="shared" si="67"/>
        <v>-1.9474156509947538E-2</v>
      </c>
      <c r="K38" s="178"/>
      <c r="L38" s="81">
        <f t="shared" ref="L38:AB38" si="69">-L23/L7</f>
        <v>-8.2700125449183867E-3</v>
      </c>
      <c r="M38" s="81">
        <f t="shared" si="69"/>
        <v>-8.2301185052430399E-3</v>
      </c>
      <c r="N38" s="81">
        <f t="shared" si="69"/>
        <v>-5.9079547540705803E-3</v>
      </c>
      <c r="O38" s="81">
        <f t="shared" si="69"/>
        <v>-5.0214022826284455E-2</v>
      </c>
      <c r="P38" s="81">
        <f t="shared" si="69"/>
        <v>-8.8191347027830741E-3</v>
      </c>
      <c r="Q38" s="81">
        <f t="shared" si="69"/>
        <v>-1.636224746455343E-2</v>
      </c>
      <c r="R38" s="81">
        <f t="shared" si="69"/>
        <v>-8.9806961304243031E-3</v>
      </c>
      <c r="S38" s="81">
        <f t="shared" si="69"/>
        <v>-4.5980289332144916E-2</v>
      </c>
      <c r="T38" s="81">
        <f t="shared" si="69"/>
        <v>-1.4984090095809637E-2</v>
      </c>
      <c r="U38" s="81">
        <f t="shared" si="69"/>
        <v>-2.1194694582959337E-2</v>
      </c>
      <c r="V38" s="81">
        <f t="shared" si="69"/>
        <v>-1.4141354173413067E-2</v>
      </c>
      <c r="W38" s="81">
        <f t="shared" si="69"/>
        <v>-4.9968221070192449E-2</v>
      </c>
      <c r="X38" s="81">
        <f t="shared" si="69"/>
        <v>-1.3889968387568131E-2</v>
      </c>
      <c r="Y38" s="81">
        <f t="shared" si="69"/>
        <v>-1.3997445121452451E-2</v>
      </c>
      <c r="Z38" s="81">
        <f t="shared" si="69"/>
        <v>-2.3432694152500693E-2</v>
      </c>
      <c r="AA38" s="81">
        <f t="shared" si="69"/>
        <v>-3.2520538620169577E-2</v>
      </c>
      <c r="AB38" s="81">
        <f t="shared" si="69"/>
        <v>-1.4611694795320325E-2</v>
      </c>
      <c r="AC38" s="81">
        <f t="shared" ref="AC38:AF38" si="70">-AC23/AC7</f>
        <v>-1.932779751166986E-2</v>
      </c>
      <c r="AD38" s="81">
        <f t="shared" si="70"/>
        <v>-1.5615015504987693E-2</v>
      </c>
      <c r="AE38" s="81">
        <f t="shared" si="70"/>
        <v>-3.3384532727103275E-2</v>
      </c>
      <c r="AF38" s="81">
        <f t="shared" si="70"/>
        <v>-1.4821017218186038E-2</v>
      </c>
      <c r="AG38" s="81">
        <f t="shared" ref="AG38" si="71">-AG23/AG7</f>
        <v>-1.5726863136626062E-2</v>
      </c>
    </row>
    <row r="39" spans="2:33" s="45" customFormat="1" ht="13.5" customHeight="1">
      <c r="B39" s="206" t="s">
        <v>134</v>
      </c>
      <c r="C39" s="81">
        <f>-C25/C118</f>
        <v>6.8273993797254962E-2</v>
      </c>
      <c r="D39" s="81">
        <f t="shared" ref="D39:H39" si="72">-D25/D118</f>
        <v>6.4718222835301889E-2</v>
      </c>
      <c r="E39" s="81">
        <f t="shared" si="72"/>
        <v>4.9399139901043422E-2</v>
      </c>
      <c r="F39" s="81">
        <f t="shared" si="72"/>
        <v>6.0939645011168733E-2</v>
      </c>
      <c r="G39" s="81">
        <f t="shared" si="72"/>
        <v>8.0593087524557794E-2</v>
      </c>
      <c r="H39" s="81">
        <f t="shared" si="72"/>
        <v>8.8925792191335645E-2</v>
      </c>
      <c r="I39" s="81">
        <f t="shared" ref="I39" si="73">-I25/I118</f>
        <v>9.9067599357954714E-2</v>
      </c>
      <c r="J39" s="81">
        <f>-J25/J118</f>
        <v>8.9581854104104505E-2</v>
      </c>
      <c r="K39" s="178"/>
      <c r="L39" s="81"/>
      <c r="M39" s="81"/>
      <c r="N39" s="81"/>
      <c r="O39" s="81">
        <f>-SUM(L25:O25)/O118</f>
        <v>4.9399139901043422E-2</v>
      </c>
      <c r="P39" s="81">
        <f t="shared" ref="P39:AG39" si="74">-SUM(M25:P25)/P118</f>
        <v>5.0349769893048187E-2</v>
      </c>
      <c r="Q39" s="81">
        <f t="shared" si="74"/>
        <v>5.1495118008467053E-2</v>
      </c>
      <c r="R39" s="81">
        <f t="shared" si="74"/>
        <v>5.354199195968095E-2</v>
      </c>
      <c r="S39" s="81">
        <f t="shared" si="74"/>
        <v>6.0939645011168733E-2</v>
      </c>
      <c r="T39" s="81">
        <f t="shared" si="74"/>
        <v>6.7229375226188007E-2</v>
      </c>
      <c r="U39" s="81">
        <f t="shared" si="74"/>
        <v>7.3937636118637406E-2</v>
      </c>
      <c r="V39" s="81">
        <f t="shared" si="74"/>
        <v>7.8806480259157041E-2</v>
      </c>
      <c r="W39" s="81">
        <f t="shared" si="74"/>
        <v>8.0593087524557794E-2</v>
      </c>
      <c r="X39" s="81">
        <f t="shared" si="74"/>
        <v>8.1986571819924331E-2</v>
      </c>
      <c r="Y39" s="81">
        <f t="shared" si="74"/>
        <v>8.6434669313913109E-2</v>
      </c>
      <c r="Z39" s="81">
        <f t="shared" si="74"/>
        <v>8.5481893572653497E-2</v>
      </c>
      <c r="AA39" s="81">
        <f t="shared" si="74"/>
        <v>8.8925792191335645E-2</v>
      </c>
      <c r="AB39" s="81">
        <f t="shared" si="74"/>
        <v>8.9209116351810863E-2</v>
      </c>
      <c r="AC39" s="81">
        <f t="shared" si="74"/>
        <v>9.1689468457294046E-2</v>
      </c>
      <c r="AD39" s="81">
        <f t="shared" si="74"/>
        <v>9.3093303851615392E-2</v>
      </c>
      <c r="AE39" s="81">
        <f t="shared" si="74"/>
        <v>9.9067599357954714E-2</v>
      </c>
      <c r="AF39" s="81">
        <f t="shared" si="74"/>
        <v>9.9627850969961268E-2</v>
      </c>
      <c r="AG39" s="81">
        <f t="shared" si="74"/>
        <v>8.9581854104104505E-2</v>
      </c>
    </row>
    <row r="40" spans="2:33" s="45" customFormat="1" ht="13.5" customHeight="1">
      <c r="B40" s="206" t="s">
        <v>135</v>
      </c>
      <c r="C40" s="81">
        <f>C26/C119</f>
        <v>3.0548341296193236E-2</v>
      </c>
      <c r="D40" s="81">
        <f t="shared" ref="D40:H40" si="75">D26/D119</f>
        <v>9.9160286857219067E-3</v>
      </c>
      <c r="E40" s="81">
        <f t="shared" si="75"/>
        <v>6.5450421989153599E-3</v>
      </c>
      <c r="F40" s="81">
        <f t="shared" si="75"/>
        <v>1.2440876803363454E-2</v>
      </c>
      <c r="G40" s="81">
        <f t="shared" si="75"/>
        <v>3.7888916010339994E-2</v>
      </c>
      <c r="H40" s="81">
        <f t="shared" si="75"/>
        <v>6.0520603133999276E-2</v>
      </c>
      <c r="I40" s="81">
        <f t="shared" ref="I40" si="76">I26/I119</f>
        <v>7.7012972644040611E-2</v>
      </c>
      <c r="J40" s="81">
        <f>J26/J119</f>
        <v>5.3347578889302992E-2</v>
      </c>
      <c r="K40" s="178"/>
      <c r="L40" s="81"/>
      <c r="M40" s="81"/>
      <c r="N40" s="81"/>
      <c r="O40" s="81">
        <f>SUM(L26:O26)/O119</f>
        <v>6.5450421989153599E-3</v>
      </c>
      <c r="P40" s="81">
        <f t="shared" ref="P40:AG40" si="77">SUM(M26:P26)/P119</f>
        <v>4.7468590873526078E-3</v>
      </c>
      <c r="Q40" s="81">
        <f t="shared" si="77"/>
        <v>5.9663859856919337E-3</v>
      </c>
      <c r="R40" s="81">
        <f t="shared" si="77"/>
        <v>7.1829446318686296E-3</v>
      </c>
      <c r="S40" s="81">
        <f t="shared" si="77"/>
        <v>1.2440876803363454E-2</v>
      </c>
      <c r="T40" s="81">
        <f t="shared" si="77"/>
        <v>1.757689508488678E-2</v>
      </c>
      <c r="U40" s="81">
        <f t="shared" si="77"/>
        <v>3.4686394544726593E-2</v>
      </c>
      <c r="V40" s="81">
        <f t="shared" si="77"/>
        <v>4.3411629396001801E-2</v>
      </c>
      <c r="W40" s="81">
        <f t="shared" si="77"/>
        <v>3.7888916010339994E-2</v>
      </c>
      <c r="X40" s="81">
        <f t="shared" si="77"/>
        <v>3.3794350877894147E-2</v>
      </c>
      <c r="Y40" s="81">
        <f t="shared" si="77"/>
        <v>5.4182891383898736E-2</v>
      </c>
      <c r="Z40" s="81">
        <f t="shared" si="77"/>
        <v>5.5580291543928663E-2</v>
      </c>
      <c r="AA40" s="81">
        <f t="shared" si="77"/>
        <v>6.0520603133999276E-2</v>
      </c>
      <c r="AB40" s="81">
        <f t="shared" si="77"/>
        <v>5.6879343074465946E-2</v>
      </c>
      <c r="AC40" s="81">
        <f t="shared" si="77"/>
        <v>6.2887807090960521E-2</v>
      </c>
      <c r="AD40" s="81">
        <f t="shared" si="77"/>
        <v>7.7562107685543516E-2</v>
      </c>
      <c r="AE40" s="81">
        <f t="shared" si="77"/>
        <v>7.7012972644040611E-2</v>
      </c>
      <c r="AF40" s="81">
        <f t="shared" si="77"/>
        <v>6.1988133434240068E-2</v>
      </c>
      <c r="AG40" s="81">
        <f t="shared" si="77"/>
        <v>5.3347578889302992E-2</v>
      </c>
    </row>
    <row r="41" spans="2:33" s="45" customFormat="1" ht="13.5" customHeight="1">
      <c r="B41" s="206" t="str">
        <f>B28</f>
        <v>Share of net profit /(loss) of associates</v>
      </c>
      <c r="C41" s="81">
        <f t="shared" ref="C41:J41" si="78">-C28/C7</f>
        <v>-2.0042536440743569E-3</v>
      </c>
      <c r="D41" s="81">
        <f t="shared" si="78"/>
        <v>-8.1074555254385151E-3</v>
      </c>
      <c r="E41" s="81">
        <f t="shared" si="78"/>
        <v>-2.2236202278221578E-3</v>
      </c>
      <c r="F41" s="81">
        <f t="shared" si="78"/>
        <v>-2.0756808346707903E-3</v>
      </c>
      <c r="G41" s="81">
        <f t="shared" si="78"/>
        <v>-4.9271073784376371E-3</v>
      </c>
      <c r="H41" s="81">
        <f t="shared" si="78"/>
        <v>-4.2694769155675657E-3</v>
      </c>
      <c r="I41" s="81">
        <f t="shared" ref="I41" si="79">-I28/I7</f>
        <v>-1.5209192975161729E-2</v>
      </c>
      <c r="J41" s="81">
        <f t="shared" si="78"/>
        <v>-1.5772781271682492E-2</v>
      </c>
      <c r="K41" s="178"/>
      <c r="L41" s="81">
        <f t="shared" ref="L41:AB41" si="80">-L28/L7</f>
        <v>-1.5434995576340182E-3</v>
      </c>
      <c r="M41" s="81">
        <f t="shared" si="80"/>
        <v>-1.5983311021507988E-3</v>
      </c>
      <c r="N41" s="81">
        <f t="shared" si="80"/>
        <v>-3.8947650855068986E-3</v>
      </c>
      <c r="O41" s="81">
        <f t="shared" si="80"/>
        <v>-1.7456698935590326E-3</v>
      </c>
      <c r="P41" s="81">
        <f t="shared" si="80"/>
        <v>-5.1280358996483111E-3</v>
      </c>
      <c r="Q41" s="81">
        <f t="shared" si="80"/>
        <v>-5.3675491821774512E-3</v>
      </c>
      <c r="R41" s="81">
        <f t="shared" si="80"/>
        <v>7.1915489736876087E-3</v>
      </c>
      <c r="S41" s="81">
        <f t="shared" si="80"/>
        <v>-5.3733226264610088E-3</v>
      </c>
      <c r="T41" s="81">
        <f t="shared" si="80"/>
        <v>-5.5764360108457641E-3</v>
      </c>
      <c r="U41" s="81">
        <f t="shared" si="80"/>
        <v>-4.9160370702809901E-3</v>
      </c>
      <c r="V41" s="81">
        <f t="shared" si="80"/>
        <v>-4.0910170333110256E-3</v>
      </c>
      <c r="W41" s="81">
        <f t="shared" si="80"/>
        <v>-5.1218311835118926E-3</v>
      </c>
      <c r="X41" s="81">
        <f t="shared" si="80"/>
        <v>-4.7958004596544632E-3</v>
      </c>
      <c r="Y41" s="81">
        <f t="shared" si="80"/>
        <v>-2.3821457847114534E-3</v>
      </c>
      <c r="Z41" s="81">
        <f t="shared" si="80"/>
        <v>-4.6883792148828205E-4</v>
      </c>
      <c r="AA41" s="81">
        <f t="shared" si="80"/>
        <v>-9.3775791457090859E-3</v>
      </c>
      <c r="AB41" s="81">
        <f t="shared" si="80"/>
        <v>-6.5645984062311664E-3</v>
      </c>
      <c r="AC41" s="81">
        <f t="shared" ref="AC41:AF41" si="81">-AC28/AC7</f>
        <v>-2.2209927284223847E-3</v>
      </c>
      <c r="AD41" s="81">
        <f t="shared" si="81"/>
        <v>-2.2889546652497842E-3</v>
      </c>
      <c r="AE41" s="81">
        <f t="shared" si="81"/>
        <v>-4.8802829642164675E-2</v>
      </c>
      <c r="AF41" s="81">
        <f t="shared" si="81"/>
        <v>-1.0312027107183352E-2</v>
      </c>
      <c r="AG41" s="81">
        <f t="shared" ref="AG41" si="82">-AG28/AG7</f>
        <v>-5.4354127326907871E-3</v>
      </c>
    </row>
    <row r="42" spans="2:33" s="45" customFormat="1" ht="13.5" customHeight="1">
      <c r="B42" s="207" t="s">
        <v>136</v>
      </c>
      <c r="C42" s="81">
        <f t="shared" ref="C42:G42" si="83">-C30/C29</f>
        <v>0.30141555804554127</v>
      </c>
      <c r="D42" s="81">
        <f t="shared" si="83"/>
        <v>0.45589009273878872</v>
      </c>
      <c r="E42" s="81">
        <f t="shared" si="83"/>
        <v>0.51524691798019095</v>
      </c>
      <c r="F42" s="81">
        <f t="shared" si="83"/>
        <v>0.50774873703258638</v>
      </c>
      <c r="G42" s="81">
        <f t="shared" si="83"/>
        <v>0.45340757309988572</v>
      </c>
      <c r="H42" s="81">
        <f t="shared" ref="H42:I42" si="84">-H30/H29</f>
        <v>0.42129369399991751</v>
      </c>
      <c r="I42" s="81">
        <f t="shared" si="84"/>
        <v>0.4211192290464057</v>
      </c>
      <c r="J42" s="81">
        <f t="shared" ref="J42" si="85">-J30/J29</f>
        <v>0.43610263936946581</v>
      </c>
      <c r="K42" s="178"/>
      <c r="L42" s="81">
        <f t="shared" ref="L42:R42" si="86">-L30/L29</f>
        <v>0.3375626066934328</v>
      </c>
      <c r="M42" s="81">
        <f t="shared" si="86"/>
        <v>0.59151132038960186</v>
      </c>
      <c r="N42" s="81">
        <f t="shared" si="86"/>
        <v>0.52759967132079877</v>
      </c>
      <c r="O42" s="81">
        <f t="shared" si="86"/>
        <v>0.58268141599827261</v>
      </c>
      <c r="P42" s="81">
        <f t="shared" si="86"/>
        <v>0.60969054325214911</v>
      </c>
      <c r="Q42" s="81">
        <f t="shared" si="86"/>
        <v>0.50417253649212623</v>
      </c>
      <c r="R42" s="81">
        <f t="shared" si="86"/>
        <v>0.41353162847587999</v>
      </c>
      <c r="S42" s="81">
        <f t="shared" ref="S42:V42" si="87">-S30/S29</f>
        <v>0.53857205107843831</v>
      </c>
      <c r="T42" s="81">
        <f t="shared" si="87"/>
        <v>0.48462186844456845</v>
      </c>
      <c r="U42" s="81">
        <f t="shared" si="87"/>
        <v>0.38705404574878538</v>
      </c>
      <c r="V42" s="81">
        <f t="shared" si="87"/>
        <v>0.48517558548525375</v>
      </c>
      <c r="W42" s="81">
        <f t="shared" ref="W42:Z42" si="88">-W30/W29</f>
        <v>0.45327680227315253</v>
      </c>
      <c r="X42" s="81">
        <f t="shared" si="88"/>
        <v>0.44431482857446147</v>
      </c>
      <c r="Y42" s="81">
        <f t="shared" si="88"/>
        <v>0.38468539856236578</v>
      </c>
      <c r="Z42" s="81">
        <f t="shared" si="88"/>
        <v>0.38608536171121927</v>
      </c>
      <c r="AA42" s="81">
        <f t="shared" ref="AA42:AD42" si="89">-AA30/AA29</f>
        <v>0.46726206658606328</v>
      </c>
      <c r="AB42" s="81">
        <f t="shared" si="89"/>
        <v>0.4112825306646955</v>
      </c>
      <c r="AC42" s="81">
        <f t="shared" si="89"/>
        <v>0.47254862891936061</v>
      </c>
      <c r="AD42" s="81">
        <f t="shared" si="89"/>
        <v>0.45976848557748545</v>
      </c>
      <c r="AE42" s="81">
        <f t="shared" ref="AE42:AG42" si="90">-AE30/AE29</f>
        <v>0.34952446181840402</v>
      </c>
      <c r="AF42" s="81">
        <f t="shared" si="90"/>
        <v>0.52456529851926337</v>
      </c>
      <c r="AG42" s="81">
        <f t="shared" si="90"/>
        <v>0.42580333490458111</v>
      </c>
    </row>
    <row r="43" spans="2:33" s="45" customFormat="1" ht="13.5" customHeight="1">
      <c r="B43" s="69"/>
      <c r="C43" s="205"/>
      <c r="D43" s="205"/>
      <c r="E43" s="205"/>
      <c r="F43" s="205"/>
      <c r="G43" s="205"/>
      <c r="H43" s="205"/>
      <c r="I43" s="205"/>
      <c r="J43" s="205"/>
      <c r="K43" s="178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</row>
    <row r="44" spans="2:33" ht="13.5" customHeight="1">
      <c r="B44" s="47" t="s">
        <v>137</v>
      </c>
      <c r="C44" s="223">
        <f t="shared" ref="C44:J44" si="91">C64/C7</f>
        <v>-0.17904780272072202</v>
      </c>
      <c r="D44" s="223">
        <f t="shared" si="91"/>
        <v>8.542854472380566E-3</v>
      </c>
      <c r="E44" s="223">
        <f t="shared" si="91"/>
        <v>-6.5642664200080678E-2</v>
      </c>
      <c r="F44" s="223">
        <f t="shared" si="91"/>
        <v>-9.1445861996094613E-2</v>
      </c>
      <c r="G44" s="223">
        <f t="shared" si="91"/>
        <v>-7.3521618919277401E-2</v>
      </c>
      <c r="H44" s="223">
        <f t="shared" si="91"/>
        <v>4.7266203672550848E-2</v>
      </c>
      <c r="I44" s="223">
        <f t="shared" ref="I44" si="92">I64/I7</f>
        <v>-2.7371735502248855E-2</v>
      </c>
      <c r="J44" s="223">
        <f t="shared" si="91"/>
        <v>-2.687049499249124E-2</v>
      </c>
      <c r="K44" s="178"/>
      <c r="L44" s="223">
        <f t="shared" ref="L44:AB44" si="93">L64/L7</f>
        <v>-0.11352336535321624</v>
      </c>
      <c r="M44" s="223">
        <f t="shared" si="93"/>
        <v>-3.1445663318844616E-2</v>
      </c>
      <c r="N44" s="223">
        <f t="shared" si="93"/>
        <v>-0.14642678604211115</v>
      </c>
      <c r="O44" s="223">
        <f t="shared" si="93"/>
        <v>1.4012896301398573E-2</v>
      </c>
      <c r="P44" s="223">
        <f t="shared" si="93"/>
        <v>-8.9263833006653678E-2</v>
      </c>
      <c r="Q44" s="223">
        <f t="shared" si="93"/>
        <v>-0.17649399338786192</v>
      </c>
      <c r="R44" s="223">
        <f t="shared" si="93"/>
        <v>-0.33691327283959477</v>
      </c>
      <c r="S44" s="223">
        <f t="shared" si="93"/>
        <v>0.22583386927354401</v>
      </c>
      <c r="T44" s="223">
        <f t="shared" si="93"/>
        <v>-4.4342095042763799E-3</v>
      </c>
      <c r="U44" s="223">
        <f t="shared" si="93"/>
        <v>-0.12986910150903916</v>
      </c>
      <c r="V44" s="223">
        <f t="shared" si="93"/>
        <v>-0.36037290501788238</v>
      </c>
      <c r="W44" s="223">
        <f t="shared" si="93"/>
        <v>0.19281742399726071</v>
      </c>
      <c r="X44" s="223">
        <f t="shared" si="93"/>
        <v>0.13501584390025151</v>
      </c>
      <c r="Y44" s="223">
        <f t="shared" si="93"/>
        <v>-5.7898107684303006E-3</v>
      </c>
      <c r="Z44" s="223">
        <f t="shared" si="93"/>
        <v>0.17590117872018746</v>
      </c>
      <c r="AA44" s="223">
        <f t="shared" si="93"/>
        <v>-0.10575303824754891</v>
      </c>
      <c r="AB44" s="223">
        <f t="shared" si="93"/>
        <v>-0.1229165941004501</v>
      </c>
      <c r="AC44" s="223">
        <f t="shared" ref="AC44:AF44" si="94">AC64/AC7</f>
        <v>2.7640363764854608E-2</v>
      </c>
      <c r="AD44" s="223">
        <f t="shared" si="94"/>
        <v>0.10560413027481122</v>
      </c>
      <c r="AE44" s="223">
        <f t="shared" si="94"/>
        <v>-0.11914915196625804</v>
      </c>
      <c r="AF44" s="223">
        <f t="shared" si="94"/>
        <v>-5.7759580980048193E-2</v>
      </c>
      <c r="AG44" s="223">
        <f t="shared" ref="AG44" si="95">AG64/AG7</f>
        <v>-2.8733816315391517E-2</v>
      </c>
    </row>
    <row r="45" spans="2:33" s="45" customFormat="1" ht="13.5" customHeight="1">
      <c r="B45" s="47" t="s">
        <v>138</v>
      </c>
      <c r="C45" s="81">
        <f t="shared" ref="C45:J45" si="96">-C68/C7</f>
        <v>0.19184764088291939</v>
      </c>
      <c r="D45" s="81">
        <f t="shared" si="96"/>
        <v>0.23109461164594824</v>
      </c>
      <c r="E45" s="81">
        <f t="shared" si="96"/>
        <v>0.24087724411771561</v>
      </c>
      <c r="F45" s="81">
        <f t="shared" si="96"/>
        <v>0.19748241440018968</v>
      </c>
      <c r="G45" s="81">
        <f t="shared" si="96"/>
        <v>0.27380877693234956</v>
      </c>
      <c r="H45" s="81">
        <f t="shared" si="96"/>
        <v>0.33546200248102842</v>
      </c>
      <c r="I45" s="81">
        <f t="shared" ref="I45" si="97">-I68/I7</f>
        <v>0.41927170501939348</v>
      </c>
      <c r="J45" s="81">
        <f t="shared" si="96"/>
        <v>0.42376227056566929</v>
      </c>
      <c r="K45" s="178"/>
      <c r="L45" s="81">
        <f t="shared" ref="L45:AB45" si="98">-L68/L7</f>
        <v>0.29222080473065964</v>
      </c>
      <c r="M45" s="81">
        <f t="shared" si="98"/>
        <v>0.17394645962512703</v>
      </c>
      <c r="N45" s="81">
        <f t="shared" si="98"/>
        <v>0.19780661742900307</v>
      </c>
      <c r="O45" s="81">
        <f t="shared" si="98"/>
        <v>0.30468674072602975</v>
      </c>
      <c r="P45" s="81">
        <f t="shared" si="98"/>
        <v>0.18716384722558552</v>
      </c>
      <c r="Q45" s="81">
        <f t="shared" si="98"/>
        <v>0.15912564097786774</v>
      </c>
      <c r="R45" s="81">
        <f t="shared" si="98"/>
        <v>0.20775083226190155</v>
      </c>
      <c r="S45" s="81">
        <f t="shared" si="98"/>
        <v>0.2328557797820682</v>
      </c>
      <c r="T45" s="81">
        <f t="shared" si="98"/>
        <v>0.29402320102692631</v>
      </c>
      <c r="U45" s="81">
        <f t="shared" si="98"/>
        <v>0.29281506597032608</v>
      </c>
      <c r="V45" s="81">
        <f t="shared" si="98"/>
        <v>0.24586490648589909</v>
      </c>
      <c r="W45" s="81">
        <f t="shared" si="98"/>
        <v>0.2648014063409051</v>
      </c>
      <c r="X45" s="81">
        <f t="shared" si="98"/>
        <v>0.288457434856769</v>
      </c>
      <c r="Y45" s="81">
        <f t="shared" si="98"/>
        <v>0.2858870806335681</v>
      </c>
      <c r="Z45" s="81">
        <f t="shared" si="98"/>
        <v>0.38941889403020724</v>
      </c>
      <c r="AA45" s="81">
        <f t="shared" si="98"/>
        <v>0.37837599745505751</v>
      </c>
      <c r="AB45" s="81">
        <f t="shared" si="98"/>
        <v>0.33109710099356465</v>
      </c>
      <c r="AC45" s="81">
        <f t="shared" ref="AC45:AF45" si="99">-AC68/AC7</f>
        <v>0.42791792973907883</v>
      </c>
      <c r="AD45" s="81">
        <f t="shared" si="99"/>
        <v>0.4494071898943684</v>
      </c>
      <c r="AE45" s="81">
        <f t="shared" si="99"/>
        <v>0.46592148857744892</v>
      </c>
      <c r="AF45" s="81">
        <f t="shared" si="99"/>
        <v>0.48881154833895285</v>
      </c>
      <c r="AG45" s="81">
        <f t="shared" ref="AG45" si="100">-AG68/AG7</f>
        <v>0.32097208897085489</v>
      </c>
    </row>
    <row r="46" spans="2:33" s="1" customFormat="1" ht="13.5" customHeight="1"/>
    <row r="47" spans="2:33" ht="13.5" customHeight="1">
      <c r="B47" s="55" t="s">
        <v>139</v>
      </c>
      <c r="C47" s="59">
        <f t="shared" ref="C47:H47" si="101">C3</f>
        <v>43830</v>
      </c>
      <c r="D47" s="59">
        <f t="shared" si="101"/>
        <v>44196</v>
      </c>
      <c r="E47" s="59">
        <f t="shared" si="101"/>
        <v>44561</v>
      </c>
      <c r="F47" s="59">
        <f t="shared" si="101"/>
        <v>44926</v>
      </c>
      <c r="G47" s="59">
        <f t="shared" si="101"/>
        <v>45291</v>
      </c>
      <c r="H47" s="59">
        <f t="shared" si="101"/>
        <v>45657</v>
      </c>
      <c r="I47" s="59">
        <f t="shared" ref="I47" si="102">I3</f>
        <v>46022</v>
      </c>
      <c r="J47" s="59" t="str">
        <f>J2</f>
        <v>LTM</v>
      </c>
      <c r="K47" s="175"/>
      <c r="L47" s="59">
        <f t="shared" ref="L47:AB47" si="103">L3</f>
        <v>44286</v>
      </c>
      <c r="M47" s="59">
        <f t="shared" si="103"/>
        <v>44377</v>
      </c>
      <c r="N47" s="59">
        <f t="shared" si="103"/>
        <v>44469</v>
      </c>
      <c r="O47" s="59">
        <f t="shared" si="103"/>
        <v>44561</v>
      </c>
      <c r="P47" s="59">
        <f t="shared" si="103"/>
        <v>44651</v>
      </c>
      <c r="Q47" s="59">
        <f t="shared" si="103"/>
        <v>44742</v>
      </c>
      <c r="R47" s="59">
        <f t="shared" si="103"/>
        <v>44834</v>
      </c>
      <c r="S47" s="59">
        <f t="shared" si="103"/>
        <v>44926</v>
      </c>
      <c r="T47" s="59">
        <f t="shared" si="103"/>
        <v>45016</v>
      </c>
      <c r="U47" s="59">
        <f t="shared" si="103"/>
        <v>45107</v>
      </c>
      <c r="V47" s="59">
        <f t="shared" si="103"/>
        <v>45199</v>
      </c>
      <c r="W47" s="59">
        <f t="shared" si="103"/>
        <v>45291</v>
      </c>
      <c r="X47" s="59">
        <f t="shared" si="103"/>
        <v>45382</v>
      </c>
      <c r="Y47" s="59">
        <f t="shared" si="103"/>
        <v>45473</v>
      </c>
      <c r="Z47" s="59">
        <f t="shared" si="103"/>
        <v>45565</v>
      </c>
      <c r="AA47" s="59">
        <f t="shared" si="103"/>
        <v>45657</v>
      </c>
      <c r="AB47" s="59">
        <f t="shared" si="103"/>
        <v>45747</v>
      </c>
      <c r="AC47" s="59">
        <f t="shared" ref="AC47:AF47" si="104">AC3</f>
        <v>45838</v>
      </c>
      <c r="AD47" s="59">
        <f t="shared" si="104"/>
        <v>45930</v>
      </c>
      <c r="AE47" s="59">
        <f t="shared" si="104"/>
        <v>46022</v>
      </c>
      <c r="AF47" s="59">
        <f t="shared" si="104"/>
        <v>46112</v>
      </c>
      <c r="AG47" s="59">
        <f t="shared" ref="AG47" si="105">AG3</f>
        <v>46203</v>
      </c>
    </row>
    <row r="48" spans="2:33" s="33" customFormat="1" ht="13.5" customHeight="1">
      <c r="B48" s="75" t="s">
        <v>124</v>
      </c>
      <c r="C48" s="58">
        <f t="shared" ref="C48:G48" si="106">C24</f>
        <v>2382.4541269999995</v>
      </c>
      <c r="D48" s="58">
        <f t="shared" si="106"/>
        <v>1498.5350000000003</v>
      </c>
      <c r="E48" s="58">
        <f t="shared" si="106"/>
        <v>2325.6539999999995</v>
      </c>
      <c r="F48" s="58">
        <f t="shared" si="106"/>
        <v>4230.0770000000002</v>
      </c>
      <c r="G48" s="58">
        <f t="shared" si="106"/>
        <v>4138.7820000000002</v>
      </c>
      <c r="H48" s="58">
        <f t="shared" ref="H48:I48" si="107">H24</f>
        <v>3906.4709999999986</v>
      </c>
      <c r="I48" s="58">
        <f t="shared" si="107"/>
        <v>3250.4219999999987</v>
      </c>
      <c r="J48" s="58">
        <f t="shared" ref="J48" si="108">J24</f>
        <v>3906.0549999999985</v>
      </c>
      <c r="K48" s="58"/>
      <c r="L48" s="58">
        <f t="shared" ref="L48:R48" si="109">L24</f>
        <v>258.37000000000012</v>
      </c>
      <c r="M48" s="58">
        <f t="shared" si="109"/>
        <v>586.45600000000013</v>
      </c>
      <c r="N48" s="58">
        <f t="shared" si="109"/>
        <v>659.87999999999988</v>
      </c>
      <c r="O48" s="58">
        <f t="shared" si="109"/>
        <v>820.94800000000009</v>
      </c>
      <c r="P48" s="58">
        <f t="shared" si="109"/>
        <v>851.95200000000023</v>
      </c>
      <c r="Q48" s="58">
        <f t="shared" si="109"/>
        <v>1254.7189999999998</v>
      </c>
      <c r="R48" s="58">
        <f t="shared" si="109"/>
        <v>1199.93</v>
      </c>
      <c r="S48" s="58">
        <f t="shared" ref="S48:V48" si="110">S24</f>
        <v>923.47599999999989</v>
      </c>
      <c r="T48" s="58">
        <f t="shared" si="110"/>
        <v>1134.4749999999997</v>
      </c>
      <c r="U48" s="58">
        <f t="shared" si="110"/>
        <v>1024.425</v>
      </c>
      <c r="V48" s="58">
        <f t="shared" si="110"/>
        <v>1027.944</v>
      </c>
      <c r="W48" s="58">
        <f t="shared" ref="W48:Z48" si="111">W24</f>
        <v>951.93799999999987</v>
      </c>
      <c r="X48" s="58">
        <f t="shared" si="111"/>
        <v>960.07299999999964</v>
      </c>
      <c r="Y48" s="58">
        <f t="shared" si="111"/>
        <v>1076.954</v>
      </c>
      <c r="Z48" s="58">
        <f t="shared" si="111"/>
        <v>856.77899999999977</v>
      </c>
      <c r="AA48" s="58">
        <f t="shared" ref="AA48:AD48" si="112">AA24</f>
        <v>1012.6649999999993</v>
      </c>
      <c r="AB48" s="58">
        <f t="shared" si="112"/>
        <v>856.92500000000018</v>
      </c>
      <c r="AC48" s="58">
        <f t="shared" si="112"/>
        <v>815.52699999999959</v>
      </c>
      <c r="AD48" s="58">
        <f t="shared" si="112"/>
        <v>780.51400000000012</v>
      </c>
      <c r="AE48" s="58">
        <f t="shared" ref="AE48:AG48" si="113">AE24</f>
        <v>797.4559999999999</v>
      </c>
      <c r="AF48" s="58">
        <f t="shared" si="113"/>
        <v>829.24300000000017</v>
      </c>
      <c r="AG48" s="58">
        <f t="shared" si="113"/>
        <v>1498.8420000000003</v>
      </c>
    </row>
    <row r="49" spans="2:33" ht="13.5" customHeight="1">
      <c r="B49" s="69" t="s">
        <v>140</v>
      </c>
      <c r="C49" s="14">
        <f t="shared" ref="C49:J49" si="114">-C16</f>
        <v>2026.0555870000001</v>
      </c>
      <c r="D49" s="14">
        <f t="shared" si="114"/>
        <v>2086.0830000000001</v>
      </c>
      <c r="E49" s="14">
        <f t="shared" si="114"/>
        <v>2202.0639999999999</v>
      </c>
      <c r="F49" s="14">
        <f t="shared" si="114"/>
        <v>2363.1350000000002</v>
      </c>
      <c r="G49" s="14">
        <f t="shared" si="114"/>
        <v>2334.7109999999998</v>
      </c>
      <c r="H49" s="14">
        <f t="shared" si="114"/>
        <v>2688.9409999999998</v>
      </c>
      <c r="I49" s="14">
        <f t="shared" ref="I49" si="115">-I16</f>
        <v>2897.0439999999999</v>
      </c>
      <c r="J49" s="14">
        <f t="shared" si="114"/>
        <v>2879.6289999999999</v>
      </c>
      <c r="K49" s="14"/>
      <c r="L49" s="14">
        <f t="shared" ref="L49:AB49" si="116">-L16</f>
        <v>546.65899999999999</v>
      </c>
      <c r="M49" s="14">
        <f t="shared" si="116"/>
        <v>629.71400000000006</v>
      </c>
      <c r="N49" s="14">
        <f t="shared" si="116"/>
        <v>605.82100000000003</v>
      </c>
      <c r="O49" s="14">
        <f t="shared" si="116"/>
        <v>419.86999999999989</v>
      </c>
      <c r="P49" s="14">
        <f t="shared" si="116"/>
        <v>516.75900000000001</v>
      </c>
      <c r="Q49" s="14">
        <f t="shared" si="116"/>
        <v>565.33000000000004</v>
      </c>
      <c r="R49" s="14">
        <f t="shared" si="116"/>
        <v>631.11199999999997</v>
      </c>
      <c r="S49" s="14">
        <f t="shared" si="116"/>
        <v>649.9340000000002</v>
      </c>
      <c r="T49" s="14">
        <f t="shared" si="116"/>
        <v>491.62400000000002</v>
      </c>
      <c r="U49" s="14">
        <f t="shared" si="116"/>
        <v>559.71600000000001</v>
      </c>
      <c r="V49" s="14">
        <f t="shared" si="116"/>
        <v>629.44399999999996</v>
      </c>
      <c r="W49" s="14">
        <f t="shared" si="116"/>
        <v>653.92699999999968</v>
      </c>
      <c r="X49" s="14">
        <f t="shared" si="116"/>
        <v>623.245</v>
      </c>
      <c r="Y49" s="14">
        <f t="shared" si="116"/>
        <v>716.25</v>
      </c>
      <c r="Z49" s="14">
        <f t="shared" si="116"/>
        <v>722.53300000000002</v>
      </c>
      <c r="AA49" s="14">
        <f t="shared" si="116"/>
        <v>626.91300000000001</v>
      </c>
      <c r="AB49" s="14">
        <f t="shared" si="116"/>
        <v>680.71100000000001</v>
      </c>
      <c r="AC49" s="14">
        <f t="shared" ref="AC49:AF49" si="117">-AC16</f>
        <v>754.86400000000003</v>
      </c>
      <c r="AD49" s="14">
        <f t="shared" si="117"/>
        <v>736.68200000000002</v>
      </c>
      <c r="AE49" s="14">
        <f t="shared" si="117"/>
        <v>724.78699999999981</v>
      </c>
      <c r="AF49" s="14">
        <f t="shared" si="117"/>
        <v>668.85799999999995</v>
      </c>
      <c r="AG49" s="14">
        <f t="shared" ref="AG49" si="118">-AG16</f>
        <v>749.30200000000013</v>
      </c>
    </row>
    <row r="50" spans="2:33" s="33" customFormat="1" ht="13.5" customHeight="1">
      <c r="B50" s="33" t="s">
        <v>139</v>
      </c>
      <c r="C50" s="58">
        <f t="shared" ref="C50:E50" si="119">SUM(C48:C49)</f>
        <v>4408.5097139999998</v>
      </c>
      <c r="D50" s="58">
        <f t="shared" si="119"/>
        <v>3584.6180000000004</v>
      </c>
      <c r="E50" s="58">
        <f t="shared" si="119"/>
        <v>4527.7179999999989</v>
      </c>
      <c r="F50" s="58">
        <f t="shared" ref="F50:G50" si="120">SUM(F48:F49)</f>
        <v>6593.2120000000004</v>
      </c>
      <c r="G50" s="58">
        <f t="shared" si="120"/>
        <v>6473.4930000000004</v>
      </c>
      <c r="H50" s="58">
        <f t="shared" ref="H50:I50" si="121">SUM(H48:H49)</f>
        <v>6595.4119999999984</v>
      </c>
      <c r="I50" s="58">
        <f t="shared" si="121"/>
        <v>6147.4659999999985</v>
      </c>
      <c r="J50" s="58">
        <f t="shared" ref="J50" si="122">SUM(J48:J49)</f>
        <v>6785.6839999999984</v>
      </c>
      <c r="K50" s="58"/>
      <c r="L50" s="58">
        <f t="shared" ref="L50:O50" si="123">SUM(L48:L49)</f>
        <v>805.02900000000011</v>
      </c>
      <c r="M50" s="58">
        <f t="shared" si="123"/>
        <v>1216.17</v>
      </c>
      <c r="N50" s="58">
        <f t="shared" si="123"/>
        <v>1265.701</v>
      </c>
      <c r="O50" s="58">
        <f t="shared" si="123"/>
        <v>1240.818</v>
      </c>
      <c r="P50" s="58">
        <f t="shared" ref="P50:S50" si="124">SUM(P48:P49)</f>
        <v>1368.7110000000002</v>
      </c>
      <c r="Q50" s="58">
        <f t="shared" si="124"/>
        <v>1820.049</v>
      </c>
      <c r="R50" s="58">
        <f t="shared" si="124"/>
        <v>1831.0419999999999</v>
      </c>
      <c r="S50" s="58">
        <f t="shared" si="124"/>
        <v>1573.41</v>
      </c>
      <c r="T50" s="58">
        <f t="shared" ref="T50:W50" si="125">SUM(T48:T49)</f>
        <v>1626.0989999999997</v>
      </c>
      <c r="U50" s="58">
        <f t="shared" si="125"/>
        <v>1584.1410000000001</v>
      </c>
      <c r="V50" s="58">
        <f t="shared" si="125"/>
        <v>1657.3879999999999</v>
      </c>
      <c r="W50" s="58">
        <f t="shared" si="125"/>
        <v>1605.8649999999996</v>
      </c>
      <c r="X50" s="58">
        <f t="shared" ref="X50:AA50" si="126">SUM(X48:X49)</f>
        <v>1583.3179999999998</v>
      </c>
      <c r="Y50" s="58">
        <f t="shared" si="126"/>
        <v>1793.204</v>
      </c>
      <c r="Z50" s="58">
        <f t="shared" si="126"/>
        <v>1579.3119999999999</v>
      </c>
      <c r="AA50" s="58">
        <f t="shared" si="126"/>
        <v>1639.5779999999993</v>
      </c>
      <c r="AB50" s="58">
        <f t="shared" ref="AB50:AE50" si="127">SUM(AB48:AB49)</f>
        <v>1537.6360000000002</v>
      </c>
      <c r="AC50" s="58">
        <f t="shared" si="127"/>
        <v>1570.3909999999996</v>
      </c>
      <c r="AD50" s="58">
        <f t="shared" si="127"/>
        <v>1517.1960000000001</v>
      </c>
      <c r="AE50" s="58">
        <f t="shared" si="127"/>
        <v>1522.2429999999997</v>
      </c>
      <c r="AF50" s="58">
        <f t="shared" ref="AF50:AG50" si="128">SUM(AF48:AF49)</f>
        <v>1498.1010000000001</v>
      </c>
      <c r="AG50" s="58">
        <f t="shared" si="128"/>
        <v>2248.1440000000002</v>
      </c>
    </row>
    <row r="51" spans="2:33" s="45" customFormat="1" ht="13.5" customHeight="1">
      <c r="B51" s="50" t="s">
        <v>141</v>
      </c>
      <c r="C51" s="78"/>
      <c r="D51" s="78">
        <f t="shared" ref="D51:I51" si="129">+D50/C50-1</f>
        <v>-0.18688667315024532</v>
      </c>
      <c r="E51" s="78">
        <f t="shared" si="129"/>
        <v>0.26309637456487645</v>
      </c>
      <c r="F51" s="78">
        <f t="shared" si="129"/>
        <v>0.45618874673731935</v>
      </c>
      <c r="G51" s="78">
        <f t="shared" si="129"/>
        <v>-1.8157917567340531E-2</v>
      </c>
      <c r="H51" s="78">
        <f t="shared" si="129"/>
        <v>1.8833572539585397E-2</v>
      </c>
      <c r="I51" s="78">
        <f t="shared" si="129"/>
        <v>-6.7917819235553401E-2</v>
      </c>
      <c r="J51" s="78"/>
      <c r="K51" s="72"/>
      <c r="L51" s="78"/>
      <c r="M51" s="78"/>
      <c r="N51" s="78"/>
      <c r="O51" s="78"/>
      <c r="P51" s="78">
        <f t="shared" ref="P51:AG51" si="130">P50/L50-1</f>
        <v>0.70020086232918333</v>
      </c>
      <c r="Q51" s="78">
        <f t="shared" si="130"/>
        <v>0.49654160191420593</v>
      </c>
      <c r="R51" s="78">
        <f t="shared" si="130"/>
        <v>0.4466623633859812</v>
      </c>
      <c r="S51" s="78">
        <f t="shared" si="130"/>
        <v>0.26804253323210991</v>
      </c>
      <c r="T51" s="78">
        <f t="shared" si="130"/>
        <v>0.18805138557372558</v>
      </c>
      <c r="U51" s="78">
        <f t="shared" si="130"/>
        <v>-0.12961629055041923</v>
      </c>
      <c r="V51" s="78">
        <f t="shared" si="130"/>
        <v>-9.4838895011692848E-2</v>
      </c>
      <c r="W51" s="78">
        <f t="shared" si="130"/>
        <v>2.0627172828442397E-2</v>
      </c>
      <c r="X51" s="78">
        <f t="shared" si="130"/>
        <v>-2.6308976267742534E-2</v>
      </c>
      <c r="Y51" s="78">
        <f t="shared" si="130"/>
        <v>0.13197246962233788</v>
      </c>
      <c r="Z51" s="78">
        <f t="shared" si="130"/>
        <v>-4.7107858871911712E-2</v>
      </c>
      <c r="AA51" s="78">
        <f t="shared" si="130"/>
        <v>2.0993670078119697E-2</v>
      </c>
      <c r="AB51" s="78">
        <f t="shared" si="130"/>
        <v>-2.8852068883193138E-2</v>
      </c>
      <c r="AC51" s="78">
        <f t="shared" si="130"/>
        <v>-0.124254128364648</v>
      </c>
      <c r="AD51" s="78">
        <f t="shared" si="130"/>
        <v>-3.9331050482741658E-2</v>
      </c>
      <c r="AE51" s="78">
        <f t="shared" si="130"/>
        <v>-7.156414638400832E-2</v>
      </c>
      <c r="AF51" s="78">
        <f t="shared" si="130"/>
        <v>-2.5711546816021502E-2</v>
      </c>
      <c r="AG51" s="78">
        <f t="shared" si="130"/>
        <v>0.43158232567558064</v>
      </c>
    </row>
    <row r="52" spans="2:33" s="45" customFormat="1" ht="13.5" customHeight="1">
      <c r="B52" s="50" t="s">
        <v>132</v>
      </c>
      <c r="C52" s="78">
        <f t="shared" ref="C52:J52" si="131">+C50/C7</f>
        <v>0.71534057877711166</v>
      </c>
      <c r="D52" s="78">
        <f t="shared" si="131"/>
        <v>0.69800487584509452</v>
      </c>
      <c r="E52" s="78">
        <f t="shared" si="131"/>
        <v>0.66349844013934911</v>
      </c>
      <c r="F52" s="78">
        <f t="shared" si="131"/>
        <v>0.69980587989985021</v>
      </c>
      <c r="G52" s="78">
        <f t="shared" si="131"/>
        <v>0.7493209398243762</v>
      </c>
      <c r="H52" s="78">
        <f t="shared" si="131"/>
        <v>0.74589317870993066</v>
      </c>
      <c r="I52" s="78">
        <f t="shared" ref="I52" si="132">+I50/I7</f>
        <v>0.71797822753290919</v>
      </c>
      <c r="J52" s="78">
        <f t="shared" si="131"/>
        <v>0.70177040324926754</v>
      </c>
      <c r="K52" s="179"/>
      <c r="L52" s="78">
        <f t="shared" ref="L52:AB52" si="133">+L50/L7</f>
        <v>0.57024410526964497</v>
      </c>
      <c r="M52" s="78">
        <f t="shared" si="133"/>
        <v>0.69547131896341219</v>
      </c>
      <c r="N52" s="78">
        <f t="shared" si="133"/>
        <v>0.7149540338638386</v>
      </c>
      <c r="O52" s="78">
        <f t="shared" si="133"/>
        <v>0.65538838910321695</v>
      </c>
      <c r="P52" s="78">
        <f t="shared" si="133"/>
        <v>0.66421871337593841</v>
      </c>
      <c r="Q52" s="78">
        <f t="shared" si="133"/>
        <v>0.7535639094008707</v>
      </c>
      <c r="R52" s="78">
        <f t="shared" si="133"/>
        <v>0.75310427314148731</v>
      </c>
      <c r="S52" s="78">
        <f t="shared" si="133"/>
        <v>0.6257912326943017</v>
      </c>
      <c r="T52" s="78">
        <f t="shared" si="133"/>
        <v>0.73009959909825162</v>
      </c>
      <c r="U52" s="78">
        <f t="shared" si="133"/>
        <v>0.80927942227496608</v>
      </c>
      <c r="V52" s="78">
        <f t="shared" si="133"/>
        <v>0.74542684023804895</v>
      </c>
      <c r="W52" s="78">
        <f t="shared" si="133"/>
        <v>0.71978379570406237</v>
      </c>
      <c r="X52" s="78">
        <f t="shared" si="133"/>
        <v>0.74582822828594286</v>
      </c>
      <c r="Y52" s="78">
        <f t="shared" si="133"/>
        <v>0.78021431045255119</v>
      </c>
      <c r="Z52" s="78">
        <f t="shared" si="133"/>
        <v>0.72663528504563468</v>
      </c>
      <c r="AA52" s="78">
        <f t="shared" si="133"/>
        <v>0.72948106754108266</v>
      </c>
      <c r="AB52" s="78">
        <f t="shared" si="133"/>
        <v>0.73367951991304459</v>
      </c>
      <c r="AC52" s="78">
        <f t="shared" ref="AC52:AF52" si="134">+AC50/AC7</f>
        <v>0.73012915884026697</v>
      </c>
      <c r="AD52" s="78">
        <f t="shared" si="134"/>
        <v>0.71339212454772227</v>
      </c>
      <c r="AE52" s="78">
        <f t="shared" si="134"/>
        <v>0.69546031026649879</v>
      </c>
      <c r="AF52" s="78">
        <f t="shared" si="134"/>
        <v>0.62314784080103625</v>
      </c>
      <c r="AG52" s="78">
        <f t="shared" ref="AG52" si="135">+AG50/AG7</f>
        <v>0.762152468192004</v>
      </c>
    </row>
    <row r="53" spans="2:33" s="45" customFormat="1" ht="13.5" customHeight="1">
      <c r="B53" s="80"/>
      <c r="C53" s="71"/>
      <c r="D53" s="71"/>
      <c r="E53" s="71"/>
      <c r="F53" s="71"/>
      <c r="G53" s="71"/>
      <c r="H53" s="71"/>
    </row>
    <row r="54" spans="2:33" ht="13.5" customHeight="1">
      <c r="B54" s="203" t="s">
        <v>142</v>
      </c>
      <c r="C54" s="203">
        <f t="shared" ref="C54:E54" si="136">C55-C50</f>
        <v>-54.509713999999803</v>
      </c>
      <c r="D54" s="203">
        <f t="shared" si="136"/>
        <v>-72.618000000000393</v>
      </c>
      <c r="E54" s="203">
        <f t="shared" si="136"/>
        <v>468.28200000000106</v>
      </c>
      <c r="F54" s="203">
        <f>F55-F50</f>
        <v>509.78799999999956</v>
      </c>
      <c r="G54" s="203">
        <f>G55-G50</f>
        <v>-40.493000000000393</v>
      </c>
      <c r="H54" s="203">
        <f>H55-H50</f>
        <v>-133.41199999999844</v>
      </c>
      <c r="I54" s="203">
        <f>I55-I50</f>
        <v>-191.46599999999853</v>
      </c>
      <c r="J54" s="203">
        <f t="shared" ref="J54" si="137">J55-J50</f>
        <v>-67.683999999998377</v>
      </c>
      <c r="K54" s="179"/>
      <c r="L54" s="203">
        <f t="shared" ref="L54:M54" si="138">L55-L50</f>
        <v>235.97099999999989</v>
      </c>
      <c r="M54" s="203">
        <f t="shared" si="138"/>
        <v>111.82999999999993</v>
      </c>
      <c r="N54" s="203">
        <f t="shared" ref="N54" si="139">N55-N50</f>
        <v>31.298999999999978</v>
      </c>
      <c r="O54" s="203">
        <f t="shared" ref="O54" si="140">O55-O50</f>
        <v>89.182000000000016</v>
      </c>
      <c r="P54" s="203">
        <f t="shared" ref="P54:Q54" si="141">P55-P50</f>
        <v>232.28899999999976</v>
      </c>
      <c r="Q54" s="203">
        <f t="shared" si="141"/>
        <v>-4.0489999999999782</v>
      </c>
      <c r="R54" s="203">
        <f t="shared" ref="R54" si="142">R55-R50</f>
        <v>6.9580000000000837</v>
      </c>
      <c r="S54" s="203">
        <f t="shared" ref="S54:V54" si="143">S55-S50</f>
        <v>274.58999999999992</v>
      </c>
      <c r="T54" s="203">
        <f t="shared" si="143"/>
        <v>-10.098999999999705</v>
      </c>
      <c r="U54" s="203">
        <f t="shared" si="143"/>
        <v>-79.141000000000076</v>
      </c>
      <c r="V54" s="203">
        <f t="shared" si="143"/>
        <v>-6.38799999999992</v>
      </c>
      <c r="W54" s="203">
        <f t="shared" ref="W54:Z54" si="144">W55-W50</f>
        <v>55.135000000000446</v>
      </c>
      <c r="X54" s="203">
        <f t="shared" si="144"/>
        <v>-15.317999999999756</v>
      </c>
      <c r="Y54" s="203">
        <f t="shared" si="144"/>
        <v>-17.203999999999951</v>
      </c>
      <c r="Z54" s="203">
        <f t="shared" si="144"/>
        <v>-14.311999999999898</v>
      </c>
      <c r="AA54" s="203">
        <f t="shared" ref="AA54:AD54" si="145">AA55-AA50</f>
        <v>-86.577999999999292</v>
      </c>
      <c r="AB54" s="203">
        <f t="shared" si="145"/>
        <v>-26.636000000000195</v>
      </c>
      <c r="AC54" s="203">
        <f t="shared" si="145"/>
        <v>-14.390999999999622</v>
      </c>
      <c r="AD54" s="203">
        <f t="shared" si="145"/>
        <v>-50.19600000000014</v>
      </c>
      <c r="AE54" s="203">
        <f t="shared" ref="AE54:AG54" si="146">AE55-AE50</f>
        <v>-100.24299999999971</v>
      </c>
      <c r="AF54" s="203">
        <f t="shared" si="146"/>
        <v>217.89899999999989</v>
      </c>
      <c r="AG54" s="203">
        <f t="shared" si="146"/>
        <v>-135.14400000000023</v>
      </c>
    </row>
    <row r="55" spans="2:33" s="33" customFormat="1" ht="13.5" customHeight="1">
      <c r="B55" s="33" t="s">
        <v>143</v>
      </c>
      <c r="C55" s="108">
        <v>4354</v>
      </c>
      <c r="D55" s="108">
        <v>3512</v>
      </c>
      <c r="E55" s="108">
        <v>4996</v>
      </c>
      <c r="F55" s="108">
        <v>7103</v>
      </c>
      <c r="G55" s="108">
        <v>6433</v>
      </c>
      <c r="H55" s="108">
        <v>6462</v>
      </c>
      <c r="I55" s="108">
        <v>5956</v>
      </c>
      <c r="J55" s="58">
        <f>SUM(AD55:AG55)</f>
        <v>6718</v>
      </c>
      <c r="K55" s="179"/>
      <c r="L55" s="108">
        <v>1041</v>
      </c>
      <c r="M55" s="108">
        <v>1328</v>
      </c>
      <c r="N55" s="108">
        <v>1297</v>
      </c>
      <c r="O55" s="88">
        <f>E55-SUM(L55:N55)</f>
        <v>1330</v>
      </c>
      <c r="P55" s="108">
        <v>1601</v>
      </c>
      <c r="Q55" s="108">
        <v>1816</v>
      </c>
      <c r="R55" s="108">
        <v>1838</v>
      </c>
      <c r="S55" s="88">
        <f>F55-SUM(P55:R55)</f>
        <v>1848</v>
      </c>
      <c r="T55" s="108">
        <v>1616</v>
      </c>
      <c r="U55" s="108">
        <v>1505</v>
      </c>
      <c r="V55" s="108">
        <v>1651</v>
      </c>
      <c r="W55" s="88">
        <f>G55-SUM(T55:V55)</f>
        <v>1661</v>
      </c>
      <c r="X55" s="108">
        <v>1568</v>
      </c>
      <c r="Y55" s="108">
        <v>1776</v>
      </c>
      <c r="Z55" s="108">
        <v>1565</v>
      </c>
      <c r="AA55" s="88">
        <f>H55-SUM(X55:Z55)</f>
        <v>1553</v>
      </c>
      <c r="AB55" s="108">
        <v>1511</v>
      </c>
      <c r="AC55" s="108">
        <v>1556</v>
      </c>
      <c r="AD55" s="108">
        <v>1467</v>
      </c>
      <c r="AE55" s="88">
        <f>I55-SUM(AB55:AD55)</f>
        <v>1422</v>
      </c>
      <c r="AF55" s="108">
        <v>1716</v>
      </c>
      <c r="AG55" s="108">
        <v>2113</v>
      </c>
    </row>
    <row r="56" spans="2:33" s="45" customFormat="1" ht="13.5" customHeight="1">
      <c r="B56" s="50" t="s">
        <v>141</v>
      </c>
      <c r="C56" s="78"/>
      <c r="D56" s="78">
        <f t="shared" ref="D56:I56" si="147">+D55/C55-1</f>
        <v>-0.19338539274230593</v>
      </c>
      <c r="E56" s="78">
        <f t="shared" si="147"/>
        <v>0.42255125284738049</v>
      </c>
      <c r="F56" s="78">
        <f t="shared" si="147"/>
        <v>0.42173738991192944</v>
      </c>
      <c r="G56" s="78">
        <f t="shared" si="147"/>
        <v>-9.4326340982683332E-2</v>
      </c>
      <c r="H56" s="78">
        <f t="shared" si="147"/>
        <v>4.5080055961448373E-3</v>
      </c>
      <c r="I56" s="78">
        <f t="shared" si="147"/>
        <v>-7.8303930671618671E-2</v>
      </c>
      <c r="J56" s="78"/>
      <c r="K56" s="72"/>
      <c r="L56" s="78"/>
      <c r="M56" s="78"/>
      <c r="N56" s="78"/>
      <c r="O56" s="78"/>
      <c r="P56" s="78">
        <f t="shared" ref="P56:AG56" si="148">P55/L55-1</f>
        <v>0.53794428434197883</v>
      </c>
      <c r="Q56" s="78">
        <f t="shared" si="148"/>
        <v>0.3674698795180722</v>
      </c>
      <c r="R56" s="78">
        <f t="shared" si="148"/>
        <v>0.41711642251349268</v>
      </c>
      <c r="S56" s="78">
        <f t="shared" si="148"/>
        <v>0.38947368421052642</v>
      </c>
      <c r="T56" s="78">
        <f t="shared" si="148"/>
        <v>9.3691442848220507E-3</v>
      </c>
      <c r="U56" s="78">
        <f t="shared" si="148"/>
        <v>-0.17125550660792954</v>
      </c>
      <c r="V56" s="78">
        <f t="shared" si="148"/>
        <v>-0.1017410228509249</v>
      </c>
      <c r="W56" s="78">
        <f t="shared" si="148"/>
        <v>-0.10119047619047616</v>
      </c>
      <c r="X56" s="78">
        <f t="shared" si="148"/>
        <v>-2.9702970297029729E-2</v>
      </c>
      <c r="Y56" s="78">
        <f t="shared" si="148"/>
        <v>0.1800664451827243</v>
      </c>
      <c r="Z56" s="78">
        <f t="shared" si="148"/>
        <v>-5.2089642640823719E-2</v>
      </c>
      <c r="AA56" s="78">
        <f t="shared" si="148"/>
        <v>-6.5021071643588169E-2</v>
      </c>
      <c r="AB56" s="78">
        <f t="shared" si="148"/>
        <v>-3.6352040816326481E-2</v>
      </c>
      <c r="AC56" s="78">
        <f t="shared" si="148"/>
        <v>-0.12387387387387383</v>
      </c>
      <c r="AD56" s="78">
        <f t="shared" si="148"/>
        <v>-6.2619808306709213E-2</v>
      </c>
      <c r="AE56" s="78">
        <f t="shared" si="148"/>
        <v>-8.4352865421764345E-2</v>
      </c>
      <c r="AF56" s="78">
        <f t="shared" si="148"/>
        <v>0.13567174056915943</v>
      </c>
      <c r="AG56" s="78">
        <f t="shared" si="148"/>
        <v>0.35796915167095111</v>
      </c>
    </row>
    <row r="57" spans="2:33" s="45" customFormat="1" ht="13.5" customHeight="1">
      <c r="B57" s="50" t="s">
        <v>132</v>
      </c>
      <c r="C57" s="78">
        <f t="shared" ref="C57:J57" si="149">+C55/C7</f>
        <v>0.70649563731358145</v>
      </c>
      <c r="D57" s="78">
        <f t="shared" si="149"/>
        <v>0.6838645356263825</v>
      </c>
      <c r="E57" s="78">
        <f t="shared" si="149"/>
        <v>0.73212117162247936</v>
      </c>
      <c r="F57" s="78">
        <f t="shared" si="149"/>
        <v>0.75391496055771234</v>
      </c>
      <c r="G57" s="78">
        <f t="shared" si="149"/>
        <v>0.74463378671919644</v>
      </c>
      <c r="H57" s="78">
        <f t="shared" si="149"/>
        <v>0.73080525080519199</v>
      </c>
      <c r="I57" s="78">
        <f t="shared" ref="I57" si="150">+I55/I7</f>
        <v>0.6956164252370014</v>
      </c>
      <c r="J57" s="78">
        <f t="shared" si="149"/>
        <v>0.69477057420130095</v>
      </c>
      <c r="K57" s="72"/>
      <c r="L57" s="78">
        <f t="shared" ref="L57:AB57" si="151">+L55/L7</f>
        <v>0.73739469458330109</v>
      </c>
      <c r="M57" s="78">
        <f t="shared" si="151"/>
        <v>0.75942171866055852</v>
      </c>
      <c r="N57" s="78">
        <f t="shared" si="151"/>
        <v>0.73263383841949936</v>
      </c>
      <c r="O57" s="78">
        <f t="shared" si="151"/>
        <v>0.70249348212814333</v>
      </c>
      <c r="P57" s="78">
        <f t="shared" si="151"/>
        <v>0.7769457249301549</v>
      </c>
      <c r="Q57" s="78">
        <f t="shared" si="151"/>
        <v>0.75188748186009347</v>
      </c>
      <c r="R57" s="78">
        <f t="shared" si="151"/>
        <v>0.75596608599587223</v>
      </c>
      <c r="S57" s="78">
        <f t="shared" si="151"/>
        <v>0.73500371678015863</v>
      </c>
      <c r="T57" s="78">
        <f t="shared" si="151"/>
        <v>0.72556526517928788</v>
      </c>
      <c r="U57" s="78">
        <f t="shared" si="151"/>
        <v>0.76884919367898685</v>
      </c>
      <c r="V57" s="78">
        <f t="shared" si="151"/>
        <v>0.74255377330656369</v>
      </c>
      <c r="W57" s="78">
        <f t="shared" si="151"/>
        <v>0.7444965079034962</v>
      </c>
      <c r="X57" s="78">
        <f t="shared" si="151"/>
        <v>0.73861262358689705</v>
      </c>
      <c r="Y57" s="78">
        <f t="shared" si="151"/>
        <v>0.772728933999551</v>
      </c>
      <c r="Z57" s="78">
        <f t="shared" si="151"/>
        <v>0.72005038972439794</v>
      </c>
      <c r="AA57" s="78">
        <f t="shared" si="151"/>
        <v>0.69096078252532167</v>
      </c>
      <c r="AB57" s="78">
        <f t="shared" si="151"/>
        <v>0.7209702130989456</v>
      </c>
      <c r="AC57" s="78">
        <f t="shared" ref="AC57:AF57" si="152">+AC55/AC7</f>
        <v>0.72343828457718851</v>
      </c>
      <c r="AD57" s="78">
        <f t="shared" si="152"/>
        <v>0.68978974813505201</v>
      </c>
      <c r="AE57" s="78">
        <f t="shared" si="152"/>
        <v>0.64966274188743944</v>
      </c>
      <c r="AF57" s="78">
        <f t="shared" si="152"/>
        <v>0.71378478140964996</v>
      </c>
      <c r="AG57" s="78">
        <f t="shared" ref="AG57" si="153">+AG55/AG7</f>
        <v>0.7163367494652052</v>
      </c>
    </row>
    <row r="58" spans="2:33" s="45" customFormat="1" ht="13.5" customHeight="1">
      <c r="B58" s="80"/>
      <c r="C58" s="71"/>
      <c r="D58" s="71"/>
      <c r="E58" s="71"/>
      <c r="F58" s="71"/>
      <c r="G58" s="71"/>
      <c r="H58" s="71"/>
      <c r="I58" s="71"/>
      <c r="J58" s="71"/>
      <c r="K58" s="72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spans="2:33" s="45" customFormat="1" ht="13.5" customHeight="1">
      <c r="B59" s="50" t="s">
        <v>144</v>
      </c>
      <c r="C59" s="78">
        <f t="shared" ref="C59:J59" si="154">-C68/C7</f>
        <v>0.19184764088291939</v>
      </c>
      <c r="D59" s="78">
        <f t="shared" si="154"/>
        <v>0.23109461164594824</v>
      </c>
      <c r="E59" s="78">
        <f t="shared" si="154"/>
        <v>0.24087724411771561</v>
      </c>
      <c r="F59" s="78">
        <f t="shared" si="154"/>
        <v>0.19748241440018968</v>
      </c>
      <c r="G59" s="78">
        <f t="shared" si="154"/>
        <v>0.27380877693234956</v>
      </c>
      <c r="H59" s="78">
        <f t="shared" si="154"/>
        <v>0.33546200248102842</v>
      </c>
      <c r="I59" s="78">
        <f t="shared" ref="I59" si="155">-I68/I7</f>
        <v>0.41927170501939348</v>
      </c>
      <c r="J59" s="78">
        <f t="shared" si="154"/>
        <v>0.42376227056566929</v>
      </c>
      <c r="K59" s="72"/>
      <c r="L59" s="78">
        <f t="shared" ref="L59:AB59" si="156">-L68/L7</f>
        <v>0.29222080473065964</v>
      </c>
      <c r="M59" s="78">
        <f t="shared" si="156"/>
        <v>0.17394645962512703</v>
      </c>
      <c r="N59" s="78">
        <f t="shared" si="156"/>
        <v>0.19780661742900307</v>
      </c>
      <c r="O59" s="78">
        <f t="shared" si="156"/>
        <v>0.30468674072602975</v>
      </c>
      <c r="P59" s="78">
        <f t="shared" si="156"/>
        <v>0.18716384722558552</v>
      </c>
      <c r="Q59" s="78">
        <f t="shared" si="156"/>
        <v>0.15912564097786774</v>
      </c>
      <c r="R59" s="78">
        <f t="shared" si="156"/>
        <v>0.20775083226190155</v>
      </c>
      <c r="S59" s="78">
        <f t="shared" si="156"/>
        <v>0.2328557797820682</v>
      </c>
      <c r="T59" s="78">
        <f t="shared" si="156"/>
        <v>0.29402320102692631</v>
      </c>
      <c r="U59" s="78">
        <f t="shared" si="156"/>
        <v>0.29281506597032608</v>
      </c>
      <c r="V59" s="78">
        <f t="shared" si="156"/>
        <v>0.24586490648589909</v>
      </c>
      <c r="W59" s="78">
        <f t="shared" si="156"/>
        <v>0.2648014063409051</v>
      </c>
      <c r="X59" s="78">
        <f t="shared" si="156"/>
        <v>0.288457434856769</v>
      </c>
      <c r="Y59" s="78">
        <f t="shared" si="156"/>
        <v>0.2858870806335681</v>
      </c>
      <c r="Z59" s="78">
        <f t="shared" si="156"/>
        <v>0.38941889403020724</v>
      </c>
      <c r="AA59" s="78">
        <f t="shared" si="156"/>
        <v>0.37837599745505751</v>
      </c>
      <c r="AB59" s="78">
        <f t="shared" si="156"/>
        <v>0.33109710099356465</v>
      </c>
      <c r="AC59" s="78">
        <f t="shared" ref="AC59:AF59" si="157">-AC68/AC7</f>
        <v>0.42791792973907883</v>
      </c>
      <c r="AD59" s="78">
        <f t="shared" si="157"/>
        <v>0.4494071898943684</v>
      </c>
      <c r="AE59" s="78">
        <f t="shared" si="157"/>
        <v>0.46592148857744892</v>
      </c>
      <c r="AF59" s="78">
        <f t="shared" si="157"/>
        <v>0.48881154833895285</v>
      </c>
      <c r="AG59" s="78">
        <f t="shared" ref="AG59" si="158">-AG68/AG7</f>
        <v>0.32097208897085489</v>
      </c>
    </row>
    <row r="60" spans="2:33" s="45" customFormat="1" ht="13.5" customHeight="1">
      <c r="B60" s="50" t="s">
        <v>145</v>
      </c>
      <c r="C60" s="78">
        <f t="shared" ref="C60:J60" si="159">C64/C7</f>
        <v>-0.17904780272072202</v>
      </c>
      <c r="D60" s="78">
        <f t="shared" si="159"/>
        <v>8.542854472380566E-3</v>
      </c>
      <c r="E60" s="78">
        <f t="shared" si="159"/>
        <v>-6.5642664200080678E-2</v>
      </c>
      <c r="F60" s="78">
        <f t="shared" si="159"/>
        <v>-9.1445861996094613E-2</v>
      </c>
      <c r="G60" s="78">
        <f t="shared" si="159"/>
        <v>-7.3521618919277401E-2</v>
      </c>
      <c r="H60" s="78">
        <f t="shared" si="159"/>
        <v>4.7266203672550848E-2</v>
      </c>
      <c r="I60" s="78">
        <f t="shared" ref="I60" si="160">I64/I7</f>
        <v>-2.7371735502248855E-2</v>
      </c>
      <c r="J60" s="78">
        <f t="shared" si="159"/>
        <v>-2.687049499249124E-2</v>
      </c>
      <c r="K60" s="72"/>
      <c r="L60" s="78">
        <f t="shared" ref="L60:AB60" si="161">L64/L7</f>
        <v>-0.11352336535321624</v>
      </c>
      <c r="M60" s="78">
        <f t="shared" si="161"/>
        <v>-3.1445663318844616E-2</v>
      </c>
      <c r="N60" s="78">
        <f t="shared" si="161"/>
        <v>-0.14642678604211115</v>
      </c>
      <c r="O60" s="78">
        <f t="shared" si="161"/>
        <v>1.4012896301398573E-2</v>
      </c>
      <c r="P60" s="78">
        <f t="shared" si="161"/>
        <v>-8.9263833006653678E-2</v>
      </c>
      <c r="Q60" s="78">
        <f t="shared" si="161"/>
        <v>-0.17649399338786192</v>
      </c>
      <c r="R60" s="78">
        <f t="shared" si="161"/>
        <v>-0.33691327283959477</v>
      </c>
      <c r="S60" s="78">
        <f t="shared" si="161"/>
        <v>0.22583386927354401</v>
      </c>
      <c r="T60" s="78">
        <f t="shared" si="161"/>
        <v>-4.4342095042763799E-3</v>
      </c>
      <c r="U60" s="78">
        <f t="shared" si="161"/>
        <v>-0.12986910150903916</v>
      </c>
      <c r="V60" s="78">
        <f t="shared" si="161"/>
        <v>-0.36037290501788238</v>
      </c>
      <c r="W60" s="78">
        <f t="shared" si="161"/>
        <v>0.19281742399726071</v>
      </c>
      <c r="X60" s="78">
        <f t="shared" si="161"/>
        <v>0.13501584390025151</v>
      </c>
      <c r="Y60" s="78">
        <f t="shared" si="161"/>
        <v>-5.7898107684303006E-3</v>
      </c>
      <c r="Z60" s="78">
        <f t="shared" si="161"/>
        <v>0.17590117872018746</v>
      </c>
      <c r="AA60" s="78">
        <f t="shared" si="161"/>
        <v>-0.10575303824754891</v>
      </c>
      <c r="AB60" s="78">
        <f t="shared" si="161"/>
        <v>-0.1229165941004501</v>
      </c>
      <c r="AC60" s="78">
        <f t="shared" ref="AC60:AF60" si="162">AC64/AC7</f>
        <v>2.7640363764854608E-2</v>
      </c>
      <c r="AD60" s="78">
        <f t="shared" si="162"/>
        <v>0.10560413027481122</v>
      </c>
      <c r="AE60" s="78">
        <f t="shared" si="162"/>
        <v>-0.11914915196625804</v>
      </c>
      <c r="AF60" s="78">
        <f t="shared" si="162"/>
        <v>-5.7759580980048193E-2</v>
      </c>
      <c r="AG60" s="78">
        <f t="shared" ref="AG60" si="163">AG64/AG7</f>
        <v>-2.8733816315391517E-2</v>
      </c>
    </row>
    <row r="61" spans="2:33" ht="13.5" customHeight="1">
      <c r="C61" s="79"/>
      <c r="D61" s="79"/>
      <c r="E61" s="79"/>
      <c r="F61" s="79"/>
      <c r="G61" s="79"/>
      <c r="H61" s="79"/>
    </row>
    <row r="62" spans="2:33" ht="13.5" customHeight="1">
      <c r="B62" s="55" t="s">
        <v>146</v>
      </c>
      <c r="C62" s="59">
        <f t="shared" ref="C62:H62" si="164">C3</f>
        <v>43830</v>
      </c>
      <c r="D62" s="59">
        <f t="shared" si="164"/>
        <v>44196</v>
      </c>
      <c r="E62" s="59">
        <f t="shared" si="164"/>
        <v>44561</v>
      </c>
      <c r="F62" s="59">
        <f t="shared" si="164"/>
        <v>44926</v>
      </c>
      <c r="G62" s="59">
        <f t="shared" si="164"/>
        <v>45291</v>
      </c>
      <c r="H62" s="59">
        <f t="shared" si="164"/>
        <v>45657</v>
      </c>
      <c r="I62" s="59">
        <f t="shared" ref="I62" si="165">I3</f>
        <v>46022</v>
      </c>
      <c r="J62" s="59" t="str">
        <f>J2</f>
        <v>LTM</v>
      </c>
      <c r="K62" s="175"/>
      <c r="L62" s="59">
        <f t="shared" ref="L62:AB62" si="166">L3</f>
        <v>44286</v>
      </c>
      <c r="M62" s="59">
        <f t="shared" si="166"/>
        <v>44377</v>
      </c>
      <c r="N62" s="59">
        <f t="shared" si="166"/>
        <v>44469</v>
      </c>
      <c r="O62" s="59">
        <f t="shared" si="166"/>
        <v>44561</v>
      </c>
      <c r="P62" s="59">
        <f t="shared" si="166"/>
        <v>44651</v>
      </c>
      <c r="Q62" s="59">
        <f t="shared" si="166"/>
        <v>44742</v>
      </c>
      <c r="R62" s="59">
        <f t="shared" si="166"/>
        <v>44834</v>
      </c>
      <c r="S62" s="59">
        <f t="shared" si="166"/>
        <v>44926</v>
      </c>
      <c r="T62" s="59">
        <f t="shared" si="166"/>
        <v>45016</v>
      </c>
      <c r="U62" s="59">
        <f t="shared" si="166"/>
        <v>45107</v>
      </c>
      <c r="V62" s="59">
        <f t="shared" si="166"/>
        <v>45199</v>
      </c>
      <c r="W62" s="59">
        <f t="shared" si="166"/>
        <v>45291</v>
      </c>
      <c r="X62" s="59">
        <f t="shared" si="166"/>
        <v>45382</v>
      </c>
      <c r="Y62" s="59">
        <f t="shared" si="166"/>
        <v>45473</v>
      </c>
      <c r="Z62" s="59">
        <f t="shared" si="166"/>
        <v>45565</v>
      </c>
      <c r="AA62" s="59">
        <f t="shared" si="166"/>
        <v>45657</v>
      </c>
      <c r="AB62" s="59">
        <f t="shared" si="166"/>
        <v>45747</v>
      </c>
      <c r="AC62" s="59">
        <f t="shared" ref="AC62:AF62" si="167">AC3</f>
        <v>45838</v>
      </c>
      <c r="AD62" s="59">
        <f t="shared" si="167"/>
        <v>45930</v>
      </c>
      <c r="AE62" s="59">
        <f t="shared" si="167"/>
        <v>46022</v>
      </c>
      <c r="AF62" s="59">
        <f t="shared" si="167"/>
        <v>46112</v>
      </c>
      <c r="AG62" s="59">
        <f t="shared" ref="AG62" si="168">AG3</f>
        <v>46203</v>
      </c>
    </row>
    <row r="63" spans="2:33" s="33" customFormat="1" ht="13.5" customHeight="1">
      <c r="B63" s="33" t="s">
        <v>143</v>
      </c>
      <c r="C63" s="58">
        <f t="shared" ref="C63:E63" si="169">C55</f>
        <v>4354</v>
      </c>
      <c r="D63" s="58">
        <f t="shared" si="169"/>
        <v>3512</v>
      </c>
      <c r="E63" s="58">
        <f t="shared" si="169"/>
        <v>4996</v>
      </c>
      <c r="F63" s="58">
        <f t="shared" ref="F63:G63" si="170">F55</f>
        <v>7103</v>
      </c>
      <c r="G63" s="58">
        <f t="shared" si="170"/>
        <v>6433</v>
      </c>
      <c r="H63" s="58">
        <f t="shared" ref="H63:I63" si="171">H55</f>
        <v>6462</v>
      </c>
      <c r="I63" s="58">
        <f t="shared" si="171"/>
        <v>5956</v>
      </c>
      <c r="J63" s="58">
        <f>J55</f>
        <v>6718</v>
      </c>
      <c r="K63" s="58"/>
      <c r="L63" s="58">
        <f t="shared" ref="L63:O63" si="172">L55</f>
        <v>1041</v>
      </c>
      <c r="M63" s="58">
        <f t="shared" si="172"/>
        <v>1328</v>
      </c>
      <c r="N63" s="58">
        <f t="shared" si="172"/>
        <v>1297</v>
      </c>
      <c r="O63" s="58">
        <f t="shared" si="172"/>
        <v>1330</v>
      </c>
      <c r="P63" s="58">
        <f t="shared" ref="P63:S63" si="173">P55</f>
        <v>1601</v>
      </c>
      <c r="Q63" s="58">
        <f t="shared" si="173"/>
        <v>1816</v>
      </c>
      <c r="R63" s="58">
        <f t="shared" si="173"/>
        <v>1838</v>
      </c>
      <c r="S63" s="58">
        <f t="shared" si="173"/>
        <v>1848</v>
      </c>
      <c r="T63" s="58">
        <f t="shared" ref="T63:W63" si="174">T55</f>
        <v>1616</v>
      </c>
      <c r="U63" s="58">
        <f t="shared" si="174"/>
        <v>1505</v>
      </c>
      <c r="V63" s="58">
        <f t="shared" si="174"/>
        <v>1651</v>
      </c>
      <c r="W63" s="58">
        <f t="shared" si="174"/>
        <v>1661</v>
      </c>
      <c r="X63" s="58">
        <f t="shared" ref="X63:AA63" si="175">X55</f>
        <v>1568</v>
      </c>
      <c r="Y63" s="58">
        <f t="shared" si="175"/>
        <v>1776</v>
      </c>
      <c r="Z63" s="58">
        <f t="shared" si="175"/>
        <v>1565</v>
      </c>
      <c r="AA63" s="58">
        <f t="shared" si="175"/>
        <v>1553</v>
      </c>
      <c r="AB63" s="58">
        <f t="shared" ref="AB63:AE63" si="176">AB55</f>
        <v>1511</v>
      </c>
      <c r="AC63" s="58">
        <f t="shared" si="176"/>
        <v>1556</v>
      </c>
      <c r="AD63" s="58">
        <f t="shared" si="176"/>
        <v>1467</v>
      </c>
      <c r="AE63" s="58">
        <f t="shared" si="176"/>
        <v>1422</v>
      </c>
      <c r="AF63" s="58">
        <f t="shared" ref="AF63:AG63" si="177">AF55</f>
        <v>1716</v>
      </c>
      <c r="AG63" s="58">
        <f t="shared" si="177"/>
        <v>2113</v>
      </c>
    </row>
    <row r="64" spans="2:33" ht="13.5" customHeight="1">
      <c r="B64" s="69" t="s">
        <v>147</v>
      </c>
      <c r="C64" s="66">
        <v>-1103.4380000000001</v>
      </c>
      <c r="D64" s="66">
        <f>3857.325-3813.453</f>
        <v>43.871999999999844</v>
      </c>
      <c r="E64" s="66">
        <f>4410.536-4858.482</f>
        <v>-447.94599999999991</v>
      </c>
      <c r="F64" s="66">
        <f>6255.805-7117.361</f>
        <v>-861.55599999999959</v>
      </c>
      <c r="G64" s="66">
        <f>6017.558-6652.722</f>
        <v>-635.16399999999976</v>
      </c>
      <c r="H64" s="66">
        <f>7148.22-6730.278</f>
        <v>417.94200000000001</v>
      </c>
      <c r="I64" s="66">
        <f>6073.329-6307.691</f>
        <v>-234.36200000000008</v>
      </c>
      <c r="J64" s="14">
        <f>SUM(AD64:AG64)</f>
        <v>-259.82099999999991</v>
      </c>
      <c r="K64" s="14"/>
      <c r="L64" s="66">
        <f>873.642-1033.906</f>
        <v>-160.2639999999999</v>
      </c>
      <c r="M64" s="66">
        <f>2109.509-2324.762-L64</f>
        <v>-54.98900000000026</v>
      </c>
      <c r="N64" s="66">
        <f>3236.77-3601.268-(L64-M64)</f>
        <v>-259.22300000000041</v>
      </c>
      <c r="O64" s="14">
        <f>E64-SUM(L64:N64)</f>
        <v>26.530000000000655</v>
      </c>
      <c r="P64" s="66">
        <f>1391.891-1575.831</f>
        <v>-183.93999999999983</v>
      </c>
      <c r="Q64" s="66">
        <f>2779.249-3389.467-P64</f>
        <v>-426.27800000000047</v>
      </c>
      <c r="R64" s="66">
        <f>4645.469-5222.277-(P64-Q64)</f>
        <v>-819.14600000000064</v>
      </c>
      <c r="S64" s="14">
        <f>F64-SUM(P64:R64)</f>
        <v>567.80800000000136</v>
      </c>
      <c r="T64" s="66">
        <f>1717.569-1727.445</f>
        <v>-9.8759999999999764</v>
      </c>
      <c r="U64" s="66">
        <f>2995.144-3259.235-T64</f>
        <v>-254.21500000000037</v>
      </c>
      <c r="V64" s="66">
        <f>4396.113-4953.03-(T64-U64)</f>
        <v>-801.25599999999986</v>
      </c>
      <c r="W64" s="14">
        <f>G64-SUM(T64:V64)</f>
        <v>430.18300000000045</v>
      </c>
      <c r="X64" s="66">
        <f>1919.118-1632.493</f>
        <v>286.625</v>
      </c>
      <c r="Y64" s="66">
        <f>3712.444-3439.126-X64</f>
        <v>-13.307000000000244</v>
      </c>
      <c r="Z64" s="66">
        <f>5783.098-5100.852-(X64-Y64)</f>
        <v>382.31399999999985</v>
      </c>
      <c r="AA64" s="14">
        <f>H64-SUM(X64:Z64)</f>
        <v>-237.6899999999996</v>
      </c>
      <c r="AB64" s="66">
        <f>(1299674-1557281)/1000</f>
        <v>-257.60700000000003</v>
      </c>
      <c r="AC64" s="66">
        <f>2971.19-3169.347-AB64</f>
        <v>59.449999999999875</v>
      </c>
      <c r="AD64" s="66">
        <f>4629.779-4722.244-(AB64-AC64)</f>
        <v>224.59200000000067</v>
      </c>
      <c r="AE64" s="14">
        <f>I64-SUM(AB64:AD64)</f>
        <v>-260.79700000000059</v>
      </c>
      <c r="AF64" s="66">
        <f>1616.466-1755.325</f>
        <v>-138.85900000000015</v>
      </c>
      <c r="AG64" s="66">
        <f>3727.736-3951.352-AF64</f>
        <v>-84.756999999999834</v>
      </c>
    </row>
    <row r="65" spans="2:33" ht="13.5" customHeight="1">
      <c r="B65" s="69" t="s">
        <v>148</v>
      </c>
      <c r="C65" s="111"/>
      <c r="D65" s="66">
        <v>-1110.1959999999999</v>
      </c>
      <c r="E65" s="66">
        <v>-989.08299999999997</v>
      </c>
      <c r="F65" s="66">
        <v>-1611.2470000000001</v>
      </c>
      <c r="G65" s="66">
        <v>-1786.615</v>
      </c>
      <c r="H65" s="66">
        <v>-1620.3489999999999</v>
      </c>
      <c r="I65" s="66">
        <v>-1621.2239999999999</v>
      </c>
      <c r="J65" s="14">
        <f t="shared" ref="J65:J66" si="178">SUM(AD65:AG65)</f>
        <v>-1437.4209999999998</v>
      </c>
      <c r="K65" s="14"/>
      <c r="L65" s="66">
        <v>-60.83</v>
      </c>
      <c r="M65" s="66">
        <f>-680.055-L65</f>
        <v>-619.22499999999991</v>
      </c>
      <c r="N65" s="66">
        <f>-835.951-L65-M65</f>
        <v>-155.89600000000007</v>
      </c>
      <c r="O65" s="14">
        <f>E65-SUM(L65:N65)</f>
        <v>-153.13199999999995</v>
      </c>
      <c r="P65" s="66">
        <v>-169.77600000000001</v>
      </c>
      <c r="Q65" s="66">
        <f>-1117.335-P65</f>
        <v>-947.55899999999997</v>
      </c>
      <c r="R65" s="66">
        <f>-1347.413-P65-Q65</f>
        <v>-230.07799999999997</v>
      </c>
      <c r="S65" s="14">
        <f>F65-SUM(P65:R65)</f>
        <v>-263.83400000000006</v>
      </c>
      <c r="T65" s="66">
        <v>-270.31299999999999</v>
      </c>
      <c r="U65" s="66">
        <f>-1262.509-T65</f>
        <v>-992.19600000000003</v>
      </c>
      <c r="V65" s="66">
        <f>-1540.874-T65-U65</f>
        <v>-278.36500000000012</v>
      </c>
      <c r="W65" s="14">
        <f>G65-SUM(T65:V65)</f>
        <v>-245.74099999999976</v>
      </c>
      <c r="X65" s="66">
        <v>-220.65899999999999</v>
      </c>
      <c r="Y65" s="66">
        <f>-921.859-X65</f>
        <v>-701.2</v>
      </c>
      <c r="Z65" s="66">
        <f>-1364.339-X65-Y65</f>
        <v>-442.47999999999979</v>
      </c>
      <c r="AA65" s="14">
        <f t="shared" ref="AA65:AA79" si="179">H65-SUM(X65:Z65)</f>
        <v>-256.01</v>
      </c>
      <c r="AB65" s="66">
        <v>-220.57300000000001</v>
      </c>
      <c r="AC65" s="66">
        <f>-1045.778-AB65</f>
        <v>-825.20500000000004</v>
      </c>
      <c r="AD65" s="66">
        <f>-1436.969-AB65-AC65</f>
        <v>-391.19099999999992</v>
      </c>
      <c r="AE65" s="14">
        <f t="shared" ref="AE65:AE66" si="180">I65-SUM(AB65:AD65)</f>
        <v>-184.25499999999988</v>
      </c>
      <c r="AF65" s="66">
        <v>-206.547</v>
      </c>
      <c r="AG65" s="66">
        <f>-861.975-AF65</f>
        <v>-655.428</v>
      </c>
    </row>
    <row r="66" spans="2:33" ht="13.5" customHeight="1">
      <c r="B66" s="69" t="s">
        <v>149</v>
      </c>
      <c r="C66" s="66">
        <f>-109.932-53.611</f>
        <v>-163.54300000000001</v>
      </c>
      <c r="D66" s="66">
        <f>-147.594-10.126</f>
        <v>-157.72</v>
      </c>
      <c r="E66" s="66">
        <f>-133.914-9.138</f>
        <v>-143.05199999999999</v>
      </c>
      <c r="F66" s="66">
        <f>-144.365-4.256</f>
        <v>-148.62100000000001</v>
      </c>
      <c r="G66" s="66">
        <v>-136.60400000000001</v>
      </c>
      <c r="H66" s="66">
        <v>-131.49799999999999</v>
      </c>
      <c r="I66" s="66">
        <v>-152.79300000000001</v>
      </c>
      <c r="J66" s="14">
        <f t="shared" si="178"/>
        <v>-155.727</v>
      </c>
      <c r="K66" s="14"/>
      <c r="L66" s="66">
        <f>-8.93-2.348</f>
        <v>-11.277999999999999</v>
      </c>
      <c r="M66" s="66">
        <f>-67.048-4.716-L66</f>
        <v>-60.485999999999997</v>
      </c>
      <c r="N66" s="66">
        <f>-77.912-6.955-L66-M66</f>
        <v>-13.103000000000002</v>
      </c>
      <c r="O66" s="14">
        <f>E66-SUM(L66:N66)</f>
        <v>-58.185000000000002</v>
      </c>
      <c r="P66" s="66">
        <f>-7.842-2.153</f>
        <v>-9.9949999999999992</v>
      </c>
      <c r="Q66" s="66">
        <f>-69.376-4.256-P66</f>
        <v>-63.637000000000008</v>
      </c>
      <c r="R66" s="66">
        <f>-79.206-4.256-P66-Q66</f>
        <v>-9.8299999999999912</v>
      </c>
      <c r="S66" s="14">
        <f>F66-SUM(P66:R66)</f>
        <v>-65.15900000000002</v>
      </c>
      <c r="T66" s="66">
        <v>-12.824</v>
      </c>
      <c r="U66" s="66">
        <f>-70.262-0-T66</f>
        <v>-57.438000000000002</v>
      </c>
      <c r="V66" s="66">
        <f>-80.349-T66-U66</f>
        <v>-10.087000000000003</v>
      </c>
      <c r="W66" s="14">
        <f>G66-SUM(T66:V66)</f>
        <v>-56.25500000000001</v>
      </c>
      <c r="X66" s="66">
        <v>-11.430999999999999</v>
      </c>
      <c r="Y66" s="66">
        <f>-69.698-0-X66</f>
        <v>-58.266999999999996</v>
      </c>
      <c r="Z66" s="66">
        <f>-80.167-X66-Y66</f>
        <v>-10.469000000000008</v>
      </c>
      <c r="AA66" s="14">
        <f t="shared" si="179"/>
        <v>-51.330999999999989</v>
      </c>
      <c r="AB66" s="66">
        <v>-14.256</v>
      </c>
      <c r="AC66" s="66">
        <f>-74.36-0-AB66</f>
        <v>-60.103999999999999</v>
      </c>
      <c r="AD66" s="66">
        <f>-90.242-AB66-AC66</f>
        <v>-15.882000000000005</v>
      </c>
      <c r="AE66" s="14">
        <f t="shared" si="180"/>
        <v>-62.551000000000002</v>
      </c>
      <c r="AF66" s="66">
        <v>-15.339</v>
      </c>
      <c r="AG66" s="66">
        <f>-77.294-0-AF66</f>
        <v>-61.954999999999998</v>
      </c>
    </row>
    <row r="67" spans="2:33" s="33" customFormat="1" ht="13.5" customHeight="1">
      <c r="B67" s="33" t="s">
        <v>150</v>
      </c>
      <c r="C67" s="77">
        <f t="shared" ref="C67:D67" si="181">SUM(C63:C66)</f>
        <v>3087.0189999999998</v>
      </c>
      <c r="D67" s="77">
        <f t="shared" si="181"/>
        <v>2287.9560000000001</v>
      </c>
      <c r="E67" s="77">
        <f t="shared" ref="E67:F67" si="182">SUM(E63:E66)</f>
        <v>3415.9189999999999</v>
      </c>
      <c r="F67" s="77">
        <f t="shared" si="182"/>
        <v>4481.576</v>
      </c>
      <c r="G67" s="77">
        <f t="shared" ref="G67:H67" si="183">SUM(G63:G66)</f>
        <v>3874.6170000000006</v>
      </c>
      <c r="H67" s="77">
        <f t="shared" si="183"/>
        <v>5128.0950000000003</v>
      </c>
      <c r="I67" s="77">
        <f t="shared" ref="I67" si="184">SUM(I63:I66)</f>
        <v>3947.6209999999996</v>
      </c>
      <c r="J67" s="58">
        <f t="shared" ref="J67" si="185">SUM(J63:J66)</f>
        <v>4865.0309999999999</v>
      </c>
      <c r="K67" s="58"/>
      <c r="L67" s="77">
        <f t="shared" ref="L67:M67" si="186">SUM(L63:L66)</f>
        <v>808.62800000000004</v>
      </c>
      <c r="M67" s="77">
        <f t="shared" si="186"/>
        <v>593.29999999999984</v>
      </c>
      <c r="N67" s="77">
        <f t="shared" ref="N67:O67" si="187">SUM(N63:N66)</f>
        <v>868.77799999999957</v>
      </c>
      <c r="O67" s="77">
        <f t="shared" si="187"/>
        <v>1145.2130000000006</v>
      </c>
      <c r="P67" s="77">
        <f t="shared" ref="P67:T67" si="188">SUM(P63:P66)</f>
        <v>1237.2890000000002</v>
      </c>
      <c r="Q67" s="77">
        <f t="shared" si="188"/>
        <v>378.52599999999956</v>
      </c>
      <c r="R67" s="77">
        <f t="shared" si="188"/>
        <v>778.94599999999934</v>
      </c>
      <c r="S67" s="77">
        <f t="shared" si="188"/>
        <v>2086.815000000001</v>
      </c>
      <c r="T67" s="77">
        <f t="shared" si="188"/>
        <v>1322.9870000000001</v>
      </c>
      <c r="U67" s="77">
        <f t="shared" ref="U67:X67" si="189">SUM(U63:U66)</f>
        <v>201.15099999999961</v>
      </c>
      <c r="V67" s="77">
        <f t="shared" si="189"/>
        <v>561.29200000000003</v>
      </c>
      <c r="W67" s="77">
        <f t="shared" si="189"/>
        <v>1789.1870000000006</v>
      </c>
      <c r="X67" s="77">
        <f t="shared" si="189"/>
        <v>1622.5349999999999</v>
      </c>
      <c r="Y67" s="77">
        <f t="shared" ref="Y67:AB67" si="190">SUM(Y63:Y66)</f>
        <v>1003.2259999999997</v>
      </c>
      <c r="Z67" s="77">
        <f t="shared" si="190"/>
        <v>1494.365</v>
      </c>
      <c r="AA67" s="77">
        <f t="shared" si="190"/>
        <v>1007.9690000000004</v>
      </c>
      <c r="AB67" s="77">
        <f t="shared" si="190"/>
        <v>1018.564</v>
      </c>
      <c r="AC67" s="77">
        <f t="shared" ref="AC67:AF67" si="191">SUM(AC63:AC66)</f>
        <v>730.14099999999974</v>
      </c>
      <c r="AD67" s="77">
        <f t="shared" si="191"/>
        <v>1284.5190000000007</v>
      </c>
      <c r="AE67" s="77">
        <f t="shared" si="191"/>
        <v>914.39699999999959</v>
      </c>
      <c r="AF67" s="77">
        <f t="shared" si="191"/>
        <v>1355.2549999999999</v>
      </c>
      <c r="AG67" s="77">
        <f t="shared" ref="AG67" si="192">SUM(AG63:AG66)</f>
        <v>1310.8600000000001</v>
      </c>
    </row>
    <row r="68" spans="2:33" ht="13.5" customHeight="1">
      <c r="B68" s="69" t="s">
        <v>151</v>
      </c>
      <c r="C68" s="66">
        <f>-1063.093-119.228</f>
        <v>-1182.3210000000001</v>
      </c>
      <c r="D68" s="66">
        <f>-1093.14-93.651</f>
        <v>-1186.7910000000002</v>
      </c>
      <c r="E68" s="66">
        <f>-1512.174-131.574</f>
        <v>-1643.748</v>
      </c>
      <c r="F68" s="66">
        <f>-1765.221-95.357</f>
        <v>-1860.578</v>
      </c>
      <c r="G68" s="66">
        <f>-2206.914-158.56</f>
        <v>-2365.4740000000002</v>
      </c>
      <c r="H68" s="66">
        <f>-2853.998-112.258</f>
        <v>-2966.2559999999999</v>
      </c>
      <c r="I68" s="66">
        <f>-3501.689-88.195</f>
        <v>-3589.884</v>
      </c>
      <c r="J68" s="14">
        <f t="shared" ref="J68:J70" si="193">SUM(AD68:AG68)</f>
        <v>-4097.518</v>
      </c>
      <c r="K68" s="14"/>
      <c r="L68" s="66">
        <f>-388.059-24.477</f>
        <v>-412.536</v>
      </c>
      <c r="M68" s="66">
        <f>-660.988-55.728-L68</f>
        <v>-304.18</v>
      </c>
      <c r="N68" s="66">
        <f>-1040.655-26.243-L68-M68</f>
        <v>-350.18199999999985</v>
      </c>
      <c r="O68" s="14">
        <f>E68-SUM(L68:N68)</f>
        <v>-576.85000000000014</v>
      </c>
      <c r="P68" s="66">
        <f>-365.846-19.83</f>
        <v>-385.67599999999999</v>
      </c>
      <c r="Q68" s="66">
        <f>-733.461-36.544-P68</f>
        <v>-384.32900000000001</v>
      </c>
      <c r="R68" s="66">
        <f>-1207.432-67.683-P68-Q68</f>
        <v>-505.11000000000007</v>
      </c>
      <c r="S68" s="14">
        <f>F68-SUM(P68:R68)</f>
        <v>-585.46299999999997</v>
      </c>
      <c r="T68" s="66">
        <f>-628.915-25.942</f>
        <v>-654.85699999999997</v>
      </c>
      <c r="U68" s="66">
        <f>-1148.026-80.008-T68</f>
        <v>-573.17700000000013</v>
      </c>
      <c r="V68" s="66">
        <f>-1662.009-112.683-T68-U68</f>
        <v>-546.6579999999999</v>
      </c>
      <c r="W68" s="14">
        <f>G68-SUM(T68:V68)</f>
        <v>-590.78200000000015</v>
      </c>
      <c r="X68" s="66">
        <f>-585.957-26.409</f>
        <v>-612.36599999999999</v>
      </c>
      <c r="Y68" s="66">
        <f>-1231.575-37.859-X68</f>
        <v>-657.06799999999998</v>
      </c>
      <c r="Z68" s="66">
        <f>-2023.19-92.63-X68-Y68</f>
        <v>-846.38600000000019</v>
      </c>
      <c r="AA68" s="14">
        <f t="shared" si="179"/>
        <v>-850.43599999999969</v>
      </c>
      <c r="AB68" s="66">
        <f>(-674606-19303)/1000</f>
        <v>-693.90899999999999</v>
      </c>
      <c r="AC68" s="66">
        <f>-1566.874-51.95-44.046+48.578-AB68</f>
        <v>-920.38300000000015</v>
      </c>
      <c r="AD68" s="66">
        <f>-2513.288-65.524-41.889+50.639-AB68-AC68</f>
        <v>-955.76999999999964</v>
      </c>
      <c r="AE68" s="14">
        <f t="shared" ref="AE68:AE70" si="194">I68-SUM(AB68:AD68)</f>
        <v>-1019.8220000000001</v>
      </c>
      <c r="AF68" s="66">
        <f>-1153.947-21.198</f>
        <v>-1175.145</v>
      </c>
      <c r="AG68" s="66">
        <f>-2088.446-33.48-AF68</f>
        <v>-946.78099999999995</v>
      </c>
    </row>
    <row r="69" spans="2:33" ht="13.5" customHeight="1">
      <c r="B69" s="69" t="s">
        <v>152</v>
      </c>
      <c r="C69" s="66">
        <v>-26.146999999999998</v>
      </c>
      <c r="D69" s="66">
        <v>-28.466000000000001</v>
      </c>
      <c r="E69" s="66">
        <v>-29.067</v>
      </c>
      <c r="F69" s="66">
        <v>-31.077000000000002</v>
      </c>
      <c r="G69" s="66">
        <v>-26.414000000000001</v>
      </c>
      <c r="H69" s="66">
        <v>-53.45</v>
      </c>
      <c r="I69" s="66">
        <f>-91.636</f>
        <v>-91.635999999999996</v>
      </c>
      <c r="J69" s="14">
        <f t="shared" si="193"/>
        <v>-86.304999999999978</v>
      </c>
      <c r="K69" s="14"/>
      <c r="L69" s="66">
        <v>-4.1369999999999996</v>
      </c>
      <c r="M69" s="66">
        <f>-13.686-L69</f>
        <v>-9.5489999999999995</v>
      </c>
      <c r="N69" s="66">
        <f>-26.243-L69-M69</f>
        <v>-12.556999999999999</v>
      </c>
      <c r="O69" s="14">
        <f>E69-SUM(L69:N69)</f>
        <v>-2.8240000000000016</v>
      </c>
      <c r="P69" s="66">
        <v>-8.4339999999999993</v>
      </c>
      <c r="Q69" s="66">
        <f>-14.267-P69</f>
        <v>-5.8330000000000002</v>
      </c>
      <c r="R69" s="66">
        <f>-21.313-P69-Q69</f>
        <v>-7.0459999999999994</v>
      </c>
      <c r="S69" s="14">
        <f>F69-SUM(P69:R69)</f>
        <v>-9.7640000000000029</v>
      </c>
      <c r="T69" s="66">
        <v>-3.6379999999999999</v>
      </c>
      <c r="U69" s="66">
        <f>-8.519-T69</f>
        <v>-4.8810000000000002</v>
      </c>
      <c r="V69" s="66">
        <v>-15.462999999999999</v>
      </c>
      <c r="W69" s="14">
        <f>G69-SUM(T69:V69)</f>
        <v>-2.4320000000000022</v>
      </c>
      <c r="X69" s="66">
        <v>-4.2670000000000003</v>
      </c>
      <c r="Y69" s="66">
        <f>-9.148-X69</f>
        <v>-4.8809999999999993</v>
      </c>
      <c r="Z69" s="66">
        <v>-18.241</v>
      </c>
      <c r="AA69" s="14">
        <f t="shared" si="179"/>
        <v>-26.061000000000003</v>
      </c>
      <c r="AB69" s="66">
        <v>-20.507000000000001</v>
      </c>
      <c r="AC69" s="66">
        <f>-41.523-AB69</f>
        <v>-21.016000000000002</v>
      </c>
      <c r="AD69" s="66">
        <f>-64.123-AC69-AB69</f>
        <v>-22.599999999999998</v>
      </c>
      <c r="AE69" s="14">
        <f t="shared" si="194"/>
        <v>-27.512999999999991</v>
      </c>
      <c r="AF69" s="66">
        <v>-18.507999999999999</v>
      </c>
      <c r="AG69" s="66">
        <f>-36.192-AF69</f>
        <v>-17.684000000000001</v>
      </c>
    </row>
    <row r="70" spans="2:33" ht="13.5" customHeight="1">
      <c r="B70" s="69" t="s">
        <v>153</v>
      </c>
      <c r="C70" s="66">
        <v>-2713.3</v>
      </c>
      <c r="D70" s="66">
        <v>0</v>
      </c>
      <c r="E70" s="66">
        <v>-2299.4920000000002</v>
      </c>
      <c r="F70" s="66">
        <v>0</v>
      </c>
      <c r="G70" s="66">
        <v>0</v>
      </c>
      <c r="H70" s="66">
        <v>0</v>
      </c>
      <c r="I70" s="66">
        <f>-382.317-92.689</f>
        <v>-475.00599999999997</v>
      </c>
      <c r="J70" s="14">
        <f t="shared" si="193"/>
        <v>-475.00599999999997</v>
      </c>
      <c r="K70" s="14"/>
      <c r="L70" s="66">
        <v>-2364</v>
      </c>
      <c r="M70" s="66">
        <f>-2364-L70</f>
        <v>0</v>
      </c>
      <c r="N70" s="66">
        <f>-2299.908-L70-M70</f>
        <v>64.092000000000098</v>
      </c>
      <c r="O70" s="14">
        <f>E70-SUM(L70:N70)</f>
        <v>0.4159999999997126</v>
      </c>
      <c r="P70" s="66">
        <v>0</v>
      </c>
      <c r="Q70" s="66">
        <f>0-P70</f>
        <v>0</v>
      </c>
      <c r="R70" s="66">
        <f>0-P70-Q70</f>
        <v>0</v>
      </c>
      <c r="S70" s="14">
        <f>F70-SUM(P70:R70)</f>
        <v>0</v>
      </c>
      <c r="T70" s="66">
        <v>0</v>
      </c>
      <c r="U70" s="66">
        <f>0-T70</f>
        <v>0</v>
      </c>
      <c r="V70" s="66">
        <f>0-T70-U70</f>
        <v>0</v>
      </c>
      <c r="W70" s="14">
        <f>G70-SUM(T70:V70)</f>
        <v>0</v>
      </c>
      <c r="X70" s="66">
        <v>0</v>
      </c>
      <c r="Y70" s="66">
        <f>0-X70</f>
        <v>0</v>
      </c>
      <c r="Z70" s="66">
        <f>0-X70-Y70</f>
        <v>0</v>
      </c>
      <c r="AA70" s="14">
        <f t="shared" si="179"/>
        <v>0</v>
      </c>
      <c r="AB70" s="66">
        <v>0</v>
      </c>
      <c r="AC70" s="66">
        <f>0-AB70</f>
        <v>0</v>
      </c>
      <c r="AD70" s="66">
        <f>-382.317-AB70-AC70</f>
        <v>-382.31700000000001</v>
      </c>
      <c r="AE70" s="14">
        <f t="shared" si="194"/>
        <v>-92.688999999999965</v>
      </c>
      <c r="AF70" s="66">
        <v>0</v>
      </c>
      <c r="AG70" s="66">
        <f>0-AF70</f>
        <v>0</v>
      </c>
    </row>
    <row r="71" spans="2:33" s="33" customFormat="1" ht="13.5" customHeight="1">
      <c r="B71" s="75" t="s">
        <v>154</v>
      </c>
      <c r="C71" s="58">
        <f t="shared" ref="C71:D71" si="195">SUM(C67:C70)</f>
        <v>-834.74900000000048</v>
      </c>
      <c r="D71" s="58">
        <f t="shared" si="195"/>
        <v>1072.6990000000001</v>
      </c>
      <c r="E71" s="58">
        <f t="shared" ref="E71:F71" si="196">SUM(E67:E70)</f>
        <v>-556.38800000000037</v>
      </c>
      <c r="F71" s="58">
        <f t="shared" si="196"/>
        <v>2589.9209999999998</v>
      </c>
      <c r="G71" s="58">
        <f t="shared" ref="G71:H71" si="197">SUM(G67:G70)</f>
        <v>1482.7290000000005</v>
      </c>
      <c r="H71" s="58">
        <f t="shared" si="197"/>
        <v>2108.3890000000006</v>
      </c>
      <c r="I71" s="58">
        <f t="shared" ref="I71" si="198">SUM(I67:I70)</f>
        <v>-208.90500000000031</v>
      </c>
      <c r="J71" s="58">
        <f t="shared" ref="J71" si="199">SUM(J67:J70)</f>
        <v>206.202</v>
      </c>
      <c r="K71" s="58"/>
      <c r="L71" s="58">
        <f t="shared" ref="L71:O71" si="200">SUM(L67:L70)</f>
        <v>-1972.0450000000001</v>
      </c>
      <c r="M71" s="58">
        <f t="shared" si="200"/>
        <v>279.57099999999986</v>
      </c>
      <c r="N71" s="58">
        <f t="shared" si="200"/>
        <v>570.13099999999986</v>
      </c>
      <c r="O71" s="58">
        <f t="shared" si="200"/>
        <v>565.95500000000027</v>
      </c>
      <c r="P71" s="58">
        <f t="shared" ref="P71:T71" si="201">SUM(P67:P70)</f>
        <v>843.17900000000031</v>
      </c>
      <c r="Q71" s="58">
        <f t="shared" si="201"/>
        <v>-11.636000000000452</v>
      </c>
      <c r="R71" s="58">
        <f t="shared" si="201"/>
        <v>266.78999999999928</v>
      </c>
      <c r="S71" s="58">
        <f t="shared" si="201"/>
        <v>1491.5880000000011</v>
      </c>
      <c r="T71" s="58">
        <f t="shared" si="201"/>
        <v>664.49200000000008</v>
      </c>
      <c r="U71" s="58">
        <f t="shared" ref="U71:X71" si="202">SUM(U67:U70)</f>
        <v>-376.90700000000049</v>
      </c>
      <c r="V71" s="58">
        <f t="shared" si="202"/>
        <v>-0.82899999999987095</v>
      </c>
      <c r="W71" s="58">
        <f t="shared" si="202"/>
        <v>1195.9730000000004</v>
      </c>
      <c r="X71" s="58">
        <f t="shared" si="202"/>
        <v>1005.9019999999998</v>
      </c>
      <c r="Y71" s="58">
        <f t="shared" ref="Y71:AB71" si="203">SUM(Y67:Y70)</f>
        <v>341.2769999999997</v>
      </c>
      <c r="Z71" s="58">
        <f t="shared" si="203"/>
        <v>629.73799999999983</v>
      </c>
      <c r="AA71" s="58">
        <f t="shared" si="203"/>
        <v>131.47200000000069</v>
      </c>
      <c r="AB71" s="58">
        <f t="shared" si="203"/>
        <v>304.14799999999997</v>
      </c>
      <c r="AC71" s="58">
        <f t="shared" ref="AC71:AF71" si="204">SUM(AC67:AC70)</f>
        <v>-211.25800000000041</v>
      </c>
      <c r="AD71" s="58">
        <f t="shared" si="204"/>
        <v>-76.167999999998983</v>
      </c>
      <c r="AE71" s="58">
        <f t="shared" si="204"/>
        <v>-225.62700000000046</v>
      </c>
      <c r="AF71" s="58">
        <f t="shared" si="204"/>
        <v>161.60199999999989</v>
      </c>
      <c r="AG71" s="58">
        <f t="shared" ref="AG71" si="205">SUM(AG67:AG70)</f>
        <v>346.39500000000015</v>
      </c>
    </row>
    <row r="72" spans="2:33" s="33" customFormat="1" ht="13.5" customHeight="1">
      <c r="B72" s="69" t="s">
        <v>155</v>
      </c>
      <c r="C72" s="66">
        <f>-3343.628-SUM(C68:C70)</f>
        <v>578.13999999999987</v>
      </c>
      <c r="D72" s="66">
        <f>-1071.612-SUM(D68:D70)</f>
        <v>143.64499999999998</v>
      </c>
      <c r="E72" s="66">
        <f>-3853.365-SUM(E68:E70)</f>
        <v>118.94200000000046</v>
      </c>
      <c r="F72" s="66">
        <f>-1679.604-SUM(F68:F70)</f>
        <v>212.05099999999993</v>
      </c>
      <c r="G72" s="66">
        <f>-2370.704-SUM(G68:G70)</f>
        <v>21.184000000000196</v>
      </c>
      <c r="H72" s="66">
        <f>-4266.047-SUM(H68:H70)</f>
        <v>-1246.3409999999999</v>
      </c>
      <c r="I72" s="66">
        <f>(-281839+420852-9390-267+19038-34876+10196+21558-584862+5384+20533-673+3887)/1000</f>
        <v>-410.459</v>
      </c>
      <c r="J72" s="14">
        <f t="shared" ref="J72:J76" si="206">SUM(AD72:AG72)</f>
        <v>-574.78400000000011</v>
      </c>
      <c r="K72" s="180"/>
      <c r="L72" s="66">
        <f>-2772.07-SUM(L68:L70)</f>
        <v>8.6029999999996107</v>
      </c>
      <c r="M72" s="66">
        <f>-2975.066-SUM(M68:M70)-SUM(L68:L70)-L72</f>
        <v>110.73300000000017</v>
      </c>
      <c r="N72" s="66">
        <f>-3301.244-SUM(N68:N70)-L72-M72-SUM(L68:M70)</f>
        <v>-27.530999999999949</v>
      </c>
      <c r="O72" s="14">
        <f>E72-SUM(L72:N72)</f>
        <v>27.137000000000626</v>
      </c>
      <c r="P72" s="66">
        <f>-391.031-SUM(P68:P70)</f>
        <v>3.0790000000000077</v>
      </c>
      <c r="Q72" s="66">
        <f>-605.884-SUM(Q68:Q70)-P72-(SUM(P68:P70))</f>
        <v>175.30900000000003</v>
      </c>
      <c r="R72" s="66">
        <f>-1096.714-SUM(R68:R70)-P72-Q72-SUM(P68:Q70)</f>
        <v>21.326000000000022</v>
      </c>
      <c r="S72" s="14">
        <f>F72-SUM(P72:R72)</f>
        <v>12.336999999999875</v>
      </c>
      <c r="T72" s="66">
        <f>-712.708-SUM(T68:T70)</f>
        <v>-54.212999999999965</v>
      </c>
      <c r="U72" s="66">
        <f>-1436.381-SUM(U68:U70)-T72-(SUM(T68:T70))</f>
        <v>-145.61500000000001</v>
      </c>
      <c r="V72" s="66">
        <f>-2026.331-SUM(V68:V70)-T72-U72-SUM(T68:U70)</f>
        <v>-27.828999999999951</v>
      </c>
      <c r="W72" s="14">
        <f>G72-SUM(T72:V72)</f>
        <v>248.84100000000012</v>
      </c>
      <c r="X72" s="66">
        <f>-499.893-SUM(X68:X70)</f>
        <v>116.74000000000007</v>
      </c>
      <c r="Y72" s="66">
        <f>-2351.596-SUM(Y68:Y70)-X72-(SUM(X68:X70))</f>
        <v>-1189.7539999999999</v>
      </c>
      <c r="Z72" s="66">
        <f>-3140.311-SUM(Z68:Z70)-X72-Y72-SUM(X68:Y70)</f>
        <v>75.91199999999958</v>
      </c>
      <c r="AA72" s="14">
        <f t="shared" si="179"/>
        <v>-249.23899999999958</v>
      </c>
      <c r="AB72" s="66">
        <f>-805.114-SUM(AB68:AB70)</f>
        <v>-90.698000000000093</v>
      </c>
      <c r="AC72" s="66">
        <f>-1609.137-SUM(AC68:AC70)-AB72-(SUM(AB68:AB70))</f>
        <v>137.3760000000002</v>
      </c>
      <c r="AD72" s="66">
        <f>-3198.279-SUM(AD68:AD70)-AB72-AC72-SUM(AB68:AC70)</f>
        <v>-228.45500000000015</v>
      </c>
      <c r="AE72" s="14">
        <f t="shared" ref="AE72:AE76" si="207">I72-SUM(AB72:AD72)</f>
        <v>-228.68199999999996</v>
      </c>
      <c r="AF72" s="66">
        <f>(50000-5000-173-82-8484+2760+6733-6010+1951+18076)/1000</f>
        <v>59.771000000000001</v>
      </c>
      <c r="AG72" s="66">
        <f>((-223556+50000-5000+129-205-99-17521+2761+12434-6010+21182+1952+28208+18078)/1000)-AF72</f>
        <v>-177.41800000000001</v>
      </c>
    </row>
    <row r="73" spans="2:33" ht="13.5" customHeight="1">
      <c r="B73" s="69" t="s">
        <v>156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14">
        <f t="shared" si="206"/>
        <v>0.22500000000000001</v>
      </c>
      <c r="K73" s="14"/>
      <c r="L73" s="66">
        <v>0</v>
      </c>
      <c r="M73" s="66">
        <f>0-L73</f>
        <v>0</v>
      </c>
      <c r="N73" s="66">
        <f>0-L73-M73</f>
        <v>0</v>
      </c>
      <c r="O73" s="14">
        <f>E73-SUM(L73:N73)</f>
        <v>0</v>
      </c>
      <c r="P73" s="66">
        <v>0</v>
      </c>
      <c r="Q73" s="66">
        <f>0-P73</f>
        <v>0</v>
      </c>
      <c r="R73" s="66">
        <f>0-P73-Q73</f>
        <v>0</v>
      </c>
      <c r="S73" s="14">
        <f>F73-SUM(P73:R73)</f>
        <v>0</v>
      </c>
      <c r="T73" s="66">
        <v>0</v>
      </c>
      <c r="U73" s="66">
        <f>0-T73</f>
        <v>0</v>
      </c>
      <c r="V73" s="66">
        <f>0-T73-U73</f>
        <v>0</v>
      </c>
      <c r="W73" s="14">
        <f>G73-SUM(T73:V73)</f>
        <v>0</v>
      </c>
      <c r="X73" s="66">
        <v>0</v>
      </c>
      <c r="Y73" s="66">
        <f>0-X73</f>
        <v>0</v>
      </c>
      <c r="Z73" s="66">
        <f>0-X73-Y73</f>
        <v>0</v>
      </c>
      <c r="AA73" s="14">
        <f t="shared" si="179"/>
        <v>0</v>
      </c>
      <c r="AB73" s="66">
        <v>0</v>
      </c>
      <c r="AC73" s="66">
        <f>0-AB73</f>
        <v>0</v>
      </c>
      <c r="AD73" s="66">
        <f>0-AB73-AC73</f>
        <v>0</v>
      </c>
      <c r="AE73" s="14">
        <f t="shared" si="207"/>
        <v>0</v>
      </c>
      <c r="AF73" s="66">
        <v>0.22500000000000001</v>
      </c>
      <c r="AG73" s="66">
        <f>0.225-AF73</f>
        <v>0</v>
      </c>
    </row>
    <row r="74" spans="2:33" ht="13.5" customHeight="1">
      <c r="B74" s="69" t="s">
        <v>157</v>
      </c>
      <c r="C74" s="66">
        <v>-697.76</v>
      </c>
      <c r="D74" s="66">
        <v>-671</v>
      </c>
      <c r="E74" s="66">
        <v>-605.34100000000001</v>
      </c>
      <c r="F74" s="66">
        <v>-819.49199999999996</v>
      </c>
      <c r="G74" s="66">
        <v>-1098.7719999999999</v>
      </c>
      <c r="H74" s="66">
        <v>-1080.0239999999999</v>
      </c>
      <c r="I74" s="66">
        <v>-1108.4069999999999</v>
      </c>
      <c r="J74" s="14">
        <f t="shared" si="206"/>
        <v>-1087.4549999999999</v>
      </c>
      <c r="K74" s="14"/>
      <c r="L74" s="66">
        <v>0</v>
      </c>
      <c r="M74" s="66">
        <f>-364.153-L74</f>
        <v>-364.15300000000002</v>
      </c>
      <c r="N74" s="66">
        <f>-605.341-L74-M74</f>
        <v>-241.18799999999999</v>
      </c>
      <c r="O74" s="14">
        <f>E74-SUM(L74:N74)</f>
        <v>0</v>
      </c>
      <c r="P74" s="66">
        <v>0</v>
      </c>
      <c r="Q74" s="66">
        <f>-361.317-P74</f>
        <v>-361.31700000000001</v>
      </c>
      <c r="R74" s="66">
        <f>-819.492-P74-Q74</f>
        <v>-458.17499999999995</v>
      </c>
      <c r="S74" s="14">
        <f>F74-SUM(P74:R74)</f>
        <v>0</v>
      </c>
      <c r="T74" s="66">
        <v>0</v>
      </c>
      <c r="U74" s="66">
        <f>-603.716-T74</f>
        <v>-603.71600000000001</v>
      </c>
      <c r="V74" s="66">
        <f>-1098.772-T74-U74</f>
        <v>-495.05599999999993</v>
      </c>
      <c r="W74" s="14">
        <f>G74-SUM(T74:V74)</f>
        <v>0</v>
      </c>
      <c r="X74" s="66">
        <v>0</v>
      </c>
      <c r="Y74" s="66">
        <f>-585.644-X74</f>
        <v>-585.64400000000001</v>
      </c>
      <c r="Z74" s="66">
        <f>-1080.024-X74-Y74</f>
        <v>-494.37999999999988</v>
      </c>
      <c r="AA74" s="14">
        <f t="shared" si="179"/>
        <v>0</v>
      </c>
      <c r="AB74" s="66">
        <v>0</v>
      </c>
      <c r="AC74" s="66">
        <f>-603.017-AB74</f>
        <v>-603.01700000000005</v>
      </c>
      <c r="AD74" s="66">
        <f>-1108.407-AB74-AC74</f>
        <v>-505.38999999999987</v>
      </c>
      <c r="AE74" s="14">
        <f t="shared" si="207"/>
        <v>0</v>
      </c>
      <c r="AF74" s="66">
        <v>0</v>
      </c>
      <c r="AG74" s="66">
        <f>-582.065-AF74</f>
        <v>-582.06500000000005</v>
      </c>
    </row>
    <row r="75" spans="2:33" ht="13.5" customHeight="1">
      <c r="B75" s="69" t="s">
        <v>158</v>
      </c>
      <c r="C75" s="66">
        <f>259.581-258.826-418.199+1130.045-7.785+600-990.846</f>
        <v>313.97000000000025</v>
      </c>
      <c r="D75" s="66">
        <f>-730.443+850-96.362-30.852</f>
        <v>-7.6569999999999787</v>
      </c>
      <c r="E75" s="66">
        <f>200-200+179.96-128.482</f>
        <v>51.478000000000009</v>
      </c>
      <c r="F75" s="66">
        <f>-1025.126+358.644-0.563-177.008-142.59</f>
        <v>-986.64300000000003</v>
      </c>
      <c r="G75" s="66">
        <f>-71.46+44.55-1.058-261.489</f>
        <v>-289.45699999999999</v>
      </c>
      <c r="H75" s="66">
        <v>-317.71199999999999</v>
      </c>
      <c r="I75" s="66">
        <v>-396.94900000000001</v>
      </c>
      <c r="J75" s="14">
        <f t="shared" si="206"/>
        <v>30.132999999999981</v>
      </c>
      <c r="K75" s="14"/>
      <c r="L75" s="66">
        <v>-28.138000000000002</v>
      </c>
      <c r="M75" s="66">
        <f>200-60.9-L75</f>
        <v>167.238</v>
      </c>
      <c r="N75" s="66">
        <f>-88.169-L75-M75</f>
        <v>-227.26900000000001</v>
      </c>
      <c r="O75" s="14">
        <f>E75-SUM(L75:N75)</f>
        <v>139.64700000000002</v>
      </c>
      <c r="P75" s="66">
        <v>-36.036000000000001</v>
      </c>
      <c r="Q75" s="66">
        <f>-425.126+358.644-86.432-142.59-P75</f>
        <v>-259.46800000000002</v>
      </c>
      <c r="R75" s="66">
        <f>-425.126+358.644-123.026-P75-Q75</f>
        <v>105.99600000000004</v>
      </c>
      <c r="S75" s="14">
        <f>F75-SUM(P75:R75)</f>
        <v>-797.13499999999999</v>
      </c>
      <c r="T75" s="66">
        <f>-55.593</f>
        <v>-55.593000000000004</v>
      </c>
      <c r="U75" s="66">
        <f>-71.46+44.55-134.514-0-T75</f>
        <v>-105.831</v>
      </c>
      <c r="V75" s="66">
        <f>-71.46+44.55-199.426-T75-U75</f>
        <v>-64.911999999999992</v>
      </c>
      <c r="W75" s="14">
        <f>G75-SUM(T75:V75)</f>
        <v>-63.120999999999981</v>
      </c>
      <c r="X75" s="66">
        <f>-67.976</f>
        <v>-67.975999999999999</v>
      </c>
      <c r="Y75" s="66">
        <f>-134.445-0.974-X75</f>
        <v>-67.442999999999984</v>
      </c>
      <c r="Z75" s="66">
        <f>-219.417-X75-Y75</f>
        <v>-83.998000000000019</v>
      </c>
      <c r="AA75" s="14">
        <f t="shared" si="179"/>
        <v>-98.294999999999987</v>
      </c>
      <c r="AB75" s="66">
        <v>-84.444000000000003</v>
      </c>
      <c r="AC75" s="66">
        <f>-181.303-AB75</f>
        <v>-96.858999999999995</v>
      </c>
      <c r="AD75" s="66">
        <f>-285.56-AB75-AC75</f>
        <v>-104.25699999999999</v>
      </c>
      <c r="AE75" s="14">
        <f t="shared" si="207"/>
        <v>-111.38900000000001</v>
      </c>
      <c r="AF75" s="66">
        <v>-110.848</v>
      </c>
      <c r="AG75" s="66">
        <f>-44.55+511.355-221.026-AF75</f>
        <v>356.62700000000001</v>
      </c>
    </row>
    <row r="76" spans="2:33" ht="13.5" customHeight="1">
      <c r="B76" s="69" t="s">
        <v>159</v>
      </c>
      <c r="C76" s="66">
        <f>-553.593-SUM(C73:C75)-C66</f>
        <v>-6.2600000000002183</v>
      </c>
      <c r="D76" s="66">
        <f>-846.322-SUM(D73:D75)-D66</f>
        <v>-9.9450000000000784</v>
      </c>
      <c r="E76" s="66">
        <f>-695.359-SUM(E73:E75)-E66</f>
        <v>1.5560000000000116</v>
      </c>
      <c r="F76" s="66">
        <f>-1999.68-SUM(F73:F75)-F66</f>
        <v>-44.924000000000063</v>
      </c>
      <c r="G76" s="66">
        <v>3.496</v>
      </c>
      <c r="H76" s="66">
        <v>4.7359999999999998</v>
      </c>
      <c r="I76" s="66">
        <v>0</v>
      </c>
      <c r="J76" s="14">
        <f t="shared" si="206"/>
        <v>-0.45500000000000002</v>
      </c>
      <c r="K76" s="14"/>
      <c r="L76" s="66">
        <f>-39.416-SUM(L73:L75)-L66</f>
        <v>0</v>
      </c>
      <c r="M76" s="66">
        <f>-296.817-SUM(M73:M75)-M66-SUM(L73:L76)-L66</f>
        <v>0</v>
      </c>
      <c r="N76" s="66">
        <f>-778.377-SUM(N73:N75)-L76-M76-N66-SUM(L73:M75)-L66-M66</f>
        <v>0</v>
      </c>
      <c r="O76" s="14">
        <f>E76-SUM(L76:N76)</f>
        <v>1.5560000000000116</v>
      </c>
      <c r="P76" s="66">
        <f>-46.031-SUM(P73:P75)-P66</f>
        <v>0</v>
      </c>
      <c r="Q76" s="66">
        <f>-775.94-SUM(Q73:Q75)-Q66-SUM(P73:P76)-P66</f>
        <v>-45.486999999999973</v>
      </c>
      <c r="R76" s="66">
        <f>-1280.539-SUM(R73:R75)-P76-Q76-R66-SUM(P73:Q75)-P66-Q66</f>
        <v>-142.59000000000009</v>
      </c>
      <c r="S76" s="14">
        <f>F76-SUM(P76:R76)</f>
        <v>143.15299999999999</v>
      </c>
      <c r="T76" s="66">
        <v>0</v>
      </c>
      <c r="U76" s="66">
        <f>-832.88-SUM(U73:U75)-U66-SUM(T73:T76)-T66</f>
        <v>2.5220000000000358</v>
      </c>
      <c r="V76" s="66">
        <f>-1402.937-SUM(V73:V75)-T76-U76-V66-SUM(T73:U75)-T66-U66</f>
        <v>-2.0000000000095497E-3</v>
      </c>
      <c r="W76" s="14">
        <f>G76-SUM(T76:V76)</f>
        <v>0.97599999999997378</v>
      </c>
      <c r="X76" s="66">
        <v>2.742</v>
      </c>
      <c r="Y76" s="166">
        <f>0-X76</f>
        <v>-2.742</v>
      </c>
      <c r="Z76" s="66">
        <f>-1375.267-SUM(Z73:Z75)-X76-Y76-Z66-SUM(X73:Y75)-X66-Y66</f>
        <v>4.3409999999999087</v>
      </c>
      <c r="AA76" s="14">
        <f t="shared" si="179"/>
        <v>0.39500000000009106</v>
      </c>
      <c r="AB76" s="66">
        <v>0</v>
      </c>
      <c r="AC76" s="66">
        <f>0-AB76</f>
        <v>0</v>
      </c>
      <c r="AD76" s="66">
        <f>-1484.209-SUM(AD73:AD75)-AB76-AC76-AD66-SUM(AB73:AC75)-AB66-AC66</f>
        <v>-2.4158453015843406E-13</v>
      </c>
      <c r="AE76" s="14">
        <f t="shared" si="207"/>
        <v>2.4158453015843406E-13</v>
      </c>
      <c r="AF76" s="66">
        <v>0</v>
      </c>
      <c r="AG76" s="66">
        <f>-0.455-AF76</f>
        <v>-0.45500000000000002</v>
      </c>
    </row>
    <row r="77" spans="2:33" ht="13.5" customHeight="1">
      <c r="B77" s="75" t="s">
        <v>160</v>
      </c>
      <c r="C77" s="58">
        <f t="shared" ref="C77:D77" si="208">SUM(C71:C76)</f>
        <v>-646.65900000000056</v>
      </c>
      <c r="D77" s="58">
        <f t="shared" si="208"/>
        <v>527.74200000000008</v>
      </c>
      <c r="E77" s="58">
        <f t="shared" ref="E77:F77" si="209">SUM(E71:E76)</f>
        <v>-989.7529999999997</v>
      </c>
      <c r="F77" s="58">
        <f t="shared" si="209"/>
        <v>950.91299999999967</v>
      </c>
      <c r="G77" s="58">
        <f t="shared" ref="G77:H77" si="210">SUM(G71:G76)</f>
        <v>119.18000000000076</v>
      </c>
      <c r="H77" s="58">
        <f t="shared" si="210"/>
        <v>-530.9519999999992</v>
      </c>
      <c r="I77" s="58">
        <f t="shared" ref="I77" si="211">SUM(I71:I76)</f>
        <v>-2124.7200000000003</v>
      </c>
      <c r="J77" s="58">
        <f t="shared" ref="J77" si="212">SUM(J71:J76)</f>
        <v>-1426.1339999999998</v>
      </c>
      <c r="K77" s="58"/>
      <c r="L77" s="58">
        <f t="shared" ref="L77:O77" si="213">SUM(L71:L76)</f>
        <v>-1991.5800000000004</v>
      </c>
      <c r="M77" s="58">
        <f t="shared" si="213"/>
        <v>193.38900000000001</v>
      </c>
      <c r="N77" s="58">
        <f t="shared" si="213"/>
        <v>74.142999999999915</v>
      </c>
      <c r="O77" s="58">
        <f t="shared" si="213"/>
        <v>734.29500000000098</v>
      </c>
      <c r="P77" s="58">
        <f t="shared" ref="P77:T77" si="214">SUM(P71:P76)</f>
        <v>810.22200000000021</v>
      </c>
      <c r="Q77" s="58">
        <f t="shared" si="214"/>
        <v>-502.59900000000039</v>
      </c>
      <c r="R77" s="58">
        <f t="shared" si="214"/>
        <v>-206.6530000000007</v>
      </c>
      <c r="S77" s="58">
        <f t="shared" si="214"/>
        <v>849.94300000000112</v>
      </c>
      <c r="T77" s="58">
        <f t="shared" si="214"/>
        <v>554.68600000000015</v>
      </c>
      <c r="U77" s="58">
        <f t="shared" ref="U77:X77" si="215">SUM(U71:U76)</f>
        <v>-1229.5470000000005</v>
      </c>
      <c r="V77" s="58">
        <f t="shared" si="215"/>
        <v>-588.6279999999997</v>
      </c>
      <c r="W77" s="58">
        <f t="shared" si="215"/>
        <v>1382.6690000000006</v>
      </c>
      <c r="X77" s="58">
        <f t="shared" si="215"/>
        <v>1057.4079999999997</v>
      </c>
      <c r="Y77" s="58">
        <f t="shared" ref="Y77:AB77" si="216">SUM(Y71:Y76)</f>
        <v>-1504.306</v>
      </c>
      <c r="Z77" s="58">
        <f t="shared" si="216"/>
        <v>131.61299999999943</v>
      </c>
      <c r="AA77" s="58">
        <f t="shared" si="216"/>
        <v>-215.66699999999878</v>
      </c>
      <c r="AB77" s="58">
        <f t="shared" si="216"/>
        <v>129.00599999999986</v>
      </c>
      <c r="AC77" s="58">
        <f t="shared" ref="AC77:AF77" si="217">SUM(AC71:AC76)</f>
        <v>-773.75800000000027</v>
      </c>
      <c r="AD77" s="58">
        <f t="shared" si="217"/>
        <v>-914.26999999999919</v>
      </c>
      <c r="AE77" s="58">
        <f t="shared" si="217"/>
        <v>-565.69800000000021</v>
      </c>
      <c r="AF77" s="58">
        <f t="shared" si="217"/>
        <v>110.74999999999987</v>
      </c>
      <c r="AG77" s="58">
        <f t="shared" ref="AG77" si="218">SUM(AG71:AG76)</f>
        <v>-56.915999999999897</v>
      </c>
    </row>
    <row r="78" spans="2:33" ht="13.5" customHeight="1">
      <c r="B78" s="69" t="s">
        <v>161</v>
      </c>
      <c r="C78" s="247">
        <f>-377.615-C77</f>
        <v>269.04400000000055</v>
      </c>
      <c r="D78" s="247">
        <f>853.566-D77</f>
        <v>325.82399999999996</v>
      </c>
      <c r="E78" s="247">
        <f>-1120.416-E77</f>
        <v>-130.66300000000024</v>
      </c>
      <c r="F78" s="247">
        <f>992.918-F77</f>
        <v>42.005000000000337</v>
      </c>
      <c r="G78" s="247">
        <f>469.868-G77</f>
        <v>350.68799999999925</v>
      </c>
      <c r="H78" s="247">
        <f>-68.976-H77</f>
        <v>461.9759999999992</v>
      </c>
      <c r="I78" s="247">
        <f>-1653.04-I77</f>
        <v>471.68000000000029</v>
      </c>
      <c r="J78" s="247">
        <f>SUM(AD78:AG78)</f>
        <v>447.37099999999987</v>
      </c>
      <c r="K78" s="247"/>
      <c r="L78" s="247">
        <f>-1994.853-L77</f>
        <v>-3.2729999999996835</v>
      </c>
      <c r="M78" s="247">
        <f>-1837.385-M77-L77-L78</f>
        <v>-35.920999999999822</v>
      </c>
      <c r="N78" s="247">
        <f>-1673.055-N77-M77-L77-L78-M78</f>
        <v>90.186999999999898</v>
      </c>
      <c r="O78" s="247">
        <f>E78-SUM(L78:N78)</f>
        <v>-181.65600000000063</v>
      </c>
      <c r="P78" s="247">
        <f>786.674-P77</f>
        <v>-23.548000000000229</v>
      </c>
      <c r="Q78" s="247">
        <f>284.824-Q77-P77-P78</f>
        <v>0.74900000000047839</v>
      </c>
      <c r="R78" s="247">
        <f>930.651-R77-Q77-P77-P78-Q78</f>
        <v>852.48000000000047</v>
      </c>
      <c r="S78" s="247">
        <f>F78-SUM(P78:R78)</f>
        <v>-787.67600000000039</v>
      </c>
      <c r="T78" s="247">
        <f>691.255-T77</f>
        <v>136.56899999999985</v>
      </c>
      <c r="U78" s="247">
        <f>-469.702-U77-T77-T78</f>
        <v>68.590000000000487</v>
      </c>
      <c r="V78" s="247">
        <f>-480.227-V77-U77-T77-T78-U78</f>
        <v>578.10299999999984</v>
      </c>
      <c r="W78" s="247">
        <f>G78-SUM(T78:V78)</f>
        <v>-432.57400000000092</v>
      </c>
      <c r="X78" s="247">
        <f>1164.205-X77</f>
        <v>106.79700000000025</v>
      </c>
      <c r="Y78" s="247">
        <f>-236.409-Y77-X77-X78</f>
        <v>103.69200000000001</v>
      </c>
      <c r="Z78" s="247">
        <f>48.454-Z77-Y77-X77-X78-Y78</f>
        <v>153.25000000000068</v>
      </c>
      <c r="AA78" s="247">
        <f t="shared" si="179"/>
        <v>98.236999999998261</v>
      </c>
      <c r="AB78" s="247">
        <f>205.551-AB77</f>
        <v>76.54500000000013</v>
      </c>
      <c r="AC78" s="247">
        <f>-472.058-AC77-AB77-AB78</f>
        <v>96.149000000000285</v>
      </c>
      <c r="AD78" s="247">
        <f>-1392.901-AD77-AC77-AB77-AB78-AC78</f>
        <v>-6.5730000000008886</v>
      </c>
      <c r="AE78" s="247">
        <f>I78-SUM(AB78:AD78)</f>
        <v>305.55900000000076</v>
      </c>
      <c r="AF78" s="247">
        <f>161.651-AF77</f>
        <v>50.901000000000138</v>
      </c>
      <c r="AG78" s="247">
        <f>202.219-AG77-AF77-AF78</f>
        <v>97.483999999999853</v>
      </c>
    </row>
    <row r="79" spans="2:33" ht="13.5" customHeight="1">
      <c r="B79" s="69" t="s">
        <v>162</v>
      </c>
      <c r="C79" s="66">
        <v>20.417000000000002</v>
      </c>
      <c r="D79" s="66">
        <v>27.54</v>
      </c>
      <c r="E79" s="66">
        <v>-24.398</v>
      </c>
      <c r="F79" s="66">
        <v>-12.887</v>
      </c>
      <c r="G79" s="66">
        <v>9.8710000000000004</v>
      </c>
      <c r="H79" s="66">
        <v>-11.82</v>
      </c>
      <c r="I79" s="66">
        <v>28.669</v>
      </c>
      <c r="J79" s="14">
        <f>SUM(AD79:AG79)</f>
        <v>-6.0330000000000013</v>
      </c>
      <c r="K79" s="14"/>
      <c r="L79" s="66">
        <v>-13.721</v>
      </c>
      <c r="M79" s="66">
        <f>-16.64-L79</f>
        <v>-2.9190000000000005</v>
      </c>
      <c r="N79" s="66">
        <f>-30.851-L79-M79</f>
        <v>-14.210999999999999</v>
      </c>
      <c r="O79" s="14">
        <f>E79-SUM(L79:N79)</f>
        <v>6.4529999999999994</v>
      </c>
      <c r="P79" s="66">
        <v>0.13900000000000001</v>
      </c>
      <c r="Q79" s="66">
        <f>-37.624-P79</f>
        <v>-37.763000000000005</v>
      </c>
      <c r="R79" s="66">
        <f>-53.784-P79-Q79</f>
        <v>-16.159999999999997</v>
      </c>
      <c r="S79" s="14">
        <f>F79-SUM(P79:R79)</f>
        <v>40.896999999999998</v>
      </c>
      <c r="T79" s="66">
        <v>11.116</v>
      </c>
      <c r="U79" s="66">
        <f>-4.887-T79</f>
        <v>-16.003</v>
      </c>
      <c r="V79" s="66">
        <f>-22.825-T79-U79</f>
        <v>-17.938000000000002</v>
      </c>
      <c r="W79" s="14">
        <f>G79-SUM(T79:V79)</f>
        <v>32.696000000000005</v>
      </c>
      <c r="X79" s="66">
        <v>-28.841000000000001</v>
      </c>
      <c r="Y79" s="66">
        <f>-31.329-X79</f>
        <v>-2.4879999999999995</v>
      </c>
      <c r="Z79" s="66">
        <f>2.231-X79-Y79</f>
        <v>33.56</v>
      </c>
      <c r="AA79" s="14">
        <f t="shared" si="179"/>
        <v>-14.051000000000002</v>
      </c>
      <c r="AB79" s="66">
        <v>-4.8000000000000001E-2</v>
      </c>
      <c r="AC79" s="66">
        <f>16.78-AB79</f>
        <v>16.827999999999999</v>
      </c>
      <c r="AD79" s="66">
        <f>20.282-AB79-AC79</f>
        <v>3.5019999999999989</v>
      </c>
      <c r="AE79" s="14">
        <f>I79-SUM(AB79:AD79)</f>
        <v>8.3870000000000005</v>
      </c>
      <c r="AF79" s="66">
        <v>-15.085000000000001</v>
      </c>
      <c r="AG79" s="66">
        <f>-17.922-AF79</f>
        <v>-2.8369999999999997</v>
      </c>
    </row>
    <row r="80" spans="2:33" ht="13.5" customHeight="1">
      <c r="B80" s="69" t="s">
        <v>163</v>
      </c>
      <c r="C80" s="14">
        <f t="shared" ref="C80" si="219">SUM(C77:C79)</f>
        <v>-357.19799999999998</v>
      </c>
      <c r="D80" s="14">
        <f t="shared" ref="D80:E80" si="220">SUM(D77:D79)</f>
        <v>881.10599999999999</v>
      </c>
      <c r="E80" s="14">
        <f t="shared" si="220"/>
        <v>-1144.8139999999999</v>
      </c>
      <c r="F80" s="14">
        <f t="shared" ref="F80" si="221">SUM(F77:F79)</f>
        <v>980.03099999999995</v>
      </c>
      <c r="G80" s="14">
        <f t="shared" ref="G80:J80" si="222">SUM(G77:G79)</f>
        <v>479.73899999999998</v>
      </c>
      <c r="H80" s="14">
        <f t="shared" si="222"/>
        <v>-80.795999999999992</v>
      </c>
      <c r="I80" s="14">
        <f t="shared" ref="I80" si="223">SUM(I77:I79)</f>
        <v>-1624.3709999999999</v>
      </c>
      <c r="J80" s="14">
        <f t="shared" si="222"/>
        <v>-984.79599999999994</v>
      </c>
      <c r="K80" s="14"/>
      <c r="L80" s="14">
        <f t="shared" ref="L80:O80" si="224">SUM(L77:L79)</f>
        <v>-2008.5740000000001</v>
      </c>
      <c r="M80" s="14">
        <f t="shared" si="224"/>
        <v>154.54900000000018</v>
      </c>
      <c r="N80" s="14">
        <f t="shared" si="224"/>
        <v>150.1189999999998</v>
      </c>
      <c r="O80" s="14">
        <f t="shared" si="224"/>
        <v>559.09200000000033</v>
      </c>
      <c r="P80" s="14">
        <f t="shared" ref="P80:T80" si="225">SUM(P77:P79)</f>
        <v>786.81299999999999</v>
      </c>
      <c r="Q80" s="14">
        <f t="shared" si="225"/>
        <v>-539.61299999999994</v>
      </c>
      <c r="R80" s="14">
        <f t="shared" si="225"/>
        <v>629.6669999999998</v>
      </c>
      <c r="S80" s="14">
        <f t="shared" si="225"/>
        <v>103.16400000000073</v>
      </c>
      <c r="T80" s="14">
        <f t="shared" si="225"/>
        <v>702.37099999999998</v>
      </c>
      <c r="U80" s="14">
        <f t="shared" ref="U80:X80" si="226">SUM(U77:U79)</f>
        <v>-1176.9599999999998</v>
      </c>
      <c r="V80" s="14">
        <f t="shared" si="226"/>
        <v>-28.462999999999866</v>
      </c>
      <c r="W80" s="14">
        <f t="shared" si="226"/>
        <v>982.7909999999996</v>
      </c>
      <c r="X80" s="14">
        <f t="shared" si="226"/>
        <v>1135.364</v>
      </c>
      <c r="Y80" s="14">
        <f t="shared" ref="Y80:AB80" si="227">SUM(Y77:Y79)</f>
        <v>-1403.1020000000001</v>
      </c>
      <c r="Z80" s="14">
        <f t="shared" si="227"/>
        <v>318.42300000000012</v>
      </c>
      <c r="AA80" s="14">
        <f t="shared" si="227"/>
        <v>-131.48100000000051</v>
      </c>
      <c r="AB80" s="14">
        <f t="shared" si="227"/>
        <v>205.50299999999999</v>
      </c>
      <c r="AC80" s="14">
        <f t="shared" ref="AC80:AF80" si="228">SUM(AC77:AC79)</f>
        <v>-660.78099999999995</v>
      </c>
      <c r="AD80" s="14">
        <f t="shared" si="228"/>
        <v>-917.34100000000012</v>
      </c>
      <c r="AE80" s="14">
        <f t="shared" si="228"/>
        <v>-251.75199999999944</v>
      </c>
      <c r="AF80" s="14">
        <f t="shared" si="228"/>
        <v>146.566</v>
      </c>
      <c r="AG80" s="14">
        <f t="shared" ref="AG80" si="229">SUM(AG77:AG79)</f>
        <v>37.730999999999952</v>
      </c>
    </row>
    <row r="81" spans="2:33" ht="13.5" customHeight="1">
      <c r="B81" s="75" t="s">
        <v>164</v>
      </c>
      <c r="C81" s="58">
        <f>3180.095+C80</f>
        <v>2822.8969999999999</v>
      </c>
      <c r="D81" s="58">
        <f t="shared" ref="D81:I81" si="230">C81+D80</f>
        <v>3704.0029999999997</v>
      </c>
      <c r="E81" s="58">
        <f t="shared" si="230"/>
        <v>2559.1889999999999</v>
      </c>
      <c r="F81" s="58">
        <f t="shared" si="230"/>
        <v>3539.22</v>
      </c>
      <c r="G81" s="58">
        <f t="shared" si="230"/>
        <v>4018.9589999999998</v>
      </c>
      <c r="H81" s="58">
        <f t="shared" si="230"/>
        <v>3938.163</v>
      </c>
      <c r="I81" s="58">
        <f t="shared" si="230"/>
        <v>2313.7920000000004</v>
      </c>
      <c r="J81" s="58">
        <f>AC81+J80</f>
        <v>2498.0890000000013</v>
      </c>
      <c r="K81" s="181"/>
      <c r="L81" s="58">
        <f>3704.003+L80</f>
        <v>1695.4290000000001</v>
      </c>
      <c r="M81" s="58">
        <f>L81+M80</f>
        <v>1849.9780000000003</v>
      </c>
      <c r="N81" s="58">
        <f t="shared" ref="N81:O81" si="231">M81+N80</f>
        <v>2000.0970000000002</v>
      </c>
      <c r="O81" s="58">
        <f t="shared" si="231"/>
        <v>2559.1890000000003</v>
      </c>
      <c r="P81" s="58">
        <f>O81+P80</f>
        <v>3346.0020000000004</v>
      </c>
      <c r="Q81" s="58">
        <f>P81+Q80</f>
        <v>2806.3890000000006</v>
      </c>
      <c r="R81" s="58">
        <f t="shared" ref="R81:W81" si="232">Q81+R80</f>
        <v>3436.0560000000005</v>
      </c>
      <c r="S81" s="58">
        <f t="shared" si="232"/>
        <v>3539.2200000000012</v>
      </c>
      <c r="T81" s="58">
        <f t="shared" si="232"/>
        <v>4241.5910000000013</v>
      </c>
      <c r="U81" s="58">
        <f>T81+U80</f>
        <v>3064.6310000000012</v>
      </c>
      <c r="V81" s="58">
        <f t="shared" si="232"/>
        <v>3036.1680000000015</v>
      </c>
      <c r="W81" s="58">
        <f t="shared" si="232"/>
        <v>4018.9590000000012</v>
      </c>
      <c r="X81" s="58">
        <f>W81+X80</f>
        <v>5154.3230000000012</v>
      </c>
      <c r="Y81" s="58">
        <f>X81+Y80</f>
        <v>3751.2210000000014</v>
      </c>
      <c r="Z81" s="58">
        <f t="shared" ref="Z81:AA81" si="233">Y81+Z80</f>
        <v>4069.6440000000016</v>
      </c>
      <c r="AA81" s="58">
        <f t="shared" si="233"/>
        <v>3938.1630000000009</v>
      </c>
      <c r="AB81" s="58">
        <f>AA81+AB80</f>
        <v>4143.6660000000011</v>
      </c>
      <c r="AC81" s="58">
        <f>AB81+AC80</f>
        <v>3482.8850000000011</v>
      </c>
      <c r="AD81" s="58">
        <f t="shared" ref="AD81:AE81" si="234">AC81+AD80</f>
        <v>2565.5440000000008</v>
      </c>
      <c r="AE81" s="58">
        <f t="shared" si="234"/>
        <v>2313.7920000000013</v>
      </c>
      <c r="AF81" s="58">
        <f>AE81+AF80</f>
        <v>2460.3580000000011</v>
      </c>
      <c r="AG81" s="58">
        <f>AF81+AG80</f>
        <v>2498.0890000000009</v>
      </c>
    </row>
    <row r="82" spans="2:33" ht="13.5" customHeight="1">
      <c r="B82" s="75"/>
      <c r="C82" s="66"/>
      <c r="D82" s="66"/>
      <c r="E82" s="66"/>
      <c r="F82" s="66"/>
      <c r="G82" s="66"/>
      <c r="H82" s="66"/>
      <c r="I82" s="66"/>
      <c r="J82" s="14"/>
      <c r="K82" s="14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</row>
    <row r="83" spans="2:33" ht="11.25" customHeight="1">
      <c r="B83" s="76" t="s">
        <v>165</v>
      </c>
      <c r="C83" s="208">
        <f t="shared" ref="C83:G83" si="235">+C81-C119</f>
        <v>0</v>
      </c>
      <c r="D83" s="208">
        <f t="shared" si="235"/>
        <v>0</v>
      </c>
      <c r="E83" s="208">
        <f t="shared" si="235"/>
        <v>0</v>
      </c>
      <c r="F83" s="208">
        <f t="shared" si="235"/>
        <v>0</v>
      </c>
      <c r="G83" s="208">
        <f t="shared" si="235"/>
        <v>0</v>
      </c>
      <c r="H83" s="208">
        <f t="shared" ref="H83:I83" si="236">+H81-H119</f>
        <v>0</v>
      </c>
      <c r="I83" s="208">
        <f t="shared" si="236"/>
        <v>0</v>
      </c>
      <c r="J83" s="208">
        <f>+J81-J119</f>
        <v>0</v>
      </c>
      <c r="K83" s="209"/>
      <c r="L83" s="208">
        <f t="shared" ref="L83:O83" si="237">+L81-L119</f>
        <v>0</v>
      </c>
      <c r="M83" s="208">
        <f t="shared" si="237"/>
        <v>0</v>
      </c>
      <c r="N83" s="208">
        <f t="shared" si="237"/>
        <v>0</v>
      </c>
      <c r="O83" s="208">
        <f t="shared" si="237"/>
        <v>0</v>
      </c>
      <c r="P83" s="208">
        <f t="shared" ref="P83:T83" si="238">+P81-P119</f>
        <v>0</v>
      </c>
      <c r="Q83" s="208">
        <f t="shared" si="238"/>
        <v>0</v>
      </c>
      <c r="R83" s="208">
        <f t="shared" si="238"/>
        <v>0</v>
      </c>
      <c r="S83" s="208">
        <f t="shared" si="238"/>
        <v>0</v>
      </c>
      <c r="T83" s="208">
        <f t="shared" si="238"/>
        <v>0</v>
      </c>
      <c r="U83" s="208">
        <f t="shared" ref="U83:W83" si="239">+U81-U119</f>
        <v>0</v>
      </c>
      <c r="V83" s="208">
        <f t="shared" si="239"/>
        <v>0</v>
      </c>
      <c r="W83" s="208">
        <f t="shared" si="239"/>
        <v>0</v>
      </c>
      <c r="X83" s="208">
        <f>+X81-X119</f>
        <v>0</v>
      </c>
      <c r="Y83" s="208">
        <f t="shared" ref="Y83:AA83" si="240">+Y81-Y119</f>
        <v>0</v>
      </c>
      <c r="Z83" s="208">
        <f t="shared" si="240"/>
        <v>0</v>
      </c>
      <c r="AA83" s="208">
        <f t="shared" si="240"/>
        <v>0</v>
      </c>
      <c r="AB83" s="208">
        <f>+AB81-AB119</f>
        <v>0</v>
      </c>
      <c r="AC83" s="208">
        <f t="shared" ref="AC83:AE83" si="241">+AC81-AC119</f>
        <v>0</v>
      </c>
      <c r="AD83" s="208">
        <f t="shared" si="241"/>
        <v>0</v>
      </c>
      <c r="AE83" s="208">
        <f t="shared" si="241"/>
        <v>0</v>
      </c>
      <c r="AF83" s="208">
        <f>+AF81-AF119</f>
        <v>0</v>
      </c>
      <c r="AG83" s="208">
        <f t="shared" ref="AG83" si="242">+AG81-AG119</f>
        <v>0</v>
      </c>
    </row>
    <row r="84" spans="2:33" ht="13.5" customHeight="1">
      <c r="B84" s="76" t="s">
        <v>166</v>
      </c>
      <c r="C84" s="210">
        <f>3519.606-(C67+C78)+C66</f>
        <v>0</v>
      </c>
      <c r="D84" s="210">
        <f>2771.5-(D67+D78)+D66</f>
        <v>0</v>
      </c>
      <c r="E84" s="210">
        <f>3428.308-(E67+E78)+E66</f>
        <v>5.9685589803848416E-13</v>
      </c>
      <c r="F84" s="210">
        <f>4672.202-(F67+F78)+F66</f>
        <v>0</v>
      </c>
      <c r="G84" s="210">
        <f>4361.909-(G67+G78)+G66</f>
        <v>-6.5369931689929217E-13</v>
      </c>
      <c r="H84" s="210">
        <f>5721.569-(H67+H78)+H66</f>
        <v>5.1159076974727213E-13</v>
      </c>
      <c r="I84" s="210">
        <f>4572.094-(I67+I78)+I66</f>
        <v>5.6843418860808015E-13</v>
      </c>
      <c r="J84" s="211"/>
      <c r="K84" s="212"/>
      <c r="L84" s="213">
        <f>816.633-(L67+L78)+L66</f>
        <v>-3.1974423109204508E-13</v>
      </c>
      <c r="M84" s="211">
        <f>1434.498-(M67+M78)-L67-L78+M66+L66</f>
        <v>-3.2684965844964609E-13</v>
      </c>
      <c r="N84" s="213">
        <f>2406.566-(N67+N78)-M67-M78-L67-L78+L66+M66+N66</f>
        <v>-2.8421709430404007E-14</v>
      </c>
      <c r="O84" s="211"/>
      <c r="P84" s="213">
        <f>1223.736-(P67+P78)+P66</f>
        <v>1.1901590823981678E-13</v>
      </c>
      <c r="Q84" s="211">
        <f>1666.648-(Q67+Q78)-P67-P78+Q66+P66</f>
        <v>-1.723066134218243E-13</v>
      </c>
      <c r="R84" s="213">
        <f>3307.904-(R67+R78)-Q67-Q78-P67-P78+P66+Q66+R66</f>
        <v>-1.4210854715202004E-14</v>
      </c>
      <c r="S84" s="211"/>
      <c r="T84" s="213">
        <f>1472.38-(T67+T78)+T66</f>
        <v>6.9277916736609768E-14</v>
      </c>
      <c r="U84" s="211">
        <f>1799.559-(U67+U78)-T67-T78+U66+T66</f>
        <v>-1.723066134218243E-13</v>
      </c>
      <c r="V84" s="213">
        <f>2949.041-(V67+V78)-U67-U78-T67-T78+T66+U66+V66</f>
        <v>2.7000623958883807E-13</v>
      </c>
      <c r="W84" s="211"/>
      <c r="X84" s="211">
        <f>1740.763-(X67+X78)+X66</f>
        <v>-1.865174681370263E-13</v>
      </c>
      <c r="Y84" s="211">
        <f>2900.633-(Y67+Y78)-X67-X78+Y66+X66</f>
        <v>-5.3149999999999569</v>
      </c>
      <c r="Z84" s="213">
        <f>4564.032-(Z67+Z78)-Y67-Y78-X67-X78+X66+Y66+Z66</f>
        <v>-3.1263880373444408E-13</v>
      </c>
      <c r="AA84" s="211"/>
      <c r="AB84" s="211">
        <f>1109.365-(AB67+AB78)+AB66</f>
        <v>-1.4210854715202004E-13</v>
      </c>
      <c r="AC84" s="211">
        <f>1995.759-(AC67+AC78)-AB67-AB78+AC66+AB66</f>
        <v>-4.2632564145606011E-14</v>
      </c>
      <c r="AD84" s="213">
        <f>3289.587-(AD67+AD78)-AC67-AC78-AB67-AB78+AB66+AC66+AD66</f>
        <v>1.4210854715202004E-14</v>
      </c>
      <c r="AE84" s="211"/>
      <c r="AF84" s="211">
        <f>1421.495-(AF67+AF78)+AF66</f>
        <v>-5.8619775700208265E-14</v>
      </c>
      <c r="AG84" s="211">
        <f>2891.794-(AG67+AG78)-AF67-AF78+AG66+AF66</f>
        <v>-2.007283228522283E-13</v>
      </c>
    </row>
    <row r="85" spans="2:33" ht="11.25" customHeight="1">
      <c r="C85" s="74"/>
      <c r="D85" s="74"/>
      <c r="E85" s="74"/>
      <c r="F85" s="74"/>
      <c r="G85" s="74"/>
      <c r="H85" s="74"/>
    </row>
    <row r="86" spans="2:33" ht="13.5" customHeight="1">
      <c r="B86" s="55" t="s">
        <v>167</v>
      </c>
      <c r="C86" s="59">
        <f t="shared" ref="C86:H86" si="243">C3</f>
        <v>43830</v>
      </c>
      <c r="D86" s="59">
        <f t="shared" si="243"/>
        <v>44196</v>
      </c>
      <c r="E86" s="59">
        <f t="shared" si="243"/>
        <v>44561</v>
      </c>
      <c r="F86" s="59">
        <f t="shared" si="243"/>
        <v>44926</v>
      </c>
      <c r="G86" s="59">
        <f t="shared" si="243"/>
        <v>45291</v>
      </c>
      <c r="H86" s="59">
        <f t="shared" si="243"/>
        <v>45657</v>
      </c>
      <c r="I86" s="59">
        <f t="shared" ref="I86" si="244">I3</f>
        <v>46022</v>
      </c>
      <c r="J86" s="59" t="str">
        <f>J2</f>
        <v>LTM</v>
      </c>
      <c r="K86" s="175"/>
      <c r="L86" s="59">
        <f t="shared" ref="L86:AB86" si="245">L3</f>
        <v>44286</v>
      </c>
      <c r="M86" s="59">
        <f t="shared" si="245"/>
        <v>44377</v>
      </c>
      <c r="N86" s="59">
        <f t="shared" si="245"/>
        <v>44469</v>
      </c>
      <c r="O86" s="59">
        <f t="shared" si="245"/>
        <v>44561</v>
      </c>
      <c r="P86" s="59">
        <f t="shared" si="245"/>
        <v>44651</v>
      </c>
      <c r="Q86" s="59">
        <f t="shared" si="245"/>
        <v>44742</v>
      </c>
      <c r="R86" s="59">
        <f t="shared" si="245"/>
        <v>44834</v>
      </c>
      <c r="S86" s="59">
        <f t="shared" si="245"/>
        <v>44926</v>
      </c>
      <c r="T86" s="59">
        <f t="shared" si="245"/>
        <v>45016</v>
      </c>
      <c r="U86" s="59">
        <f t="shared" si="245"/>
        <v>45107</v>
      </c>
      <c r="V86" s="59">
        <f t="shared" si="245"/>
        <v>45199</v>
      </c>
      <c r="W86" s="59">
        <f t="shared" si="245"/>
        <v>45291</v>
      </c>
      <c r="X86" s="59">
        <f t="shared" si="245"/>
        <v>45382</v>
      </c>
      <c r="Y86" s="59">
        <f t="shared" si="245"/>
        <v>45473</v>
      </c>
      <c r="Z86" s="59">
        <f t="shared" si="245"/>
        <v>45565</v>
      </c>
      <c r="AA86" s="59">
        <f t="shared" si="245"/>
        <v>45657</v>
      </c>
      <c r="AB86" s="59">
        <f t="shared" si="245"/>
        <v>45747</v>
      </c>
      <c r="AC86" s="59">
        <f t="shared" ref="AC86:AF86" si="246">AC3</f>
        <v>45838</v>
      </c>
      <c r="AD86" s="59">
        <f t="shared" si="246"/>
        <v>45930</v>
      </c>
      <c r="AE86" s="59">
        <f t="shared" si="246"/>
        <v>46022</v>
      </c>
      <c r="AF86" s="59">
        <f t="shared" si="246"/>
        <v>46112</v>
      </c>
      <c r="AG86" s="59">
        <f t="shared" ref="AG86" si="247">AG3</f>
        <v>46203</v>
      </c>
    </row>
    <row r="87" spans="2:33" ht="13.5" customHeight="1">
      <c r="B87" s="30" t="str">
        <f t="shared" ref="B87:J87" si="248">B7</f>
        <v>Total Revenues</v>
      </c>
      <c r="C87" s="14">
        <f t="shared" si="248"/>
        <v>6162.8122949999997</v>
      </c>
      <c r="D87" s="14">
        <f t="shared" si="248"/>
        <v>5135.5200000000004</v>
      </c>
      <c r="E87" s="14">
        <f t="shared" si="248"/>
        <v>6824.0069999999996</v>
      </c>
      <c r="F87" s="14">
        <f t="shared" si="248"/>
        <v>9421.487000000001</v>
      </c>
      <c r="G87" s="14">
        <f t="shared" si="248"/>
        <v>8639.1460000000006</v>
      </c>
      <c r="H87" s="14">
        <f t="shared" si="248"/>
        <v>8842.3009999999995</v>
      </c>
      <c r="I87" s="14">
        <f t="shared" ref="I87" si="249">I7</f>
        <v>8562.1899999999987</v>
      </c>
      <c r="J87" s="14">
        <f t="shared" si="248"/>
        <v>9669.378999999999</v>
      </c>
      <c r="K87" s="14"/>
      <c r="L87" s="97"/>
      <c r="M87" s="97"/>
      <c r="N87" s="97"/>
      <c r="O87" s="14">
        <f t="shared" ref="O87:AG87" si="250">SUM(L7:O7)</f>
        <v>6824.0069999999996</v>
      </c>
      <c r="P87" s="14">
        <f t="shared" si="250"/>
        <v>7472.9130000000005</v>
      </c>
      <c r="Q87" s="14">
        <f t="shared" si="250"/>
        <v>8139.4690000000001</v>
      </c>
      <c r="R87" s="14">
        <f t="shared" si="250"/>
        <v>8800.4700000000012</v>
      </c>
      <c r="S87" s="14">
        <f t="shared" si="250"/>
        <v>9421.487000000001</v>
      </c>
      <c r="T87" s="14">
        <f t="shared" si="250"/>
        <v>9588.0830000000005</v>
      </c>
      <c r="U87" s="14">
        <f t="shared" si="250"/>
        <v>9130.2989999999991</v>
      </c>
      <c r="V87" s="14">
        <f t="shared" si="250"/>
        <v>8922.3809999999994</v>
      </c>
      <c r="W87" s="14">
        <f t="shared" si="250"/>
        <v>8639.1460000000006</v>
      </c>
      <c r="X87" s="14">
        <f t="shared" si="250"/>
        <v>8534.8159999999989</v>
      </c>
      <c r="Y87" s="14">
        <f t="shared" si="250"/>
        <v>8875.6929999999993</v>
      </c>
      <c r="Z87" s="14">
        <f t="shared" si="250"/>
        <v>8825.7439999999988</v>
      </c>
      <c r="AA87" s="14">
        <f t="shared" si="250"/>
        <v>8842.3009999999995</v>
      </c>
      <c r="AB87" s="14">
        <f t="shared" si="250"/>
        <v>8815.1889999999985</v>
      </c>
      <c r="AC87" s="14">
        <f t="shared" si="250"/>
        <v>8667.6809999999987</v>
      </c>
      <c r="AD87" s="14">
        <f t="shared" si="250"/>
        <v>8620.9570000000003</v>
      </c>
      <c r="AE87" s="14">
        <f t="shared" si="250"/>
        <v>8562.19</v>
      </c>
      <c r="AF87" s="14">
        <f t="shared" si="250"/>
        <v>8870.4889999999996</v>
      </c>
      <c r="AG87" s="14">
        <f t="shared" si="250"/>
        <v>9669.3790000000008</v>
      </c>
    </row>
    <row r="88" spans="2:33" ht="13.5" customHeight="1">
      <c r="B88" s="30" t="s">
        <v>124</v>
      </c>
      <c r="C88" s="14">
        <f t="shared" ref="C88:G88" si="251">C24</f>
        <v>2382.4541269999995</v>
      </c>
      <c r="D88" s="14">
        <f t="shared" si="251"/>
        <v>1498.5350000000003</v>
      </c>
      <c r="E88" s="14">
        <f t="shared" si="251"/>
        <v>2325.6539999999995</v>
      </c>
      <c r="F88" s="14">
        <f t="shared" si="251"/>
        <v>4230.0770000000002</v>
      </c>
      <c r="G88" s="14">
        <f t="shared" si="251"/>
        <v>4138.7820000000002</v>
      </c>
      <c r="H88" s="14">
        <f t="shared" ref="H88:I88" si="252">H24</f>
        <v>3906.4709999999986</v>
      </c>
      <c r="I88" s="14">
        <f t="shared" si="252"/>
        <v>3250.4219999999987</v>
      </c>
      <c r="J88" s="14">
        <f t="shared" ref="J88" si="253">J24</f>
        <v>3906.0549999999985</v>
      </c>
      <c r="K88" s="14"/>
      <c r="L88" s="97"/>
      <c r="M88" s="97"/>
      <c r="N88" s="97"/>
      <c r="O88" s="14">
        <f t="shared" ref="O88:AG88" si="254">SUM(L24:O24)</f>
        <v>2325.6540000000005</v>
      </c>
      <c r="P88" s="14">
        <f t="shared" si="254"/>
        <v>2919.2360000000003</v>
      </c>
      <c r="Q88" s="14">
        <f t="shared" si="254"/>
        <v>3587.4989999999998</v>
      </c>
      <c r="R88" s="14">
        <f t="shared" si="254"/>
        <v>4127.549</v>
      </c>
      <c r="S88" s="14">
        <f t="shared" si="254"/>
        <v>4230.0770000000002</v>
      </c>
      <c r="T88" s="14">
        <f t="shared" si="254"/>
        <v>4512.5999999999995</v>
      </c>
      <c r="U88" s="14">
        <f t="shared" si="254"/>
        <v>4282.3059999999996</v>
      </c>
      <c r="V88" s="14">
        <f t="shared" si="254"/>
        <v>4110.32</v>
      </c>
      <c r="W88" s="14">
        <f t="shared" si="254"/>
        <v>4138.7819999999992</v>
      </c>
      <c r="X88" s="14">
        <f t="shared" si="254"/>
        <v>3964.3799999999992</v>
      </c>
      <c r="Y88" s="14">
        <f t="shared" si="254"/>
        <v>4016.9089999999997</v>
      </c>
      <c r="Z88" s="14">
        <f t="shared" si="254"/>
        <v>3845.7439999999988</v>
      </c>
      <c r="AA88" s="14">
        <f t="shared" si="254"/>
        <v>3906.4709999999986</v>
      </c>
      <c r="AB88" s="14">
        <f t="shared" si="254"/>
        <v>3803.3229999999994</v>
      </c>
      <c r="AC88" s="14">
        <f t="shared" si="254"/>
        <v>3541.8959999999988</v>
      </c>
      <c r="AD88" s="14">
        <f t="shared" si="254"/>
        <v>3465.6309999999994</v>
      </c>
      <c r="AE88" s="14">
        <f t="shared" si="254"/>
        <v>3250.4219999999996</v>
      </c>
      <c r="AF88" s="14">
        <f t="shared" si="254"/>
        <v>3222.74</v>
      </c>
      <c r="AG88" s="14">
        <f t="shared" si="254"/>
        <v>3906.0550000000003</v>
      </c>
    </row>
    <row r="89" spans="2:33" ht="13.5" customHeight="1">
      <c r="B89" s="30" t="s">
        <v>168</v>
      </c>
      <c r="C89" s="14">
        <f t="shared" ref="C89:E89" si="255">+C50</f>
        <v>4408.5097139999998</v>
      </c>
      <c r="D89" s="14">
        <f t="shared" si="255"/>
        <v>3584.6180000000004</v>
      </c>
      <c r="E89" s="14">
        <f t="shared" si="255"/>
        <v>4527.7179999999989</v>
      </c>
      <c r="F89" s="14">
        <f t="shared" ref="F89:G89" si="256">+F50</f>
        <v>6593.2120000000004</v>
      </c>
      <c r="G89" s="14">
        <f t="shared" si="256"/>
        <v>6473.4930000000004</v>
      </c>
      <c r="H89" s="14">
        <f t="shared" ref="H89:I89" si="257">+H50</f>
        <v>6595.4119999999984</v>
      </c>
      <c r="I89" s="14">
        <f t="shared" si="257"/>
        <v>6147.4659999999985</v>
      </c>
      <c r="J89" s="14">
        <f t="shared" ref="J89" si="258">+J50</f>
        <v>6785.6839999999984</v>
      </c>
      <c r="K89" s="14"/>
      <c r="L89" s="97"/>
      <c r="M89" s="97"/>
      <c r="N89" s="97"/>
      <c r="O89" s="14">
        <f t="shared" ref="O89" si="259">SUM(L50:O50)</f>
        <v>4527.7179999999998</v>
      </c>
      <c r="P89" s="14">
        <f>SUM(M50:P50)</f>
        <v>5091.4000000000005</v>
      </c>
      <c r="Q89" s="14">
        <f>SUM(N50:Q50)</f>
        <v>5695.2790000000005</v>
      </c>
      <c r="R89" s="14">
        <f>SUM(O50:R50)</f>
        <v>6260.6200000000008</v>
      </c>
      <c r="S89" s="14">
        <f t="shared" ref="S89:T89" si="260">SUM(P50:S50)</f>
        <v>6593.2119999999995</v>
      </c>
      <c r="T89" s="14">
        <f t="shared" si="260"/>
        <v>6850.6</v>
      </c>
      <c r="U89" s="14">
        <f>SUM(R50:U50)</f>
        <v>6614.6919999999991</v>
      </c>
      <c r="V89" s="14">
        <f>SUM(S50:V50)</f>
        <v>6441.0379999999996</v>
      </c>
      <c r="W89" s="14">
        <f t="shared" ref="W89:X89" si="261">SUM(T50:W50)</f>
        <v>6473.4929999999995</v>
      </c>
      <c r="X89" s="14">
        <f t="shared" si="261"/>
        <v>6430.7119999999995</v>
      </c>
      <c r="Y89" s="14">
        <f>SUM(V50:Y50)</f>
        <v>6639.7749999999996</v>
      </c>
      <c r="Z89" s="14">
        <f>SUM(W50:Z50)</f>
        <v>6561.6989999999987</v>
      </c>
      <c r="AA89" s="14">
        <f t="shared" ref="AA89:AB89" si="262">SUM(X50:AA50)</f>
        <v>6595.4119999999994</v>
      </c>
      <c r="AB89" s="14">
        <f t="shared" si="262"/>
        <v>6549.73</v>
      </c>
      <c r="AC89" s="14">
        <f>SUM(Z50:AC50)</f>
        <v>6326.9169999999995</v>
      </c>
      <c r="AD89" s="14">
        <f>SUM(AA50:AD50)</f>
        <v>6264.8009999999995</v>
      </c>
      <c r="AE89" s="14">
        <f t="shared" ref="AE89:AF89" si="263">SUM(AB50:AE50)</f>
        <v>6147.4659999999994</v>
      </c>
      <c r="AF89" s="14">
        <f t="shared" si="263"/>
        <v>6107.9309999999987</v>
      </c>
      <c r="AG89" s="14">
        <f>SUM(AD50:AG50)</f>
        <v>6785.6840000000002</v>
      </c>
    </row>
    <row r="90" spans="2:33" s="33" customFormat="1" ht="13.5" customHeight="1">
      <c r="B90" s="30" t="s">
        <v>169</v>
      </c>
      <c r="C90" s="14">
        <f t="shared" ref="C90:E90" si="264">+C55</f>
        <v>4354</v>
      </c>
      <c r="D90" s="14">
        <f t="shared" si="264"/>
        <v>3512</v>
      </c>
      <c r="E90" s="14">
        <f t="shared" si="264"/>
        <v>4996</v>
      </c>
      <c r="F90" s="14">
        <f t="shared" ref="F90:G90" si="265">+F55</f>
        <v>7103</v>
      </c>
      <c r="G90" s="14">
        <f t="shared" si="265"/>
        <v>6433</v>
      </c>
      <c r="H90" s="14">
        <f t="shared" ref="H90:I90" si="266">+H55</f>
        <v>6462</v>
      </c>
      <c r="I90" s="14">
        <f t="shared" si="266"/>
        <v>5956</v>
      </c>
      <c r="J90" s="14">
        <f>+J55</f>
        <v>6718</v>
      </c>
      <c r="K90" s="14"/>
      <c r="L90" s="97"/>
      <c r="M90" s="97"/>
      <c r="N90" s="97"/>
      <c r="O90" s="14">
        <f t="shared" ref="O90" si="267">SUM(L55:O55)</f>
        <v>4996</v>
      </c>
      <c r="P90" s="14">
        <f>SUM(M55:P55)</f>
        <v>5556</v>
      </c>
      <c r="Q90" s="14">
        <f>SUM(N55:Q55)</f>
        <v>6044</v>
      </c>
      <c r="R90" s="14">
        <f>SUM(O55:R55)</f>
        <v>6585</v>
      </c>
      <c r="S90" s="14">
        <f t="shared" ref="S90:T90" si="268">SUM(P55:S55)</f>
        <v>7103</v>
      </c>
      <c r="T90" s="14">
        <f t="shared" si="268"/>
        <v>7118</v>
      </c>
      <c r="U90" s="14">
        <f>SUM(R55:U55)</f>
        <v>6807</v>
      </c>
      <c r="V90" s="14">
        <f>SUM(S55:V55)</f>
        <v>6620</v>
      </c>
      <c r="W90" s="14">
        <f t="shared" ref="W90:X90" si="269">SUM(T55:W55)</f>
        <v>6433</v>
      </c>
      <c r="X90" s="14">
        <f t="shared" si="269"/>
        <v>6385</v>
      </c>
      <c r="Y90" s="14">
        <f>SUM(V55:Y55)</f>
        <v>6656</v>
      </c>
      <c r="Z90" s="14">
        <f>SUM(W55:Z55)</f>
        <v>6570</v>
      </c>
      <c r="AA90" s="14">
        <f t="shared" ref="AA90:AB90" si="270">SUM(X55:AA55)</f>
        <v>6462</v>
      </c>
      <c r="AB90" s="14">
        <f t="shared" si="270"/>
        <v>6405</v>
      </c>
      <c r="AC90" s="14">
        <f>SUM(Z55:AC55)</f>
        <v>6185</v>
      </c>
      <c r="AD90" s="14">
        <f>SUM(AA55:AD55)</f>
        <v>6087</v>
      </c>
      <c r="AE90" s="14">
        <f t="shared" ref="AE90:AF90" si="271">SUM(AB55:AE55)</f>
        <v>5956</v>
      </c>
      <c r="AF90" s="14">
        <f t="shared" si="271"/>
        <v>6161</v>
      </c>
      <c r="AG90" s="14">
        <f>SUM(AD55:AG55)</f>
        <v>6718</v>
      </c>
    </row>
    <row r="91" spans="2:33" ht="13.5" customHeight="1">
      <c r="B91" s="30" t="s">
        <v>149</v>
      </c>
      <c r="C91" s="14">
        <f t="shared" ref="C91:E91" si="272">-C66</f>
        <v>163.54300000000001</v>
      </c>
      <c r="D91" s="14">
        <f t="shared" si="272"/>
        <v>157.72</v>
      </c>
      <c r="E91" s="14">
        <f t="shared" si="272"/>
        <v>143.05199999999999</v>
      </c>
      <c r="F91" s="14">
        <f t="shared" ref="F91:G91" si="273">-F66</f>
        <v>148.62100000000001</v>
      </c>
      <c r="G91" s="14">
        <f t="shared" si="273"/>
        <v>136.60400000000001</v>
      </c>
      <c r="H91" s="14">
        <f t="shared" ref="H91:I91" si="274">-H66</f>
        <v>131.49799999999999</v>
      </c>
      <c r="I91" s="14">
        <f t="shared" si="274"/>
        <v>152.79300000000001</v>
      </c>
      <c r="J91" s="14">
        <f t="shared" ref="J91" si="275">-J66</f>
        <v>155.727</v>
      </c>
      <c r="K91" s="14"/>
      <c r="L91" s="97"/>
      <c r="M91" s="97"/>
      <c r="N91" s="97"/>
      <c r="O91" s="14">
        <f t="shared" ref="O91" si="276">-SUM(L66:O66)</f>
        <v>143.05199999999999</v>
      </c>
      <c r="P91" s="14">
        <f>-SUM(M66:P66)</f>
        <v>141.76900000000001</v>
      </c>
      <c r="Q91" s="14">
        <f>-SUM(N66:Q66)</f>
        <v>144.92000000000002</v>
      </c>
      <c r="R91" s="14">
        <f>-SUM(O66:R66)</f>
        <v>141.64699999999999</v>
      </c>
      <c r="S91" s="14">
        <f t="shared" ref="S91:T91" si="277">-SUM(P66:S66)</f>
        <v>148.62100000000001</v>
      </c>
      <c r="T91" s="14">
        <f t="shared" si="277"/>
        <v>151.45000000000005</v>
      </c>
      <c r="U91" s="14">
        <f>-SUM(R66:U66)</f>
        <v>145.251</v>
      </c>
      <c r="V91" s="14">
        <f>-SUM(S66:V66)</f>
        <v>145.50800000000004</v>
      </c>
      <c r="W91" s="14">
        <f t="shared" ref="W91:X91" si="278">-SUM(T66:W66)</f>
        <v>136.60400000000001</v>
      </c>
      <c r="X91" s="14">
        <f t="shared" si="278"/>
        <v>135.21100000000001</v>
      </c>
      <c r="Y91" s="14">
        <f>-SUM(V66:Y66)</f>
        <v>136.04000000000002</v>
      </c>
      <c r="Z91" s="14">
        <f>-SUM(W66:Z66)</f>
        <v>136.42200000000003</v>
      </c>
      <c r="AA91" s="14">
        <f t="shared" ref="AA91:AB91" si="279">-SUM(X66:AA66)</f>
        <v>131.49799999999999</v>
      </c>
      <c r="AB91" s="14">
        <f t="shared" si="279"/>
        <v>134.32299999999998</v>
      </c>
      <c r="AC91" s="14">
        <f>-SUM(Z66:AC66)</f>
        <v>136.16</v>
      </c>
      <c r="AD91" s="14">
        <f>-SUM(AA66:AD66)</f>
        <v>141.57299999999998</v>
      </c>
      <c r="AE91" s="14">
        <f t="shared" ref="AE91:AF91" si="280">-SUM(AB66:AE66)</f>
        <v>152.79300000000001</v>
      </c>
      <c r="AF91" s="14">
        <f t="shared" si="280"/>
        <v>153.876</v>
      </c>
      <c r="AG91" s="14">
        <f>-SUM(AD66:AG66)</f>
        <v>155.727</v>
      </c>
    </row>
    <row r="92" spans="2:33" ht="13.5" customHeight="1">
      <c r="B92" s="30" t="s">
        <v>170</v>
      </c>
      <c r="C92" s="14">
        <f t="shared" ref="C92:G92" si="281">+C31</f>
        <v>1569.0640009999995</v>
      </c>
      <c r="D92" s="14">
        <f t="shared" si="281"/>
        <v>719.54400000000021</v>
      </c>
      <c r="E92" s="14">
        <f t="shared" si="281"/>
        <v>1210.5379999999996</v>
      </c>
      <c r="F92" s="14">
        <f t="shared" si="281"/>
        <v>1998.58</v>
      </c>
      <c r="G92" s="14">
        <f t="shared" si="281"/>
        <v>2207.777</v>
      </c>
      <c r="H92" s="14">
        <f t="shared" ref="H92:I92" si="282">+H31</f>
        <v>2226.9179999999988</v>
      </c>
      <c r="I92" s="14">
        <f t="shared" si="282"/>
        <v>1829.9439999999986</v>
      </c>
      <c r="J92" s="14">
        <f t="shared" ref="J92" si="283">+J31</f>
        <v>2143.8559999999989</v>
      </c>
      <c r="K92" s="14"/>
      <c r="L92" s="97"/>
      <c r="M92" s="97"/>
      <c r="N92" s="97"/>
      <c r="O92" s="14">
        <f t="shared" ref="O92:AG92" si="284">SUM(L31:O31)</f>
        <v>1210.538</v>
      </c>
      <c r="P92" s="14">
        <f t="shared" si="284"/>
        <v>1152.5480000000002</v>
      </c>
      <c r="Q92" s="14">
        <f t="shared" si="284"/>
        <v>1530.6409999999998</v>
      </c>
      <c r="R92" s="14">
        <f t="shared" si="284"/>
        <v>1902.1840000000002</v>
      </c>
      <c r="S92" s="14">
        <f t="shared" si="284"/>
        <v>1998.58</v>
      </c>
      <c r="T92" s="14">
        <f t="shared" si="284"/>
        <v>2249.7969999999996</v>
      </c>
      <c r="U92" s="14">
        <f t="shared" si="284"/>
        <v>2260.4189999999994</v>
      </c>
      <c r="V92" s="14">
        <f t="shared" si="284"/>
        <v>2110.8689999999992</v>
      </c>
      <c r="W92" s="14">
        <f t="shared" si="284"/>
        <v>2207.7769999999996</v>
      </c>
      <c r="X92" s="14">
        <f t="shared" si="284"/>
        <v>2162.0409999999993</v>
      </c>
      <c r="Y92" s="14">
        <f t="shared" si="284"/>
        <v>2204.7279999999996</v>
      </c>
      <c r="Z92" s="14">
        <f t="shared" si="284"/>
        <v>2202.1569999999992</v>
      </c>
      <c r="AA92" s="14">
        <f t="shared" si="284"/>
        <v>2226.9179999999988</v>
      </c>
      <c r="AB92" s="14">
        <f t="shared" si="284"/>
        <v>2190.8579999999988</v>
      </c>
      <c r="AC92" s="14">
        <f t="shared" si="284"/>
        <v>1945.4719999999988</v>
      </c>
      <c r="AD92" s="14">
        <f t="shared" si="284"/>
        <v>1826.532999999999</v>
      </c>
      <c r="AE92" s="14">
        <f t="shared" si="284"/>
        <v>1829.944</v>
      </c>
      <c r="AF92" s="14">
        <f t="shared" si="284"/>
        <v>1718.3169999999998</v>
      </c>
      <c r="AG92" s="14">
        <f t="shared" si="284"/>
        <v>2143.8560000000007</v>
      </c>
    </row>
    <row r="93" spans="2:33" ht="13.5" customHeight="1">
      <c r="B93" s="30" t="s">
        <v>171</v>
      </c>
      <c r="C93" s="14">
        <f t="shared" ref="C93:E93" si="285">-C68</f>
        <v>1182.3210000000001</v>
      </c>
      <c r="D93" s="14">
        <f t="shared" si="285"/>
        <v>1186.7910000000002</v>
      </c>
      <c r="E93" s="14">
        <f t="shared" si="285"/>
        <v>1643.748</v>
      </c>
      <c r="F93" s="14">
        <f t="shared" ref="F93:G93" si="286">-F68</f>
        <v>1860.578</v>
      </c>
      <c r="G93" s="14">
        <f t="shared" si="286"/>
        <v>2365.4740000000002</v>
      </c>
      <c r="H93" s="14">
        <f t="shared" ref="H93:I93" si="287">-H68</f>
        <v>2966.2559999999999</v>
      </c>
      <c r="I93" s="14">
        <f t="shared" si="287"/>
        <v>3589.884</v>
      </c>
      <c r="J93" s="14">
        <f t="shared" ref="J93" si="288">-J68</f>
        <v>4097.518</v>
      </c>
      <c r="K93" s="14"/>
      <c r="L93" s="97"/>
      <c r="M93" s="97"/>
      <c r="N93" s="97"/>
      <c r="O93" s="14">
        <f t="shared" ref="O93" si="289">-SUM(L68:O68)</f>
        <v>1643.748</v>
      </c>
      <c r="P93" s="14">
        <f>-SUM(M68:P68)</f>
        <v>1616.8879999999999</v>
      </c>
      <c r="Q93" s="14">
        <f>-SUM(N68:Q68)</f>
        <v>1697.0369999999998</v>
      </c>
      <c r="R93" s="14">
        <f>-SUM(O68:R68)</f>
        <v>1851.9650000000001</v>
      </c>
      <c r="S93" s="14">
        <f t="shared" ref="S93:T93" si="290">-SUM(P68:S68)</f>
        <v>1860.578</v>
      </c>
      <c r="T93" s="14">
        <f t="shared" si="290"/>
        <v>2129.759</v>
      </c>
      <c r="U93" s="14">
        <f>-SUM(R68:U68)</f>
        <v>2318.607</v>
      </c>
      <c r="V93" s="14">
        <f>-SUM(S68:V68)</f>
        <v>2360.1549999999997</v>
      </c>
      <c r="W93" s="14">
        <f t="shared" ref="W93:X93" si="291">-SUM(T68:W68)</f>
        <v>2365.4740000000002</v>
      </c>
      <c r="X93" s="14">
        <f t="shared" si="291"/>
        <v>2322.9830000000002</v>
      </c>
      <c r="Y93" s="14">
        <f>-SUM(V68:Y68)</f>
        <v>2406.8739999999998</v>
      </c>
      <c r="Z93" s="14">
        <f>-SUM(W68:Z68)</f>
        <v>2706.6020000000003</v>
      </c>
      <c r="AA93" s="14">
        <f t="shared" ref="AA93:AB93" si="292">-SUM(X68:AA68)</f>
        <v>2966.2559999999999</v>
      </c>
      <c r="AB93" s="14">
        <f t="shared" si="292"/>
        <v>3047.799</v>
      </c>
      <c r="AC93" s="14">
        <f>-SUM(Z68:AC68)</f>
        <v>3311.114</v>
      </c>
      <c r="AD93" s="14">
        <f>-SUM(AA68:AD68)</f>
        <v>3420.4979999999996</v>
      </c>
      <c r="AE93" s="14">
        <f t="shared" ref="AE93:AF93" si="293">-SUM(AB68:AE68)</f>
        <v>3589.884</v>
      </c>
      <c r="AF93" s="14">
        <f t="shared" si="293"/>
        <v>4071.12</v>
      </c>
      <c r="AG93" s="14">
        <f>-SUM(AD68:AG68)</f>
        <v>4097.518</v>
      </c>
    </row>
    <row r="94" spans="2:33" ht="13.5" customHeight="1">
      <c r="B94" s="30" t="s">
        <v>154</v>
      </c>
      <c r="C94" s="14">
        <f t="shared" ref="C94:E94" si="294">+C71</f>
        <v>-834.74900000000048</v>
      </c>
      <c r="D94" s="14">
        <f t="shared" si="294"/>
        <v>1072.6990000000001</v>
      </c>
      <c r="E94" s="14">
        <f t="shared" si="294"/>
        <v>-556.38800000000037</v>
      </c>
      <c r="F94" s="14">
        <f t="shared" ref="F94:G94" si="295">+F71</f>
        <v>2589.9209999999998</v>
      </c>
      <c r="G94" s="14">
        <f t="shared" si="295"/>
        <v>1482.7290000000005</v>
      </c>
      <c r="H94" s="14">
        <f t="shared" ref="H94:I94" si="296">+H71</f>
        <v>2108.3890000000006</v>
      </c>
      <c r="I94" s="14">
        <f t="shared" si="296"/>
        <v>-208.90500000000031</v>
      </c>
      <c r="J94" s="14">
        <f t="shared" ref="J94" si="297">+J71</f>
        <v>206.202</v>
      </c>
      <c r="K94" s="14"/>
      <c r="L94" s="97"/>
      <c r="M94" s="97"/>
      <c r="N94" s="97"/>
      <c r="O94" s="14">
        <f t="shared" ref="O94" si="298">SUM(L71:O71)</f>
        <v>-556.38800000000003</v>
      </c>
      <c r="P94" s="14">
        <f>SUM(M71:P71)</f>
        <v>2258.8360000000002</v>
      </c>
      <c r="Q94" s="14">
        <f>SUM(N71:Q71)</f>
        <v>1967.6290000000001</v>
      </c>
      <c r="R94" s="14">
        <f>SUM(O71:R71)</f>
        <v>1664.2879999999993</v>
      </c>
      <c r="S94" s="14">
        <f t="shared" ref="S94:T94" si="299">SUM(P71:S71)</f>
        <v>2589.9210000000003</v>
      </c>
      <c r="T94" s="14">
        <f t="shared" si="299"/>
        <v>2411.2339999999999</v>
      </c>
      <c r="U94" s="14">
        <f>SUM(R71:U71)</f>
        <v>2045.9629999999997</v>
      </c>
      <c r="V94" s="14">
        <f>SUM(S71:V71)</f>
        <v>1778.3440000000007</v>
      </c>
      <c r="W94" s="14">
        <f t="shared" ref="W94:X94" si="300">SUM(T71:W71)</f>
        <v>1482.729</v>
      </c>
      <c r="X94" s="14">
        <f t="shared" si="300"/>
        <v>1824.1389999999999</v>
      </c>
      <c r="Y94" s="14">
        <f>SUM(V71:Y71)</f>
        <v>2542.3229999999999</v>
      </c>
      <c r="Z94" s="14">
        <f>SUM(W71:Z71)</f>
        <v>3172.8899999999994</v>
      </c>
      <c r="AA94" s="14">
        <f t="shared" ref="AA94:AB94" si="301">SUM(X71:AA71)</f>
        <v>2108.3890000000001</v>
      </c>
      <c r="AB94" s="14">
        <f t="shared" si="301"/>
        <v>1406.6350000000002</v>
      </c>
      <c r="AC94" s="14">
        <f>SUM(Z71:AC71)</f>
        <v>854.1</v>
      </c>
      <c r="AD94" s="14">
        <f>SUM(AA71:AD71)</f>
        <v>148.1940000000013</v>
      </c>
      <c r="AE94" s="14">
        <f t="shared" ref="AE94:AF94" si="302">SUM(AB71:AE71)</f>
        <v>-208.90499999999989</v>
      </c>
      <c r="AF94" s="14">
        <f t="shared" si="302"/>
        <v>-351.45100000000002</v>
      </c>
      <c r="AG94" s="14">
        <f>SUM(AD71:AG71)</f>
        <v>206.2020000000006</v>
      </c>
    </row>
    <row r="95" spans="2:33" ht="13.5" customHeight="1">
      <c r="C95" s="14"/>
      <c r="D95" s="14"/>
      <c r="E95" s="14"/>
      <c r="F95" s="14"/>
      <c r="G95" s="14"/>
      <c r="H95" s="14"/>
    </row>
    <row r="96" spans="2:33" ht="13.5" customHeight="1">
      <c r="B96" s="55" t="s">
        <v>172</v>
      </c>
      <c r="C96" s="59">
        <f t="shared" ref="C96:H96" si="303">C3</f>
        <v>43830</v>
      </c>
      <c r="D96" s="59">
        <f t="shared" si="303"/>
        <v>44196</v>
      </c>
      <c r="E96" s="59">
        <f t="shared" si="303"/>
        <v>44561</v>
      </c>
      <c r="F96" s="59">
        <f t="shared" si="303"/>
        <v>44926</v>
      </c>
      <c r="G96" s="59">
        <f t="shared" si="303"/>
        <v>45291</v>
      </c>
      <c r="H96" s="59">
        <f t="shared" si="303"/>
        <v>45657</v>
      </c>
      <c r="I96" s="59">
        <f t="shared" ref="I96" si="304">I3</f>
        <v>46022</v>
      </c>
      <c r="J96" s="59" t="str">
        <f>J2</f>
        <v>LTM</v>
      </c>
      <c r="K96" s="175"/>
      <c r="L96" s="59">
        <f t="shared" ref="L96:AB96" si="305">L3</f>
        <v>44286</v>
      </c>
      <c r="M96" s="59">
        <f t="shared" si="305"/>
        <v>44377</v>
      </c>
      <c r="N96" s="59">
        <f t="shared" si="305"/>
        <v>44469</v>
      </c>
      <c r="O96" s="59">
        <f t="shared" si="305"/>
        <v>44561</v>
      </c>
      <c r="P96" s="59">
        <f t="shared" si="305"/>
        <v>44651</v>
      </c>
      <c r="Q96" s="59">
        <f t="shared" si="305"/>
        <v>44742</v>
      </c>
      <c r="R96" s="59">
        <f t="shared" si="305"/>
        <v>44834</v>
      </c>
      <c r="S96" s="59">
        <f t="shared" si="305"/>
        <v>44926</v>
      </c>
      <c r="T96" s="59">
        <f t="shared" si="305"/>
        <v>45016</v>
      </c>
      <c r="U96" s="59">
        <f t="shared" si="305"/>
        <v>45107</v>
      </c>
      <c r="V96" s="59">
        <f t="shared" si="305"/>
        <v>45199</v>
      </c>
      <c r="W96" s="59">
        <f t="shared" si="305"/>
        <v>45291</v>
      </c>
      <c r="X96" s="59">
        <f t="shared" si="305"/>
        <v>45382</v>
      </c>
      <c r="Y96" s="59">
        <f t="shared" si="305"/>
        <v>45473</v>
      </c>
      <c r="Z96" s="59">
        <f t="shared" si="305"/>
        <v>45565</v>
      </c>
      <c r="AA96" s="59">
        <f t="shared" si="305"/>
        <v>45657</v>
      </c>
      <c r="AB96" s="59">
        <f t="shared" si="305"/>
        <v>45747</v>
      </c>
      <c r="AC96" s="59">
        <f t="shared" ref="AC96:AF96" si="306">AC3</f>
        <v>45838</v>
      </c>
      <c r="AD96" s="59">
        <f t="shared" si="306"/>
        <v>45930</v>
      </c>
      <c r="AE96" s="59">
        <f t="shared" si="306"/>
        <v>46022</v>
      </c>
      <c r="AF96" s="59">
        <f t="shared" si="306"/>
        <v>46112</v>
      </c>
      <c r="AG96" s="59">
        <f t="shared" ref="AG96" si="307">AG3</f>
        <v>46203</v>
      </c>
    </row>
    <row r="97" spans="2:35" ht="13.5" customHeight="1">
      <c r="C97" s="66"/>
      <c r="D97" s="66"/>
      <c r="E97" s="66"/>
      <c r="F97" s="66"/>
      <c r="G97" s="66"/>
      <c r="H97" s="66"/>
      <c r="I97" s="66"/>
      <c r="J97" s="66"/>
      <c r="K97" s="14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</row>
    <row r="98" spans="2:35" s="33" customFormat="1" ht="13.5" customHeight="1">
      <c r="B98" s="30" t="s">
        <v>173</v>
      </c>
      <c r="C98" s="66">
        <v>10661.984</v>
      </c>
      <c r="D98" s="66">
        <f>9837.537+482.778</f>
        <v>10320.315000000001</v>
      </c>
      <c r="E98" s="66">
        <f>11379.664+519.711</f>
        <v>11899.375</v>
      </c>
      <c r="F98" s="66">
        <f>11880.375+974.706</f>
        <v>12855.081</v>
      </c>
      <c r="G98" s="66">
        <f>12864.663+838.921</f>
        <v>13703.584000000001</v>
      </c>
      <c r="H98" s="66">
        <f>14431.173+891.709</f>
        <v>15322.882000000001</v>
      </c>
      <c r="I98" s="66">
        <f>16194.084+1046.501</f>
        <v>17240.584999999999</v>
      </c>
      <c r="J98" s="14">
        <f>AG98</f>
        <v>18047.446</v>
      </c>
      <c r="K98" s="14"/>
      <c r="L98" s="66">
        <f>11998.782+477.84</f>
        <v>12476.621999999999</v>
      </c>
      <c r="M98" s="66">
        <f>11723.345+525.411</f>
        <v>12248.755999999999</v>
      </c>
      <c r="N98" s="66">
        <f>11610.497+519.113</f>
        <v>12129.609999999999</v>
      </c>
      <c r="O98" s="14">
        <f>E98</f>
        <v>11899.375</v>
      </c>
      <c r="P98" s="66">
        <f>11204.081+534.414</f>
        <v>11738.495000000001</v>
      </c>
      <c r="Q98" s="66">
        <f>11697.849+827.258</f>
        <v>12525.107</v>
      </c>
      <c r="R98" s="66">
        <f>11761.839+911.52</f>
        <v>12673.359</v>
      </c>
      <c r="S98" s="14">
        <f>F98</f>
        <v>12855.081</v>
      </c>
      <c r="T98" s="66">
        <f>12106.507+966.203</f>
        <v>13072.71</v>
      </c>
      <c r="U98" s="66">
        <f>12344.356+882.998</f>
        <v>13227.353999999999</v>
      </c>
      <c r="V98" s="66">
        <f>12339.612+845.687</f>
        <v>13185.298999999999</v>
      </c>
      <c r="W98" s="14">
        <f>G98</f>
        <v>13703.584000000001</v>
      </c>
      <c r="X98" s="66">
        <f>12889.681+892.727</f>
        <v>13782.408000000001</v>
      </c>
      <c r="Y98" s="66">
        <f>13493.71+835.021</f>
        <v>14328.731</v>
      </c>
      <c r="Z98" s="66">
        <f>13638.915+856.946</f>
        <v>14495.861000000001</v>
      </c>
      <c r="AA98" s="14">
        <f>H98</f>
        <v>15322.882000000001</v>
      </c>
      <c r="AB98" s="66">
        <f>(14660724+1004527)/1000</f>
        <v>15665.251</v>
      </c>
      <c r="AC98" s="66">
        <f>15217.344+949.808</f>
        <v>16167.151999999998</v>
      </c>
      <c r="AD98" s="66">
        <f>15838.256+1029.767</f>
        <v>16868.023000000001</v>
      </c>
      <c r="AE98" s="14">
        <f>I98</f>
        <v>17240.584999999999</v>
      </c>
      <c r="AF98" s="66">
        <f>(16652397+1010047)/1000</f>
        <v>17662.444</v>
      </c>
      <c r="AG98" s="66">
        <f>17031.674+1015.772</f>
        <v>18047.446</v>
      </c>
      <c r="AI98" s="30"/>
    </row>
    <row r="99" spans="2:35" s="33" customFormat="1" ht="13.5" customHeight="1">
      <c r="B99" s="69" t="s">
        <v>174</v>
      </c>
      <c r="C99" s="66">
        <v>330.33699999999999</v>
      </c>
      <c r="D99" s="66">
        <v>338.10500000000002</v>
      </c>
      <c r="E99" s="66">
        <v>420.96899999999999</v>
      </c>
      <c r="F99" s="66">
        <v>553.04600000000005</v>
      </c>
      <c r="G99" s="66">
        <v>611.11</v>
      </c>
      <c r="H99" s="66">
        <v>669.62400000000002</v>
      </c>
      <c r="I99" s="66">
        <v>657.04</v>
      </c>
      <c r="J99" s="14">
        <f t="shared" ref="J99:J101" si="308">AG99</f>
        <v>570.76800000000003</v>
      </c>
      <c r="K99" s="14"/>
      <c r="L99" s="66">
        <v>385.36799999999999</v>
      </c>
      <c r="M99" s="66">
        <v>422.12</v>
      </c>
      <c r="N99" s="66">
        <v>424.666</v>
      </c>
      <c r="O99" s="14">
        <f>E99</f>
        <v>420.96899999999999</v>
      </c>
      <c r="P99" s="66">
        <v>428.483</v>
      </c>
      <c r="Q99" s="66">
        <v>448.92700000000002</v>
      </c>
      <c r="R99" s="66">
        <v>494.714</v>
      </c>
      <c r="S99" s="14">
        <f>F99</f>
        <v>553.04600000000005</v>
      </c>
      <c r="T99" s="66">
        <v>567.45000000000005</v>
      </c>
      <c r="U99" s="66">
        <v>625.19500000000005</v>
      </c>
      <c r="V99" s="66">
        <v>619.54</v>
      </c>
      <c r="W99" s="14">
        <f>G99</f>
        <v>611.11</v>
      </c>
      <c r="X99" s="66">
        <v>605.33900000000006</v>
      </c>
      <c r="Y99" s="66">
        <v>625.01900000000001</v>
      </c>
      <c r="Z99" s="66">
        <v>619.60699999999997</v>
      </c>
      <c r="AA99" s="14">
        <f t="shared" ref="AA99:AA101" si="309">H99</f>
        <v>669.62400000000002</v>
      </c>
      <c r="AB99" s="66">
        <v>646.95600000000002</v>
      </c>
      <c r="AC99" s="66">
        <v>638.85699999999997</v>
      </c>
      <c r="AD99" s="66">
        <v>686.03</v>
      </c>
      <c r="AE99" s="14">
        <f t="shared" ref="AE99:AE101" si="310">I99</f>
        <v>657.04</v>
      </c>
      <c r="AF99" s="66">
        <v>589.62400000000002</v>
      </c>
      <c r="AG99" s="66">
        <v>570.76800000000003</v>
      </c>
    </row>
    <row r="100" spans="2:35" s="33" customFormat="1" ht="13.5" customHeight="1">
      <c r="B100" s="69" t="s">
        <v>175</v>
      </c>
      <c r="C100" s="66">
        <v>983.20100000000002</v>
      </c>
      <c r="D100" s="66">
        <v>790.76300000000003</v>
      </c>
      <c r="E100" s="66">
        <v>1000.303</v>
      </c>
      <c r="F100" s="66">
        <v>1219.9949999999999</v>
      </c>
      <c r="G100" s="66">
        <v>1818.6780000000001</v>
      </c>
      <c r="H100" s="66">
        <v>1273.117</v>
      </c>
      <c r="I100" s="66">
        <v>1408.769</v>
      </c>
      <c r="J100" s="14">
        <f t="shared" si="308"/>
        <v>1761.367</v>
      </c>
      <c r="K100" s="14"/>
      <c r="L100" s="66">
        <v>794.62</v>
      </c>
      <c r="M100" s="66">
        <v>853.35500000000002</v>
      </c>
      <c r="N100" s="66">
        <v>855.28300000000002</v>
      </c>
      <c r="O100" s="14">
        <f>E100</f>
        <v>1000.303</v>
      </c>
      <c r="P100" s="66">
        <v>1040.9259999999999</v>
      </c>
      <c r="Q100" s="66">
        <v>1073.1420000000001</v>
      </c>
      <c r="R100" s="66">
        <v>1014.973</v>
      </c>
      <c r="S100" s="14">
        <f>F100</f>
        <v>1219.9949999999999</v>
      </c>
      <c r="T100" s="66">
        <v>962.4</v>
      </c>
      <c r="U100" s="66">
        <v>894.50300000000004</v>
      </c>
      <c r="V100" s="66">
        <v>1353.489</v>
      </c>
      <c r="W100" s="14">
        <f>G100</f>
        <v>1818.6780000000001</v>
      </c>
      <c r="X100" s="66">
        <v>1424.0630000000001</v>
      </c>
      <c r="Y100" s="66">
        <v>1513.31</v>
      </c>
      <c r="Z100" s="66">
        <v>1080.364</v>
      </c>
      <c r="AA100" s="14">
        <f t="shared" si="309"/>
        <v>1273.117</v>
      </c>
      <c r="AB100" s="66">
        <v>1224.086</v>
      </c>
      <c r="AC100" s="66">
        <v>1237.587</v>
      </c>
      <c r="AD100" s="66">
        <v>1223.173</v>
      </c>
      <c r="AE100" s="14">
        <f t="shared" si="310"/>
        <v>1408.769</v>
      </c>
      <c r="AF100" s="66">
        <v>1524.287</v>
      </c>
      <c r="AG100" s="66">
        <v>1761.367</v>
      </c>
    </row>
    <row r="101" spans="2:35" s="33" customFormat="1" ht="13.5" customHeight="1">
      <c r="B101" s="69" t="s">
        <v>176</v>
      </c>
      <c r="C101" s="66">
        <v>888.92499999999995</v>
      </c>
      <c r="D101" s="66">
        <v>893.69399999999996</v>
      </c>
      <c r="E101" s="66">
        <v>1096.9459999999999</v>
      </c>
      <c r="F101" s="66">
        <v>1531.7370000000001</v>
      </c>
      <c r="G101" s="66">
        <v>1443.807</v>
      </c>
      <c r="H101" s="66">
        <v>1797.3889999999999</v>
      </c>
      <c r="I101" s="66">
        <v>2118.8409999999999</v>
      </c>
      <c r="J101" s="14">
        <f t="shared" si="308"/>
        <v>2130.9450000000002</v>
      </c>
      <c r="K101" s="14"/>
      <c r="L101" s="66">
        <v>863.10599999999999</v>
      </c>
      <c r="M101" s="66">
        <v>917.90200000000004</v>
      </c>
      <c r="N101" s="66">
        <v>977.05</v>
      </c>
      <c r="O101" s="14">
        <f>E101</f>
        <v>1096.9459999999999</v>
      </c>
      <c r="P101" s="66">
        <v>1049.566</v>
      </c>
      <c r="Q101" s="66">
        <v>1168.519</v>
      </c>
      <c r="R101" s="66">
        <v>1338.1220000000001</v>
      </c>
      <c r="S101" s="14">
        <f>F101</f>
        <v>1531.7370000000001</v>
      </c>
      <c r="T101" s="66">
        <v>1291.944</v>
      </c>
      <c r="U101" s="66">
        <v>1237.1199999999999</v>
      </c>
      <c r="V101" s="66">
        <v>1372.069</v>
      </c>
      <c r="W101" s="14">
        <f>G101</f>
        <v>1443.807</v>
      </c>
      <c r="X101" s="66">
        <v>1405.3910000000001</v>
      </c>
      <c r="Y101" s="66">
        <v>1653.37</v>
      </c>
      <c r="Z101" s="66">
        <v>1682.9739999999999</v>
      </c>
      <c r="AA101" s="14">
        <f t="shared" si="309"/>
        <v>1797.3889999999999</v>
      </c>
      <c r="AB101" s="66">
        <v>1677.098</v>
      </c>
      <c r="AC101" s="66">
        <v>1783.787</v>
      </c>
      <c r="AD101" s="66">
        <v>2005.9390000000001</v>
      </c>
      <c r="AE101" s="14">
        <f t="shared" si="310"/>
        <v>2118.8409999999999</v>
      </c>
      <c r="AF101" s="66">
        <v>1900.307</v>
      </c>
      <c r="AG101" s="66">
        <v>2130.9450000000002</v>
      </c>
    </row>
    <row r="102" spans="2:35" s="33" customFormat="1" ht="13.5" customHeight="1">
      <c r="B102" s="33" t="s">
        <v>177</v>
      </c>
      <c r="C102" s="58">
        <f t="shared" ref="C102" si="311">+C99+C100-C101</f>
        <v>424.61300000000006</v>
      </c>
      <c r="D102" s="58">
        <f t="shared" ref="D102" si="312">+D99+D100-D101</f>
        <v>235.17399999999998</v>
      </c>
      <c r="E102" s="58">
        <f>+E99+E100-E101</f>
        <v>324.32600000000002</v>
      </c>
      <c r="F102" s="58">
        <f>+F99+F100-F101</f>
        <v>241.30399999999986</v>
      </c>
      <c r="G102" s="58">
        <f>+G99+G100-G101</f>
        <v>985.98099999999999</v>
      </c>
      <c r="H102" s="58">
        <f>+H99+H100-H101</f>
        <v>145.35200000000009</v>
      </c>
      <c r="I102" s="58">
        <f>+I99+I100-I101</f>
        <v>-53.031999999999698</v>
      </c>
      <c r="J102" s="58">
        <f t="shared" ref="J102" si="313">+J99+J100-J101</f>
        <v>201.19000000000005</v>
      </c>
      <c r="K102" s="58"/>
      <c r="L102" s="58">
        <f t="shared" ref="L102:O102" si="314">+L99+L100-L101</f>
        <v>316.88200000000006</v>
      </c>
      <c r="M102" s="58">
        <f t="shared" si="314"/>
        <v>357.57299999999987</v>
      </c>
      <c r="N102" s="58">
        <f t="shared" si="314"/>
        <v>302.89900000000011</v>
      </c>
      <c r="O102" s="58">
        <f t="shared" si="314"/>
        <v>324.32600000000002</v>
      </c>
      <c r="P102" s="58">
        <f t="shared" ref="P102:S102" si="315">+P99+P100-P101</f>
        <v>419.84299999999985</v>
      </c>
      <c r="Q102" s="58">
        <f t="shared" si="315"/>
        <v>353.54999999999995</v>
      </c>
      <c r="R102" s="58">
        <f t="shared" si="315"/>
        <v>171.56499999999983</v>
      </c>
      <c r="S102" s="58">
        <f t="shared" si="315"/>
        <v>241.30399999999986</v>
      </c>
      <c r="T102" s="58">
        <f t="shared" ref="T102:W102" si="316">+T99+T100-T101</f>
        <v>237.90599999999995</v>
      </c>
      <c r="U102" s="58">
        <f t="shared" si="316"/>
        <v>282.5780000000002</v>
      </c>
      <c r="V102" s="58">
        <f t="shared" si="316"/>
        <v>600.96</v>
      </c>
      <c r="W102" s="58">
        <f t="shared" si="316"/>
        <v>985.98099999999999</v>
      </c>
      <c r="X102" s="58">
        <f t="shared" ref="X102:Y102" si="317">+X99+X100-X101</f>
        <v>624.01099999999997</v>
      </c>
      <c r="Y102" s="58">
        <f t="shared" si="317"/>
        <v>484.95899999999983</v>
      </c>
      <c r="Z102" s="58">
        <f>+Z99+Z100-Z101</f>
        <v>16.997000000000071</v>
      </c>
      <c r="AA102" s="58">
        <f t="shared" ref="AA102:AC102" si="318">+AA99+AA100-AA101</f>
        <v>145.35200000000009</v>
      </c>
      <c r="AB102" s="58">
        <f t="shared" si="318"/>
        <v>193.94399999999996</v>
      </c>
      <c r="AC102" s="58">
        <f t="shared" si="318"/>
        <v>92.656999999999925</v>
      </c>
      <c r="AD102" s="58">
        <f>+AD99+AD100-AD101</f>
        <v>-96.736000000000104</v>
      </c>
      <c r="AE102" s="58">
        <f t="shared" ref="AE102:AG102" si="319">+AE99+AE100-AE101</f>
        <v>-53.031999999999698</v>
      </c>
      <c r="AF102" s="58">
        <f t="shared" si="319"/>
        <v>213.60400000000004</v>
      </c>
      <c r="AG102" s="58">
        <f t="shared" si="319"/>
        <v>201.19000000000005</v>
      </c>
    </row>
    <row r="103" spans="2:35" s="45" customFormat="1" ht="13.5" customHeight="1">
      <c r="B103" s="73" t="s">
        <v>178</v>
      </c>
      <c r="C103" s="78">
        <f t="shared" ref="C103" si="320">+C102/C87</f>
        <v>6.8899226469139124E-2</v>
      </c>
      <c r="D103" s="78">
        <f t="shared" ref="D103:E103" si="321">+D102/D87</f>
        <v>4.5793609994703548E-2</v>
      </c>
      <c r="E103" s="78">
        <f t="shared" si="321"/>
        <v>4.7527207987916785E-2</v>
      </c>
      <c r="F103" s="78">
        <f t="shared" ref="F103:G103" si="322">+F102/F87</f>
        <v>2.5612092868142772E-2</v>
      </c>
      <c r="G103" s="78">
        <f t="shared" si="322"/>
        <v>0.11412945214723769</v>
      </c>
      <c r="H103" s="78">
        <f t="shared" ref="H103:I103" si="323">+H102/H87</f>
        <v>1.643825515553023E-2</v>
      </c>
      <c r="I103" s="78">
        <f t="shared" si="323"/>
        <v>-6.1937424887791217E-3</v>
      </c>
      <c r="J103" s="78">
        <f t="shared" ref="J103" si="324">+J102/J87</f>
        <v>2.0806920485793357E-2</v>
      </c>
      <c r="K103" s="58"/>
      <c r="L103" s="83"/>
      <c r="M103" s="83"/>
      <c r="N103" s="78"/>
      <c r="O103" s="78">
        <f t="shared" ref="O103" si="325">+O102/O87</f>
        <v>4.7527207987916785E-2</v>
      </c>
      <c r="P103" s="83">
        <f t="shared" ref="P103:S103" si="326">+P102/P87</f>
        <v>5.6181973482094576E-2</v>
      </c>
      <c r="Q103" s="83">
        <f t="shared" si="326"/>
        <v>4.3436494444539314E-2</v>
      </c>
      <c r="R103" s="78">
        <f t="shared" si="326"/>
        <v>1.9494981518032539E-2</v>
      </c>
      <c r="S103" s="78">
        <f t="shared" si="326"/>
        <v>2.5612092868142772E-2</v>
      </c>
      <c r="T103" s="78">
        <f t="shared" ref="T103:W103" si="327">+T102/T87</f>
        <v>2.4812676319134901E-2</v>
      </c>
      <c r="U103" s="83">
        <f t="shared" si="327"/>
        <v>3.0949479310589962E-2</v>
      </c>
      <c r="V103" s="78">
        <f t="shared" si="327"/>
        <v>6.7354218565649687E-2</v>
      </c>
      <c r="W103" s="78">
        <f t="shared" si="327"/>
        <v>0.11412945214723769</v>
      </c>
      <c r="X103" s="78">
        <f t="shared" ref="X103:AA103" si="328">+X102/X87</f>
        <v>7.3113585577006007E-2</v>
      </c>
      <c r="Y103" s="83">
        <f t="shared" si="328"/>
        <v>5.4639001146164011E-2</v>
      </c>
      <c r="Z103" s="78">
        <f t="shared" si="328"/>
        <v>1.9258433056748613E-3</v>
      </c>
      <c r="AA103" s="78">
        <f t="shared" si="328"/>
        <v>1.643825515553023E-2</v>
      </c>
      <c r="AB103" s="78">
        <f t="shared" ref="AB103:AE103" si="329">+AB102/AB87</f>
        <v>2.2001116482017573E-2</v>
      </c>
      <c r="AC103" s="83">
        <f t="shared" si="329"/>
        <v>1.0689941173423426E-2</v>
      </c>
      <c r="AD103" s="83">
        <f t="shared" si="329"/>
        <v>-1.1221028013479257E-2</v>
      </c>
      <c r="AE103" s="78">
        <f t="shared" si="329"/>
        <v>-6.19374248877912E-3</v>
      </c>
      <c r="AF103" s="78">
        <f t="shared" ref="AF103:AG103" si="330">+AF102/AF87</f>
        <v>2.408029591153318E-2</v>
      </c>
      <c r="AG103" s="83">
        <f t="shared" si="330"/>
        <v>2.0806920485793353E-2</v>
      </c>
    </row>
    <row r="104" spans="2:35" ht="13.5" customHeight="1">
      <c r="C104" s="70"/>
      <c r="D104" s="70"/>
      <c r="E104" s="70"/>
      <c r="F104" s="70"/>
      <c r="G104" s="70"/>
      <c r="H104" s="70"/>
      <c r="I104" s="70"/>
      <c r="J104" s="14"/>
      <c r="K104" s="58"/>
      <c r="L104" s="66"/>
      <c r="M104" s="66"/>
      <c r="N104" s="66"/>
      <c r="O104" s="70"/>
      <c r="P104" s="66"/>
      <c r="Q104" s="66"/>
      <c r="R104" s="66"/>
      <c r="S104" s="70"/>
      <c r="T104" s="66"/>
      <c r="U104" s="66"/>
      <c r="V104" s="66"/>
      <c r="W104" s="70"/>
      <c r="X104" s="66"/>
      <c r="Y104" s="66"/>
      <c r="Z104" s="70"/>
      <c r="AA104" s="70"/>
      <c r="AB104" s="66"/>
      <c r="AC104" s="66"/>
      <c r="AD104" s="66"/>
      <c r="AE104" s="70"/>
      <c r="AF104" s="66"/>
      <c r="AG104" s="66"/>
    </row>
    <row r="105" spans="2:35" ht="13.5" customHeight="1">
      <c r="B105" s="8" t="s">
        <v>179</v>
      </c>
      <c r="C105" s="70"/>
      <c r="D105" s="70"/>
      <c r="E105" s="70"/>
      <c r="F105" s="70"/>
      <c r="G105" s="70"/>
      <c r="H105" s="70"/>
    </row>
    <row r="106" spans="2:35" ht="13.5" customHeight="1">
      <c r="B106" s="13" t="s">
        <v>180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f>668.872-I111</f>
        <v>236.87199999999996</v>
      </c>
      <c r="J106" s="14">
        <f t="shared" ref="J106:J107" si="331">AG106</f>
        <v>830.10899999999992</v>
      </c>
      <c r="K106" s="14"/>
      <c r="L106" s="66">
        <v>0</v>
      </c>
      <c r="M106" s="66">
        <v>0</v>
      </c>
      <c r="N106" s="66">
        <v>0</v>
      </c>
      <c r="O106" s="14">
        <f>E106</f>
        <v>0</v>
      </c>
      <c r="P106" s="66">
        <v>0</v>
      </c>
      <c r="Q106" s="66">
        <v>0</v>
      </c>
      <c r="R106" s="66">
        <v>0</v>
      </c>
      <c r="S106" s="14">
        <f>F106</f>
        <v>0</v>
      </c>
      <c r="T106" s="66">
        <v>0</v>
      </c>
      <c r="U106" s="66">
        <v>0</v>
      </c>
      <c r="V106" s="66">
        <v>0</v>
      </c>
      <c r="W106" s="14">
        <f>G106</f>
        <v>0</v>
      </c>
      <c r="X106" s="66">
        <v>0</v>
      </c>
      <c r="Y106" s="66">
        <v>0</v>
      </c>
      <c r="Z106" s="66">
        <v>0</v>
      </c>
      <c r="AA106" s="14">
        <f t="shared" ref="AA106:AA107" si="332">H106</f>
        <v>0</v>
      </c>
      <c r="AB106" s="66">
        <v>0</v>
      </c>
      <c r="AC106" s="66">
        <f>460.848-415</f>
        <v>45.848000000000013</v>
      </c>
      <c r="AD106" s="66">
        <f>464.722-AD111</f>
        <v>46.72199999999998</v>
      </c>
      <c r="AE106" s="14">
        <f t="shared" ref="AE106:AE107" si="333">I106</f>
        <v>236.87199999999996</v>
      </c>
      <c r="AF106" s="66">
        <f>661.105-AF111</f>
        <v>228.10500000000002</v>
      </c>
      <c r="AG106" s="66">
        <f>1240.109-AG111</f>
        <v>830.10899999999992</v>
      </c>
    </row>
    <row r="107" spans="2:35" ht="13.5" customHeight="1">
      <c r="B107" s="13" t="s">
        <v>181</v>
      </c>
      <c r="C107" s="66">
        <f>2704.746+593.261</f>
        <v>3298.0070000000001</v>
      </c>
      <c r="D107" s="66">
        <f>2830.375+594.659</f>
        <v>3425.0340000000001</v>
      </c>
      <c r="E107" s="66">
        <f>2475.802+596.057</f>
        <v>3071.8590000000004</v>
      </c>
      <c r="F107" s="66">
        <v>2809.26</v>
      </c>
      <c r="G107" s="66">
        <v>2785.2420000000002</v>
      </c>
      <c r="H107" s="66">
        <v>2795.37</v>
      </c>
      <c r="I107" s="66">
        <v>2631.1329999999998</v>
      </c>
      <c r="J107" s="14">
        <f t="shared" si="331"/>
        <v>2449.44</v>
      </c>
      <c r="K107" s="14"/>
      <c r="L107" s="66">
        <f>2794.842+595.004</f>
        <v>3389.846</v>
      </c>
      <c r="M107" s="66">
        <f>2309.243+595.352</f>
        <v>2904.5949999999998</v>
      </c>
      <c r="N107" s="66">
        <f>2290.566+595.704</f>
        <v>2886.2699999999995</v>
      </c>
      <c r="O107" s="14">
        <f>E107</f>
        <v>3071.8590000000004</v>
      </c>
      <c r="P107" s="66">
        <f>2478.666+596.402</f>
        <v>3075.0680000000002</v>
      </c>
      <c r="Q107" s="66">
        <f>2789.659+596.752</f>
        <v>3386.4110000000001</v>
      </c>
      <c r="R107" s="66">
        <f>2733.314+597.105</f>
        <v>3330.4189999999999</v>
      </c>
      <c r="S107" s="14">
        <f>F107</f>
        <v>2809.26</v>
      </c>
      <c r="T107" s="66">
        <v>2821.7939999999999</v>
      </c>
      <c r="U107" s="66">
        <v>2748.424</v>
      </c>
      <c r="V107" s="66">
        <v>2726.732</v>
      </c>
      <c r="W107" s="14">
        <f>G107</f>
        <v>2785.2420000000002</v>
      </c>
      <c r="X107" s="66">
        <v>2730.74</v>
      </c>
      <c r="Y107" s="66">
        <v>2722.8519999999999</v>
      </c>
      <c r="Z107" s="66">
        <v>2842.123</v>
      </c>
      <c r="AA107" s="14">
        <f t="shared" si="332"/>
        <v>2795.37</v>
      </c>
      <c r="AB107" s="66">
        <v>2798.0129999999999</v>
      </c>
      <c r="AC107" s="66">
        <v>2791.2249999999999</v>
      </c>
      <c r="AD107" s="66">
        <v>2799</v>
      </c>
      <c r="AE107" s="14">
        <f t="shared" si="333"/>
        <v>2631.1329999999998</v>
      </c>
      <c r="AF107" s="66">
        <v>2603.826</v>
      </c>
      <c r="AG107" s="66">
        <v>2449.44</v>
      </c>
    </row>
    <row r="108" spans="2:35" ht="13.5" customHeight="1">
      <c r="B108" s="8" t="s">
        <v>182</v>
      </c>
      <c r="C108" s="58">
        <f t="shared" ref="C108:D108" si="334">SUM(C106:C107)</f>
        <v>3298.0070000000001</v>
      </c>
      <c r="D108" s="58">
        <f t="shared" si="334"/>
        <v>3425.0340000000001</v>
      </c>
      <c r="E108" s="58">
        <f t="shared" ref="E108:F108" si="335">SUM(E106:E107)</f>
        <v>3071.8590000000004</v>
      </c>
      <c r="F108" s="58">
        <f t="shared" si="335"/>
        <v>2809.26</v>
      </c>
      <c r="G108" s="58">
        <f t="shared" ref="G108:H108" si="336">SUM(G106:G107)</f>
        <v>2785.2420000000002</v>
      </c>
      <c r="H108" s="58">
        <f t="shared" si="336"/>
        <v>2795.37</v>
      </c>
      <c r="I108" s="58">
        <f t="shared" ref="I108" si="337">SUM(I106:I107)</f>
        <v>2868.0049999999997</v>
      </c>
      <c r="J108" s="58">
        <f>SUM(J106:J107)</f>
        <v>3279.549</v>
      </c>
      <c r="K108" s="58"/>
      <c r="L108" s="58">
        <f t="shared" ref="L108:O108" si="338">SUM(L106:L107)</f>
        <v>3389.846</v>
      </c>
      <c r="M108" s="58">
        <f t="shared" si="338"/>
        <v>2904.5949999999998</v>
      </c>
      <c r="N108" s="58">
        <f t="shared" ref="N108" si="339">SUM(N106:N107)</f>
        <v>2886.2699999999995</v>
      </c>
      <c r="O108" s="58">
        <f t="shared" si="338"/>
        <v>3071.8590000000004</v>
      </c>
      <c r="P108" s="58">
        <f t="shared" ref="P108:T108" si="340">SUM(P106:P107)</f>
        <v>3075.0680000000002</v>
      </c>
      <c r="Q108" s="58">
        <f t="shared" si="340"/>
        <v>3386.4110000000001</v>
      </c>
      <c r="R108" s="58">
        <f t="shared" si="340"/>
        <v>3330.4189999999999</v>
      </c>
      <c r="S108" s="58">
        <f t="shared" si="340"/>
        <v>2809.26</v>
      </c>
      <c r="T108" s="58">
        <f t="shared" si="340"/>
        <v>2821.7939999999999</v>
      </c>
      <c r="U108" s="58">
        <f t="shared" ref="U108:X108" si="341">SUM(U106:U107)</f>
        <v>2748.424</v>
      </c>
      <c r="V108" s="58">
        <f t="shared" si="341"/>
        <v>2726.732</v>
      </c>
      <c r="W108" s="58">
        <f t="shared" si="341"/>
        <v>2785.2420000000002</v>
      </c>
      <c r="X108" s="58">
        <f t="shared" si="341"/>
        <v>2730.74</v>
      </c>
      <c r="Y108" s="58">
        <f t="shared" ref="Y108:AB108" si="342">SUM(Y106:Y107)</f>
        <v>2722.8519999999999</v>
      </c>
      <c r="Z108" s="58">
        <f t="shared" si="342"/>
        <v>2842.123</v>
      </c>
      <c r="AA108" s="58">
        <f t="shared" si="342"/>
        <v>2795.37</v>
      </c>
      <c r="AB108" s="58">
        <f t="shared" si="342"/>
        <v>2798.0129999999999</v>
      </c>
      <c r="AC108" s="58">
        <f t="shared" ref="AC108:AF108" si="343">SUM(AC106:AC107)</f>
        <v>2837.0729999999999</v>
      </c>
      <c r="AD108" s="58">
        <f t="shared" si="343"/>
        <v>2845.7219999999998</v>
      </c>
      <c r="AE108" s="58">
        <f t="shared" si="343"/>
        <v>2868.0049999999997</v>
      </c>
      <c r="AF108" s="58">
        <f t="shared" si="343"/>
        <v>2831.931</v>
      </c>
      <c r="AG108" s="58">
        <f t="shared" ref="AG108" si="344">SUM(AG106:AG107)</f>
        <v>3279.549</v>
      </c>
    </row>
    <row r="109" spans="2:35" ht="13.5" customHeight="1">
      <c r="C109" s="66"/>
      <c r="D109" s="66"/>
      <c r="E109" s="66"/>
      <c r="F109" s="66"/>
      <c r="G109" s="66"/>
      <c r="H109" s="66"/>
      <c r="I109" s="66"/>
      <c r="J109" s="14"/>
      <c r="K109" s="14"/>
      <c r="L109" s="66"/>
      <c r="M109" s="66"/>
      <c r="N109" s="66"/>
      <c r="O109" s="70"/>
      <c r="P109" s="66"/>
      <c r="Q109" s="66"/>
      <c r="R109" s="66"/>
      <c r="S109" s="70"/>
      <c r="T109" s="66"/>
      <c r="U109" s="66"/>
      <c r="V109" s="66"/>
      <c r="W109" s="70"/>
      <c r="X109" s="66"/>
      <c r="Y109" s="66"/>
      <c r="Z109" s="66"/>
      <c r="AA109" s="70"/>
      <c r="AB109" s="66"/>
      <c r="AC109" s="66"/>
      <c r="AD109" s="66"/>
      <c r="AE109" s="70"/>
      <c r="AF109" s="66"/>
      <c r="AG109" s="66"/>
    </row>
    <row r="110" spans="2:35" ht="13.5" customHeight="1">
      <c r="B110" s="8" t="s">
        <v>183</v>
      </c>
      <c r="C110" s="66"/>
      <c r="D110" s="66"/>
      <c r="E110" s="66"/>
      <c r="F110" s="66"/>
      <c r="G110" s="66"/>
      <c r="H110" s="66"/>
      <c r="I110" s="66"/>
      <c r="J110" s="14"/>
      <c r="K110" s="14"/>
      <c r="L110" s="66"/>
      <c r="M110" s="66"/>
      <c r="N110" s="66"/>
      <c r="O110" s="70"/>
      <c r="P110" s="66"/>
      <c r="Q110" s="66"/>
      <c r="R110" s="66"/>
      <c r="S110" s="70"/>
      <c r="T110" s="66"/>
      <c r="U110" s="66"/>
      <c r="V110" s="66"/>
      <c r="W110" s="70"/>
      <c r="X110" s="66"/>
      <c r="Y110" s="66"/>
      <c r="Z110" s="66"/>
      <c r="AA110" s="70"/>
      <c r="AB110" s="66"/>
      <c r="AC110" s="66"/>
      <c r="AD110" s="66"/>
      <c r="AE110" s="70"/>
      <c r="AF110" s="66"/>
      <c r="AG110" s="66"/>
    </row>
    <row r="111" spans="2:35" ht="13.5" customHeight="1">
      <c r="B111" s="13" t="s">
        <v>184</v>
      </c>
      <c r="C111" s="66">
        <v>18.282</v>
      </c>
      <c r="D111" s="66">
        <v>135.47499999999999</v>
      </c>
      <c r="E111" s="66">
        <v>633.346</v>
      </c>
      <c r="F111" s="66">
        <v>303.19299999999998</v>
      </c>
      <c r="G111" s="66">
        <v>280.86</v>
      </c>
      <c r="H111" s="66">
        <v>389.96600000000001</v>
      </c>
      <c r="I111" s="66">
        <v>432</v>
      </c>
      <c r="J111" s="14">
        <f t="shared" ref="J111:J112" si="345">AG111</f>
        <v>410</v>
      </c>
      <c r="K111" s="14"/>
      <c r="L111" s="66">
        <v>151.21299999999999</v>
      </c>
      <c r="M111" s="66">
        <v>638.69399999999996</v>
      </c>
      <c r="N111" s="66">
        <v>623.82299999999998</v>
      </c>
      <c r="O111" s="14">
        <f>E111</f>
        <v>633.346</v>
      </c>
      <c r="P111" s="66">
        <v>633.66499999999996</v>
      </c>
      <c r="Q111" s="66">
        <v>216.904</v>
      </c>
      <c r="R111" s="66">
        <v>258.95100000000002</v>
      </c>
      <c r="S111" s="14">
        <f>F111</f>
        <v>303.19299999999998</v>
      </c>
      <c r="T111" s="66">
        <v>325.93799999999999</v>
      </c>
      <c r="U111" s="66">
        <v>272.22699999999998</v>
      </c>
      <c r="V111" s="66">
        <v>253.392</v>
      </c>
      <c r="W111" s="14">
        <f>G111</f>
        <v>280.86</v>
      </c>
      <c r="X111" s="66">
        <v>339.55799999999999</v>
      </c>
      <c r="Y111" s="66">
        <v>339.04700000000003</v>
      </c>
      <c r="Z111" s="66">
        <v>373.024</v>
      </c>
      <c r="AA111" s="14">
        <f t="shared" ref="AA111:AA112" si="346">H111</f>
        <v>389.96600000000001</v>
      </c>
      <c r="AB111" s="66">
        <v>416.815</v>
      </c>
      <c r="AC111" s="66">
        <v>415</v>
      </c>
      <c r="AD111" s="66">
        <v>418</v>
      </c>
      <c r="AE111" s="14">
        <f t="shared" ref="AE111:AE112" si="347">I111</f>
        <v>432</v>
      </c>
      <c r="AF111" s="66">
        <v>433</v>
      </c>
      <c r="AG111" s="66">
        <v>410</v>
      </c>
    </row>
    <row r="112" spans="2:35" ht="13.5" customHeight="1">
      <c r="B112" s="13" t="s">
        <v>185</v>
      </c>
      <c r="C112" s="66">
        <v>125.413</v>
      </c>
      <c r="D112" s="66">
        <v>371.55200000000002</v>
      </c>
      <c r="E112" s="66">
        <v>388.51</v>
      </c>
      <c r="F112" s="66">
        <v>720.56899999999996</v>
      </c>
      <c r="G112" s="66">
        <v>587.524</v>
      </c>
      <c r="H112" s="66">
        <v>575.84500000000003</v>
      </c>
      <c r="I112" s="66">
        <v>714.04200000000003</v>
      </c>
      <c r="J112" s="14">
        <f t="shared" si="345"/>
        <v>663.78800000000001</v>
      </c>
      <c r="K112" s="14"/>
      <c r="L112" s="66">
        <v>353.68099999999998</v>
      </c>
      <c r="M112" s="66">
        <v>387.72899999999998</v>
      </c>
      <c r="N112" s="66">
        <v>377.51799999999997</v>
      </c>
      <c r="O112" s="14">
        <f>E112</f>
        <v>388.51</v>
      </c>
      <c r="P112" s="66">
        <v>386.10199999999998</v>
      </c>
      <c r="Q112" s="66">
        <v>639.72799999999995</v>
      </c>
      <c r="R112" s="66">
        <v>684.34100000000001</v>
      </c>
      <c r="S112" s="14">
        <f>F112</f>
        <v>720.56899999999996</v>
      </c>
      <c r="T112" s="66">
        <v>701.38900000000001</v>
      </c>
      <c r="U112" s="66">
        <v>640.21799999999996</v>
      </c>
      <c r="V112" s="66">
        <v>621.09</v>
      </c>
      <c r="W112" s="14">
        <f>G112</f>
        <v>587.524</v>
      </c>
      <c r="X112" s="66">
        <v>615.08600000000001</v>
      </c>
      <c r="Y112" s="66">
        <v>571.56200000000001</v>
      </c>
      <c r="Z112" s="66">
        <v>564.67100000000005</v>
      </c>
      <c r="AA112" s="14">
        <f t="shared" si="346"/>
        <v>575.84500000000003</v>
      </c>
      <c r="AB112" s="66">
        <v>667.69</v>
      </c>
      <c r="AC112" s="66">
        <f>630.663</f>
        <v>630.66300000000001</v>
      </c>
      <c r="AD112" s="66">
        <v>711.62300000000005</v>
      </c>
      <c r="AE112" s="14">
        <f t="shared" si="347"/>
        <v>714.04200000000003</v>
      </c>
      <c r="AF112" s="66">
        <v>678.11300000000006</v>
      </c>
      <c r="AG112" s="66">
        <v>663.78800000000001</v>
      </c>
    </row>
    <row r="113" spans="2:33" ht="13.5" customHeight="1">
      <c r="B113" s="8" t="s">
        <v>186</v>
      </c>
      <c r="C113" s="58">
        <f t="shared" ref="C113:D113" si="348">SUM(C111:C112)</f>
        <v>143.69499999999999</v>
      </c>
      <c r="D113" s="58">
        <f t="shared" si="348"/>
        <v>507.02700000000004</v>
      </c>
      <c r="E113" s="58">
        <f t="shared" ref="E113:F113" si="349">SUM(E111:E112)</f>
        <v>1021.856</v>
      </c>
      <c r="F113" s="58">
        <f t="shared" si="349"/>
        <v>1023.7619999999999</v>
      </c>
      <c r="G113" s="58">
        <f t="shared" ref="G113:H113" si="350">SUM(G111:G112)</f>
        <v>868.38400000000001</v>
      </c>
      <c r="H113" s="58">
        <f t="shared" si="350"/>
        <v>965.81100000000004</v>
      </c>
      <c r="I113" s="58">
        <f t="shared" ref="I113" si="351">SUM(I111:I112)</f>
        <v>1146.0419999999999</v>
      </c>
      <c r="J113" s="58">
        <f>SUM(J111:J112)</f>
        <v>1073.788</v>
      </c>
      <c r="K113" s="58"/>
      <c r="L113" s="58">
        <f t="shared" ref="L113:O113" si="352">SUM(L111:L112)</f>
        <v>504.89400000000001</v>
      </c>
      <c r="M113" s="58">
        <f t="shared" si="352"/>
        <v>1026.423</v>
      </c>
      <c r="N113" s="58">
        <f t="shared" ref="N113" si="353">SUM(N111:N112)</f>
        <v>1001.3409999999999</v>
      </c>
      <c r="O113" s="58">
        <f t="shared" si="352"/>
        <v>1021.856</v>
      </c>
      <c r="P113" s="58">
        <f t="shared" ref="P113:T113" si="354">SUM(P111:P112)</f>
        <v>1019.7669999999999</v>
      </c>
      <c r="Q113" s="58">
        <f t="shared" si="354"/>
        <v>856.63199999999995</v>
      </c>
      <c r="R113" s="58">
        <f t="shared" si="354"/>
        <v>943.29200000000003</v>
      </c>
      <c r="S113" s="58">
        <f t="shared" si="354"/>
        <v>1023.7619999999999</v>
      </c>
      <c r="T113" s="58">
        <f t="shared" si="354"/>
        <v>1027.327</v>
      </c>
      <c r="U113" s="58">
        <f t="shared" ref="U113:Z113" si="355">SUM(U111:U112)</f>
        <v>912.44499999999994</v>
      </c>
      <c r="V113" s="58">
        <f t="shared" si="355"/>
        <v>874.48199999999997</v>
      </c>
      <c r="W113" s="58">
        <f t="shared" si="355"/>
        <v>868.38400000000001</v>
      </c>
      <c r="X113" s="58">
        <f t="shared" si="355"/>
        <v>954.64400000000001</v>
      </c>
      <c r="Y113" s="58">
        <f t="shared" si="355"/>
        <v>910.60900000000004</v>
      </c>
      <c r="Z113" s="58">
        <f t="shared" si="355"/>
        <v>937.69500000000005</v>
      </c>
      <c r="AA113" s="58">
        <f t="shared" ref="AA113:AD113" si="356">SUM(AA111:AA112)</f>
        <v>965.81100000000004</v>
      </c>
      <c r="AB113" s="58">
        <f t="shared" si="356"/>
        <v>1084.5050000000001</v>
      </c>
      <c r="AC113" s="58">
        <f t="shared" si="356"/>
        <v>1045.663</v>
      </c>
      <c r="AD113" s="58">
        <f t="shared" si="356"/>
        <v>1129.623</v>
      </c>
      <c r="AE113" s="58">
        <f t="shared" ref="AE113:AG113" si="357">SUM(AE111:AE112)</f>
        <v>1146.0419999999999</v>
      </c>
      <c r="AF113" s="58">
        <f t="shared" si="357"/>
        <v>1111.1130000000001</v>
      </c>
      <c r="AG113" s="58">
        <f t="shared" si="357"/>
        <v>1073.788</v>
      </c>
    </row>
    <row r="114" spans="2:33" ht="13.5" customHeight="1">
      <c r="B114" s="33"/>
      <c r="C114" s="66"/>
      <c r="D114" s="66"/>
      <c r="E114" s="66"/>
      <c r="F114" s="66"/>
      <c r="G114" s="66"/>
      <c r="H114" s="66"/>
      <c r="I114" s="66"/>
      <c r="J114" s="14"/>
      <c r="K114" s="14"/>
      <c r="L114" s="66"/>
      <c r="M114" s="66"/>
      <c r="N114" s="66"/>
      <c r="O114" s="70"/>
      <c r="P114" s="66"/>
      <c r="Q114" s="66"/>
      <c r="R114" s="66"/>
      <c r="S114" s="70"/>
      <c r="T114" s="66"/>
      <c r="U114" s="66"/>
      <c r="V114" s="66"/>
      <c r="W114" s="70"/>
      <c r="X114" s="66"/>
      <c r="Y114" s="66"/>
      <c r="Z114" s="66"/>
      <c r="AA114" s="70"/>
      <c r="AB114" s="66"/>
      <c r="AC114" s="66"/>
      <c r="AD114" s="66"/>
      <c r="AE114" s="70"/>
      <c r="AF114" s="66"/>
      <c r="AG114" s="66"/>
    </row>
    <row r="115" spans="2:33" ht="13.5" customHeight="1">
      <c r="B115" s="8" t="s">
        <v>187</v>
      </c>
      <c r="C115" s="66"/>
      <c r="D115" s="66"/>
      <c r="E115" s="66"/>
      <c r="F115" s="66"/>
      <c r="G115" s="66"/>
      <c r="H115" s="66"/>
      <c r="I115" s="66"/>
    </row>
    <row r="116" spans="2:33" ht="13.5" customHeight="1">
      <c r="B116" s="13" t="s">
        <v>180</v>
      </c>
      <c r="C116" s="14">
        <f t="shared" ref="C116" si="358">C106+C111</f>
        <v>18.282</v>
      </c>
      <c r="D116" s="14">
        <f t="shared" ref="D116:E117" si="359">D106+D111</f>
        <v>135.47499999999999</v>
      </c>
      <c r="E116" s="14">
        <f t="shared" si="359"/>
        <v>633.346</v>
      </c>
      <c r="F116" s="14">
        <f>F106+F111</f>
        <v>303.19299999999998</v>
      </c>
      <c r="G116" s="14">
        <f>G106+G111</f>
        <v>280.86</v>
      </c>
      <c r="H116" s="14">
        <f>H106+H111</f>
        <v>389.96600000000001</v>
      </c>
      <c r="I116" s="14">
        <f>I106+I111</f>
        <v>668.87199999999996</v>
      </c>
      <c r="J116" s="14">
        <f>J106+J111</f>
        <v>1240.1089999999999</v>
      </c>
      <c r="K116" s="14"/>
      <c r="L116" s="14">
        <f t="shared" ref="L116:O117" si="360">L106+L111</f>
        <v>151.21299999999999</v>
      </c>
      <c r="M116" s="14">
        <f t="shared" si="360"/>
        <v>638.69399999999996</v>
      </c>
      <c r="N116" s="14">
        <f t="shared" si="360"/>
        <v>623.82299999999998</v>
      </c>
      <c r="O116" s="14">
        <f t="shared" si="360"/>
        <v>633.346</v>
      </c>
      <c r="P116" s="14">
        <f t="shared" ref="P116:S116" si="361">P106+P111</f>
        <v>633.66499999999996</v>
      </c>
      <c r="Q116" s="14">
        <f>Q106+Q111</f>
        <v>216.904</v>
      </c>
      <c r="R116" s="14">
        <f>R106+R111</f>
        <v>258.95100000000002</v>
      </c>
      <c r="S116" s="14">
        <f t="shared" si="361"/>
        <v>303.19299999999998</v>
      </c>
      <c r="T116" s="14">
        <f>T106+T111</f>
        <v>325.93799999999999</v>
      </c>
      <c r="U116" s="14">
        <f>U106+U111</f>
        <v>272.22699999999998</v>
      </c>
      <c r="V116" s="14">
        <f>V106+V111</f>
        <v>253.392</v>
      </c>
      <c r="W116" s="14">
        <f t="shared" ref="W116" si="362">W106+W111</f>
        <v>280.86</v>
      </c>
      <c r="X116" s="14">
        <f>X106+X111</f>
        <v>339.55799999999999</v>
      </c>
      <c r="Y116" s="14">
        <f>Y106+Y111</f>
        <v>339.04700000000003</v>
      </c>
      <c r="Z116" s="14">
        <f>Z106+Z111</f>
        <v>373.024</v>
      </c>
      <c r="AA116" s="14">
        <f t="shared" ref="AA116" si="363">AA106+AA111</f>
        <v>389.96600000000001</v>
      </c>
      <c r="AB116" s="14">
        <f>AB106+AB111</f>
        <v>416.815</v>
      </c>
      <c r="AC116" s="14">
        <f>AC106+AC111</f>
        <v>460.84800000000001</v>
      </c>
      <c r="AD116" s="14">
        <f>AD106+AD111</f>
        <v>464.72199999999998</v>
      </c>
      <c r="AE116" s="14">
        <f t="shared" ref="AE116" si="364">AE106+AE111</f>
        <v>668.87199999999996</v>
      </c>
      <c r="AF116" s="14">
        <f>AF106+AF111</f>
        <v>661.10500000000002</v>
      </c>
      <c r="AG116" s="14">
        <f>AG106+AG111</f>
        <v>1240.1089999999999</v>
      </c>
    </row>
    <row r="117" spans="2:33" ht="13.5" customHeight="1">
      <c r="B117" s="13" t="s">
        <v>181</v>
      </c>
      <c r="C117" s="14">
        <f t="shared" ref="C117" si="365">C107+C112</f>
        <v>3423.42</v>
      </c>
      <c r="D117" s="14">
        <f t="shared" si="359"/>
        <v>3796.5860000000002</v>
      </c>
      <c r="E117" s="14">
        <f t="shared" si="359"/>
        <v>3460.3690000000006</v>
      </c>
      <c r="F117" s="14">
        <f t="shared" ref="F117:G117" si="366">F107+F112</f>
        <v>3529.8290000000002</v>
      </c>
      <c r="G117" s="14">
        <f t="shared" si="366"/>
        <v>3372.7660000000001</v>
      </c>
      <c r="H117" s="14">
        <f t="shared" ref="H117" si="367">H107+H112</f>
        <v>3371.2150000000001</v>
      </c>
      <c r="I117" s="14">
        <f t="shared" ref="I117" si="368">I107+I112</f>
        <v>3345.1749999999997</v>
      </c>
      <c r="J117" s="14">
        <f>J107+J112</f>
        <v>3113.2280000000001</v>
      </c>
      <c r="K117" s="14"/>
      <c r="L117" s="14">
        <f t="shared" si="360"/>
        <v>3743.527</v>
      </c>
      <c r="M117" s="14">
        <f t="shared" si="360"/>
        <v>3292.3239999999996</v>
      </c>
      <c r="N117" s="14">
        <f t="shared" si="360"/>
        <v>3263.7879999999996</v>
      </c>
      <c r="O117" s="14">
        <f t="shared" si="360"/>
        <v>3460.3690000000006</v>
      </c>
      <c r="P117" s="14">
        <f t="shared" ref="P117:S117" si="369">P107+P112</f>
        <v>3461.17</v>
      </c>
      <c r="Q117" s="14">
        <f t="shared" si="369"/>
        <v>4026.1390000000001</v>
      </c>
      <c r="R117" s="14">
        <f t="shared" si="369"/>
        <v>4014.7599999999998</v>
      </c>
      <c r="S117" s="14">
        <f t="shared" si="369"/>
        <v>3529.8290000000002</v>
      </c>
      <c r="T117" s="14">
        <f>T107+T112</f>
        <v>3523.183</v>
      </c>
      <c r="U117" s="14">
        <f t="shared" ref="U117:W117" si="370">U107+U112</f>
        <v>3388.6419999999998</v>
      </c>
      <c r="V117" s="14">
        <f t="shared" si="370"/>
        <v>3347.8220000000001</v>
      </c>
      <c r="W117" s="14">
        <f t="shared" si="370"/>
        <v>3372.7660000000001</v>
      </c>
      <c r="X117" s="14">
        <f>X107+X112</f>
        <v>3345.826</v>
      </c>
      <c r="Y117" s="14">
        <f t="shared" ref="Y117:AA117" si="371">Y107+Y112</f>
        <v>3294.4139999999998</v>
      </c>
      <c r="Z117" s="14">
        <f t="shared" si="371"/>
        <v>3406.7939999999999</v>
      </c>
      <c r="AA117" s="14">
        <f t="shared" si="371"/>
        <v>3371.2150000000001</v>
      </c>
      <c r="AB117" s="14">
        <f>AB107+AB112</f>
        <v>3465.703</v>
      </c>
      <c r="AC117" s="14">
        <f t="shared" ref="AC117:AE117" si="372">AC107+AC112</f>
        <v>3421.8879999999999</v>
      </c>
      <c r="AD117" s="14">
        <f t="shared" si="372"/>
        <v>3510.623</v>
      </c>
      <c r="AE117" s="14">
        <f t="shared" si="372"/>
        <v>3345.1749999999997</v>
      </c>
      <c r="AF117" s="14">
        <f>AF107+AF112</f>
        <v>3281.9390000000003</v>
      </c>
      <c r="AG117" s="14">
        <f t="shared" ref="AG117" si="373">AG107+AG112</f>
        <v>3113.2280000000001</v>
      </c>
    </row>
    <row r="118" spans="2:33" s="33" customFormat="1" ht="13.5" customHeight="1">
      <c r="B118" s="33" t="s">
        <v>24</v>
      </c>
      <c r="C118" s="58">
        <f t="shared" ref="C118" si="374">SUM(C116:C117)</f>
        <v>3441.7020000000002</v>
      </c>
      <c r="D118" s="58">
        <f t="shared" ref="D118:E118" si="375">SUM(D116:D117)</f>
        <v>3932.0610000000001</v>
      </c>
      <c r="E118" s="58">
        <f t="shared" si="375"/>
        <v>4093.7150000000006</v>
      </c>
      <c r="F118" s="58">
        <f>SUM(F116:F117)</f>
        <v>3833.0219999999999</v>
      </c>
      <c r="G118" s="58">
        <f>SUM(G116:G117)</f>
        <v>3653.6260000000002</v>
      </c>
      <c r="H118" s="58">
        <f>SUM(H116:H117)</f>
        <v>3761.181</v>
      </c>
      <c r="I118" s="58">
        <f>SUM(I116:I117)</f>
        <v>4014.0469999999996</v>
      </c>
      <c r="J118" s="58">
        <f t="shared" ref="J118" si="376">SUM(J116:J117)</f>
        <v>4353.3369999999995</v>
      </c>
      <c r="K118" s="58"/>
      <c r="L118" s="58">
        <f t="shared" ref="L118:O118" si="377">SUM(L116:L117)</f>
        <v>3894.7400000000002</v>
      </c>
      <c r="M118" s="58">
        <f t="shared" si="377"/>
        <v>3931.0179999999996</v>
      </c>
      <c r="N118" s="58">
        <f t="shared" ref="N118" si="378">SUM(N116:N117)</f>
        <v>3887.6109999999994</v>
      </c>
      <c r="O118" s="58">
        <f t="shared" si="377"/>
        <v>4093.7150000000006</v>
      </c>
      <c r="P118" s="58">
        <f t="shared" ref="P118:S118" si="379">SUM(P116:P117)</f>
        <v>4094.835</v>
      </c>
      <c r="Q118" s="58">
        <f t="shared" si="379"/>
        <v>4243.0429999999997</v>
      </c>
      <c r="R118" s="58">
        <f t="shared" si="379"/>
        <v>4273.7109999999993</v>
      </c>
      <c r="S118" s="58">
        <f t="shared" si="379"/>
        <v>3833.0219999999999</v>
      </c>
      <c r="T118" s="58">
        <f>SUM(T116:T117)</f>
        <v>3849.1210000000001</v>
      </c>
      <c r="U118" s="58">
        <f t="shared" ref="U118:W118" si="380">SUM(U116:U117)</f>
        <v>3660.8689999999997</v>
      </c>
      <c r="V118" s="58">
        <f t="shared" si="380"/>
        <v>3601.2139999999999</v>
      </c>
      <c r="W118" s="58">
        <f t="shared" si="380"/>
        <v>3653.6260000000002</v>
      </c>
      <c r="X118" s="58">
        <f>SUM(X116:X117)</f>
        <v>3685.384</v>
      </c>
      <c r="Y118" s="58">
        <f>SUM(Y116:Y117)</f>
        <v>3633.4609999999998</v>
      </c>
      <c r="Z118" s="58">
        <f>SUM(Z116:Z117)</f>
        <v>3779.8179999999998</v>
      </c>
      <c r="AA118" s="58">
        <f t="shared" ref="AA118" si="381">SUM(AA116:AA117)</f>
        <v>3761.181</v>
      </c>
      <c r="AB118" s="58">
        <f>SUM(AB116:AB117)</f>
        <v>3882.518</v>
      </c>
      <c r="AC118" s="58">
        <f>SUM(AC116:AC117)</f>
        <v>3882.7359999999999</v>
      </c>
      <c r="AD118" s="58">
        <f>SUM(AD116:AD117)</f>
        <v>3975.3450000000003</v>
      </c>
      <c r="AE118" s="58">
        <f t="shared" ref="AE118" si="382">SUM(AE116:AE117)</f>
        <v>4014.0469999999996</v>
      </c>
      <c r="AF118" s="58">
        <f>SUM(AF116:AF117)</f>
        <v>3943.0440000000003</v>
      </c>
      <c r="AG118" s="58">
        <f>SUM(AG116:AG117)</f>
        <v>4353.3369999999995</v>
      </c>
    </row>
    <row r="119" spans="2:33" ht="13.5" customHeight="1">
      <c r="B119" s="69" t="s">
        <v>164</v>
      </c>
      <c r="C119" s="66">
        <v>2822.8969999999999</v>
      </c>
      <c r="D119" s="66">
        <v>3704.0030000000002</v>
      </c>
      <c r="E119" s="66">
        <v>2559.1889999999999</v>
      </c>
      <c r="F119" s="66">
        <v>3539.22</v>
      </c>
      <c r="G119" s="66">
        <v>4018.9589999999998</v>
      </c>
      <c r="H119" s="66">
        <v>3938.163</v>
      </c>
      <c r="I119" s="66">
        <v>2313.7919999999999</v>
      </c>
      <c r="J119" s="14">
        <f t="shared" ref="J119:J120" si="383">AG119</f>
        <v>2498.0889999999999</v>
      </c>
      <c r="K119" s="14"/>
      <c r="L119" s="66">
        <v>1695.4290000000001</v>
      </c>
      <c r="M119" s="66">
        <v>1849.9780000000001</v>
      </c>
      <c r="N119" s="66">
        <v>2000.097</v>
      </c>
      <c r="O119" s="14">
        <f>E119</f>
        <v>2559.1889999999999</v>
      </c>
      <c r="P119" s="66">
        <v>3346.002</v>
      </c>
      <c r="Q119" s="66">
        <v>2806.3890000000001</v>
      </c>
      <c r="R119" s="66">
        <v>3436.056</v>
      </c>
      <c r="S119" s="14">
        <f>F119</f>
        <v>3539.22</v>
      </c>
      <c r="T119" s="66">
        <v>4241.5910000000003</v>
      </c>
      <c r="U119" s="66">
        <v>3064.6309999999999</v>
      </c>
      <c r="V119" s="66">
        <v>3036.1680000000001</v>
      </c>
      <c r="W119" s="14">
        <f>G119</f>
        <v>4018.9589999999998</v>
      </c>
      <c r="X119" s="66">
        <v>5154.3230000000003</v>
      </c>
      <c r="Y119" s="66">
        <v>3751.221</v>
      </c>
      <c r="Z119" s="66">
        <v>4069.6439999999998</v>
      </c>
      <c r="AA119" s="14">
        <f t="shared" ref="AA119:AA120" si="384">H119</f>
        <v>3938.163</v>
      </c>
      <c r="AB119" s="66">
        <v>4143.6660000000002</v>
      </c>
      <c r="AC119" s="66">
        <v>3482.8850000000002</v>
      </c>
      <c r="AD119" s="66">
        <v>2565.5439999999999</v>
      </c>
      <c r="AE119" s="14">
        <f t="shared" ref="AE119:AE120" si="385">I119</f>
        <v>2313.7919999999999</v>
      </c>
      <c r="AF119" s="66">
        <v>2460.3580000000002</v>
      </c>
      <c r="AG119" s="66">
        <v>2498.0889999999999</v>
      </c>
    </row>
    <row r="120" spans="2:33" ht="13.5" customHeight="1">
      <c r="B120" s="69" t="s">
        <v>17</v>
      </c>
      <c r="C120" s="66">
        <v>200</v>
      </c>
      <c r="D120" s="66">
        <v>100</v>
      </c>
      <c r="E120" s="66">
        <v>0</v>
      </c>
      <c r="F120" s="66">
        <v>0</v>
      </c>
      <c r="G120" s="66">
        <v>200</v>
      </c>
      <c r="H120" s="66">
        <v>291.02300000000002</v>
      </c>
      <c r="I120" s="66">
        <v>121.839</v>
      </c>
      <c r="J120" s="14">
        <f t="shared" si="383"/>
        <v>98.813000000000002</v>
      </c>
      <c r="K120" s="14"/>
      <c r="L120" s="66">
        <v>0</v>
      </c>
      <c r="M120" s="66">
        <v>0</v>
      </c>
      <c r="N120" s="66">
        <v>0</v>
      </c>
      <c r="O120" s="14">
        <f>E120</f>
        <v>0</v>
      </c>
      <c r="P120" s="66">
        <v>0</v>
      </c>
      <c r="Q120" s="66">
        <v>0</v>
      </c>
      <c r="R120" s="66">
        <v>0</v>
      </c>
      <c r="S120" s="14">
        <f>F120</f>
        <v>0</v>
      </c>
      <c r="T120" s="66">
        <v>61.088000000000001</v>
      </c>
      <c r="U120" s="66">
        <v>0</v>
      </c>
      <c r="V120" s="66">
        <v>258.62200000000001</v>
      </c>
      <c r="W120" s="14">
        <f>G120</f>
        <v>200</v>
      </c>
      <c r="X120" s="66">
        <v>90.287999999999997</v>
      </c>
      <c r="Y120" s="66">
        <v>80.287999999999997</v>
      </c>
      <c r="Z120" s="66">
        <v>50.851999999999997</v>
      </c>
      <c r="AA120" s="14">
        <f t="shared" si="384"/>
        <v>291.02300000000002</v>
      </c>
      <c r="AB120" s="66">
        <v>370</v>
      </c>
      <c r="AC120" s="66">
        <v>235</v>
      </c>
      <c r="AD120" s="66">
        <v>217.58099999999999</v>
      </c>
      <c r="AE120" s="14">
        <f t="shared" si="385"/>
        <v>121.839</v>
      </c>
      <c r="AF120" s="66">
        <v>71.838999999999999</v>
      </c>
      <c r="AG120" s="66">
        <v>98.813000000000002</v>
      </c>
    </row>
    <row r="121" spans="2:33" ht="13.5" customHeight="1">
      <c r="B121" s="33" t="s">
        <v>188</v>
      </c>
      <c r="C121" s="58">
        <f t="shared" ref="C121" si="386">C118-C119-C120</f>
        <v>418.80500000000029</v>
      </c>
      <c r="D121" s="58">
        <f t="shared" ref="D121" si="387">D118-D119-D120</f>
        <v>128.05799999999999</v>
      </c>
      <c r="E121" s="58">
        <f>E118-E119-E120</f>
        <v>1534.5260000000007</v>
      </c>
      <c r="F121" s="58">
        <f>F118-F119-F120</f>
        <v>293.80200000000013</v>
      </c>
      <c r="G121" s="58">
        <f>G118-G119-G120</f>
        <v>-565.33299999999963</v>
      </c>
      <c r="H121" s="58">
        <f>H118-H119-H120</f>
        <v>-468.005</v>
      </c>
      <c r="I121" s="58">
        <f>I118-I119-I120</f>
        <v>1578.4159999999997</v>
      </c>
      <c r="J121" s="58">
        <f t="shared" ref="J121" si="388">J118-J119-J120</f>
        <v>1756.4349999999995</v>
      </c>
      <c r="K121" s="58"/>
      <c r="L121" s="58">
        <f t="shared" ref="L121" si="389">L118-L119-L120</f>
        <v>2199.3110000000001</v>
      </c>
      <c r="M121" s="58">
        <f t="shared" ref="M121" si="390">M118-M119-M120</f>
        <v>2081.0399999999995</v>
      </c>
      <c r="N121" s="58">
        <f t="shared" ref="N121" si="391">N118-N119-N120</f>
        <v>1887.5139999999994</v>
      </c>
      <c r="O121" s="58">
        <f t="shared" ref="O121:R121" si="392">O118-O119-O120</f>
        <v>1534.5260000000007</v>
      </c>
      <c r="P121" s="58">
        <f>P118-P119-P120</f>
        <v>748.83300000000008</v>
      </c>
      <c r="Q121" s="58">
        <f t="shared" si="392"/>
        <v>1436.6539999999995</v>
      </c>
      <c r="R121" s="58">
        <f t="shared" si="392"/>
        <v>837.65499999999929</v>
      </c>
      <c r="S121" s="58">
        <f t="shared" ref="S121" si="393">S118-S119-S120</f>
        <v>293.80200000000013</v>
      </c>
      <c r="T121" s="58">
        <f>T118-T119-T120</f>
        <v>-453.55800000000028</v>
      </c>
      <c r="U121" s="58">
        <f t="shared" ref="U121:W121" si="394">U118-U119-U120</f>
        <v>596.23799999999983</v>
      </c>
      <c r="V121" s="58">
        <f t="shared" si="394"/>
        <v>306.42399999999981</v>
      </c>
      <c r="W121" s="58">
        <f t="shared" si="394"/>
        <v>-565.33299999999963</v>
      </c>
      <c r="X121" s="58">
        <f>X118-X119-X120</f>
        <v>-1559.2270000000003</v>
      </c>
      <c r="Y121" s="58">
        <f>Y118-Y119-Y120</f>
        <v>-198.04800000000023</v>
      </c>
      <c r="Z121" s="58">
        <f>Z118-Z119-Z120</f>
        <v>-340.678</v>
      </c>
      <c r="AA121" s="58">
        <f t="shared" ref="AA121" si="395">AA118-AA119-AA120</f>
        <v>-468.005</v>
      </c>
      <c r="AB121" s="58">
        <f>AB118-AB119-AB120</f>
        <v>-631.14800000000014</v>
      </c>
      <c r="AC121" s="58">
        <f>AC118-AC119-AC120</f>
        <v>164.85099999999966</v>
      </c>
      <c r="AD121" s="58">
        <f>AD118-AD119-AD120</f>
        <v>1192.2200000000005</v>
      </c>
      <c r="AE121" s="58">
        <f t="shared" ref="AE121" si="396">AE118-AE119-AE120</f>
        <v>1578.4159999999997</v>
      </c>
      <c r="AF121" s="58">
        <f>AF118-AF119-AF120</f>
        <v>1410.8470000000002</v>
      </c>
      <c r="AG121" s="58">
        <f>AG118-AG119-AG120</f>
        <v>1756.4349999999995</v>
      </c>
    </row>
    <row r="122" spans="2:33" ht="13.5" customHeight="1">
      <c r="C122" s="68"/>
      <c r="D122" s="68"/>
      <c r="E122" s="68"/>
      <c r="F122" s="68"/>
      <c r="G122" s="68"/>
      <c r="H122" s="68"/>
      <c r="I122" s="68"/>
      <c r="J122" s="58"/>
      <c r="K122" s="14"/>
      <c r="L122" s="68"/>
      <c r="M122" s="68"/>
      <c r="N122" s="68"/>
      <c r="O122" s="67"/>
      <c r="P122" s="68"/>
      <c r="Q122" s="68"/>
      <c r="R122" s="68"/>
      <c r="S122" s="67"/>
      <c r="T122" s="68"/>
      <c r="U122" s="68"/>
      <c r="V122" s="68"/>
      <c r="W122" s="67"/>
      <c r="X122" s="68"/>
      <c r="Y122" s="68"/>
      <c r="Z122" s="68"/>
      <c r="AA122" s="67"/>
      <c r="AB122" s="68"/>
      <c r="AC122" s="68"/>
      <c r="AD122" s="68"/>
      <c r="AE122" s="67"/>
      <c r="AF122" s="68"/>
      <c r="AG122" s="68"/>
    </row>
    <row r="123" spans="2:33" ht="13.5" customHeight="1">
      <c r="B123" s="33" t="s">
        <v>189</v>
      </c>
      <c r="C123" s="58">
        <f t="shared" ref="C123" si="397">C121</f>
        <v>418.80500000000029</v>
      </c>
      <c r="D123" s="58">
        <f t="shared" ref="D123" si="398">D121</f>
        <v>128.05799999999999</v>
      </c>
      <c r="E123" s="58">
        <f>E121</f>
        <v>1534.5260000000007</v>
      </c>
      <c r="F123" s="58">
        <f>F121</f>
        <v>293.80200000000013</v>
      </c>
      <c r="G123" s="58">
        <f>G121</f>
        <v>-565.33299999999963</v>
      </c>
      <c r="H123" s="58">
        <f>H121</f>
        <v>-468.005</v>
      </c>
      <c r="I123" s="58">
        <f>I121</f>
        <v>1578.4159999999997</v>
      </c>
      <c r="J123" s="58">
        <f>AG123</f>
        <v>1756.4349999999995</v>
      </c>
      <c r="K123" s="58"/>
      <c r="L123" s="58">
        <f t="shared" ref="L123:N123" si="399">L121</f>
        <v>2199.3110000000001</v>
      </c>
      <c r="M123" s="58">
        <f t="shared" si="399"/>
        <v>2081.0399999999995</v>
      </c>
      <c r="N123" s="58">
        <f t="shared" si="399"/>
        <v>1887.5139999999994</v>
      </c>
      <c r="O123" s="58">
        <f>E123</f>
        <v>1534.5260000000007</v>
      </c>
      <c r="P123" s="58">
        <f t="shared" ref="P123:T123" si="400">P121</f>
        <v>748.83300000000008</v>
      </c>
      <c r="Q123" s="58">
        <f t="shared" si="400"/>
        <v>1436.6539999999995</v>
      </c>
      <c r="R123" s="58">
        <f t="shared" si="400"/>
        <v>837.65499999999929</v>
      </c>
      <c r="S123" s="58">
        <f t="shared" si="400"/>
        <v>293.80200000000013</v>
      </c>
      <c r="T123" s="58">
        <f t="shared" si="400"/>
        <v>-453.55800000000028</v>
      </c>
      <c r="U123" s="58">
        <f t="shared" ref="U123:X123" si="401">U121</f>
        <v>596.23799999999983</v>
      </c>
      <c r="V123" s="58">
        <f t="shared" si="401"/>
        <v>306.42399999999981</v>
      </c>
      <c r="W123" s="58">
        <f t="shared" si="401"/>
        <v>-565.33299999999963</v>
      </c>
      <c r="X123" s="58">
        <f t="shared" si="401"/>
        <v>-1559.2270000000003</v>
      </c>
      <c r="Y123" s="58">
        <f>Y121</f>
        <v>-198.04800000000023</v>
      </c>
      <c r="Z123" s="58">
        <f>Z121</f>
        <v>-340.678</v>
      </c>
      <c r="AA123" s="58">
        <f t="shared" ref="AA123:AB123" si="402">AA121</f>
        <v>-468.005</v>
      </c>
      <c r="AB123" s="58">
        <f t="shared" si="402"/>
        <v>-631.14800000000014</v>
      </c>
      <c r="AC123" s="58">
        <f>AC121</f>
        <v>164.85099999999966</v>
      </c>
      <c r="AD123" s="58">
        <f>AD121</f>
        <v>1192.2200000000005</v>
      </c>
      <c r="AE123" s="58">
        <f>AE121</f>
        <v>1578.4159999999997</v>
      </c>
      <c r="AF123" s="58">
        <f t="shared" ref="AF123" si="403">AF121</f>
        <v>1410.8470000000002</v>
      </c>
      <c r="AG123" s="58">
        <f>AG121</f>
        <v>1756.4349999999995</v>
      </c>
    </row>
    <row r="124" spans="2:33" ht="13.5" customHeight="1">
      <c r="B124" s="30" t="s">
        <v>190</v>
      </c>
      <c r="C124" s="66">
        <v>11841.174000000001</v>
      </c>
      <c r="D124" s="66">
        <v>11799.118</v>
      </c>
      <c r="E124" s="66">
        <v>10953.107</v>
      </c>
      <c r="F124" s="66">
        <v>13515.290999999999</v>
      </c>
      <c r="G124" s="66">
        <v>14593.669</v>
      </c>
      <c r="H124" s="66">
        <v>15766.7</v>
      </c>
      <c r="I124" s="66">
        <v>16451.133999999998</v>
      </c>
      <c r="J124" s="14">
        <f t="shared" ref="J124" si="404">AG124</f>
        <v>17067.98</v>
      </c>
      <c r="K124" s="14"/>
      <c r="L124" s="66">
        <v>12150.66</v>
      </c>
      <c r="M124" s="66">
        <v>12020.849</v>
      </c>
      <c r="N124" s="66">
        <v>12068.502</v>
      </c>
      <c r="O124" s="14">
        <f>E124</f>
        <v>10953.107</v>
      </c>
      <c r="P124" s="66">
        <v>12402.352999999999</v>
      </c>
      <c r="Q124" s="66">
        <v>12823.762000000001</v>
      </c>
      <c r="R124" s="66">
        <v>13061.164000000001</v>
      </c>
      <c r="S124" s="14">
        <f>F124</f>
        <v>13515.290999999999</v>
      </c>
      <c r="T124" s="66">
        <v>14083.741</v>
      </c>
      <c r="U124" s="66">
        <v>14077.039000000001</v>
      </c>
      <c r="V124" s="66">
        <v>14091.897999999999</v>
      </c>
      <c r="W124" s="14">
        <f>G124</f>
        <v>14593.669</v>
      </c>
      <c r="X124" s="66">
        <v>15135.177</v>
      </c>
      <c r="Y124" s="66">
        <v>15195.209000000001</v>
      </c>
      <c r="Z124" s="66">
        <v>15175.446</v>
      </c>
      <c r="AA124" s="14">
        <f>H124</f>
        <v>15766.7</v>
      </c>
      <c r="AB124" s="66">
        <v>15648.687</v>
      </c>
      <c r="AC124" s="66">
        <v>16076.031999999999</v>
      </c>
      <c r="AD124" s="66">
        <v>15943.031000000001</v>
      </c>
      <c r="AE124" s="14">
        <f t="shared" ref="AE124" si="405">I124</f>
        <v>16451.133999999998</v>
      </c>
      <c r="AF124" s="66">
        <v>16226.257</v>
      </c>
      <c r="AG124" s="66">
        <v>17067.98</v>
      </c>
    </row>
    <row r="125" spans="2:33" s="33" customFormat="1" ht="13.5" customHeight="1">
      <c r="B125" s="33" t="s">
        <v>191</v>
      </c>
      <c r="C125" s="58">
        <f t="shared" ref="C125:G125" si="406">+C118+C124</f>
        <v>15282.876</v>
      </c>
      <c r="D125" s="58">
        <f t="shared" si="406"/>
        <v>15731.179</v>
      </c>
      <c r="E125" s="58">
        <f t="shared" si="406"/>
        <v>15046.822</v>
      </c>
      <c r="F125" s="58">
        <f t="shared" si="406"/>
        <v>17348.312999999998</v>
      </c>
      <c r="G125" s="58">
        <f t="shared" si="406"/>
        <v>18247.294999999998</v>
      </c>
      <c r="H125" s="58">
        <f t="shared" ref="H125:I125" si="407">+H118+H124</f>
        <v>19527.881000000001</v>
      </c>
      <c r="I125" s="58">
        <f t="shared" si="407"/>
        <v>20465.180999999997</v>
      </c>
      <c r="J125" s="58">
        <f>+J118+J124</f>
        <v>21421.316999999999</v>
      </c>
      <c r="K125" s="58"/>
      <c r="L125" s="58">
        <f t="shared" ref="L125:O125" si="408">+L118+L124</f>
        <v>16045.4</v>
      </c>
      <c r="M125" s="58">
        <f t="shared" si="408"/>
        <v>15951.867</v>
      </c>
      <c r="N125" s="58">
        <f t="shared" si="408"/>
        <v>15956.112999999999</v>
      </c>
      <c r="O125" s="58">
        <f t="shared" si="408"/>
        <v>15046.822</v>
      </c>
      <c r="P125" s="58">
        <f t="shared" ref="P125:T125" si="409">+P118+P124</f>
        <v>16497.187999999998</v>
      </c>
      <c r="Q125" s="58">
        <f t="shared" si="409"/>
        <v>17066.805</v>
      </c>
      <c r="R125" s="58">
        <f t="shared" si="409"/>
        <v>17334.875</v>
      </c>
      <c r="S125" s="58">
        <f t="shared" si="409"/>
        <v>17348.312999999998</v>
      </c>
      <c r="T125" s="58">
        <f t="shared" si="409"/>
        <v>17932.862000000001</v>
      </c>
      <c r="U125" s="58">
        <f t="shared" ref="U125:Z125" si="410">+U118+U124</f>
        <v>17737.907999999999</v>
      </c>
      <c r="V125" s="58">
        <f t="shared" si="410"/>
        <v>17693.112000000001</v>
      </c>
      <c r="W125" s="58">
        <f t="shared" si="410"/>
        <v>18247.294999999998</v>
      </c>
      <c r="X125" s="58">
        <f t="shared" si="410"/>
        <v>18820.561000000002</v>
      </c>
      <c r="Y125" s="58">
        <f t="shared" si="410"/>
        <v>18828.670000000002</v>
      </c>
      <c r="Z125" s="58">
        <f t="shared" si="410"/>
        <v>18955.263999999999</v>
      </c>
      <c r="AA125" s="58">
        <f t="shared" ref="AA125:AD125" si="411">+AA118+AA124</f>
        <v>19527.881000000001</v>
      </c>
      <c r="AB125" s="58">
        <f t="shared" si="411"/>
        <v>19531.205000000002</v>
      </c>
      <c r="AC125" s="58">
        <f t="shared" si="411"/>
        <v>19958.768</v>
      </c>
      <c r="AD125" s="58">
        <f t="shared" si="411"/>
        <v>19918.376</v>
      </c>
      <c r="AE125" s="58">
        <f t="shared" ref="AE125:AG125" si="412">+AE118+AE124</f>
        <v>20465.180999999997</v>
      </c>
      <c r="AF125" s="58">
        <f t="shared" si="412"/>
        <v>20169.300999999999</v>
      </c>
      <c r="AG125" s="58">
        <f t="shared" si="412"/>
        <v>21421.316999999999</v>
      </c>
    </row>
    <row r="126" spans="2:33" ht="13.5" customHeight="1"/>
    <row r="127" spans="2:33" ht="13.5" customHeight="1">
      <c r="B127" s="55" t="s">
        <v>192</v>
      </c>
      <c r="C127" s="59">
        <f t="shared" ref="C127:H127" si="413">C3</f>
        <v>43830</v>
      </c>
      <c r="D127" s="59">
        <f t="shared" si="413"/>
        <v>44196</v>
      </c>
      <c r="E127" s="59">
        <f t="shared" si="413"/>
        <v>44561</v>
      </c>
      <c r="F127" s="59">
        <f t="shared" si="413"/>
        <v>44926</v>
      </c>
      <c r="G127" s="59">
        <f t="shared" si="413"/>
        <v>45291</v>
      </c>
      <c r="H127" s="59">
        <f t="shared" si="413"/>
        <v>45657</v>
      </c>
      <c r="I127" s="59">
        <f t="shared" ref="I127" si="414">I3</f>
        <v>46022</v>
      </c>
      <c r="J127" s="59" t="str">
        <f>J2</f>
        <v>LTM</v>
      </c>
      <c r="K127" s="175"/>
      <c r="L127" s="59">
        <f t="shared" ref="L127:AB127" si="415">L3</f>
        <v>44286</v>
      </c>
      <c r="M127" s="59">
        <f t="shared" si="415"/>
        <v>44377</v>
      </c>
      <c r="N127" s="59">
        <f t="shared" si="415"/>
        <v>44469</v>
      </c>
      <c r="O127" s="59">
        <f t="shared" si="415"/>
        <v>44561</v>
      </c>
      <c r="P127" s="59">
        <f t="shared" si="415"/>
        <v>44651</v>
      </c>
      <c r="Q127" s="59">
        <f t="shared" si="415"/>
        <v>44742</v>
      </c>
      <c r="R127" s="59">
        <f t="shared" si="415"/>
        <v>44834</v>
      </c>
      <c r="S127" s="59">
        <f t="shared" si="415"/>
        <v>44926</v>
      </c>
      <c r="T127" s="59">
        <f t="shared" si="415"/>
        <v>45016</v>
      </c>
      <c r="U127" s="59">
        <f t="shared" si="415"/>
        <v>45107</v>
      </c>
      <c r="V127" s="59">
        <f t="shared" si="415"/>
        <v>45199</v>
      </c>
      <c r="W127" s="59">
        <f t="shared" si="415"/>
        <v>45291</v>
      </c>
      <c r="X127" s="59">
        <f t="shared" si="415"/>
        <v>45382</v>
      </c>
      <c r="Y127" s="59">
        <f t="shared" si="415"/>
        <v>45473</v>
      </c>
      <c r="Z127" s="59">
        <f t="shared" si="415"/>
        <v>45565</v>
      </c>
      <c r="AA127" s="59">
        <f t="shared" si="415"/>
        <v>45657</v>
      </c>
      <c r="AB127" s="59">
        <f t="shared" si="415"/>
        <v>45747</v>
      </c>
      <c r="AC127" s="59">
        <f t="shared" ref="AC127:AF127" si="416">AC3</f>
        <v>45838</v>
      </c>
      <c r="AD127" s="59">
        <f t="shared" si="416"/>
        <v>45930</v>
      </c>
      <c r="AE127" s="59">
        <f t="shared" si="416"/>
        <v>46022</v>
      </c>
      <c r="AF127" s="59">
        <f t="shared" si="416"/>
        <v>46112</v>
      </c>
      <c r="AG127" s="59">
        <f t="shared" ref="AG127" si="417">AG3</f>
        <v>46203</v>
      </c>
    </row>
    <row r="128" spans="2:33" ht="13.5" customHeight="1">
      <c r="B128" s="33"/>
    </row>
    <row r="129" spans="2:33" ht="13.5" customHeight="1">
      <c r="B129" s="8" t="s">
        <v>193</v>
      </c>
      <c r="C129" s="95">
        <f t="shared" ref="C129:G129" si="418">IF((C121-C113)&lt;0,"net cash",(C121-C113)/C90)</f>
        <v>6.3185576481396485E-2</v>
      </c>
      <c r="D129" s="95" t="str">
        <f t="shared" si="418"/>
        <v>net cash</v>
      </c>
      <c r="E129" s="95">
        <f t="shared" si="418"/>
        <v>0.1026160928742996</v>
      </c>
      <c r="F129" s="95" t="str">
        <f t="shared" si="418"/>
        <v>net cash</v>
      </c>
      <c r="G129" s="95" t="str">
        <f t="shared" si="418"/>
        <v>net cash</v>
      </c>
      <c r="H129" s="95" t="str">
        <f t="shared" ref="H129:I129" si="419">IF((H121-H113)&lt;0,"net cash",(H121-H113)/H90)</f>
        <v>net cash</v>
      </c>
      <c r="I129" s="95">
        <f t="shared" si="419"/>
        <v>7.2594694425789086E-2</v>
      </c>
      <c r="J129" s="95">
        <f>IF((J121-J113)&lt;0,"net cash",(J121-J113)/J90)</f>
        <v>0.10161461744566827</v>
      </c>
      <c r="L129" s="112"/>
      <c r="M129" s="112"/>
      <c r="N129" s="112"/>
      <c r="O129" s="95">
        <f t="shared" ref="O129" si="420">IF((O121-O113)&lt;0,"net cash",(O121-O113)/O90)</f>
        <v>0.1026160928742996</v>
      </c>
      <c r="P129" s="95" t="str">
        <f t="shared" ref="P129:S129" si="421">IF((P121-P113)&lt;0,"net cash",(P121-P113)/P90)</f>
        <v>net cash</v>
      </c>
      <c r="Q129" s="95">
        <f t="shared" si="421"/>
        <v>9.5966578424884111E-2</v>
      </c>
      <c r="R129" s="95" t="str">
        <f t="shared" si="421"/>
        <v>net cash</v>
      </c>
      <c r="S129" s="95" t="str">
        <f t="shared" si="421"/>
        <v>net cash</v>
      </c>
      <c r="T129" s="95" t="str">
        <f t="shared" ref="T129:W129" si="422">IF((T121-T113)&lt;0,"net cash",(T121-T113)/T90)</f>
        <v>net cash</v>
      </c>
      <c r="U129" s="95" t="str">
        <f t="shared" si="422"/>
        <v>net cash</v>
      </c>
      <c r="V129" s="95" t="str">
        <f t="shared" si="422"/>
        <v>net cash</v>
      </c>
      <c r="W129" s="95" t="str">
        <f t="shared" si="422"/>
        <v>net cash</v>
      </c>
      <c r="X129" s="95" t="str">
        <f t="shared" ref="X129:AA129" si="423">IF((X121-X113)&lt;0,"net cash",(X121-X113)/X90)</f>
        <v>net cash</v>
      </c>
      <c r="Y129" s="95" t="str">
        <f t="shared" si="423"/>
        <v>net cash</v>
      </c>
      <c r="Z129" s="95" t="str">
        <f t="shared" si="423"/>
        <v>net cash</v>
      </c>
      <c r="AA129" s="95" t="str">
        <f t="shared" si="423"/>
        <v>net cash</v>
      </c>
      <c r="AB129" s="95" t="str">
        <f t="shared" ref="AB129:AE129" si="424">IF((AB121-AB113)&lt;0,"net cash",(AB121-AB113)/AB90)</f>
        <v>net cash</v>
      </c>
      <c r="AC129" s="95" t="str">
        <f t="shared" si="424"/>
        <v>net cash</v>
      </c>
      <c r="AD129" s="95">
        <f t="shared" si="424"/>
        <v>1.0283719402004343E-2</v>
      </c>
      <c r="AE129" s="95">
        <f t="shared" si="424"/>
        <v>7.2594694425789086E-2</v>
      </c>
      <c r="AF129" s="95">
        <f t="shared" ref="AF129:AG129" si="425">IF((AF121-AF113)&lt;0,"net cash",(AF121-AF113)/AF90)</f>
        <v>4.865021912027271E-2</v>
      </c>
      <c r="AG129" s="95">
        <f t="shared" si="425"/>
        <v>0.10161461744566827</v>
      </c>
    </row>
    <row r="130" spans="2:33" ht="13.5" customHeight="1">
      <c r="B130" s="13" t="s">
        <v>194</v>
      </c>
      <c r="C130" s="64">
        <f t="shared" ref="C130:G130" si="426">(C118-C113)/C90</f>
        <v>0.75746600826825905</v>
      </c>
      <c r="D130" s="64">
        <f t="shared" si="426"/>
        <v>0.97523747152619589</v>
      </c>
      <c r="E130" s="64">
        <f t="shared" si="426"/>
        <v>0.61486369095276228</v>
      </c>
      <c r="F130" s="64">
        <f t="shared" si="426"/>
        <v>0.39550330846121362</v>
      </c>
      <c r="G130" s="64">
        <f t="shared" si="426"/>
        <v>0.4329616042281984</v>
      </c>
      <c r="H130" s="64">
        <f t="shared" ref="H130:I130" si="427">(H118-H113)/H90</f>
        <v>0.43258588672237697</v>
      </c>
      <c r="I130" s="64">
        <f t="shared" si="427"/>
        <v>0.48153206850235053</v>
      </c>
      <c r="J130" s="64">
        <f>(J118-J113)/J90</f>
        <v>0.4881734147067579</v>
      </c>
      <c r="L130" s="113"/>
      <c r="M130" s="113"/>
      <c r="N130" s="113"/>
      <c r="O130" s="64">
        <f t="shared" ref="O130:R130" si="428">(O118-O113)/O90</f>
        <v>0.61486369095276228</v>
      </c>
      <c r="P130" s="64">
        <f t="shared" si="428"/>
        <v>0.55346796256299502</v>
      </c>
      <c r="Q130" s="64">
        <f t="shared" si="428"/>
        <v>0.56029301786896091</v>
      </c>
      <c r="R130" s="64">
        <f t="shared" si="428"/>
        <v>0.50575839028094149</v>
      </c>
      <c r="S130" s="64">
        <f t="shared" ref="S130:V130" si="429">(S118-S113)/S90</f>
        <v>0.39550330846121362</v>
      </c>
      <c r="T130" s="64">
        <f t="shared" si="429"/>
        <v>0.39643073897162123</v>
      </c>
      <c r="U130" s="64">
        <f t="shared" si="429"/>
        <v>0.40376436021742323</v>
      </c>
      <c r="V130" s="64">
        <f t="shared" si="429"/>
        <v>0.41189305135951659</v>
      </c>
      <c r="W130" s="64">
        <f t="shared" ref="W130:Z130" si="430">(W118-W113)/W90</f>
        <v>0.4329616042281984</v>
      </c>
      <c r="X130" s="64">
        <f t="shared" si="430"/>
        <v>0.42768050117462802</v>
      </c>
      <c r="Y130" s="64">
        <f t="shared" si="430"/>
        <v>0.40908233173076919</v>
      </c>
      <c r="Z130" s="64">
        <f t="shared" si="430"/>
        <v>0.43259101978691011</v>
      </c>
      <c r="AA130" s="64">
        <f t="shared" ref="AA130:AD130" si="431">(AA118-AA113)/AA90</f>
        <v>0.43258588672237697</v>
      </c>
      <c r="AB130" s="64">
        <f t="shared" si="431"/>
        <v>0.43684824355971896</v>
      </c>
      <c r="AC130" s="64">
        <f t="shared" si="431"/>
        <v>0.45870218270008084</v>
      </c>
      <c r="AD130" s="64">
        <f t="shared" si="431"/>
        <v>0.46750813208477088</v>
      </c>
      <c r="AE130" s="64">
        <f t="shared" ref="AE130:AG130" si="432">(AE118-AE113)/AE90</f>
        <v>0.48153206850235053</v>
      </c>
      <c r="AF130" s="64">
        <f t="shared" si="432"/>
        <v>0.45965443921441335</v>
      </c>
      <c r="AG130" s="64">
        <f t="shared" si="432"/>
        <v>0.4881734147067579</v>
      </c>
    </row>
    <row r="131" spans="2:33" ht="13.5" customHeight="1">
      <c r="B131" s="8"/>
      <c r="L131" s="114"/>
      <c r="M131" s="114"/>
      <c r="N131" s="114"/>
    </row>
    <row r="132" spans="2:33" s="33" customFormat="1" ht="13.5" customHeight="1">
      <c r="B132" s="8" t="s">
        <v>195</v>
      </c>
      <c r="C132" s="95">
        <f t="shared" ref="C132:G132" si="433">IF(C121&lt;0,"net cash", C121/C90)</f>
        <v>9.6188562241616968E-2</v>
      </c>
      <c r="D132" s="95">
        <f t="shared" si="433"/>
        <v>3.6462984054669703E-2</v>
      </c>
      <c r="E132" s="95">
        <f t="shared" si="433"/>
        <v>0.30715092073658939</v>
      </c>
      <c r="F132" s="95">
        <f t="shared" si="433"/>
        <v>4.1363086019991571E-2</v>
      </c>
      <c r="G132" s="95" t="str">
        <f t="shared" si="433"/>
        <v>net cash</v>
      </c>
      <c r="H132" s="95" t="str">
        <f t="shared" ref="H132:I132" si="434">IF(H121&lt;0,"net cash", H121/H90)</f>
        <v>net cash</v>
      </c>
      <c r="I132" s="95">
        <f t="shared" si="434"/>
        <v>0.26501276024177295</v>
      </c>
      <c r="J132" s="95">
        <f>IF(J121&lt;0,"net cash", J121/J90)</f>
        <v>0.26145206906817497</v>
      </c>
      <c r="K132" s="65"/>
      <c r="L132" s="112"/>
      <c r="M132" s="112"/>
      <c r="N132" s="112"/>
      <c r="O132" s="95">
        <f t="shared" ref="O132" si="435">IF(O121&lt;0,"net cash", O121/O90)</f>
        <v>0.30715092073658939</v>
      </c>
      <c r="P132" s="95">
        <f t="shared" ref="P132:S132" si="436">IF(P121&lt;0,"net cash", P121/P90)</f>
        <v>0.13477915766738663</v>
      </c>
      <c r="Q132" s="95">
        <f t="shared" si="436"/>
        <v>0.23769920582395757</v>
      </c>
      <c r="R132" s="95">
        <f t="shared" si="436"/>
        <v>0.12720652999240689</v>
      </c>
      <c r="S132" s="95">
        <f t="shared" si="436"/>
        <v>4.1363086019991571E-2</v>
      </c>
      <c r="T132" s="95" t="str">
        <f t="shared" ref="T132:W132" si="437">IF(T121&lt;0,"net cash", T121/T90)</f>
        <v>net cash</v>
      </c>
      <c r="U132" s="95">
        <f t="shared" si="437"/>
        <v>8.75918907007492E-2</v>
      </c>
      <c r="V132" s="95">
        <f t="shared" si="437"/>
        <v>4.6287613293051331E-2</v>
      </c>
      <c r="W132" s="95" t="str">
        <f t="shared" si="437"/>
        <v>net cash</v>
      </c>
      <c r="X132" s="95" t="str">
        <f t="shared" ref="X132:AA132" si="438">IF(X121&lt;0,"net cash", X121/X90)</f>
        <v>net cash</v>
      </c>
      <c r="Y132" s="95" t="str">
        <f t="shared" si="438"/>
        <v>net cash</v>
      </c>
      <c r="Z132" s="95" t="str">
        <f t="shared" si="438"/>
        <v>net cash</v>
      </c>
      <c r="AA132" s="95" t="str">
        <f t="shared" si="438"/>
        <v>net cash</v>
      </c>
      <c r="AB132" s="95" t="str">
        <f t="shared" ref="AB132:AE132" si="439">IF(AB121&lt;0,"net cash", AB121/AB90)</f>
        <v>net cash</v>
      </c>
      <c r="AC132" s="95">
        <f t="shared" si="439"/>
        <v>2.6653354890864941E-2</v>
      </c>
      <c r="AD132" s="95">
        <f t="shared" si="439"/>
        <v>0.19586331526203393</v>
      </c>
      <c r="AE132" s="95">
        <f t="shared" si="439"/>
        <v>0.26501276024177295</v>
      </c>
      <c r="AF132" s="95">
        <f t="shared" ref="AF132:AG132" si="440">IF(AF121&lt;0,"net cash", AF121/AF90)</f>
        <v>0.22899642915111187</v>
      </c>
      <c r="AG132" s="95">
        <f t="shared" si="440"/>
        <v>0.26145206906817497</v>
      </c>
    </row>
    <row r="133" spans="2:33" ht="13.5" customHeight="1">
      <c r="B133" s="13" t="s">
        <v>196</v>
      </c>
      <c r="C133" s="64">
        <f t="shared" ref="C133:G133" si="441">+C118/C90</f>
        <v>0.79046899402847959</v>
      </c>
      <c r="D133" s="64">
        <f t="shared" si="441"/>
        <v>1.119607346241458</v>
      </c>
      <c r="E133" s="64">
        <f t="shared" si="441"/>
        <v>0.81939851881505221</v>
      </c>
      <c r="F133" s="64">
        <f t="shared" si="441"/>
        <v>0.53963423905392083</v>
      </c>
      <c r="G133" s="64">
        <f t="shared" si="441"/>
        <v>0.5679505673869113</v>
      </c>
      <c r="H133" s="64">
        <f t="shared" ref="H133:I133" si="442">+H118/H90</f>
        <v>0.58204596100278549</v>
      </c>
      <c r="I133" s="64">
        <f t="shared" si="442"/>
        <v>0.67395013431833439</v>
      </c>
      <c r="J133" s="64">
        <f>+J118/J90</f>
        <v>0.64801086632926463</v>
      </c>
      <c r="K133" s="64"/>
      <c r="L133" s="113"/>
      <c r="M133" s="113"/>
      <c r="N133" s="113"/>
      <c r="O133" s="64">
        <f t="shared" ref="O133:R133" si="443">+O118/O90</f>
        <v>0.81939851881505221</v>
      </c>
      <c r="P133" s="64">
        <f t="shared" si="443"/>
        <v>0.73701133909287253</v>
      </c>
      <c r="Q133" s="64">
        <f t="shared" si="443"/>
        <v>0.70202564526803435</v>
      </c>
      <c r="R133" s="64">
        <f t="shared" si="443"/>
        <v>0.64900698557327252</v>
      </c>
      <c r="S133" s="64">
        <f t="shared" ref="S133:V133" si="444">+S118/S90</f>
        <v>0.53963423905392083</v>
      </c>
      <c r="T133" s="64">
        <f t="shared" si="444"/>
        <v>0.54075878055633608</v>
      </c>
      <c r="U133" s="64">
        <f t="shared" si="444"/>
        <v>0.53780946084912584</v>
      </c>
      <c r="V133" s="64">
        <f t="shared" si="444"/>
        <v>0.5439900302114804</v>
      </c>
      <c r="W133" s="64">
        <f t="shared" ref="W133:Z133" si="445">+W118/W90</f>
        <v>0.5679505673869113</v>
      </c>
      <c r="X133" s="64">
        <f t="shared" si="445"/>
        <v>0.57719404855129208</v>
      </c>
      <c r="Y133" s="64">
        <f t="shared" si="445"/>
        <v>0.54589257812499992</v>
      </c>
      <c r="Z133" s="64">
        <f t="shared" si="445"/>
        <v>0.57531476407914761</v>
      </c>
      <c r="AA133" s="64">
        <f t="shared" ref="AA133:AD133" si="446">+AA118/AA90</f>
        <v>0.58204596100278549</v>
      </c>
      <c r="AB133" s="64">
        <f t="shared" si="446"/>
        <v>0.60616986729117872</v>
      </c>
      <c r="AC133" s="64">
        <f t="shared" si="446"/>
        <v>0.62776653193209375</v>
      </c>
      <c r="AD133" s="64">
        <f t="shared" si="446"/>
        <v>0.65308772794480041</v>
      </c>
      <c r="AE133" s="64">
        <f t="shared" ref="AE133:AG133" si="447">+AE118/AE90</f>
        <v>0.67395013431833439</v>
      </c>
      <c r="AF133" s="64">
        <f t="shared" si="447"/>
        <v>0.64000064924525246</v>
      </c>
      <c r="AG133" s="64">
        <f t="shared" si="447"/>
        <v>0.64801086632926463</v>
      </c>
    </row>
    <row r="134" spans="2:33" ht="13.5" customHeight="1">
      <c r="C134" s="64"/>
      <c r="D134" s="64"/>
      <c r="E134" s="64"/>
      <c r="F134" s="64"/>
      <c r="G134" s="64"/>
      <c r="H134" s="64"/>
      <c r="I134" s="64"/>
      <c r="J134" s="64"/>
      <c r="K134" s="64"/>
      <c r="L134" s="113"/>
      <c r="M134" s="113"/>
      <c r="N134" s="113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</row>
    <row r="135" spans="2:33" ht="13.5" customHeight="1">
      <c r="B135" s="33" t="s">
        <v>197</v>
      </c>
      <c r="C135" s="214">
        <f t="shared" ref="C135:G135" si="448">C123/C90</f>
        <v>9.6188562241616968E-2</v>
      </c>
      <c r="D135" s="214">
        <f t="shared" si="448"/>
        <v>3.6462984054669703E-2</v>
      </c>
      <c r="E135" s="214">
        <f t="shared" si="448"/>
        <v>0.30715092073658939</v>
      </c>
      <c r="F135" s="214">
        <f t="shared" si="448"/>
        <v>4.1363086019991571E-2</v>
      </c>
      <c r="G135" s="214">
        <f t="shared" si="448"/>
        <v>-8.7880149230530016E-2</v>
      </c>
      <c r="H135" s="214">
        <f>H123/H90</f>
        <v>-7.242417208294645E-2</v>
      </c>
      <c r="I135" s="214">
        <f>I123/I90</f>
        <v>0.26501276024177295</v>
      </c>
      <c r="J135" s="214">
        <f>J123/J90</f>
        <v>0.26145206906817497</v>
      </c>
      <c r="K135" s="214"/>
      <c r="L135" s="215"/>
      <c r="M135" s="215"/>
      <c r="N135" s="215"/>
      <c r="O135" s="214">
        <f t="shared" ref="O135:R135" si="449">O123/O90</f>
        <v>0.30715092073658939</v>
      </c>
      <c r="P135" s="214">
        <f t="shared" si="449"/>
        <v>0.13477915766738663</v>
      </c>
      <c r="Q135" s="214">
        <f t="shared" si="449"/>
        <v>0.23769920582395757</v>
      </c>
      <c r="R135" s="214">
        <f t="shared" si="449"/>
        <v>0.12720652999240689</v>
      </c>
      <c r="S135" s="214">
        <f t="shared" ref="S135:V135" si="450">S123/S90</f>
        <v>4.1363086019991571E-2</v>
      </c>
      <c r="T135" s="214">
        <f t="shared" si="450"/>
        <v>-6.3719865130654724E-2</v>
      </c>
      <c r="U135" s="214">
        <f t="shared" si="450"/>
        <v>8.75918907007492E-2</v>
      </c>
      <c r="V135" s="214">
        <f t="shared" si="450"/>
        <v>4.6287613293051331E-2</v>
      </c>
      <c r="W135" s="214">
        <f t="shared" ref="W135:Z135" si="451">W123/W90</f>
        <v>-8.7880149230530016E-2</v>
      </c>
      <c r="X135" s="214">
        <f t="shared" si="451"/>
        <v>-0.24420156617071265</v>
      </c>
      <c r="Y135" s="214">
        <f t="shared" si="451"/>
        <v>-2.9754807692307726E-2</v>
      </c>
      <c r="Z135" s="214">
        <f t="shared" si="451"/>
        <v>-5.1853576864535768E-2</v>
      </c>
      <c r="AA135" s="214">
        <f t="shared" ref="AA135:AD135" si="452">AA123/AA90</f>
        <v>-7.242417208294645E-2</v>
      </c>
      <c r="AB135" s="214">
        <f t="shared" si="452"/>
        <v>-9.8539890710382536E-2</v>
      </c>
      <c r="AC135" s="214">
        <f t="shared" si="452"/>
        <v>2.6653354890864941E-2</v>
      </c>
      <c r="AD135" s="214">
        <f t="shared" si="452"/>
        <v>0.19586331526203393</v>
      </c>
      <c r="AE135" s="214">
        <f t="shared" ref="AE135:AG135" si="453">AE123/AE90</f>
        <v>0.26501276024177295</v>
      </c>
      <c r="AF135" s="214">
        <f t="shared" si="453"/>
        <v>0.22899642915111187</v>
      </c>
      <c r="AG135" s="214">
        <f t="shared" si="453"/>
        <v>0.26145206906817497</v>
      </c>
    </row>
    <row r="136" spans="2:33" ht="13.5" customHeight="1">
      <c r="C136" s="64"/>
      <c r="D136" s="64"/>
      <c r="E136" s="64"/>
      <c r="F136" s="64"/>
      <c r="G136" s="64"/>
      <c r="H136" s="64"/>
      <c r="I136" s="64"/>
      <c r="J136" s="64"/>
      <c r="K136" s="64"/>
      <c r="L136" s="113"/>
      <c r="M136" s="113"/>
      <c r="N136" s="113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</row>
    <row r="137" spans="2:33" s="33" customFormat="1" ht="13.5" customHeight="1">
      <c r="B137" s="33" t="s">
        <v>198</v>
      </c>
      <c r="C137" s="214">
        <f t="shared" ref="C137:G137" si="454">+(C90-C93)/C91</f>
        <v>19.393547874259369</v>
      </c>
      <c r="D137" s="214">
        <f t="shared" si="454"/>
        <v>14.742638853664721</v>
      </c>
      <c r="E137" s="214">
        <f t="shared" si="454"/>
        <v>23.433800296395717</v>
      </c>
      <c r="F137" s="214">
        <f t="shared" si="454"/>
        <v>35.273763465459119</v>
      </c>
      <c r="G137" s="214">
        <f t="shared" si="454"/>
        <v>29.776038768996511</v>
      </c>
      <c r="H137" s="214">
        <f t="shared" ref="H137:I137" si="455">+(H90-H93)/H91</f>
        <v>26.584008882264371</v>
      </c>
      <c r="I137" s="214">
        <f t="shared" si="455"/>
        <v>15.485761782280601</v>
      </c>
      <c r="J137" s="214">
        <f>+(J90-J93)/J91</f>
        <v>16.827409505095456</v>
      </c>
      <c r="K137" s="214"/>
      <c r="L137" s="215"/>
      <c r="M137" s="215"/>
      <c r="N137" s="215"/>
      <c r="O137" s="214">
        <f t="shared" ref="O137:R137" si="456">+(O90-O93)/O91</f>
        <v>23.433800296395717</v>
      </c>
      <c r="P137" s="214">
        <f t="shared" si="456"/>
        <v>27.785425586693847</v>
      </c>
      <c r="Q137" s="214">
        <f t="shared" si="456"/>
        <v>29.995604471432511</v>
      </c>
      <c r="R137" s="214">
        <f t="shared" si="456"/>
        <v>33.414297514243152</v>
      </c>
      <c r="S137" s="214">
        <f t="shared" ref="S137:V137" si="457">+(S90-S93)/S91</f>
        <v>35.273763465459119</v>
      </c>
      <c r="T137" s="214">
        <f t="shared" si="457"/>
        <v>32.936553317926702</v>
      </c>
      <c r="U137" s="214">
        <f t="shared" si="457"/>
        <v>30.900943883346759</v>
      </c>
      <c r="V137" s="214">
        <f t="shared" si="457"/>
        <v>29.275675564230138</v>
      </c>
      <c r="W137" s="214">
        <f t="shared" ref="W137:Z137" si="458">+(W90-W93)/W91</f>
        <v>29.776038768996511</v>
      </c>
      <c r="X137" s="214">
        <f t="shared" si="458"/>
        <v>30.042060187410783</v>
      </c>
      <c r="Y137" s="214">
        <f t="shared" si="458"/>
        <v>31.234386945016169</v>
      </c>
      <c r="Z137" s="214">
        <f t="shared" si="458"/>
        <v>28.319464602483464</v>
      </c>
      <c r="AA137" s="214">
        <f t="shared" ref="AA137:AD137" si="459">+(AA90-AA93)/AA91</f>
        <v>26.584008882264371</v>
      </c>
      <c r="AB137" s="214">
        <f t="shared" si="459"/>
        <v>24.993493296010367</v>
      </c>
      <c r="AC137" s="214">
        <f t="shared" si="459"/>
        <v>21.10668331374853</v>
      </c>
      <c r="AD137" s="214">
        <f t="shared" si="459"/>
        <v>18.834820198766721</v>
      </c>
      <c r="AE137" s="214">
        <f t="shared" ref="AE137:AG137" si="460">+(AE90-AE93)/AE91</f>
        <v>15.485761782280601</v>
      </c>
      <c r="AF137" s="214">
        <f t="shared" si="460"/>
        <v>13.58158517247654</v>
      </c>
      <c r="AG137" s="214">
        <f t="shared" si="460"/>
        <v>16.827409505095456</v>
      </c>
    </row>
    <row r="138" spans="2:33" ht="13.5" customHeight="1">
      <c r="B138" s="30" t="s">
        <v>199</v>
      </c>
      <c r="C138" s="64">
        <f t="shared" ref="C138:G138" si="461">+(C90)/C91</f>
        <v>26.6229676598815</v>
      </c>
      <c r="D138" s="64">
        <f t="shared" si="461"/>
        <v>22.26730915546538</v>
      </c>
      <c r="E138" s="64">
        <f t="shared" si="461"/>
        <v>34.924363168637981</v>
      </c>
      <c r="F138" s="64">
        <f t="shared" si="461"/>
        <v>47.792707625436513</v>
      </c>
      <c r="G138" s="64">
        <f t="shared" si="461"/>
        <v>47.09232526133934</v>
      </c>
      <c r="H138" s="64">
        <f t="shared" ref="H138:I138" si="462">+(H90)/H91</f>
        <v>49.141431808848807</v>
      </c>
      <c r="I138" s="64">
        <f t="shared" si="462"/>
        <v>38.980843363243082</v>
      </c>
      <c r="J138" s="64">
        <f>+(J90)/J91</f>
        <v>43.139596858605124</v>
      </c>
      <c r="K138" s="64"/>
      <c r="L138" s="113"/>
      <c r="M138" s="113"/>
      <c r="N138" s="113"/>
      <c r="O138" s="64">
        <f t="shared" ref="O138:R138" si="463">+(O90)/O91</f>
        <v>34.924363168637981</v>
      </c>
      <c r="P138" s="64">
        <f t="shared" si="463"/>
        <v>39.190514146251999</v>
      </c>
      <c r="Q138" s="64">
        <f t="shared" si="463"/>
        <v>41.705768699972396</v>
      </c>
      <c r="R138" s="64">
        <f t="shared" si="463"/>
        <v>46.488806681398124</v>
      </c>
      <c r="S138" s="64">
        <f t="shared" ref="S138:V138" si="464">+(S90)/S91</f>
        <v>47.792707625436513</v>
      </c>
      <c r="T138" s="64">
        <f t="shared" si="464"/>
        <v>46.999009574116855</v>
      </c>
      <c r="U138" s="64">
        <f t="shared" si="464"/>
        <v>46.863704897040293</v>
      </c>
      <c r="V138" s="64">
        <f t="shared" si="464"/>
        <v>45.495780300739469</v>
      </c>
      <c r="W138" s="64">
        <f t="shared" ref="W138:Z138" si="465">+(W90)/W91</f>
        <v>47.09232526133934</v>
      </c>
      <c r="X138" s="64">
        <f t="shared" si="465"/>
        <v>47.222489294510055</v>
      </c>
      <c r="Y138" s="64">
        <f t="shared" si="465"/>
        <v>48.926786239341361</v>
      </c>
      <c r="Z138" s="64">
        <f t="shared" si="465"/>
        <v>48.159387782029285</v>
      </c>
      <c r="AA138" s="64">
        <f t="shared" ref="AA138:AD138" si="466">+(AA90)/AA91</f>
        <v>49.141431808848807</v>
      </c>
      <c r="AB138" s="64">
        <f t="shared" si="466"/>
        <v>47.683568711240824</v>
      </c>
      <c r="AC138" s="64">
        <f t="shared" si="466"/>
        <v>45.424500587544067</v>
      </c>
      <c r="AD138" s="64">
        <f t="shared" si="466"/>
        <v>42.995486427496772</v>
      </c>
      <c r="AE138" s="64">
        <f t="shared" ref="AE138:AG138" si="467">+(AE90)/AE91</f>
        <v>38.980843363243082</v>
      </c>
      <c r="AF138" s="64">
        <f t="shared" si="467"/>
        <v>40.038732485897732</v>
      </c>
      <c r="AG138" s="64">
        <f t="shared" si="467"/>
        <v>43.139596858605124</v>
      </c>
    </row>
    <row r="139" spans="2:33" ht="13.5" customHeight="1"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</row>
    <row r="140" spans="2:33" s="33" customFormat="1" ht="13.5" customHeight="1">
      <c r="B140" s="62" t="s">
        <v>200</v>
      </c>
      <c r="C140" s="61">
        <f t="shared" ref="C140:G140" si="468">C121/C124</f>
        <v>3.5368536937300327E-2</v>
      </c>
      <c r="D140" s="61">
        <f t="shared" si="468"/>
        <v>1.0853184110880151E-2</v>
      </c>
      <c r="E140" s="61">
        <f t="shared" si="468"/>
        <v>0.14009960826640339</v>
      </c>
      <c r="F140" s="61">
        <f t="shared" si="468"/>
        <v>2.1738488649633972E-2</v>
      </c>
      <c r="G140" s="61">
        <f t="shared" si="468"/>
        <v>-3.873823642293104E-2</v>
      </c>
      <c r="H140" s="61">
        <f t="shared" ref="H140:I140" si="469">H121/H124</f>
        <v>-2.9683129633975402E-2</v>
      </c>
      <c r="I140" s="61">
        <f t="shared" si="469"/>
        <v>9.5945726294612871E-2</v>
      </c>
      <c r="J140" s="61">
        <f t="shared" ref="J140" si="470">J121/J124</f>
        <v>0.10290819417412017</v>
      </c>
      <c r="K140" s="182"/>
      <c r="L140" s="61">
        <f t="shared" ref="L140:R140" si="471">L121/L124</f>
        <v>0.1810034187443316</v>
      </c>
      <c r="M140" s="61">
        <f t="shared" si="471"/>
        <v>0.17311921978222999</v>
      </c>
      <c r="N140" s="61">
        <f t="shared" si="471"/>
        <v>0.15640002379748533</v>
      </c>
      <c r="O140" s="61">
        <f t="shared" si="471"/>
        <v>0.14009960826640339</v>
      </c>
      <c r="P140" s="61">
        <f t="shared" si="471"/>
        <v>6.0378300795018505E-2</v>
      </c>
      <c r="Q140" s="61">
        <f t="shared" si="471"/>
        <v>0.11203061940793969</v>
      </c>
      <c r="R140" s="61">
        <f t="shared" si="471"/>
        <v>6.4133257954650844E-2</v>
      </c>
      <c r="S140" s="61">
        <f t="shared" ref="S140:V140" si="472">S121/S124</f>
        <v>2.1738488649633972E-2</v>
      </c>
      <c r="T140" s="61">
        <f t="shared" si="472"/>
        <v>-3.2204369563456209E-2</v>
      </c>
      <c r="U140" s="61">
        <f t="shared" si="472"/>
        <v>4.2355356122832352E-2</v>
      </c>
      <c r="V140" s="61">
        <f t="shared" si="472"/>
        <v>2.1744693298234193E-2</v>
      </c>
      <c r="W140" s="61">
        <f t="shared" ref="W140:Z140" si="473">W121/W124</f>
        <v>-3.873823642293104E-2</v>
      </c>
      <c r="X140" s="61">
        <f t="shared" si="473"/>
        <v>-0.10302007039626959</v>
      </c>
      <c r="Y140" s="61">
        <f t="shared" si="473"/>
        <v>-1.3033581834906004E-2</v>
      </c>
      <c r="Z140" s="61">
        <f t="shared" si="473"/>
        <v>-2.2449290781964497E-2</v>
      </c>
      <c r="AA140" s="61">
        <f t="shared" ref="AA140:AD140" si="474">AA121/AA124</f>
        <v>-2.9683129633975402E-2</v>
      </c>
      <c r="AB140" s="61">
        <f t="shared" si="474"/>
        <v>-4.0332329479144169E-2</v>
      </c>
      <c r="AC140" s="61">
        <f t="shared" si="474"/>
        <v>1.0254458314091417E-2</v>
      </c>
      <c r="AD140" s="61">
        <f t="shared" si="474"/>
        <v>7.4780008895422731E-2</v>
      </c>
      <c r="AE140" s="61">
        <f t="shared" ref="AE140:AG140" si="475">AE121/AE124</f>
        <v>9.5945726294612871E-2</v>
      </c>
      <c r="AF140" s="61">
        <f t="shared" si="475"/>
        <v>8.6948394814651359E-2</v>
      </c>
      <c r="AG140" s="61">
        <f t="shared" si="475"/>
        <v>0.10290819417412017</v>
      </c>
    </row>
    <row r="141" spans="2:33" s="33" customFormat="1" ht="13.5" customHeight="1"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</row>
    <row r="142" spans="2:33" s="33" customFormat="1" ht="13.5" customHeight="1"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</row>
    <row r="143" spans="2:33" ht="13.5" customHeight="1">
      <c r="B143" s="52" t="s">
        <v>201</v>
      </c>
      <c r="C143" s="59">
        <f t="shared" ref="C143:H143" si="476">C3</f>
        <v>43830</v>
      </c>
      <c r="D143" s="59">
        <f t="shared" si="476"/>
        <v>44196</v>
      </c>
      <c r="E143" s="59">
        <f t="shared" si="476"/>
        <v>44561</v>
      </c>
      <c r="F143" s="59">
        <f t="shared" si="476"/>
        <v>44926</v>
      </c>
      <c r="G143" s="59">
        <f t="shared" si="476"/>
        <v>45291</v>
      </c>
      <c r="H143" s="59">
        <f t="shared" si="476"/>
        <v>45657</v>
      </c>
      <c r="I143" s="59">
        <f t="shared" ref="I143" si="477">I3</f>
        <v>46022</v>
      </c>
      <c r="J143" s="59" t="str">
        <f>J2</f>
        <v>LTM</v>
      </c>
      <c r="K143" s="175"/>
      <c r="L143" s="59">
        <f t="shared" ref="L143:AB143" si="478">L3</f>
        <v>44286</v>
      </c>
      <c r="M143" s="59">
        <f t="shared" si="478"/>
        <v>44377</v>
      </c>
      <c r="N143" s="59">
        <f t="shared" si="478"/>
        <v>44469</v>
      </c>
      <c r="O143" s="59">
        <f t="shared" si="478"/>
        <v>44561</v>
      </c>
      <c r="P143" s="59">
        <f t="shared" si="478"/>
        <v>44651</v>
      </c>
      <c r="Q143" s="59">
        <f t="shared" si="478"/>
        <v>44742</v>
      </c>
      <c r="R143" s="59">
        <f t="shared" si="478"/>
        <v>44834</v>
      </c>
      <c r="S143" s="59">
        <f t="shared" si="478"/>
        <v>44926</v>
      </c>
      <c r="T143" s="59">
        <f t="shared" si="478"/>
        <v>45016</v>
      </c>
      <c r="U143" s="59">
        <f t="shared" si="478"/>
        <v>45107</v>
      </c>
      <c r="V143" s="59">
        <f t="shared" si="478"/>
        <v>45199</v>
      </c>
      <c r="W143" s="59">
        <f t="shared" si="478"/>
        <v>45291</v>
      </c>
      <c r="X143" s="59">
        <f t="shared" si="478"/>
        <v>45382</v>
      </c>
      <c r="Y143" s="59">
        <f t="shared" si="478"/>
        <v>45473</v>
      </c>
      <c r="Z143" s="59">
        <f t="shared" si="478"/>
        <v>45565</v>
      </c>
      <c r="AA143" s="59">
        <f t="shared" si="478"/>
        <v>45657</v>
      </c>
      <c r="AB143" s="59">
        <f t="shared" si="478"/>
        <v>45747</v>
      </c>
      <c r="AC143" s="59">
        <f t="shared" ref="AC143:AF143" si="479">AC3</f>
        <v>45838</v>
      </c>
      <c r="AD143" s="59">
        <f t="shared" si="479"/>
        <v>45930</v>
      </c>
      <c r="AE143" s="59">
        <f t="shared" si="479"/>
        <v>46022</v>
      </c>
      <c r="AF143" s="59">
        <f t="shared" si="479"/>
        <v>46112</v>
      </c>
      <c r="AG143" s="59">
        <f t="shared" ref="AG143" si="480">AG3</f>
        <v>46203</v>
      </c>
    </row>
    <row r="144" spans="2:33" ht="13.5" customHeight="1">
      <c r="B144" s="30" t="s">
        <v>202</v>
      </c>
      <c r="C144" s="14">
        <f t="shared" ref="C144:G144" si="481">C87</f>
        <v>6162.8122949999997</v>
      </c>
      <c r="D144" s="14">
        <f t="shared" si="481"/>
        <v>5135.5200000000004</v>
      </c>
      <c r="E144" s="14">
        <f t="shared" si="481"/>
        <v>6824.0069999999996</v>
      </c>
      <c r="F144" s="14">
        <f t="shared" si="481"/>
        <v>9421.487000000001</v>
      </c>
      <c r="G144" s="14">
        <f t="shared" si="481"/>
        <v>8639.1460000000006</v>
      </c>
      <c r="H144" s="14">
        <f t="shared" ref="H144:I144" si="482">H87</f>
        <v>8842.3009999999995</v>
      </c>
      <c r="I144" s="14">
        <f t="shared" si="482"/>
        <v>8562.1899999999987</v>
      </c>
      <c r="J144" s="14">
        <f>J87</f>
        <v>9669.378999999999</v>
      </c>
      <c r="K144" s="14"/>
      <c r="L144" s="97"/>
      <c r="M144" s="97"/>
      <c r="N144" s="97"/>
      <c r="O144" s="14">
        <f t="shared" ref="O144:R144" si="483">O87</f>
        <v>6824.0069999999996</v>
      </c>
      <c r="P144" s="14">
        <f t="shared" si="483"/>
        <v>7472.9130000000005</v>
      </c>
      <c r="Q144" s="14">
        <f t="shared" si="483"/>
        <v>8139.4690000000001</v>
      </c>
      <c r="R144" s="14">
        <f t="shared" si="483"/>
        <v>8800.4700000000012</v>
      </c>
      <c r="S144" s="14">
        <f t="shared" ref="S144:V144" si="484">S87</f>
        <v>9421.487000000001</v>
      </c>
      <c r="T144" s="14">
        <f t="shared" si="484"/>
        <v>9588.0830000000005</v>
      </c>
      <c r="U144" s="14">
        <f t="shared" si="484"/>
        <v>9130.2989999999991</v>
      </c>
      <c r="V144" s="14">
        <f t="shared" si="484"/>
        <v>8922.3809999999994</v>
      </c>
      <c r="W144" s="14">
        <f t="shared" ref="W144:Z144" si="485">W87</f>
        <v>8639.1460000000006</v>
      </c>
      <c r="X144" s="14">
        <f t="shared" si="485"/>
        <v>8534.8159999999989</v>
      </c>
      <c r="Y144" s="14">
        <f t="shared" si="485"/>
        <v>8875.6929999999993</v>
      </c>
      <c r="Z144" s="14">
        <f t="shared" si="485"/>
        <v>8825.7439999999988</v>
      </c>
      <c r="AA144" s="14">
        <f t="shared" ref="AA144:AD144" si="486">AA87</f>
        <v>8842.3009999999995</v>
      </c>
      <c r="AB144" s="14">
        <f t="shared" si="486"/>
        <v>8815.1889999999985</v>
      </c>
      <c r="AC144" s="14">
        <f t="shared" si="486"/>
        <v>8667.6809999999987</v>
      </c>
      <c r="AD144" s="14">
        <f t="shared" si="486"/>
        <v>8620.9570000000003</v>
      </c>
      <c r="AE144" s="14">
        <f t="shared" ref="AE144:AG144" si="487">AE87</f>
        <v>8562.19</v>
      </c>
      <c r="AF144" s="14">
        <f t="shared" si="487"/>
        <v>8870.4889999999996</v>
      </c>
      <c r="AG144" s="14">
        <f t="shared" si="487"/>
        <v>9669.3790000000008</v>
      </c>
    </row>
    <row r="145" spans="2:33" ht="13.5" customHeight="1">
      <c r="B145" s="30" t="s">
        <v>203</v>
      </c>
      <c r="C145" s="14">
        <f t="shared" ref="C145:G145" si="488">C90</f>
        <v>4354</v>
      </c>
      <c r="D145" s="14">
        <f t="shared" si="488"/>
        <v>3512</v>
      </c>
      <c r="E145" s="14">
        <f t="shared" si="488"/>
        <v>4996</v>
      </c>
      <c r="F145" s="14">
        <f t="shared" si="488"/>
        <v>7103</v>
      </c>
      <c r="G145" s="14">
        <f t="shared" si="488"/>
        <v>6433</v>
      </c>
      <c r="H145" s="14">
        <f t="shared" ref="H145:I145" si="489">H90</f>
        <v>6462</v>
      </c>
      <c r="I145" s="14">
        <f t="shared" si="489"/>
        <v>5956</v>
      </c>
      <c r="J145" s="14">
        <f>J90</f>
        <v>6718</v>
      </c>
      <c r="K145" s="14"/>
      <c r="L145" s="97"/>
      <c r="M145" s="97"/>
      <c r="N145" s="97"/>
      <c r="O145" s="14">
        <f t="shared" ref="O145:R145" si="490">O90</f>
        <v>4996</v>
      </c>
      <c r="P145" s="14">
        <f t="shared" si="490"/>
        <v>5556</v>
      </c>
      <c r="Q145" s="14">
        <f t="shared" si="490"/>
        <v>6044</v>
      </c>
      <c r="R145" s="14">
        <f t="shared" si="490"/>
        <v>6585</v>
      </c>
      <c r="S145" s="14">
        <f t="shared" ref="S145:V145" si="491">S90</f>
        <v>7103</v>
      </c>
      <c r="T145" s="14">
        <f t="shared" si="491"/>
        <v>7118</v>
      </c>
      <c r="U145" s="14">
        <f t="shared" si="491"/>
        <v>6807</v>
      </c>
      <c r="V145" s="14">
        <f t="shared" si="491"/>
        <v>6620</v>
      </c>
      <c r="W145" s="14">
        <f t="shared" ref="W145:Z145" si="492">W90</f>
        <v>6433</v>
      </c>
      <c r="X145" s="14">
        <f t="shared" si="492"/>
        <v>6385</v>
      </c>
      <c r="Y145" s="14">
        <f t="shared" si="492"/>
        <v>6656</v>
      </c>
      <c r="Z145" s="14">
        <f t="shared" si="492"/>
        <v>6570</v>
      </c>
      <c r="AA145" s="14">
        <f t="shared" ref="AA145:AD145" si="493">AA90</f>
        <v>6462</v>
      </c>
      <c r="AB145" s="14">
        <f t="shared" si="493"/>
        <v>6405</v>
      </c>
      <c r="AC145" s="14">
        <f t="shared" si="493"/>
        <v>6185</v>
      </c>
      <c r="AD145" s="14">
        <f t="shared" si="493"/>
        <v>6087</v>
      </c>
      <c r="AE145" s="14">
        <f t="shared" ref="AE145:AG145" si="494">AE90</f>
        <v>5956</v>
      </c>
      <c r="AF145" s="14">
        <f t="shared" si="494"/>
        <v>6161</v>
      </c>
      <c r="AG145" s="14">
        <f t="shared" si="494"/>
        <v>6718</v>
      </c>
    </row>
    <row r="146" spans="2:33" ht="13.5" customHeight="1">
      <c r="B146" s="30" t="s">
        <v>204</v>
      </c>
      <c r="C146" s="31">
        <f t="shared" ref="C146:E146" si="495">C145/C144</f>
        <v>0.70649563731358145</v>
      </c>
      <c r="D146" s="31">
        <f t="shared" si="495"/>
        <v>0.6838645356263825</v>
      </c>
      <c r="E146" s="31">
        <f t="shared" si="495"/>
        <v>0.73212117162247936</v>
      </c>
      <c r="F146" s="31">
        <f t="shared" ref="F146:G146" si="496">F145/F144</f>
        <v>0.75391496055771234</v>
      </c>
      <c r="G146" s="31">
        <f t="shared" si="496"/>
        <v>0.74463378671919644</v>
      </c>
      <c r="H146" s="31">
        <f t="shared" ref="H146:I146" si="497">H145/H144</f>
        <v>0.73080525080519199</v>
      </c>
      <c r="I146" s="31">
        <f t="shared" si="497"/>
        <v>0.6956164252370014</v>
      </c>
      <c r="J146" s="31">
        <f t="shared" ref="J146" si="498">J145/J144</f>
        <v>0.69477057420130095</v>
      </c>
      <c r="K146" s="31"/>
      <c r="L146" s="115"/>
      <c r="M146" s="115"/>
      <c r="N146" s="115"/>
      <c r="O146" s="31">
        <f t="shared" ref="O146" si="499">O145/O144</f>
        <v>0.73212117162247936</v>
      </c>
      <c r="P146" s="31">
        <f t="shared" ref="P146:S146" si="500">P145/P144</f>
        <v>0.74348517104374157</v>
      </c>
      <c r="Q146" s="31">
        <f t="shared" si="500"/>
        <v>0.74255458187751555</v>
      </c>
      <c r="R146" s="31">
        <f t="shared" si="500"/>
        <v>0.74825549089991772</v>
      </c>
      <c r="S146" s="31">
        <f t="shared" si="500"/>
        <v>0.75391496055771234</v>
      </c>
      <c r="T146" s="31">
        <f t="shared" ref="T146:W146" si="501">T145/T144</f>
        <v>0.74237988970266522</v>
      </c>
      <c r="U146" s="31">
        <f t="shared" si="501"/>
        <v>0.74553965866835259</v>
      </c>
      <c r="V146" s="31">
        <f t="shared" si="501"/>
        <v>0.74195441777256543</v>
      </c>
      <c r="W146" s="31">
        <f t="shared" si="501"/>
        <v>0.74463378671919644</v>
      </c>
      <c r="X146" s="31">
        <f t="shared" ref="X146:AA146" si="502">X145/X144</f>
        <v>0.74811220300472803</v>
      </c>
      <c r="Y146" s="31">
        <f t="shared" si="502"/>
        <v>0.74991327437756139</v>
      </c>
      <c r="Z146" s="31">
        <f t="shared" si="502"/>
        <v>0.74441316222179121</v>
      </c>
      <c r="AA146" s="31">
        <f t="shared" si="502"/>
        <v>0.73080525080519199</v>
      </c>
      <c r="AB146" s="31">
        <f t="shared" ref="AB146:AE146" si="503">AB145/AB144</f>
        <v>0.72658680375429285</v>
      </c>
      <c r="AC146" s="31">
        <f t="shared" si="503"/>
        <v>0.71357033098010891</v>
      </c>
      <c r="AD146" s="31">
        <f t="shared" si="503"/>
        <v>0.70607010335395481</v>
      </c>
      <c r="AE146" s="31">
        <f t="shared" si="503"/>
        <v>0.69561642523700129</v>
      </c>
      <c r="AF146" s="31">
        <f t="shared" ref="AF146:AG146" si="504">AF145/AF144</f>
        <v>0.69455021025334684</v>
      </c>
      <c r="AG146" s="31">
        <f t="shared" si="504"/>
        <v>0.69477057420130073</v>
      </c>
    </row>
    <row r="147" spans="2:33" ht="13.5" customHeight="1">
      <c r="B147" s="30" t="s">
        <v>182</v>
      </c>
      <c r="C147" s="14">
        <f t="shared" ref="C147:G147" si="505">C118</f>
        <v>3441.7020000000002</v>
      </c>
      <c r="D147" s="14">
        <f t="shared" si="505"/>
        <v>3932.0610000000001</v>
      </c>
      <c r="E147" s="14">
        <f t="shared" si="505"/>
        <v>4093.7150000000006</v>
      </c>
      <c r="F147" s="14">
        <f t="shared" si="505"/>
        <v>3833.0219999999999</v>
      </c>
      <c r="G147" s="14">
        <f t="shared" si="505"/>
        <v>3653.6260000000002</v>
      </c>
      <c r="H147" s="14">
        <f t="shared" ref="H147:I147" si="506">H118</f>
        <v>3761.181</v>
      </c>
      <c r="I147" s="14">
        <f t="shared" si="506"/>
        <v>4014.0469999999996</v>
      </c>
      <c r="J147" s="14">
        <f t="shared" ref="J147" si="507">J118</f>
        <v>4353.3369999999995</v>
      </c>
      <c r="K147" s="14"/>
      <c r="L147" s="14">
        <f t="shared" ref="L147:O147" si="508">L118</f>
        <v>3894.7400000000002</v>
      </c>
      <c r="M147" s="14">
        <f t="shared" si="508"/>
        <v>3931.0179999999996</v>
      </c>
      <c r="N147" s="14">
        <f t="shared" si="508"/>
        <v>3887.6109999999994</v>
      </c>
      <c r="O147" s="14">
        <f t="shared" si="508"/>
        <v>4093.7150000000006</v>
      </c>
      <c r="P147" s="14">
        <f t="shared" ref="P147:S147" si="509">P118</f>
        <v>4094.835</v>
      </c>
      <c r="Q147" s="14">
        <f t="shared" si="509"/>
        <v>4243.0429999999997</v>
      </c>
      <c r="R147" s="14">
        <f t="shared" si="509"/>
        <v>4273.7109999999993</v>
      </c>
      <c r="S147" s="14">
        <f t="shared" si="509"/>
        <v>3833.0219999999999</v>
      </c>
      <c r="T147" s="14">
        <f t="shared" ref="T147:W147" si="510">T118</f>
        <v>3849.1210000000001</v>
      </c>
      <c r="U147" s="14">
        <f t="shared" si="510"/>
        <v>3660.8689999999997</v>
      </c>
      <c r="V147" s="14">
        <f t="shared" si="510"/>
        <v>3601.2139999999999</v>
      </c>
      <c r="W147" s="14">
        <f t="shared" si="510"/>
        <v>3653.6260000000002</v>
      </c>
      <c r="X147" s="14">
        <f t="shared" ref="X147:AA147" si="511">X118</f>
        <v>3685.384</v>
      </c>
      <c r="Y147" s="14">
        <f t="shared" si="511"/>
        <v>3633.4609999999998</v>
      </c>
      <c r="Z147" s="14">
        <f t="shared" si="511"/>
        <v>3779.8179999999998</v>
      </c>
      <c r="AA147" s="14">
        <f t="shared" si="511"/>
        <v>3761.181</v>
      </c>
      <c r="AB147" s="14">
        <f t="shared" ref="AB147:AE147" si="512">AB118</f>
        <v>3882.518</v>
      </c>
      <c r="AC147" s="14">
        <f t="shared" si="512"/>
        <v>3882.7359999999999</v>
      </c>
      <c r="AD147" s="14">
        <f t="shared" si="512"/>
        <v>3975.3450000000003</v>
      </c>
      <c r="AE147" s="14">
        <f t="shared" si="512"/>
        <v>4014.0469999999996</v>
      </c>
      <c r="AF147" s="14">
        <f t="shared" ref="AF147:AG147" si="513">AF118</f>
        <v>3943.0440000000003</v>
      </c>
      <c r="AG147" s="14">
        <f t="shared" si="513"/>
        <v>4353.3369999999995</v>
      </c>
    </row>
    <row r="148" spans="2:33" ht="13.5" customHeight="1">
      <c r="B148" s="30" t="s">
        <v>205</v>
      </c>
      <c r="C148" s="14">
        <f t="shared" ref="C148:E148" si="514">C119+C120</f>
        <v>3022.8969999999999</v>
      </c>
      <c r="D148" s="14">
        <f t="shared" si="514"/>
        <v>3804.0030000000002</v>
      </c>
      <c r="E148" s="14">
        <f t="shared" si="514"/>
        <v>2559.1889999999999</v>
      </c>
      <c r="F148" s="14">
        <f t="shared" ref="F148:G148" si="515">F119+F120</f>
        <v>3539.22</v>
      </c>
      <c r="G148" s="14">
        <f t="shared" si="515"/>
        <v>4218.9589999999998</v>
      </c>
      <c r="H148" s="14">
        <f t="shared" ref="H148:I148" si="516">H119+H120</f>
        <v>4229.1859999999997</v>
      </c>
      <c r="I148" s="14">
        <f t="shared" si="516"/>
        <v>2435.6309999999999</v>
      </c>
      <c r="J148" s="14">
        <f>J119+J120</f>
        <v>2596.902</v>
      </c>
      <c r="K148" s="14"/>
      <c r="L148" s="14">
        <f t="shared" ref="L148:O148" si="517">L119+L120</f>
        <v>1695.4290000000001</v>
      </c>
      <c r="M148" s="14">
        <f t="shared" si="517"/>
        <v>1849.9780000000001</v>
      </c>
      <c r="N148" s="14">
        <f t="shared" si="517"/>
        <v>2000.097</v>
      </c>
      <c r="O148" s="14">
        <f t="shared" si="517"/>
        <v>2559.1889999999999</v>
      </c>
      <c r="P148" s="14">
        <f t="shared" ref="P148:S148" si="518">P119+P120</f>
        <v>3346.002</v>
      </c>
      <c r="Q148" s="14">
        <f t="shared" si="518"/>
        <v>2806.3890000000001</v>
      </c>
      <c r="R148" s="14">
        <f t="shared" si="518"/>
        <v>3436.056</v>
      </c>
      <c r="S148" s="14">
        <f t="shared" si="518"/>
        <v>3539.22</v>
      </c>
      <c r="T148" s="14">
        <f t="shared" ref="T148:W148" si="519">T119+T120</f>
        <v>4302.6790000000001</v>
      </c>
      <c r="U148" s="14">
        <f t="shared" si="519"/>
        <v>3064.6309999999999</v>
      </c>
      <c r="V148" s="14">
        <f t="shared" si="519"/>
        <v>3294.79</v>
      </c>
      <c r="W148" s="14">
        <f t="shared" si="519"/>
        <v>4218.9589999999998</v>
      </c>
      <c r="X148" s="14">
        <f t="shared" ref="X148:AA148" si="520">X119+X120</f>
        <v>5244.6109999999999</v>
      </c>
      <c r="Y148" s="14">
        <f t="shared" si="520"/>
        <v>3831.509</v>
      </c>
      <c r="Z148" s="14">
        <f t="shared" si="520"/>
        <v>4120.4960000000001</v>
      </c>
      <c r="AA148" s="14">
        <f t="shared" si="520"/>
        <v>4229.1859999999997</v>
      </c>
      <c r="AB148" s="14">
        <f t="shared" ref="AB148:AE148" si="521">AB119+AB120</f>
        <v>4513.6660000000002</v>
      </c>
      <c r="AC148" s="14">
        <f t="shared" si="521"/>
        <v>3717.8850000000002</v>
      </c>
      <c r="AD148" s="14">
        <f t="shared" si="521"/>
        <v>2783.125</v>
      </c>
      <c r="AE148" s="14">
        <f t="shared" si="521"/>
        <v>2435.6309999999999</v>
      </c>
      <c r="AF148" s="14">
        <f t="shared" ref="AF148:AG148" si="522">AF119+AF120</f>
        <v>2532.1970000000001</v>
      </c>
      <c r="AG148" s="14">
        <f t="shared" si="522"/>
        <v>2596.902</v>
      </c>
    </row>
    <row r="149" spans="2:33" ht="13.5" customHeight="1">
      <c r="B149" s="30" t="s">
        <v>206</v>
      </c>
      <c r="C149" s="14">
        <f t="shared" ref="C149:E149" si="523">C147-C148</f>
        <v>418.80500000000029</v>
      </c>
      <c r="D149" s="14">
        <f t="shared" si="523"/>
        <v>128.05799999999999</v>
      </c>
      <c r="E149" s="14">
        <f t="shared" si="523"/>
        <v>1534.5260000000007</v>
      </c>
      <c r="F149" s="14">
        <f t="shared" ref="F149:G149" si="524">F147-F148</f>
        <v>293.80200000000013</v>
      </c>
      <c r="G149" s="14">
        <f t="shared" si="524"/>
        <v>-565.33299999999963</v>
      </c>
      <c r="H149" s="14">
        <f t="shared" ref="H149:I149" si="525">H147-H148</f>
        <v>-468.00499999999965</v>
      </c>
      <c r="I149" s="14">
        <f t="shared" si="525"/>
        <v>1578.4159999999997</v>
      </c>
      <c r="J149" s="14">
        <f t="shared" ref="J149" si="526">J147-J148</f>
        <v>1756.4349999999995</v>
      </c>
      <c r="K149" s="14"/>
      <c r="L149" s="14">
        <f t="shared" ref="L149:O149" si="527">L147-L148</f>
        <v>2199.3110000000001</v>
      </c>
      <c r="M149" s="14">
        <f t="shared" si="527"/>
        <v>2081.0399999999995</v>
      </c>
      <c r="N149" s="14">
        <f t="shared" si="527"/>
        <v>1887.5139999999994</v>
      </c>
      <c r="O149" s="14">
        <f t="shared" si="527"/>
        <v>1534.5260000000007</v>
      </c>
      <c r="P149" s="14">
        <f t="shared" ref="P149:S149" si="528">P147-P148</f>
        <v>748.83300000000008</v>
      </c>
      <c r="Q149" s="14">
        <f t="shared" si="528"/>
        <v>1436.6539999999995</v>
      </c>
      <c r="R149" s="14">
        <f t="shared" si="528"/>
        <v>837.65499999999929</v>
      </c>
      <c r="S149" s="14">
        <f t="shared" si="528"/>
        <v>293.80200000000013</v>
      </c>
      <c r="T149" s="14">
        <f t="shared" ref="T149:W149" si="529">T147-T148</f>
        <v>-453.55799999999999</v>
      </c>
      <c r="U149" s="14">
        <f t="shared" si="529"/>
        <v>596.23799999999983</v>
      </c>
      <c r="V149" s="14">
        <f t="shared" si="529"/>
        <v>306.42399999999998</v>
      </c>
      <c r="W149" s="14">
        <f t="shared" si="529"/>
        <v>-565.33299999999963</v>
      </c>
      <c r="X149" s="14">
        <f t="shared" ref="X149:AA149" si="530">X147-X148</f>
        <v>-1559.2269999999999</v>
      </c>
      <c r="Y149" s="14">
        <f t="shared" si="530"/>
        <v>-198.04800000000023</v>
      </c>
      <c r="Z149" s="14">
        <f t="shared" si="530"/>
        <v>-340.67800000000034</v>
      </c>
      <c r="AA149" s="14">
        <f t="shared" si="530"/>
        <v>-468.00499999999965</v>
      </c>
      <c r="AB149" s="14">
        <f t="shared" ref="AB149:AE149" si="531">AB147-AB148</f>
        <v>-631.14800000000014</v>
      </c>
      <c r="AC149" s="14">
        <f t="shared" si="531"/>
        <v>164.85099999999966</v>
      </c>
      <c r="AD149" s="14">
        <f t="shared" si="531"/>
        <v>1192.2200000000003</v>
      </c>
      <c r="AE149" s="14">
        <f t="shared" si="531"/>
        <v>1578.4159999999997</v>
      </c>
      <c r="AF149" s="14">
        <f t="shared" ref="AF149:AG149" si="532">AF147-AF148</f>
        <v>1410.8470000000002</v>
      </c>
      <c r="AG149" s="14">
        <f t="shared" si="532"/>
        <v>1756.4349999999995</v>
      </c>
    </row>
    <row r="150" spans="2:33" ht="13.5" customHeight="1">
      <c r="B150" s="30" t="s">
        <v>207</v>
      </c>
      <c r="C150" s="37">
        <f t="shared" ref="C150:G150" si="533">C133</f>
        <v>0.79046899402847959</v>
      </c>
      <c r="D150" s="37">
        <f t="shared" si="533"/>
        <v>1.119607346241458</v>
      </c>
      <c r="E150" s="37">
        <f t="shared" si="533"/>
        <v>0.81939851881505221</v>
      </c>
      <c r="F150" s="37">
        <f t="shared" si="533"/>
        <v>0.53963423905392083</v>
      </c>
      <c r="G150" s="37">
        <f t="shared" si="533"/>
        <v>0.5679505673869113</v>
      </c>
      <c r="H150" s="37">
        <f t="shared" ref="H150:I150" si="534">H133</f>
        <v>0.58204596100278549</v>
      </c>
      <c r="I150" s="37">
        <f t="shared" si="534"/>
        <v>0.67395013431833439</v>
      </c>
      <c r="J150" s="37">
        <f t="shared" ref="J150" si="535">J133</f>
        <v>0.64801086632926463</v>
      </c>
      <c r="K150" s="37"/>
      <c r="L150" s="116"/>
      <c r="M150" s="116"/>
      <c r="N150" s="116"/>
      <c r="O150" s="37">
        <f t="shared" ref="O150:R150" si="536">O133</f>
        <v>0.81939851881505221</v>
      </c>
      <c r="P150" s="37">
        <f t="shared" si="536"/>
        <v>0.73701133909287253</v>
      </c>
      <c r="Q150" s="37">
        <f t="shared" si="536"/>
        <v>0.70202564526803435</v>
      </c>
      <c r="R150" s="37">
        <f t="shared" si="536"/>
        <v>0.64900698557327252</v>
      </c>
      <c r="S150" s="37">
        <f t="shared" ref="S150:V150" si="537">S133</f>
        <v>0.53963423905392083</v>
      </c>
      <c r="T150" s="37">
        <f t="shared" si="537"/>
        <v>0.54075878055633608</v>
      </c>
      <c r="U150" s="37">
        <f t="shared" si="537"/>
        <v>0.53780946084912584</v>
      </c>
      <c r="V150" s="37">
        <f t="shared" si="537"/>
        <v>0.5439900302114804</v>
      </c>
      <c r="W150" s="37">
        <f t="shared" ref="W150:Z150" si="538">W133</f>
        <v>0.5679505673869113</v>
      </c>
      <c r="X150" s="37">
        <f t="shared" si="538"/>
        <v>0.57719404855129208</v>
      </c>
      <c r="Y150" s="37">
        <f t="shared" si="538"/>
        <v>0.54589257812499992</v>
      </c>
      <c r="Z150" s="37">
        <f t="shared" si="538"/>
        <v>0.57531476407914761</v>
      </c>
      <c r="AA150" s="37">
        <f t="shared" ref="AA150:AD150" si="539">AA133</f>
        <v>0.58204596100278549</v>
      </c>
      <c r="AB150" s="37">
        <f t="shared" si="539"/>
        <v>0.60616986729117872</v>
      </c>
      <c r="AC150" s="37">
        <f t="shared" si="539"/>
        <v>0.62776653193209375</v>
      </c>
      <c r="AD150" s="37">
        <f t="shared" si="539"/>
        <v>0.65308772794480041</v>
      </c>
      <c r="AE150" s="37">
        <f t="shared" ref="AE150:AG150" si="540">AE133</f>
        <v>0.67395013431833439</v>
      </c>
      <c r="AF150" s="37">
        <f t="shared" si="540"/>
        <v>0.64000064924525246</v>
      </c>
      <c r="AG150" s="37">
        <f t="shared" si="540"/>
        <v>0.64801086632926463</v>
      </c>
    </row>
    <row r="151" spans="2:33" ht="13.5" customHeight="1">
      <c r="B151" s="30" t="s">
        <v>208</v>
      </c>
      <c r="C151" s="37">
        <f t="shared" ref="C151:G151" si="541">C132</f>
        <v>9.6188562241616968E-2</v>
      </c>
      <c r="D151" s="37">
        <f t="shared" si="541"/>
        <v>3.6462984054669703E-2</v>
      </c>
      <c r="E151" s="37">
        <f t="shared" si="541"/>
        <v>0.30715092073658939</v>
      </c>
      <c r="F151" s="37">
        <f t="shared" si="541"/>
        <v>4.1363086019991571E-2</v>
      </c>
      <c r="G151" s="37" t="str">
        <f t="shared" si="541"/>
        <v>net cash</v>
      </c>
      <c r="H151" s="37" t="str">
        <f t="shared" ref="H151:I151" si="542">H132</f>
        <v>net cash</v>
      </c>
      <c r="I151" s="37">
        <f t="shared" si="542"/>
        <v>0.26501276024177295</v>
      </c>
      <c r="J151" s="37">
        <f t="shared" ref="J151" si="543">J132</f>
        <v>0.26145206906817497</v>
      </c>
      <c r="K151" s="37"/>
      <c r="L151" s="116"/>
      <c r="M151" s="116"/>
      <c r="N151" s="116"/>
      <c r="O151" s="37">
        <f t="shared" ref="O151:R151" si="544">O132</f>
        <v>0.30715092073658939</v>
      </c>
      <c r="P151" s="37">
        <f t="shared" si="544"/>
        <v>0.13477915766738663</v>
      </c>
      <c r="Q151" s="37">
        <f t="shared" si="544"/>
        <v>0.23769920582395757</v>
      </c>
      <c r="R151" s="37">
        <f t="shared" si="544"/>
        <v>0.12720652999240689</v>
      </c>
      <c r="S151" s="37">
        <f t="shared" ref="S151:V151" si="545">S132</f>
        <v>4.1363086019991571E-2</v>
      </c>
      <c r="T151" s="37" t="str">
        <f t="shared" si="545"/>
        <v>net cash</v>
      </c>
      <c r="U151" s="37">
        <f t="shared" si="545"/>
        <v>8.75918907007492E-2</v>
      </c>
      <c r="V151" s="37">
        <f t="shared" si="545"/>
        <v>4.6287613293051331E-2</v>
      </c>
      <c r="W151" s="37" t="str">
        <f t="shared" ref="W151:Z151" si="546">W132</f>
        <v>net cash</v>
      </c>
      <c r="X151" s="37" t="str">
        <f t="shared" si="546"/>
        <v>net cash</v>
      </c>
      <c r="Y151" s="37" t="str">
        <f t="shared" si="546"/>
        <v>net cash</v>
      </c>
      <c r="Z151" s="37" t="str">
        <f t="shared" si="546"/>
        <v>net cash</v>
      </c>
      <c r="AA151" s="37" t="str">
        <f t="shared" ref="AA151:AD151" si="547">AA132</f>
        <v>net cash</v>
      </c>
      <c r="AB151" s="37" t="str">
        <f t="shared" si="547"/>
        <v>net cash</v>
      </c>
      <c r="AC151" s="37">
        <f t="shared" si="547"/>
        <v>2.6653354890864941E-2</v>
      </c>
      <c r="AD151" s="37">
        <f t="shared" si="547"/>
        <v>0.19586331526203393</v>
      </c>
      <c r="AE151" s="37">
        <f t="shared" ref="AE151:AG151" si="548">AE132</f>
        <v>0.26501276024177295</v>
      </c>
      <c r="AF151" s="37">
        <f t="shared" si="548"/>
        <v>0.22899642915111187</v>
      </c>
      <c r="AG151" s="37">
        <f t="shared" si="548"/>
        <v>0.26145206906817497</v>
      </c>
    </row>
    <row r="152" spans="2:33" ht="13.5" customHeight="1"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2:33" ht="13.5" customHeight="1">
      <c r="B153" s="55" t="s">
        <v>209</v>
      </c>
      <c r="C153" s="54"/>
      <c r="D153" s="54"/>
      <c r="E153" s="54"/>
      <c r="F153" s="54"/>
      <c r="G153" s="54"/>
      <c r="H153" s="54"/>
      <c r="I153" s="54"/>
      <c r="J153" s="54"/>
      <c r="K153" s="183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</row>
    <row r="154" spans="2:33" s="53" customFormat="1" ht="13.5" customHeight="1">
      <c r="B154" s="52" t="s">
        <v>210</v>
      </c>
      <c r="C154" s="51">
        <f t="shared" ref="C154:H154" si="549">C3</f>
        <v>43830</v>
      </c>
      <c r="D154" s="51">
        <f t="shared" si="549"/>
        <v>44196</v>
      </c>
      <c r="E154" s="51">
        <f t="shared" si="549"/>
        <v>44561</v>
      </c>
      <c r="F154" s="51">
        <f t="shared" si="549"/>
        <v>44926</v>
      </c>
      <c r="G154" s="51">
        <f t="shared" si="549"/>
        <v>45291</v>
      </c>
      <c r="H154" s="51">
        <f t="shared" si="549"/>
        <v>45657</v>
      </c>
      <c r="I154" s="51">
        <f t="shared" ref="I154" si="550">I3</f>
        <v>46022</v>
      </c>
      <c r="J154" s="51" t="str">
        <f>J2</f>
        <v>LTM</v>
      </c>
      <c r="K154" s="175"/>
      <c r="L154" s="51">
        <f t="shared" ref="L154:AB154" si="551">L3</f>
        <v>44286</v>
      </c>
      <c r="M154" s="51">
        <f t="shared" si="551"/>
        <v>44377</v>
      </c>
      <c r="N154" s="51">
        <f t="shared" si="551"/>
        <v>44469</v>
      </c>
      <c r="O154" s="51">
        <f t="shared" si="551"/>
        <v>44561</v>
      </c>
      <c r="P154" s="51">
        <f t="shared" si="551"/>
        <v>44651</v>
      </c>
      <c r="Q154" s="51">
        <f t="shared" si="551"/>
        <v>44742</v>
      </c>
      <c r="R154" s="51">
        <f t="shared" si="551"/>
        <v>44834</v>
      </c>
      <c r="S154" s="51">
        <f t="shared" si="551"/>
        <v>44926</v>
      </c>
      <c r="T154" s="51">
        <f t="shared" si="551"/>
        <v>45016</v>
      </c>
      <c r="U154" s="51">
        <f t="shared" si="551"/>
        <v>45107</v>
      </c>
      <c r="V154" s="51">
        <f t="shared" si="551"/>
        <v>45199</v>
      </c>
      <c r="W154" s="51">
        <f t="shared" si="551"/>
        <v>45291</v>
      </c>
      <c r="X154" s="51">
        <f t="shared" si="551"/>
        <v>45382</v>
      </c>
      <c r="Y154" s="51">
        <f t="shared" si="551"/>
        <v>45473</v>
      </c>
      <c r="Z154" s="51">
        <f t="shared" si="551"/>
        <v>45565</v>
      </c>
      <c r="AA154" s="51">
        <f t="shared" si="551"/>
        <v>45657</v>
      </c>
      <c r="AB154" s="51">
        <f t="shared" si="551"/>
        <v>45747</v>
      </c>
      <c r="AC154" s="51">
        <f t="shared" ref="AC154:AF154" si="552">AC3</f>
        <v>45838</v>
      </c>
      <c r="AD154" s="51">
        <f t="shared" si="552"/>
        <v>45930</v>
      </c>
      <c r="AE154" s="51">
        <f t="shared" si="552"/>
        <v>46022</v>
      </c>
      <c r="AF154" s="51">
        <f t="shared" si="552"/>
        <v>46112</v>
      </c>
      <c r="AG154" s="51">
        <f t="shared" ref="AG154" si="553">AG3</f>
        <v>46203</v>
      </c>
    </row>
    <row r="155" spans="2:33" s="33" customFormat="1" ht="13.5" customHeight="1">
      <c r="B155" s="52"/>
      <c r="C155" s="51" t="s">
        <v>100</v>
      </c>
      <c r="D155" s="51" t="s">
        <v>100</v>
      </c>
      <c r="E155" s="51" t="s">
        <v>100</v>
      </c>
      <c r="F155" s="51" t="s">
        <v>100</v>
      </c>
      <c r="G155" s="51" t="s">
        <v>100</v>
      </c>
      <c r="H155" s="51" t="s">
        <v>100</v>
      </c>
      <c r="I155" s="51" t="s">
        <v>100</v>
      </c>
      <c r="J155" s="51" t="s">
        <v>100</v>
      </c>
      <c r="K155" s="175"/>
      <c r="L155" s="51" t="s">
        <v>100</v>
      </c>
      <c r="M155" s="51" t="s">
        <v>100</v>
      </c>
      <c r="N155" s="51" t="s">
        <v>100</v>
      </c>
      <c r="O155" s="51" t="s">
        <v>100</v>
      </c>
      <c r="P155" s="51" t="s">
        <v>100</v>
      </c>
      <c r="Q155" s="51" t="s">
        <v>100</v>
      </c>
      <c r="R155" s="51" t="s">
        <v>100</v>
      </c>
      <c r="S155" s="51" t="s">
        <v>100</v>
      </c>
      <c r="T155" s="51" t="s">
        <v>100</v>
      </c>
      <c r="U155" s="51" t="s">
        <v>100</v>
      </c>
      <c r="V155" s="51" t="s">
        <v>100</v>
      </c>
      <c r="W155" s="51" t="s">
        <v>100</v>
      </c>
      <c r="X155" s="51" t="s">
        <v>100</v>
      </c>
      <c r="Y155" s="51" t="s">
        <v>100</v>
      </c>
      <c r="Z155" s="51" t="s">
        <v>100</v>
      </c>
      <c r="AA155" s="51" t="s">
        <v>100</v>
      </c>
      <c r="AB155" s="51" t="s">
        <v>100</v>
      </c>
      <c r="AC155" s="51" t="s">
        <v>100</v>
      </c>
      <c r="AD155" s="51" t="s">
        <v>100</v>
      </c>
      <c r="AE155" s="51" t="s">
        <v>100</v>
      </c>
      <c r="AF155" s="51" t="s">
        <v>100</v>
      </c>
      <c r="AG155" s="51" t="s">
        <v>100</v>
      </c>
    </row>
    <row r="156" spans="2:33" ht="13.5" customHeight="1"/>
    <row r="157" spans="2:33" s="33" customFormat="1" ht="13.5" customHeight="1">
      <c r="B157" s="33" t="str">
        <f t="shared" ref="B157:H157" si="554">B7</f>
        <v>Total Revenues</v>
      </c>
      <c r="C157" s="58">
        <f t="shared" si="554"/>
        <v>6162.8122949999997</v>
      </c>
      <c r="D157" s="58">
        <f t="shared" si="554"/>
        <v>5135.5200000000004</v>
      </c>
      <c r="E157" s="58">
        <f t="shared" si="554"/>
        <v>6824.0069999999996</v>
      </c>
      <c r="F157" s="58">
        <f t="shared" si="554"/>
        <v>9421.487000000001</v>
      </c>
      <c r="G157" s="58">
        <f t="shared" si="554"/>
        <v>8639.1460000000006</v>
      </c>
      <c r="H157" s="58">
        <f t="shared" si="554"/>
        <v>8842.3009999999995</v>
      </c>
      <c r="I157" s="58">
        <f t="shared" ref="I157" si="555">I7</f>
        <v>8562.1899999999987</v>
      </c>
      <c r="J157" s="58">
        <f>J7</f>
        <v>9669.378999999999</v>
      </c>
      <c r="K157" s="49"/>
      <c r="L157" s="49">
        <f t="shared" ref="L157:AB157" si="556">L7</f>
        <v>1411.7270000000001</v>
      </c>
      <c r="M157" s="49">
        <f t="shared" si="556"/>
        <v>1748.6990000000001</v>
      </c>
      <c r="N157" s="49">
        <f t="shared" si="556"/>
        <v>1770.3249999999998</v>
      </c>
      <c r="O157" s="49">
        <f t="shared" si="556"/>
        <v>1893.2559999999999</v>
      </c>
      <c r="P157" s="49">
        <f t="shared" si="556"/>
        <v>2060.6330000000003</v>
      </c>
      <c r="Q157" s="49">
        <f t="shared" si="556"/>
        <v>2415.2550000000001</v>
      </c>
      <c r="R157" s="49">
        <f t="shared" si="556"/>
        <v>2431.326</v>
      </c>
      <c r="S157" s="49">
        <f t="shared" si="556"/>
        <v>2514.2730000000001</v>
      </c>
      <c r="T157" s="49">
        <f t="shared" si="556"/>
        <v>2227.2289999999998</v>
      </c>
      <c r="U157" s="49">
        <f t="shared" si="556"/>
        <v>1957.471</v>
      </c>
      <c r="V157" s="49">
        <f t="shared" si="556"/>
        <v>2223.4079999999999</v>
      </c>
      <c r="W157" s="49">
        <f t="shared" si="556"/>
        <v>2231.0379999999996</v>
      </c>
      <c r="X157" s="49">
        <f t="shared" si="556"/>
        <v>2122.8989999999999</v>
      </c>
      <c r="Y157" s="49">
        <f t="shared" si="556"/>
        <v>2298.348</v>
      </c>
      <c r="Z157" s="49">
        <f t="shared" si="556"/>
        <v>2173.4589999999998</v>
      </c>
      <c r="AA157" s="49">
        <f t="shared" si="556"/>
        <v>2247.5949999999993</v>
      </c>
      <c r="AB157" s="49">
        <f t="shared" si="556"/>
        <v>2095.7870000000003</v>
      </c>
      <c r="AC157" s="49">
        <f t="shared" ref="AC157:AF157" si="557">AC7</f>
        <v>2150.8399999999997</v>
      </c>
      <c r="AD157" s="49">
        <f t="shared" si="557"/>
        <v>2126.7350000000001</v>
      </c>
      <c r="AE157" s="49">
        <f t="shared" si="557"/>
        <v>2188.8279999999995</v>
      </c>
      <c r="AF157" s="49">
        <f t="shared" si="557"/>
        <v>2404.0860000000002</v>
      </c>
      <c r="AG157" s="49">
        <f t="shared" ref="AG157" si="558">AG7</f>
        <v>2949.7300000000005</v>
      </c>
    </row>
    <row r="158" spans="2:33" s="45" customFormat="1" ht="13.5" customHeight="1">
      <c r="B158" s="50" t="s">
        <v>211</v>
      </c>
      <c r="C158" s="57"/>
      <c r="D158" s="57">
        <f t="shared" ref="D158:I158" si="559">D157/C157-1</f>
        <v>-0.1666921278510235</v>
      </c>
      <c r="E158" s="57">
        <f t="shared" si="559"/>
        <v>0.32878598467146447</v>
      </c>
      <c r="F158" s="57">
        <f t="shared" si="559"/>
        <v>0.38063853099799005</v>
      </c>
      <c r="G158" s="57">
        <f t="shared" si="559"/>
        <v>-8.3037953562956734E-2</v>
      </c>
      <c r="H158" s="57">
        <f t="shared" si="559"/>
        <v>2.3515634531468654E-2</v>
      </c>
      <c r="I158" s="57">
        <f t="shared" si="559"/>
        <v>-3.1678518973737857E-2</v>
      </c>
      <c r="J158" s="57"/>
      <c r="K158" s="184"/>
      <c r="L158" s="57"/>
      <c r="M158" s="57"/>
      <c r="N158" s="57"/>
      <c r="O158" s="57"/>
      <c r="P158" s="57">
        <f t="shared" ref="P158:AG158" si="560">P157/L157-1</f>
        <v>0.45965402659296029</v>
      </c>
      <c r="Q158" s="57">
        <f t="shared" si="560"/>
        <v>0.38117251739721936</v>
      </c>
      <c r="R158" s="57">
        <f t="shared" si="560"/>
        <v>0.37337833448660573</v>
      </c>
      <c r="S158" s="57">
        <f t="shared" si="560"/>
        <v>0.32801533442915298</v>
      </c>
      <c r="T158" s="57">
        <f t="shared" si="560"/>
        <v>8.0847001867872414E-2</v>
      </c>
      <c r="U158" s="57">
        <f t="shared" si="560"/>
        <v>-0.18953857874220326</v>
      </c>
      <c r="V158" s="57">
        <f t="shared" si="560"/>
        <v>-8.5516298513650613E-2</v>
      </c>
      <c r="W158" s="57">
        <f t="shared" si="560"/>
        <v>-0.11265085374579475</v>
      </c>
      <c r="X158" s="57">
        <f t="shared" si="560"/>
        <v>-4.6842960467917694E-2</v>
      </c>
      <c r="Y158" s="57">
        <f t="shared" si="560"/>
        <v>0.17414153262040655</v>
      </c>
      <c r="Z158" s="57">
        <f t="shared" si="560"/>
        <v>-2.2465062642573974E-2</v>
      </c>
      <c r="AA158" s="57">
        <f t="shared" si="560"/>
        <v>7.421209320504607E-3</v>
      </c>
      <c r="AB158" s="57">
        <f t="shared" si="560"/>
        <v>-1.2771215210897746E-2</v>
      </c>
      <c r="AC158" s="57">
        <f t="shared" si="560"/>
        <v>-6.4180011034012385E-2</v>
      </c>
      <c r="AD158" s="57">
        <f t="shared" si="560"/>
        <v>-2.1497529974110252E-2</v>
      </c>
      <c r="AE158" s="57">
        <f t="shared" si="560"/>
        <v>-2.6146614492379538E-2</v>
      </c>
      <c r="AF158" s="57">
        <f t="shared" si="560"/>
        <v>0.1471041665970827</v>
      </c>
      <c r="AG158" s="57">
        <f t="shared" si="560"/>
        <v>0.37143162671328445</v>
      </c>
    </row>
    <row r="159" spans="2:33" ht="13.5" customHeight="1"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</row>
    <row r="160" spans="2:33" s="33" customFormat="1" ht="13.5" customHeight="1" thickBot="1">
      <c r="B160" s="40" t="str">
        <f t="shared" ref="B160:E160" si="561">B55</f>
        <v xml:space="preserve">Adj. EBITDA </v>
      </c>
      <c r="C160" s="48">
        <f t="shared" si="561"/>
        <v>4354</v>
      </c>
      <c r="D160" s="48">
        <f t="shared" si="561"/>
        <v>3512</v>
      </c>
      <c r="E160" s="48">
        <f t="shared" si="561"/>
        <v>4996</v>
      </c>
      <c r="F160" s="48">
        <f t="shared" ref="F160:G160" si="562">F55</f>
        <v>7103</v>
      </c>
      <c r="G160" s="48">
        <f t="shared" si="562"/>
        <v>6433</v>
      </c>
      <c r="H160" s="48">
        <f t="shared" ref="H160:I160" si="563">H55</f>
        <v>6462</v>
      </c>
      <c r="I160" s="48">
        <f t="shared" si="563"/>
        <v>5956</v>
      </c>
      <c r="J160" s="48">
        <f>J55</f>
        <v>6718</v>
      </c>
      <c r="K160" s="58"/>
      <c r="L160" s="48">
        <f t="shared" ref="L160:O160" si="564">L55</f>
        <v>1041</v>
      </c>
      <c r="M160" s="48">
        <f t="shared" si="564"/>
        <v>1328</v>
      </c>
      <c r="N160" s="48">
        <f t="shared" si="564"/>
        <v>1297</v>
      </c>
      <c r="O160" s="48">
        <f t="shared" si="564"/>
        <v>1330</v>
      </c>
      <c r="P160" s="48">
        <f t="shared" ref="P160:S160" si="565">P55</f>
        <v>1601</v>
      </c>
      <c r="Q160" s="48">
        <f t="shared" si="565"/>
        <v>1816</v>
      </c>
      <c r="R160" s="48">
        <f t="shared" si="565"/>
        <v>1838</v>
      </c>
      <c r="S160" s="48">
        <f t="shared" si="565"/>
        <v>1848</v>
      </c>
      <c r="T160" s="48">
        <f t="shared" ref="T160:W160" si="566">T55</f>
        <v>1616</v>
      </c>
      <c r="U160" s="48">
        <f t="shared" si="566"/>
        <v>1505</v>
      </c>
      <c r="V160" s="48">
        <f t="shared" si="566"/>
        <v>1651</v>
      </c>
      <c r="W160" s="48">
        <f t="shared" si="566"/>
        <v>1661</v>
      </c>
      <c r="X160" s="48">
        <f t="shared" ref="X160:AA160" si="567">X55</f>
        <v>1568</v>
      </c>
      <c r="Y160" s="48">
        <f t="shared" si="567"/>
        <v>1776</v>
      </c>
      <c r="Z160" s="48">
        <f t="shared" si="567"/>
        <v>1565</v>
      </c>
      <c r="AA160" s="48">
        <f t="shared" si="567"/>
        <v>1553</v>
      </c>
      <c r="AB160" s="48">
        <f t="shared" ref="AB160:AE160" si="568">AB55</f>
        <v>1511</v>
      </c>
      <c r="AC160" s="48">
        <f t="shared" si="568"/>
        <v>1556</v>
      </c>
      <c r="AD160" s="48">
        <f t="shared" si="568"/>
        <v>1467</v>
      </c>
      <c r="AE160" s="48">
        <f t="shared" si="568"/>
        <v>1422</v>
      </c>
      <c r="AF160" s="48">
        <f t="shared" ref="AF160:AG160" si="569">AF55</f>
        <v>1716</v>
      </c>
      <c r="AG160" s="48">
        <f t="shared" si="569"/>
        <v>2113</v>
      </c>
    </row>
    <row r="161" spans="2:33" s="45" customFormat="1" ht="13.5" customHeight="1" thickTop="1">
      <c r="B161" s="47" t="str">
        <f t="shared" ref="B161:E162" si="570">B56</f>
        <v xml:space="preserve">% growth </v>
      </c>
      <c r="C161" s="57">
        <f t="shared" si="570"/>
        <v>0</v>
      </c>
      <c r="D161" s="57">
        <f t="shared" si="570"/>
        <v>-0.19338539274230593</v>
      </c>
      <c r="E161" s="57">
        <f t="shared" si="570"/>
        <v>0.42255125284738049</v>
      </c>
      <c r="F161" s="57">
        <f t="shared" ref="F161:G161" si="571">F56</f>
        <v>0.42173738991192944</v>
      </c>
      <c r="G161" s="57">
        <f t="shared" si="571"/>
        <v>-9.4326340982683332E-2</v>
      </c>
      <c r="H161" s="57">
        <f t="shared" ref="H161:I161" si="572">H56</f>
        <v>4.5080055961448373E-3</v>
      </c>
      <c r="I161" s="57">
        <f t="shared" si="572"/>
        <v>-7.8303930671618671E-2</v>
      </c>
      <c r="J161" s="57"/>
      <c r="K161" s="184"/>
      <c r="L161" s="57"/>
      <c r="M161" s="57"/>
      <c r="N161" s="57"/>
      <c r="O161" s="57"/>
      <c r="P161" s="57">
        <f t="shared" ref="P161:S161" si="573">P56</f>
        <v>0.53794428434197883</v>
      </c>
      <c r="Q161" s="57">
        <f t="shared" si="573"/>
        <v>0.3674698795180722</v>
      </c>
      <c r="R161" s="57">
        <f t="shared" si="573"/>
        <v>0.41711642251349268</v>
      </c>
      <c r="S161" s="57">
        <f t="shared" si="573"/>
        <v>0.38947368421052642</v>
      </c>
      <c r="T161" s="57">
        <f t="shared" ref="T161:W161" si="574">T56</f>
        <v>9.3691442848220507E-3</v>
      </c>
      <c r="U161" s="57">
        <f t="shared" si="574"/>
        <v>-0.17125550660792954</v>
      </c>
      <c r="V161" s="57">
        <f t="shared" si="574"/>
        <v>-0.1017410228509249</v>
      </c>
      <c r="W161" s="57">
        <f t="shared" si="574"/>
        <v>-0.10119047619047616</v>
      </c>
      <c r="X161" s="57">
        <f t="shared" ref="X161:AA161" si="575">X56</f>
        <v>-2.9702970297029729E-2</v>
      </c>
      <c r="Y161" s="57">
        <f t="shared" si="575"/>
        <v>0.1800664451827243</v>
      </c>
      <c r="Z161" s="57">
        <f t="shared" si="575"/>
        <v>-5.2089642640823719E-2</v>
      </c>
      <c r="AA161" s="57">
        <f t="shared" si="575"/>
        <v>-6.5021071643588169E-2</v>
      </c>
      <c r="AB161" s="57">
        <f t="shared" ref="AB161:AE161" si="576">AB56</f>
        <v>-3.6352040816326481E-2</v>
      </c>
      <c r="AC161" s="57">
        <f t="shared" si="576"/>
        <v>-0.12387387387387383</v>
      </c>
      <c r="AD161" s="57">
        <f t="shared" si="576"/>
        <v>-6.2619808306709213E-2</v>
      </c>
      <c r="AE161" s="57">
        <f t="shared" si="576"/>
        <v>-8.4352865421764345E-2</v>
      </c>
      <c r="AF161" s="57">
        <f t="shared" ref="AF161:AG161" si="577">AF56</f>
        <v>0.13567174056915943</v>
      </c>
      <c r="AG161" s="57">
        <f t="shared" si="577"/>
        <v>0.35796915167095111</v>
      </c>
    </row>
    <row r="162" spans="2:33" s="45" customFormat="1" ht="13.5" customHeight="1">
      <c r="B162" s="47" t="str">
        <f t="shared" si="570"/>
        <v>% margin</v>
      </c>
      <c r="C162" s="57">
        <f t="shared" si="570"/>
        <v>0.70649563731358145</v>
      </c>
      <c r="D162" s="57">
        <f t="shared" si="570"/>
        <v>0.6838645356263825</v>
      </c>
      <c r="E162" s="57">
        <f t="shared" si="570"/>
        <v>0.73212117162247936</v>
      </c>
      <c r="F162" s="57">
        <f t="shared" ref="F162:G162" si="578">F57</f>
        <v>0.75391496055771234</v>
      </c>
      <c r="G162" s="57">
        <f t="shared" si="578"/>
        <v>0.74463378671919644</v>
      </c>
      <c r="H162" s="57">
        <f t="shared" ref="H162:I162" si="579">H57</f>
        <v>0.73080525080519199</v>
      </c>
      <c r="I162" s="57">
        <f t="shared" si="579"/>
        <v>0.6956164252370014</v>
      </c>
      <c r="J162" s="57">
        <f>J57</f>
        <v>0.69477057420130095</v>
      </c>
      <c r="K162" s="184"/>
      <c r="L162" s="57">
        <f t="shared" ref="L162:O162" si="580">L57</f>
        <v>0.73739469458330109</v>
      </c>
      <c r="M162" s="57">
        <f t="shared" si="580"/>
        <v>0.75942171866055852</v>
      </c>
      <c r="N162" s="57">
        <f t="shared" si="580"/>
        <v>0.73263383841949936</v>
      </c>
      <c r="O162" s="57">
        <f t="shared" si="580"/>
        <v>0.70249348212814333</v>
      </c>
      <c r="P162" s="57">
        <f t="shared" ref="P162:S162" si="581">P57</f>
        <v>0.7769457249301549</v>
      </c>
      <c r="Q162" s="57">
        <f t="shared" si="581"/>
        <v>0.75188748186009347</v>
      </c>
      <c r="R162" s="57">
        <f t="shared" si="581"/>
        <v>0.75596608599587223</v>
      </c>
      <c r="S162" s="57">
        <f t="shared" si="581"/>
        <v>0.73500371678015863</v>
      </c>
      <c r="T162" s="57">
        <f t="shared" ref="T162:W162" si="582">T57</f>
        <v>0.72556526517928788</v>
      </c>
      <c r="U162" s="57">
        <f t="shared" si="582"/>
        <v>0.76884919367898685</v>
      </c>
      <c r="V162" s="57">
        <f t="shared" si="582"/>
        <v>0.74255377330656369</v>
      </c>
      <c r="W162" s="57">
        <f t="shared" si="582"/>
        <v>0.7444965079034962</v>
      </c>
      <c r="X162" s="57">
        <f t="shared" ref="X162:AA162" si="583">X57</f>
        <v>0.73861262358689705</v>
      </c>
      <c r="Y162" s="57">
        <f t="shared" si="583"/>
        <v>0.772728933999551</v>
      </c>
      <c r="Z162" s="57">
        <f t="shared" si="583"/>
        <v>0.72005038972439794</v>
      </c>
      <c r="AA162" s="57">
        <f t="shared" si="583"/>
        <v>0.69096078252532167</v>
      </c>
      <c r="AB162" s="57">
        <f t="shared" ref="AB162:AE162" si="584">AB57</f>
        <v>0.7209702130989456</v>
      </c>
      <c r="AC162" s="57">
        <f t="shared" si="584"/>
        <v>0.72343828457718851</v>
      </c>
      <c r="AD162" s="57">
        <f t="shared" si="584"/>
        <v>0.68978974813505201</v>
      </c>
      <c r="AE162" s="57">
        <f t="shared" si="584"/>
        <v>0.64966274188743944</v>
      </c>
      <c r="AF162" s="57">
        <f t="shared" ref="AF162:AG162" si="585">AF57</f>
        <v>0.71378478140964996</v>
      </c>
      <c r="AG162" s="57">
        <f t="shared" si="585"/>
        <v>0.7163367494652052</v>
      </c>
    </row>
    <row r="163" spans="2:33" ht="13.5" customHeight="1"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</row>
    <row r="164" spans="2:33" s="33" customFormat="1" ht="13.5" customHeight="1">
      <c r="B164" s="33" t="str">
        <f t="shared" ref="B164:E173" si="586">B63</f>
        <v xml:space="preserve">Adj. EBITDA </v>
      </c>
      <c r="C164" s="43">
        <f t="shared" si="586"/>
        <v>4354</v>
      </c>
      <c r="D164" s="43">
        <f t="shared" si="586"/>
        <v>3512</v>
      </c>
      <c r="E164" s="43">
        <f t="shared" si="586"/>
        <v>4996</v>
      </c>
      <c r="F164" s="43">
        <f t="shared" ref="F164:G164" si="587">F63</f>
        <v>7103</v>
      </c>
      <c r="G164" s="43">
        <f t="shared" si="587"/>
        <v>6433</v>
      </c>
      <c r="H164" s="43">
        <f t="shared" ref="H164:I164" si="588">H63</f>
        <v>6462</v>
      </c>
      <c r="I164" s="43">
        <f t="shared" si="588"/>
        <v>5956</v>
      </c>
      <c r="J164" s="43">
        <f>J63</f>
        <v>6718</v>
      </c>
      <c r="K164" s="16"/>
      <c r="L164" s="43">
        <f t="shared" ref="L164:O173" si="589">L63</f>
        <v>1041</v>
      </c>
      <c r="M164" s="43">
        <f t="shared" si="589"/>
        <v>1328</v>
      </c>
      <c r="N164" s="43">
        <f t="shared" si="589"/>
        <v>1297</v>
      </c>
      <c r="O164" s="43">
        <f t="shared" si="589"/>
        <v>1330</v>
      </c>
      <c r="P164" s="43">
        <f t="shared" ref="P164:S164" si="590">P63</f>
        <v>1601</v>
      </c>
      <c r="Q164" s="43">
        <f t="shared" si="590"/>
        <v>1816</v>
      </c>
      <c r="R164" s="43">
        <f t="shared" si="590"/>
        <v>1838</v>
      </c>
      <c r="S164" s="43">
        <f t="shared" si="590"/>
        <v>1848</v>
      </c>
      <c r="T164" s="43">
        <f t="shared" ref="T164:W164" si="591">T63</f>
        <v>1616</v>
      </c>
      <c r="U164" s="43">
        <f t="shared" si="591"/>
        <v>1505</v>
      </c>
      <c r="V164" s="43">
        <f t="shared" si="591"/>
        <v>1651</v>
      </c>
      <c r="W164" s="43">
        <f t="shared" si="591"/>
        <v>1661</v>
      </c>
      <c r="X164" s="43">
        <f t="shared" ref="X164:AA164" si="592">X63</f>
        <v>1568</v>
      </c>
      <c r="Y164" s="43">
        <f t="shared" si="592"/>
        <v>1776</v>
      </c>
      <c r="Z164" s="43">
        <f t="shared" si="592"/>
        <v>1565</v>
      </c>
      <c r="AA164" s="43">
        <f t="shared" si="592"/>
        <v>1553</v>
      </c>
      <c r="AB164" s="43">
        <f t="shared" ref="AB164:AE164" si="593">AB63</f>
        <v>1511</v>
      </c>
      <c r="AC164" s="43">
        <f t="shared" si="593"/>
        <v>1556</v>
      </c>
      <c r="AD164" s="43">
        <f t="shared" si="593"/>
        <v>1467</v>
      </c>
      <c r="AE164" s="43">
        <f t="shared" si="593"/>
        <v>1422</v>
      </c>
      <c r="AF164" s="43">
        <f t="shared" ref="AF164:AG164" si="594">AF63</f>
        <v>1716</v>
      </c>
      <c r="AG164" s="43">
        <f t="shared" si="594"/>
        <v>2113</v>
      </c>
    </row>
    <row r="165" spans="2:33" ht="13.5" customHeight="1">
      <c r="B165" s="30" t="str">
        <f t="shared" si="586"/>
        <v>Working Capital</v>
      </c>
      <c r="C165" s="20">
        <f t="shared" si="586"/>
        <v>-1103.4380000000001</v>
      </c>
      <c r="D165" s="20">
        <f t="shared" si="586"/>
        <v>43.871999999999844</v>
      </c>
      <c r="E165" s="20">
        <f t="shared" si="586"/>
        <v>-447.94599999999991</v>
      </c>
      <c r="F165" s="20">
        <f t="shared" ref="F165:G165" si="595">F64</f>
        <v>-861.55599999999959</v>
      </c>
      <c r="G165" s="20">
        <f t="shared" si="595"/>
        <v>-635.16399999999976</v>
      </c>
      <c r="H165" s="20">
        <f t="shared" ref="H165:I165" si="596">H64</f>
        <v>417.94200000000001</v>
      </c>
      <c r="I165" s="20">
        <f t="shared" si="596"/>
        <v>-234.36200000000008</v>
      </c>
      <c r="J165" s="20">
        <f>J64</f>
        <v>-259.82099999999991</v>
      </c>
      <c r="K165" s="185"/>
      <c r="L165" s="20">
        <f t="shared" si="589"/>
        <v>-160.2639999999999</v>
      </c>
      <c r="M165" s="20">
        <f t="shared" si="589"/>
        <v>-54.98900000000026</v>
      </c>
      <c r="N165" s="20">
        <f t="shared" si="589"/>
        <v>-259.22300000000041</v>
      </c>
      <c r="O165" s="20">
        <f t="shared" si="589"/>
        <v>26.530000000000655</v>
      </c>
      <c r="P165" s="20">
        <f t="shared" ref="P165:S165" si="597">P64</f>
        <v>-183.93999999999983</v>
      </c>
      <c r="Q165" s="20">
        <f t="shared" si="597"/>
        <v>-426.27800000000047</v>
      </c>
      <c r="R165" s="20">
        <f t="shared" si="597"/>
        <v>-819.14600000000064</v>
      </c>
      <c r="S165" s="20">
        <f t="shared" si="597"/>
        <v>567.80800000000136</v>
      </c>
      <c r="T165" s="20">
        <f t="shared" ref="T165:W165" si="598">T64</f>
        <v>-9.8759999999999764</v>
      </c>
      <c r="U165" s="20">
        <f t="shared" si="598"/>
        <v>-254.21500000000037</v>
      </c>
      <c r="V165" s="20">
        <f t="shared" si="598"/>
        <v>-801.25599999999986</v>
      </c>
      <c r="W165" s="20">
        <f t="shared" si="598"/>
        <v>430.18300000000045</v>
      </c>
      <c r="X165" s="20">
        <f t="shared" ref="X165:AA165" si="599">X64</f>
        <v>286.625</v>
      </c>
      <c r="Y165" s="20">
        <f t="shared" si="599"/>
        <v>-13.307000000000244</v>
      </c>
      <c r="Z165" s="20">
        <f t="shared" si="599"/>
        <v>382.31399999999985</v>
      </c>
      <c r="AA165" s="20">
        <f t="shared" si="599"/>
        <v>-237.6899999999996</v>
      </c>
      <c r="AB165" s="20">
        <f t="shared" ref="AB165:AE165" si="600">AB64</f>
        <v>-257.60700000000003</v>
      </c>
      <c r="AC165" s="20">
        <f t="shared" si="600"/>
        <v>59.449999999999875</v>
      </c>
      <c r="AD165" s="20">
        <f t="shared" si="600"/>
        <v>224.59200000000067</v>
      </c>
      <c r="AE165" s="20">
        <f t="shared" si="600"/>
        <v>-260.79700000000059</v>
      </c>
      <c r="AF165" s="20">
        <f t="shared" ref="AF165:AG165" si="601">AF64</f>
        <v>-138.85900000000015</v>
      </c>
      <c r="AG165" s="20">
        <f t="shared" si="601"/>
        <v>-84.756999999999834</v>
      </c>
    </row>
    <row r="166" spans="2:33" ht="13.5" customHeight="1">
      <c r="B166" s="30" t="str">
        <f t="shared" si="586"/>
        <v>Taxes</v>
      </c>
      <c r="C166" s="20">
        <f t="shared" si="586"/>
        <v>0</v>
      </c>
      <c r="D166" s="20">
        <f t="shared" si="586"/>
        <v>-1110.1959999999999</v>
      </c>
      <c r="E166" s="20">
        <f t="shared" si="586"/>
        <v>-989.08299999999997</v>
      </c>
      <c r="F166" s="20">
        <f t="shared" ref="F166:G166" si="602">F65</f>
        <v>-1611.2470000000001</v>
      </c>
      <c r="G166" s="20">
        <f t="shared" si="602"/>
        <v>-1786.615</v>
      </c>
      <c r="H166" s="20">
        <f t="shared" ref="H166:I166" si="603">H65</f>
        <v>-1620.3489999999999</v>
      </c>
      <c r="I166" s="20">
        <f t="shared" si="603"/>
        <v>-1621.2239999999999</v>
      </c>
      <c r="J166" s="20">
        <f>J65</f>
        <v>-1437.4209999999998</v>
      </c>
      <c r="K166" s="185"/>
      <c r="L166" s="20">
        <f t="shared" si="589"/>
        <v>-60.83</v>
      </c>
      <c r="M166" s="20">
        <f t="shared" si="589"/>
        <v>-619.22499999999991</v>
      </c>
      <c r="N166" s="20">
        <f t="shared" si="589"/>
        <v>-155.89600000000007</v>
      </c>
      <c r="O166" s="20">
        <f t="shared" si="589"/>
        <v>-153.13199999999995</v>
      </c>
      <c r="P166" s="20">
        <f t="shared" ref="P166:S166" si="604">P65</f>
        <v>-169.77600000000001</v>
      </c>
      <c r="Q166" s="20">
        <f t="shared" si="604"/>
        <v>-947.55899999999997</v>
      </c>
      <c r="R166" s="20">
        <f t="shared" si="604"/>
        <v>-230.07799999999997</v>
      </c>
      <c r="S166" s="20">
        <f t="shared" si="604"/>
        <v>-263.83400000000006</v>
      </c>
      <c r="T166" s="20">
        <f t="shared" ref="T166:W166" si="605">T65</f>
        <v>-270.31299999999999</v>
      </c>
      <c r="U166" s="20">
        <f t="shared" si="605"/>
        <v>-992.19600000000003</v>
      </c>
      <c r="V166" s="20">
        <f t="shared" si="605"/>
        <v>-278.36500000000012</v>
      </c>
      <c r="W166" s="20">
        <f t="shared" si="605"/>
        <v>-245.74099999999976</v>
      </c>
      <c r="X166" s="20">
        <f t="shared" ref="X166:AA166" si="606">X65</f>
        <v>-220.65899999999999</v>
      </c>
      <c r="Y166" s="20">
        <f t="shared" si="606"/>
        <v>-701.2</v>
      </c>
      <c r="Z166" s="20">
        <f t="shared" si="606"/>
        <v>-442.47999999999979</v>
      </c>
      <c r="AA166" s="20">
        <f t="shared" si="606"/>
        <v>-256.01</v>
      </c>
      <c r="AB166" s="20">
        <f t="shared" ref="AB166:AE166" si="607">AB65</f>
        <v>-220.57300000000001</v>
      </c>
      <c r="AC166" s="20">
        <f t="shared" si="607"/>
        <v>-825.20500000000004</v>
      </c>
      <c r="AD166" s="20">
        <f t="shared" si="607"/>
        <v>-391.19099999999992</v>
      </c>
      <c r="AE166" s="20">
        <f t="shared" si="607"/>
        <v>-184.25499999999988</v>
      </c>
      <c r="AF166" s="20">
        <f t="shared" ref="AF166:AG166" si="608">AF65</f>
        <v>-206.547</v>
      </c>
      <c r="AG166" s="20">
        <f t="shared" si="608"/>
        <v>-655.428</v>
      </c>
    </row>
    <row r="167" spans="2:33" ht="13.5" customHeight="1">
      <c r="B167" s="30" t="str">
        <f t="shared" si="586"/>
        <v>Cash interest paid</v>
      </c>
      <c r="C167" s="20">
        <f t="shared" si="586"/>
        <v>-163.54300000000001</v>
      </c>
      <c r="D167" s="20">
        <f t="shared" si="586"/>
        <v>-157.72</v>
      </c>
      <c r="E167" s="20">
        <f t="shared" si="586"/>
        <v>-143.05199999999999</v>
      </c>
      <c r="F167" s="20">
        <f t="shared" ref="F167:G167" si="609">F66</f>
        <v>-148.62100000000001</v>
      </c>
      <c r="G167" s="20">
        <f t="shared" si="609"/>
        <v>-136.60400000000001</v>
      </c>
      <c r="H167" s="20">
        <f t="shared" ref="H167:I167" si="610">H66</f>
        <v>-131.49799999999999</v>
      </c>
      <c r="I167" s="20">
        <f t="shared" si="610"/>
        <v>-152.79300000000001</v>
      </c>
      <c r="J167" s="20">
        <f>J66</f>
        <v>-155.727</v>
      </c>
      <c r="K167" s="185"/>
      <c r="L167" s="20">
        <f t="shared" si="589"/>
        <v>-11.277999999999999</v>
      </c>
      <c r="M167" s="20">
        <f t="shared" si="589"/>
        <v>-60.485999999999997</v>
      </c>
      <c r="N167" s="20">
        <f t="shared" si="589"/>
        <v>-13.103000000000002</v>
      </c>
      <c r="O167" s="20">
        <f t="shared" si="589"/>
        <v>-58.185000000000002</v>
      </c>
      <c r="P167" s="20">
        <f t="shared" ref="P167:S167" si="611">P66</f>
        <v>-9.9949999999999992</v>
      </c>
      <c r="Q167" s="20">
        <f t="shared" si="611"/>
        <v>-63.637000000000008</v>
      </c>
      <c r="R167" s="20">
        <f t="shared" si="611"/>
        <v>-9.8299999999999912</v>
      </c>
      <c r="S167" s="20">
        <f t="shared" si="611"/>
        <v>-65.15900000000002</v>
      </c>
      <c r="T167" s="20">
        <f t="shared" ref="T167:W167" si="612">T66</f>
        <v>-12.824</v>
      </c>
      <c r="U167" s="20">
        <f t="shared" si="612"/>
        <v>-57.438000000000002</v>
      </c>
      <c r="V167" s="20">
        <f t="shared" si="612"/>
        <v>-10.087000000000003</v>
      </c>
      <c r="W167" s="20">
        <f t="shared" si="612"/>
        <v>-56.25500000000001</v>
      </c>
      <c r="X167" s="20">
        <f t="shared" ref="X167:AA167" si="613">X66</f>
        <v>-11.430999999999999</v>
      </c>
      <c r="Y167" s="20">
        <f t="shared" si="613"/>
        <v>-58.266999999999996</v>
      </c>
      <c r="Z167" s="20">
        <f t="shared" si="613"/>
        <v>-10.469000000000008</v>
      </c>
      <c r="AA167" s="20">
        <f t="shared" si="613"/>
        <v>-51.330999999999989</v>
      </c>
      <c r="AB167" s="20">
        <f t="shared" ref="AB167:AE167" si="614">AB66</f>
        <v>-14.256</v>
      </c>
      <c r="AC167" s="20">
        <f t="shared" si="614"/>
        <v>-60.103999999999999</v>
      </c>
      <c r="AD167" s="20">
        <f t="shared" si="614"/>
        <v>-15.882000000000005</v>
      </c>
      <c r="AE167" s="20">
        <f t="shared" si="614"/>
        <v>-62.551000000000002</v>
      </c>
      <c r="AF167" s="20">
        <f t="shared" ref="AF167:AG167" si="615">AF66</f>
        <v>-15.339</v>
      </c>
      <c r="AG167" s="20">
        <f t="shared" si="615"/>
        <v>-61.954999999999998</v>
      </c>
    </row>
    <row r="168" spans="2:33" s="33" customFormat="1" ht="13.5" customHeight="1" thickBot="1">
      <c r="B168" s="40" t="str">
        <f t="shared" si="586"/>
        <v xml:space="preserve">Net cash from operations </v>
      </c>
      <c r="C168" s="39">
        <f t="shared" si="586"/>
        <v>3087.0189999999998</v>
      </c>
      <c r="D168" s="39">
        <f t="shared" si="586"/>
        <v>2287.9560000000001</v>
      </c>
      <c r="E168" s="39">
        <f t="shared" si="586"/>
        <v>3415.9189999999999</v>
      </c>
      <c r="F168" s="39">
        <f t="shared" ref="F168:G168" si="616">F67</f>
        <v>4481.576</v>
      </c>
      <c r="G168" s="39">
        <f t="shared" si="616"/>
        <v>3874.6170000000006</v>
      </c>
      <c r="H168" s="39">
        <f t="shared" ref="H168:I168" si="617">H67</f>
        <v>5128.0950000000003</v>
      </c>
      <c r="I168" s="39">
        <f t="shared" si="617"/>
        <v>3947.6209999999996</v>
      </c>
      <c r="J168" s="39">
        <f>J67</f>
        <v>4865.0309999999999</v>
      </c>
      <c r="K168" s="41"/>
      <c r="L168" s="39">
        <f t="shared" si="589"/>
        <v>808.62800000000004</v>
      </c>
      <c r="M168" s="39">
        <f t="shared" si="589"/>
        <v>593.29999999999984</v>
      </c>
      <c r="N168" s="39">
        <f t="shared" si="589"/>
        <v>868.77799999999957</v>
      </c>
      <c r="O168" s="39">
        <f t="shared" si="589"/>
        <v>1145.2130000000006</v>
      </c>
      <c r="P168" s="39">
        <f t="shared" ref="P168:S168" si="618">P67</f>
        <v>1237.2890000000002</v>
      </c>
      <c r="Q168" s="39">
        <f t="shared" si="618"/>
        <v>378.52599999999956</v>
      </c>
      <c r="R168" s="39">
        <f t="shared" si="618"/>
        <v>778.94599999999934</v>
      </c>
      <c r="S168" s="39">
        <f t="shared" si="618"/>
        <v>2086.815000000001</v>
      </c>
      <c r="T168" s="39">
        <f t="shared" ref="T168:W168" si="619">T67</f>
        <v>1322.9870000000001</v>
      </c>
      <c r="U168" s="39">
        <f t="shared" si="619"/>
        <v>201.15099999999961</v>
      </c>
      <c r="V168" s="39">
        <f t="shared" si="619"/>
        <v>561.29200000000003</v>
      </c>
      <c r="W168" s="39">
        <f t="shared" si="619"/>
        <v>1789.1870000000006</v>
      </c>
      <c r="X168" s="39">
        <f t="shared" ref="X168:AA168" si="620">X67</f>
        <v>1622.5349999999999</v>
      </c>
      <c r="Y168" s="39">
        <f t="shared" si="620"/>
        <v>1003.2259999999997</v>
      </c>
      <c r="Z168" s="39">
        <f t="shared" si="620"/>
        <v>1494.365</v>
      </c>
      <c r="AA168" s="39">
        <f t="shared" si="620"/>
        <v>1007.9690000000004</v>
      </c>
      <c r="AB168" s="39">
        <f t="shared" ref="AB168:AE168" si="621">AB67</f>
        <v>1018.564</v>
      </c>
      <c r="AC168" s="39">
        <f t="shared" si="621"/>
        <v>730.14099999999974</v>
      </c>
      <c r="AD168" s="39">
        <f t="shared" si="621"/>
        <v>1284.5190000000007</v>
      </c>
      <c r="AE168" s="39">
        <f t="shared" si="621"/>
        <v>914.39699999999959</v>
      </c>
      <c r="AF168" s="39">
        <f t="shared" ref="AF168:AG168" si="622">AF67</f>
        <v>1355.2549999999999</v>
      </c>
      <c r="AG168" s="39">
        <f t="shared" si="622"/>
        <v>1310.8600000000001</v>
      </c>
    </row>
    <row r="169" spans="2:33" ht="13.5" customHeight="1" thickTop="1">
      <c r="B169" s="30" t="str">
        <f t="shared" si="586"/>
        <v>Net Capex</v>
      </c>
      <c r="C169" s="42">
        <f t="shared" si="586"/>
        <v>-1182.3210000000001</v>
      </c>
      <c r="D169" s="42">
        <f t="shared" si="586"/>
        <v>-1186.7910000000002</v>
      </c>
      <c r="E169" s="42">
        <f t="shared" si="586"/>
        <v>-1643.748</v>
      </c>
      <c r="F169" s="42">
        <f t="shared" ref="F169:G169" si="623">F68</f>
        <v>-1860.578</v>
      </c>
      <c r="G169" s="42">
        <f t="shared" si="623"/>
        <v>-2365.4740000000002</v>
      </c>
      <c r="H169" s="42">
        <f t="shared" ref="H169:I169" si="624">H68</f>
        <v>-2966.2559999999999</v>
      </c>
      <c r="I169" s="42">
        <f t="shared" si="624"/>
        <v>-3589.884</v>
      </c>
      <c r="J169" s="42">
        <f>J68</f>
        <v>-4097.518</v>
      </c>
      <c r="K169" s="185"/>
      <c r="L169" s="42">
        <f t="shared" si="589"/>
        <v>-412.536</v>
      </c>
      <c r="M169" s="42">
        <f t="shared" si="589"/>
        <v>-304.18</v>
      </c>
      <c r="N169" s="42">
        <f t="shared" si="589"/>
        <v>-350.18199999999985</v>
      </c>
      <c r="O169" s="42">
        <f t="shared" si="589"/>
        <v>-576.85000000000014</v>
      </c>
      <c r="P169" s="42">
        <f t="shared" ref="P169:S169" si="625">P68</f>
        <v>-385.67599999999999</v>
      </c>
      <c r="Q169" s="42">
        <f t="shared" si="625"/>
        <v>-384.32900000000001</v>
      </c>
      <c r="R169" s="42">
        <f t="shared" si="625"/>
        <v>-505.11000000000007</v>
      </c>
      <c r="S169" s="42">
        <f t="shared" si="625"/>
        <v>-585.46299999999997</v>
      </c>
      <c r="T169" s="42">
        <f t="shared" ref="T169:W169" si="626">T68</f>
        <v>-654.85699999999997</v>
      </c>
      <c r="U169" s="42">
        <f t="shared" si="626"/>
        <v>-573.17700000000013</v>
      </c>
      <c r="V169" s="42">
        <f t="shared" si="626"/>
        <v>-546.6579999999999</v>
      </c>
      <c r="W169" s="42">
        <f t="shared" si="626"/>
        <v>-590.78200000000015</v>
      </c>
      <c r="X169" s="42">
        <f t="shared" ref="X169:AA169" si="627">X68</f>
        <v>-612.36599999999999</v>
      </c>
      <c r="Y169" s="42">
        <f t="shared" si="627"/>
        <v>-657.06799999999998</v>
      </c>
      <c r="Z169" s="42">
        <f t="shared" si="627"/>
        <v>-846.38600000000019</v>
      </c>
      <c r="AA169" s="42">
        <f t="shared" si="627"/>
        <v>-850.43599999999969</v>
      </c>
      <c r="AB169" s="42">
        <f t="shared" ref="AB169:AE169" si="628">AB68</f>
        <v>-693.90899999999999</v>
      </c>
      <c r="AC169" s="42">
        <f t="shared" si="628"/>
        <v>-920.38300000000015</v>
      </c>
      <c r="AD169" s="42">
        <f t="shared" si="628"/>
        <v>-955.76999999999964</v>
      </c>
      <c r="AE169" s="42">
        <f t="shared" si="628"/>
        <v>-1019.8220000000001</v>
      </c>
      <c r="AF169" s="42">
        <f t="shared" ref="AF169:AG169" si="629">AF68</f>
        <v>-1175.145</v>
      </c>
      <c r="AG169" s="42">
        <f t="shared" si="629"/>
        <v>-946.78099999999995</v>
      </c>
    </row>
    <row r="170" spans="2:33" ht="13.5" customHeight="1">
      <c r="B170" s="30" t="str">
        <f t="shared" si="586"/>
        <v>Purchase of intangible assets</v>
      </c>
      <c r="C170" s="42">
        <f t="shared" si="586"/>
        <v>-26.146999999999998</v>
      </c>
      <c r="D170" s="42">
        <f t="shared" si="586"/>
        <v>-28.466000000000001</v>
      </c>
      <c r="E170" s="42">
        <f t="shared" si="586"/>
        <v>-29.067</v>
      </c>
      <c r="F170" s="42">
        <f t="shared" ref="F170:G170" si="630">F69</f>
        <v>-31.077000000000002</v>
      </c>
      <c r="G170" s="42">
        <f t="shared" si="630"/>
        <v>-26.414000000000001</v>
      </c>
      <c r="H170" s="42">
        <f t="shared" ref="H170:I170" si="631">H69</f>
        <v>-53.45</v>
      </c>
      <c r="I170" s="42">
        <f t="shared" si="631"/>
        <v>-91.635999999999996</v>
      </c>
      <c r="J170" s="42">
        <f>J69</f>
        <v>-86.304999999999978</v>
      </c>
      <c r="K170" s="185"/>
      <c r="L170" s="42">
        <f t="shared" si="589"/>
        <v>-4.1369999999999996</v>
      </c>
      <c r="M170" s="42">
        <f t="shared" si="589"/>
        <v>-9.5489999999999995</v>
      </c>
      <c r="N170" s="42">
        <f t="shared" si="589"/>
        <v>-12.556999999999999</v>
      </c>
      <c r="O170" s="42">
        <f t="shared" si="589"/>
        <v>-2.8240000000000016</v>
      </c>
      <c r="P170" s="42">
        <f t="shared" ref="P170:S170" si="632">P69</f>
        <v>-8.4339999999999993</v>
      </c>
      <c r="Q170" s="42">
        <f t="shared" si="632"/>
        <v>-5.8330000000000002</v>
      </c>
      <c r="R170" s="42">
        <f t="shared" si="632"/>
        <v>-7.0459999999999994</v>
      </c>
      <c r="S170" s="42">
        <f t="shared" si="632"/>
        <v>-9.7640000000000029</v>
      </c>
      <c r="T170" s="42">
        <f t="shared" ref="T170:W170" si="633">T69</f>
        <v>-3.6379999999999999</v>
      </c>
      <c r="U170" s="42">
        <f t="shared" si="633"/>
        <v>-4.8810000000000002</v>
      </c>
      <c r="V170" s="42">
        <f t="shared" si="633"/>
        <v>-15.462999999999999</v>
      </c>
      <c r="W170" s="42">
        <f t="shared" si="633"/>
        <v>-2.4320000000000022</v>
      </c>
      <c r="X170" s="42">
        <f t="shared" ref="X170:AA170" si="634">X69</f>
        <v>-4.2670000000000003</v>
      </c>
      <c r="Y170" s="42">
        <f t="shared" si="634"/>
        <v>-4.8809999999999993</v>
      </c>
      <c r="Z170" s="42">
        <f t="shared" si="634"/>
        <v>-18.241</v>
      </c>
      <c r="AA170" s="42">
        <f t="shared" si="634"/>
        <v>-26.061000000000003</v>
      </c>
      <c r="AB170" s="42">
        <f t="shared" ref="AB170:AE170" si="635">AB69</f>
        <v>-20.507000000000001</v>
      </c>
      <c r="AC170" s="42">
        <f t="shared" si="635"/>
        <v>-21.016000000000002</v>
      </c>
      <c r="AD170" s="42">
        <f t="shared" si="635"/>
        <v>-22.599999999999998</v>
      </c>
      <c r="AE170" s="42">
        <f t="shared" si="635"/>
        <v>-27.512999999999991</v>
      </c>
      <c r="AF170" s="42">
        <f t="shared" ref="AF170:AG170" si="636">AF69</f>
        <v>-18.507999999999999</v>
      </c>
      <c r="AG170" s="42">
        <f t="shared" si="636"/>
        <v>-17.684000000000001</v>
      </c>
    </row>
    <row r="171" spans="2:33" ht="13.5" customHeight="1">
      <c r="B171" s="30" t="str">
        <f t="shared" si="586"/>
        <v>Disposals/ Acquistion, of subsidiaries, businesses</v>
      </c>
      <c r="C171" s="42">
        <f t="shared" si="586"/>
        <v>-2713.3</v>
      </c>
      <c r="D171" s="42">
        <f t="shared" si="586"/>
        <v>0</v>
      </c>
      <c r="E171" s="42">
        <f t="shared" si="586"/>
        <v>-2299.4920000000002</v>
      </c>
      <c r="F171" s="42">
        <f t="shared" ref="F171:G171" si="637">F70</f>
        <v>0</v>
      </c>
      <c r="G171" s="42">
        <f t="shared" si="637"/>
        <v>0</v>
      </c>
      <c r="H171" s="42">
        <f t="shared" ref="H171:I171" si="638">H70</f>
        <v>0</v>
      </c>
      <c r="I171" s="42">
        <f t="shared" si="638"/>
        <v>-475.00599999999997</v>
      </c>
      <c r="J171" s="42">
        <f>J70</f>
        <v>-475.00599999999997</v>
      </c>
      <c r="K171" s="185"/>
      <c r="L171" s="42">
        <f t="shared" si="589"/>
        <v>-2364</v>
      </c>
      <c r="M171" s="42">
        <f t="shared" si="589"/>
        <v>0</v>
      </c>
      <c r="N171" s="42">
        <f t="shared" si="589"/>
        <v>64.092000000000098</v>
      </c>
      <c r="O171" s="42">
        <f t="shared" si="589"/>
        <v>0.4159999999997126</v>
      </c>
      <c r="P171" s="42">
        <f t="shared" ref="P171:S171" si="639">P70</f>
        <v>0</v>
      </c>
      <c r="Q171" s="42">
        <f t="shared" si="639"/>
        <v>0</v>
      </c>
      <c r="R171" s="42">
        <f t="shared" si="639"/>
        <v>0</v>
      </c>
      <c r="S171" s="42">
        <f t="shared" si="639"/>
        <v>0</v>
      </c>
      <c r="T171" s="42">
        <f t="shared" ref="T171:W171" si="640">T70</f>
        <v>0</v>
      </c>
      <c r="U171" s="42">
        <f t="shared" si="640"/>
        <v>0</v>
      </c>
      <c r="V171" s="42">
        <f t="shared" si="640"/>
        <v>0</v>
      </c>
      <c r="W171" s="42">
        <f t="shared" si="640"/>
        <v>0</v>
      </c>
      <c r="X171" s="42">
        <f t="shared" ref="X171:AA171" si="641">X70</f>
        <v>0</v>
      </c>
      <c r="Y171" s="42">
        <f t="shared" si="641"/>
        <v>0</v>
      </c>
      <c r="Z171" s="42">
        <f t="shared" si="641"/>
        <v>0</v>
      </c>
      <c r="AA171" s="42">
        <f t="shared" si="641"/>
        <v>0</v>
      </c>
      <c r="AB171" s="42">
        <f t="shared" ref="AB171:AE171" si="642">AB70</f>
        <v>0</v>
      </c>
      <c r="AC171" s="42">
        <f t="shared" si="642"/>
        <v>0</v>
      </c>
      <c r="AD171" s="42">
        <f t="shared" si="642"/>
        <v>-382.31700000000001</v>
      </c>
      <c r="AE171" s="42">
        <f t="shared" si="642"/>
        <v>-92.688999999999965</v>
      </c>
      <c r="AF171" s="42">
        <f t="shared" ref="AF171:AG171" si="643">AF70</f>
        <v>0</v>
      </c>
      <c r="AG171" s="42">
        <f t="shared" si="643"/>
        <v>0</v>
      </c>
    </row>
    <row r="172" spans="2:33" s="33" customFormat="1" ht="13.5" customHeight="1" thickBot="1">
      <c r="B172" s="40" t="str">
        <f t="shared" si="586"/>
        <v xml:space="preserve">Free cash flow </v>
      </c>
      <c r="C172" s="39">
        <f t="shared" si="586"/>
        <v>-834.74900000000048</v>
      </c>
      <c r="D172" s="39">
        <f t="shared" si="586"/>
        <v>1072.6990000000001</v>
      </c>
      <c r="E172" s="39">
        <f t="shared" si="586"/>
        <v>-556.38800000000037</v>
      </c>
      <c r="F172" s="39">
        <f t="shared" ref="F172:G172" si="644">F71</f>
        <v>2589.9209999999998</v>
      </c>
      <c r="G172" s="39">
        <f t="shared" si="644"/>
        <v>1482.7290000000005</v>
      </c>
      <c r="H172" s="39">
        <f t="shared" ref="H172:I172" si="645">H71</f>
        <v>2108.3890000000006</v>
      </c>
      <c r="I172" s="39">
        <f t="shared" si="645"/>
        <v>-208.90500000000031</v>
      </c>
      <c r="J172" s="39">
        <f>J71</f>
        <v>206.202</v>
      </c>
      <c r="K172" s="41"/>
      <c r="L172" s="39">
        <f t="shared" si="589"/>
        <v>-1972.0450000000001</v>
      </c>
      <c r="M172" s="39">
        <f t="shared" si="589"/>
        <v>279.57099999999986</v>
      </c>
      <c r="N172" s="39">
        <f t="shared" si="589"/>
        <v>570.13099999999986</v>
      </c>
      <c r="O172" s="39">
        <f t="shared" si="589"/>
        <v>565.95500000000027</v>
      </c>
      <c r="P172" s="39">
        <f t="shared" ref="P172:S172" si="646">P71</f>
        <v>843.17900000000031</v>
      </c>
      <c r="Q172" s="39">
        <f t="shared" si="646"/>
        <v>-11.636000000000452</v>
      </c>
      <c r="R172" s="39">
        <f t="shared" si="646"/>
        <v>266.78999999999928</v>
      </c>
      <c r="S172" s="39">
        <f t="shared" si="646"/>
        <v>1491.5880000000011</v>
      </c>
      <c r="T172" s="39">
        <f t="shared" ref="T172:W172" si="647">T71</f>
        <v>664.49200000000008</v>
      </c>
      <c r="U172" s="39">
        <f t="shared" si="647"/>
        <v>-376.90700000000049</v>
      </c>
      <c r="V172" s="39">
        <f t="shared" si="647"/>
        <v>-0.82899999999987095</v>
      </c>
      <c r="W172" s="39">
        <f t="shared" si="647"/>
        <v>1195.9730000000004</v>
      </c>
      <c r="X172" s="39">
        <f t="shared" ref="X172:AA172" si="648">X71</f>
        <v>1005.9019999999998</v>
      </c>
      <c r="Y172" s="39">
        <f t="shared" si="648"/>
        <v>341.2769999999997</v>
      </c>
      <c r="Z172" s="39">
        <f t="shared" si="648"/>
        <v>629.73799999999983</v>
      </c>
      <c r="AA172" s="39">
        <f t="shared" si="648"/>
        <v>131.47200000000069</v>
      </c>
      <c r="AB172" s="39">
        <f t="shared" ref="AB172:AE172" si="649">AB71</f>
        <v>304.14799999999997</v>
      </c>
      <c r="AC172" s="39">
        <f t="shared" si="649"/>
        <v>-211.25800000000041</v>
      </c>
      <c r="AD172" s="39">
        <f t="shared" si="649"/>
        <v>-76.167999999998983</v>
      </c>
      <c r="AE172" s="39">
        <f t="shared" si="649"/>
        <v>-225.62700000000046</v>
      </c>
      <c r="AF172" s="39">
        <f t="shared" ref="AF172:AG172" si="650">AF71</f>
        <v>161.60199999999989</v>
      </c>
      <c r="AG172" s="39">
        <f t="shared" si="650"/>
        <v>346.39500000000015</v>
      </c>
    </row>
    <row r="173" spans="2:33" s="33" customFormat="1" ht="13.5" customHeight="1" thickTop="1">
      <c r="B173" s="30" t="str">
        <f t="shared" si="586"/>
        <v xml:space="preserve">Other Investing </v>
      </c>
      <c r="C173" s="42">
        <f t="shared" si="586"/>
        <v>578.13999999999987</v>
      </c>
      <c r="D173" s="42">
        <f t="shared" si="586"/>
        <v>143.64499999999998</v>
      </c>
      <c r="E173" s="42">
        <f t="shared" si="586"/>
        <v>118.94200000000046</v>
      </c>
      <c r="F173" s="42">
        <f t="shared" ref="F173:G173" si="651">F72</f>
        <v>212.05099999999993</v>
      </c>
      <c r="G173" s="42">
        <f t="shared" si="651"/>
        <v>21.184000000000196</v>
      </c>
      <c r="H173" s="42">
        <f t="shared" ref="H173:I173" si="652">H72</f>
        <v>-1246.3409999999999</v>
      </c>
      <c r="I173" s="42">
        <f t="shared" si="652"/>
        <v>-410.459</v>
      </c>
      <c r="J173" s="42">
        <f>J72</f>
        <v>-574.78400000000011</v>
      </c>
      <c r="K173" s="185"/>
      <c r="L173" s="42">
        <f t="shared" si="589"/>
        <v>8.6029999999996107</v>
      </c>
      <c r="M173" s="42">
        <f t="shared" si="589"/>
        <v>110.73300000000017</v>
      </c>
      <c r="N173" s="42">
        <f t="shared" si="589"/>
        <v>-27.530999999999949</v>
      </c>
      <c r="O173" s="42">
        <f t="shared" si="589"/>
        <v>27.137000000000626</v>
      </c>
      <c r="P173" s="42">
        <f t="shared" ref="P173:S173" si="653">P72</f>
        <v>3.0790000000000077</v>
      </c>
      <c r="Q173" s="42">
        <f t="shared" si="653"/>
        <v>175.30900000000003</v>
      </c>
      <c r="R173" s="42">
        <f t="shared" si="653"/>
        <v>21.326000000000022</v>
      </c>
      <c r="S173" s="42">
        <f t="shared" si="653"/>
        <v>12.336999999999875</v>
      </c>
      <c r="T173" s="42">
        <f t="shared" ref="T173:W173" si="654">T72</f>
        <v>-54.212999999999965</v>
      </c>
      <c r="U173" s="42">
        <f t="shared" si="654"/>
        <v>-145.61500000000001</v>
      </c>
      <c r="V173" s="42">
        <f t="shared" si="654"/>
        <v>-27.828999999999951</v>
      </c>
      <c r="W173" s="42">
        <f t="shared" si="654"/>
        <v>248.84100000000012</v>
      </c>
      <c r="X173" s="42">
        <f t="shared" ref="X173:AA173" si="655">X72</f>
        <v>116.74000000000007</v>
      </c>
      <c r="Y173" s="42">
        <f t="shared" si="655"/>
        <v>-1189.7539999999999</v>
      </c>
      <c r="Z173" s="42">
        <f t="shared" si="655"/>
        <v>75.91199999999958</v>
      </c>
      <c r="AA173" s="42">
        <f t="shared" si="655"/>
        <v>-249.23899999999958</v>
      </c>
      <c r="AB173" s="42">
        <f t="shared" ref="AB173:AE173" si="656">AB72</f>
        <v>-90.698000000000093</v>
      </c>
      <c r="AC173" s="42">
        <f t="shared" si="656"/>
        <v>137.3760000000002</v>
      </c>
      <c r="AD173" s="42">
        <f t="shared" si="656"/>
        <v>-228.45500000000015</v>
      </c>
      <c r="AE173" s="42">
        <f t="shared" si="656"/>
        <v>-228.68199999999996</v>
      </c>
      <c r="AF173" s="42">
        <f t="shared" ref="AF173:AG173" si="657">AF72</f>
        <v>59.771000000000001</v>
      </c>
      <c r="AG173" s="42">
        <f t="shared" si="657"/>
        <v>-177.41800000000001</v>
      </c>
    </row>
    <row r="174" spans="2:33" ht="13.5" customHeight="1">
      <c r="B174" s="30" t="str">
        <f t="shared" ref="B174:E181" si="658">B73</f>
        <v>Equity Issuance</v>
      </c>
      <c r="C174" s="42">
        <f t="shared" si="658"/>
        <v>0</v>
      </c>
      <c r="D174" s="42">
        <f t="shared" si="658"/>
        <v>0</v>
      </c>
      <c r="E174" s="42">
        <f t="shared" si="658"/>
        <v>0</v>
      </c>
      <c r="F174" s="42">
        <f t="shared" ref="F174:G174" si="659">F73</f>
        <v>0</v>
      </c>
      <c r="G174" s="42">
        <f t="shared" si="659"/>
        <v>0</v>
      </c>
      <c r="H174" s="42">
        <f t="shared" ref="H174:I174" si="660">H73</f>
        <v>0</v>
      </c>
      <c r="I174" s="42">
        <f t="shared" si="660"/>
        <v>0</v>
      </c>
      <c r="J174" s="42">
        <f>J73</f>
        <v>0.22500000000000001</v>
      </c>
      <c r="K174" s="185"/>
      <c r="L174" s="42">
        <f t="shared" ref="L174:O181" si="661">L73</f>
        <v>0</v>
      </c>
      <c r="M174" s="42">
        <f t="shared" si="661"/>
        <v>0</v>
      </c>
      <c r="N174" s="42">
        <f t="shared" si="661"/>
        <v>0</v>
      </c>
      <c r="O174" s="42">
        <f t="shared" si="661"/>
        <v>0</v>
      </c>
      <c r="P174" s="42">
        <f t="shared" ref="P174:S174" si="662">P73</f>
        <v>0</v>
      </c>
      <c r="Q174" s="42">
        <f t="shared" si="662"/>
        <v>0</v>
      </c>
      <c r="R174" s="42">
        <f t="shared" si="662"/>
        <v>0</v>
      </c>
      <c r="S174" s="42">
        <f t="shared" si="662"/>
        <v>0</v>
      </c>
      <c r="T174" s="42">
        <f t="shared" ref="T174:W174" si="663">T73</f>
        <v>0</v>
      </c>
      <c r="U174" s="42">
        <f t="shared" si="663"/>
        <v>0</v>
      </c>
      <c r="V174" s="42">
        <f t="shared" si="663"/>
        <v>0</v>
      </c>
      <c r="W174" s="42">
        <f t="shared" si="663"/>
        <v>0</v>
      </c>
      <c r="X174" s="42">
        <f t="shared" ref="X174:AA174" si="664">X73</f>
        <v>0</v>
      </c>
      <c r="Y174" s="42">
        <f t="shared" si="664"/>
        <v>0</v>
      </c>
      <c r="Z174" s="42">
        <f t="shared" si="664"/>
        <v>0</v>
      </c>
      <c r="AA174" s="42">
        <f t="shared" si="664"/>
        <v>0</v>
      </c>
      <c r="AB174" s="42">
        <f t="shared" ref="AB174:AE174" si="665">AB73</f>
        <v>0</v>
      </c>
      <c r="AC174" s="42">
        <f t="shared" si="665"/>
        <v>0</v>
      </c>
      <c r="AD174" s="42">
        <f t="shared" si="665"/>
        <v>0</v>
      </c>
      <c r="AE174" s="42">
        <f t="shared" si="665"/>
        <v>0</v>
      </c>
      <c r="AF174" s="42">
        <f t="shared" ref="AF174:AG174" si="666">AF73</f>
        <v>0.22500000000000001</v>
      </c>
      <c r="AG174" s="42">
        <f t="shared" si="666"/>
        <v>0</v>
      </c>
    </row>
    <row r="175" spans="2:33" ht="13.5" customHeight="1">
      <c r="B175" s="30" t="str">
        <f t="shared" si="658"/>
        <v>Dividends</v>
      </c>
      <c r="C175" s="42">
        <f t="shared" si="658"/>
        <v>-697.76</v>
      </c>
      <c r="D175" s="42">
        <f t="shared" si="658"/>
        <v>-671</v>
      </c>
      <c r="E175" s="42">
        <f t="shared" si="658"/>
        <v>-605.34100000000001</v>
      </c>
      <c r="F175" s="42">
        <f t="shared" ref="F175:G175" si="667">F74</f>
        <v>-819.49199999999996</v>
      </c>
      <c r="G175" s="42">
        <f t="shared" si="667"/>
        <v>-1098.7719999999999</v>
      </c>
      <c r="H175" s="42">
        <f t="shared" ref="H175:I175" si="668">H74</f>
        <v>-1080.0239999999999</v>
      </c>
      <c r="I175" s="42">
        <f t="shared" si="668"/>
        <v>-1108.4069999999999</v>
      </c>
      <c r="J175" s="42">
        <f>J74</f>
        <v>-1087.4549999999999</v>
      </c>
      <c r="K175" s="185"/>
      <c r="L175" s="42">
        <f t="shared" si="661"/>
        <v>0</v>
      </c>
      <c r="M175" s="42">
        <f t="shared" si="661"/>
        <v>-364.15300000000002</v>
      </c>
      <c r="N175" s="42">
        <f t="shared" si="661"/>
        <v>-241.18799999999999</v>
      </c>
      <c r="O175" s="42">
        <f t="shared" si="661"/>
        <v>0</v>
      </c>
      <c r="P175" s="42">
        <f t="shared" ref="P175:S175" si="669">P74</f>
        <v>0</v>
      </c>
      <c r="Q175" s="42">
        <f t="shared" si="669"/>
        <v>-361.31700000000001</v>
      </c>
      <c r="R175" s="42">
        <f t="shared" si="669"/>
        <v>-458.17499999999995</v>
      </c>
      <c r="S175" s="42">
        <f t="shared" si="669"/>
        <v>0</v>
      </c>
      <c r="T175" s="42">
        <f t="shared" ref="T175:W175" si="670">T74</f>
        <v>0</v>
      </c>
      <c r="U175" s="42">
        <f t="shared" si="670"/>
        <v>-603.71600000000001</v>
      </c>
      <c r="V175" s="42">
        <f t="shared" si="670"/>
        <v>-495.05599999999993</v>
      </c>
      <c r="W175" s="42">
        <f t="shared" si="670"/>
        <v>0</v>
      </c>
      <c r="X175" s="42">
        <f t="shared" ref="X175:AA175" si="671">X74</f>
        <v>0</v>
      </c>
      <c r="Y175" s="42">
        <f t="shared" si="671"/>
        <v>-585.64400000000001</v>
      </c>
      <c r="Z175" s="42">
        <f t="shared" si="671"/>
        <v>-494.37999999999988</v>
      </c>
      <c r="AA175" s="42">
        <f t="shared" si="671"/>
        <v>0</v>
      </c>
      <c r="AB175" s="42">
        <f t="shared" ref="AB175:AE175" si="672">AB74</f>
        <v>0</v>
      </c>
      <c r="AC175" s="42">
        <f t="shared" si="672"/>
        <v>-603.01700000000005</v>
      </c>
      <c r="AD175" s="42">
        <f t="shared" si="672"/>
        <v>-505.38999999999987</v>
      </c>
      <c r="AE175" s="42">
        <f t="shared" si="672"/>
        <v>0</v>
      </c>
      <c r="AF175" s="42">
        <f t="shared" ref="AF175:AG175" si="673">AF74</f>
        <v>0</v>
      </c>
      <c r="AG175" s="42">
        <f t="shared" si="673"/>
        <v>-582.06500000000005</v>
      </c>
    </row>
    <row r="176" spans="2:33" ht="13.5" customHeight="1">
      <c r="B176" s="30" t="str">
        <f t="shared" si="658"/>
        <v>Net Change in debt</v>
      </c>
      <c r="C176" s="42">
        <f t="shared" si="658"/>
        <v>313.97000000000025</v>
      </c>
      <c r="D176" s="42">
        <f t="shared" si="658"/>
        <v>-7.6569999999999787</v>
      </c>
      <c r="E176" s="42">
        <f t="shared" si="658"/>
        <v>51.478000000000009</v>
      </c>
      <c r="F176" s="42">
        <f t="shared" ref="F176:G176" si="674">F75</f>
        <v>-986.64300000000003</v>
      </c>
      <c r="G176" s="42">
        <f t="shared" si="674"/>
        <v>-289.45699999999999</v>
      </c>
      <c r="H176" s="42">
        <f t="shared" ref="H176:I176" si="675">H75</f>
        <v>-317.71199999999999</v>
      </c>
      <c r="I176" s="42">
        <f t="shared" si="675"/>
        <v>-396.94900000000001</v>
      </c>
      <c r="J176" s="42">
        <f>J75</f>
        <v>30.132999999999981</v>
      </c>
      <c r="K176" s="185"/>
      <c r="L176" s="42">
        <f t="shared" si="661"/>
        <v>-28.138000000000002</v>
      </c>
      <c r="M176" s="42">
        <f t="shared" si="661"/>
        <v>167.238</v>
      </c>
      <c r="N176" s="42">
        <f t="shared" si="661"/>
        <v>-227.26900000000001</v>
      </c>
      <c r="O176" s="42">
        <f t="shared" si="661"/>
        <v>139.64700000000002</v>
      </c>
      <c r="P176" s="42">
        <f t="shared" ref="P176:S176" si="676">P75</f>
        <v>-36.036000000000001</v>
      </c>
      <c r="Q176" s="42">
        <f t="shared" si="676"/>
        <v>-259.46800000000002</v>
      </c>
      <c r="R176" s="42">
        <f t="shared" si="676"/>
        <v>105.99600000000004</v>
      </c>
      <c r="S176" s="42">
        <f t="shared" si="676"/>
        <v>-797.13499999999999</v>
      </c>
      <c r="T176" s="42">
        <f t="shared" ref="T176:W176" si="677">T75</f>
        <v>-55.593000000000004</v>
      </c>
      <c r="U176" s="42">
        <f t="shared" si="677"/>
        <v>-105.831</v>
      </c>
      <c r="V176" s="42">
        <f t="shared" si="677"/>
        <v>-64.911999999999992</v>
      </c>
      <c r="W176" s="42">
        <f t="shared" si="677"/>
        <v>-63.120999999999981</v>
      </c>
      <c r="X176" s="42">
        <f t="shared" ref="X176:AA176" si="678">X75</f>
        <v>-67.975999999999999</v>
      </c>
      <c r="Y176" s="42">
        <f t="shared" si="678"/>
        <v>-67.442999999999984</v>
      </c>
      <c r="Z176" s="42">
        <f t="shared" si="678"/>
        <v>-83.998000000000019</v>
      </c>
      <c r="AA176" s="42">
        <f t="shared" si="678"/>
        <v>-98.294999999999987</v>
      </c>
      <c r="AB176" s="42">
        <f t="shared" ref="AB176:AE176" si="679">AB75</f>
        <v>-84.444000000000003</v>
      </c>
      <c r="AC176" s="42">
        <f t="shared" si="679"/>
        <v>-96.858999999999995</v>
      </c>
      <c r="AD176" s="42">
        <f t="shared" si="679"/>
        <v>-104.25699999999999</v>
      </c>
      <c r="AE176" s="42">
        <f t="shared" si="679"/>
        <v>-111.38900000000001</v>
      </c>
      <c r="AF176" s="42">
        <f t="shared" ref="AF176:AG176" si="680">AF75</f>
        <v>-110.848</v>
      </c>
      <c r="AG176" s="42">
        <f t="shared" si="680"/>
        <v>356.62700000000001</v>
      </c>
    </row>
    <row r="177" spans="2:33" ht="13.5" customHeight="1">
      <c r="B177" s="30" t="str">
        <f t="shared" si="658"/>
        <v>Other financing activities</v>
      </c>
      <c r="C177" s="42">
        <f t="shared" si="658"/>
        <v>-6.2600000000002183</v>
      </c>
      <c r="D177" s="42">
        <f t="shared" si="658"/>
        <v>-9.9450000000000784</v>
      </c>
      <c r="E177" s="42">
        <f t="shared" si="658"/>
        <v>1.5560000000000116</v>
      </c>
      <c r="F177" s="42">
        <f t="shared" ref="F177:G177" si="681">F76</f>
        <v>-44.924000000000063</v>
      </c>
      <c r="G177" s="42">
        <f t="shared" si="681"/>
        <v>3.496</v>
      </c>
      <c r="H177" s="42">
        <f t="shared" ref="H177:I177" si="682">H76</f>
        <v>4.7359999999999998</v>
      </c>
      <c r="I177" s="42">
        <f t="shared" si="682"/>
        <v>0</v>
      </c>
      <c r="J177" s="42">
        <f>J76</f>
        <v>-0.45500000000000002</v>
      </c>
      <c r="K177" s="185"/>
      <c r="L177" s="42">
        <f t="shared" si="661"/>
        <v>0</v>
      </c>
      <c r="M177" s="42">
        <f t="shared" si="661"/>
        <v>0</v>
      </c>
      <c r="N177" s="42">
        <f t="shared" si="661"/>
        <v>0</v>
      </c>
      <c r="O177" s="42">
        <f t="shared" si="661"/>
        <v>1.5560000000000116</v>
      </c>
      <c r="P177" s="42">
        <f t="shared" ref="P177:S177" si="683">P76</f>
        <v>0</v>
      </c>
      <c r="Q177" s="42">
        <f t="shared" si="683"/>
        <v>-45.486999999999973</v>
      </c>
      <c r="R177" s="42">
        <f t="shared" si="683"/>
        <v>-142.59000000000009</v>
      </c>
      <c r="S177" s="42">
        <f t="shared" si="683"/>
        <v>143.15299999999999</v>
      </c>
      <c r="T177" s="42">
        <f t="shared" ref="T177:W177" si="684">T76</f>
        <v>0</v>
      </c>
      <c r="U177" s="42">
        <f t="shared" si="684"/>
        <v>2.5220000000000358</v>
      </c>
      <c r="V177" s="42">
        <f t="shared" si="684"/>
        <v>-2.0000000000095497E-3</v>
      </c>
      <c r="W177" s="42">
        <f t="shared" si="684"/>
        <v>0.97599999999997378</v>
      </c>
      <c r="X177" s="42">
        <f t="shared" ref="X177:AA177" si="685">X76</f>
        <v>2.742</v>
      </c>
      <c r="Y177" s="42">
        <f t="shared" si="685"/>
        <v>-2.742</v>
      </c>
      <c r="Z177" s="42">
        <f t="shared" si="685"/>
        <v>4.3409999999999087</v>
      </c>
      <c r="AA177" s="42">
        <f t="shared" si="685"/>
        <v>0.39500000000009106</v>
      </c>
      <c r="AB177" s="42">
        <f t="shared" ref="AB177:AE177" si="686">AB76</f>
        <v>0</v>
      </c>
      <c r="AC177" s="42">
        <f t="shared" si="686"/>
        <v>0</v>
      </c>
      <c r="AD177" s="42">
        <f t="shared" si="686"/>
        <v>-2.4158453015843406E-13</v>
      </c>
      <c r="AE177" s="42">
        <f t="shared" si="686"/>
        <v>2.4158453015843406E-13</v>
      </c>
      <c r="AF177" s="42">
        <f t="shared" ref="AF177:AG177" si="687">AF76</f>
        <v>0</v>
      </c>
      <c r="AG177" s="42">
        <f t="shared" si="687"/>
        <v>-0.45500000000000002</v>
      </c>
    </row>
    <row r="178" spans="2:33" s="33" customFormat="1" ht="13.5" customHeight="1" thickBot="1">
      <c r="B178" s="40" t="str">
        <f t="shared" si="658"/>
        <v>Cash flow after financing activities</v>
      </c>
      <c r="C178" s="39">
        <f t="shared" si="658"/>
        <v>-646.65900000000056</v>
      </c>
      <c r="D178" s="39">
        <f t="shared" si="658"/>
        <v>527.74200000000008</v>
      </c>
      <c r="E178" s="39">
        <f t="shared" si="658"/>
        <v>-989.7529999999997</v>
      </c>
      <c r="F178" s="39">
        <f t="shared" ref="F178:G178" si="688">F77</f>
        <v>950.91299999999967</v>
      </c>
      <c r="G178" s="39">
        <f t="shared" si="688"/>
        <v>119.18000000000076</v>
      </c>
      <c r="H178" s="39">
        <f t="shared" ref="H178:I178" si="689">H77</f>
        <v>-530.9519999999992</v>
      </c>
      <c r="I178" s="39">
        <f t="shared" si="689"/>
        <v>-2124.7200000000003</v>
      </c>
      <c r="J178" s="39">
        <f>J77</f>
        <v>-1426.1339999999998</v>
      </c>
      <c r="K178" s="41"/>
      <c r="L178" s="39">
        <f t="shared" si="661"/>
        <v>-1991.5800000000004</v>
      </c>
      <c r="M178" s="39">
        <f t="shared" si="661"/>
        <v>193.38900000000001</v>
      </c>
      <c r="N178" s="39">
        <f t="shared" si="661"/>
        <v>74.142999999999915</v>
      </c>
      <c r="O178" s="39">
        <f t="shared" si="661"/>
        <v>734.29500000000098</v>
      </c>
      <c r="P178" s="39">
        <f t="shared" ref="P178:S178" si="690">P77</f>
        <v>810.22200000000021</v>
      </c>
      <c r="Q178" s="39">
        <f t="shared" si="690"/>
        <v>-502.59900000000039</v>
      </c>
      <c r="R178" s="39">
        <f t="shared" si="690"/>
        <v>-206.6530000000007</v>
      </c>
      <c r="S178" s="39">
        <f t="shared" si="690"/>
        <v>849.94300000000112</v>
      </c>
      <c r="T178" s="39">
        <f t="shared" ref="T178:W178" si="691">T77</f>
        <v>554.68600000000015</v>
      </c>
      <c r="U178" s="39">
        <f t="shared" si="691"/>
        <v>-1229.5470000000005</v>
      </c>
      <c r="V178" s="39">
        <f t="shared" si="691"/>
        <v>-588.6279999999997</v>
      </c>
      <c r="W178" s="39">
        <f t="shared" si="691"/>
        <v>1382.6690000000006</v>
      </c>
      <c r="X178" s="39">
        <f t="shared" ref="X178:AA178" si="692">X77</f>
        <v>1057.4079999999997</v>
      </c>
      <c r="Y178" s="39">
        <f t="shared" si="692"/>
        <v>-1504.306</v>
      </c>
      <c r="Z178" s="39">
        <f t="shared" si="692"/>
        <v>131.61299999999943</v>
      </c>
      <c r="AA178" s="39">
        <f t="shared" si="692"/>
        <v>-215.66699999999878</v>
      </c>
      <c r="AB178" s="39">
        <f t="shared" ref="AB178:AE178" si="693">AB77</f>
        <v>129.00599999999986</v>
      </c>
      <c r="AC178" s="39">
        <f t="shared" si="693"/>
        <v>-773.75800000000027</v>
      </c>
      <c r="AD178" s="39">
        <f t="shared" si="693"/>
        <v>-914.26999999999919</v>
      </c>
      <c r="AE178" s="39">
        <f t="shared" si="693"/>
        <v>-565.69800000000021</v>
      </c>
      <c r="AF178" s="39">
        <f t="shared" ref="AF178:AG178" si="694">AF77</f>
        <v>110.74999999999987</v>
      </c>
      <c r="AG178" s="39">
        <f t="shared" si="694"/>
        <v>-56.915999999999897</v>
      </c>
    </row>
    <row r="179" spans="2:33" s="33" customFormat="1" ht="13.5" customHeight="1" thickTop="1">
      <c r="B179" s="30" t="str">
        <f t="shared" si="658"/>
        <v>Balancing figure</v>
      </c>
      <c r="C179" s="42">
        <f t="shared" si="658"/>
        <v>269.04400000000055</v>
      </c>
      <c r="D179" s="42">
        <f t="shared" si="658"/>
        <v>325.82399999999996</v>
      </c>
      <c r="E179" s="42">
        <f t="shared" si="658"/>
        <v>-130.66300000000024</v>
      </c>
      <c r="F179" s="42">
        <f t="shared" ref="F179:G179" si="695">F78</f>
        <v>42.005000000000337</v>
      </c>
      <c r="G179" s="42">
        <f t="shared" si="695"/>
        <v>350.68799999999925</v>
      </c>
      <c r="H179" s="42">
        <f t="shared" ref="H179:I179" si="696">H78</f>
        <v>461.9759999999992</v>
      </c>
      <c r="I179" s="42">
        <f t="shared" si="696"/>
        <v>471.68000000000029</v>
      </c>
      <c r="J179" s="42">
        <f>J78</f>
        <v>447.37099999999987</v>
      </c>
      <c r="K179" s="185"/>
      <c r="L179" s="42">
        <f t="shared" si="661"/>
        <v>-3.2729999999996835</v>
      </c>
      <c r="M179" s="42">
        <f t="shared" si="661"/>
        <v>-35.920999999999822</v>
      </c>
      <c r="N179" s="42">
        <f t="shared" si="661"/>
        <v>90.186999999999898</v>
      </c>
      <c r="O179" s="42">
        <f t="shared" si="661"/>
        <v>-181.65600000000063</v>
      </c>
      <c r="P179" s="42">
        <f t="shared" ref="P179:S179" si="697">P78</f>
        <v>-23.548000000000229</v>
      </c>
      <c r="Q179" s="42">
        <f t="shared" si="697"/>
        <v>0.74900000000047839</v>
      </c>
      <c r="R179" s="42">
        <f t="shared" si="697"/>
        <v>852.48000000000047</v>
      </c>
      <c r="S179" s="42">
        <f t="shared" si="697"/>
        <v>-787.67600000000039</v>
      </c>
      <c r="T179" s="42">
        <f t="shared" ref="T179:W179" si="698">T78</f>
        <v>136.56899999999985</v>
      </c>
      <c r="U179" s="42">
        <f t="shared" si="698"/>
        <v>68.590000000000487</v>
      </c>
      <c r="V179" s="42">
        <f t="shared" si="698"/>
        <v>578.10299999999984</v>
      </c>
      <c r="W179" s="42">
        <f t="shared" si="698"/>
        <v>-432.57400000000092</v>
      </c>
      <c r="X179" s="42">
        <f t="shared" ref="X179:AA179" si="699">X78</f>
        <v>106.79700000000025</v>
      </c>
      <c r="Y179" s="42">
        <f t="shared" si="699"/>
        <v>103.69200000000001</v>
      </c>
      <c r="Z179" s="42">
        <f t="shared" si="699"/>
        <v>153.25000000000068</v>
      </c>
      <c r="AA179" s="42">
        <f t="shared" si="699"/>
        <v>98.236999999998261</v>
      </c>
      <c r="AB179" s="42">
        <f t="shared" ref="AB179:AE179" si="700">AB78</f>
        <v>76.54500000000013</v>
      </c>
      <c r="AC179" s="42">
        <f t="shared" si="700"/>
        <v>96.149000000000285</v>
      </c>
      <c r="AD179" s="42">
        <f t="shared" si="700"/>
        <v>-6.5730000000008886</v>
      </c>
      <c r="AE179" s="42">
        <f t="shared" si="700"/>
        <v>305.55900000000076</v>
      </c>
      <c r="AF179" s="42">
        <f t="shared" ref="AF179:AG179" si="701">AF78</f>
        <v>50.901000000000138</v>
      </c>
      <c r="AG179" s="42">
        <f t="shared" si="701"/>
        <v>97.483999999999853</v>
      </c>
    </row>
    <row r="180" spans="2:33" ht="13.5" customHeight="1">
      <c r="B180" s="30" t="str">
        <f t="shared" si="658"/>
        <v xml:space="preserve">FX </v>
      </c>
      <c r="C180" s="42">
        <f t="shared" si="658"/>
        <v>20.417000000000002</v>
      </c>
      <c r="D180" s="42">
        <f t="shared" si="658"/>
        <v>27.54</v>
      </c>
      <c r="E180" s="42">
        <f t="shared" si="658"/>
        <v>-24.398</v>
      </c>
      <c r="F180" s="42">
        <f t="shared" ref="F180:G180" si="702">F79</f>
        <v>-12.887</v>
      </c>
      <c r="G180" s="42">
        <f t="shared" si="702"/>
        <v>9.8710000000000004</v>
      </c>
      <c r="H180" s="42">
        <f t="shared" ref="H180:I180" si="703">H79</f>
        <v>-11.82</v>
      </c>
      <c r="I180" s="42">
        <f t="shared" si="703"/>
        <v>28.669</v>
      </c>
      <c r="J180" s="42">
        <f>J79</f>
        <v>-6.0330000000000013</v>
      </c>
      <c r="K180" s="185"/>
      <c r="L180" s="42">
        <f t="shared" si="661"/>
        <v>-13.721</v>
      </c>
      <c r="M180" s="42">
        <f t="shared" si="661"/>
        <v>-2.9190000000000005</v>
      </c>
      <c r="N180" s="42">
        <f t="shared" si="661"/>
        <v>-14.210999999999999</v>
      </c>
      <c r="O180" s="42">
        <f t="shared" si="661"/>
        <v>6.4529999999999994</v>
      </c>
      <c r="P180" s="42">
        <f t="shared" ref="P180:S180" si="704">P79</f>
        <v>0.13900000000000001</v>
      </c>
      <c r="Q180" s="42">
        <f t="shared" si="704"/>
        <v>-37.763000000000005</v>
      </c>
      <c r="R180" s="42">
        <f t="shared" si="704"/>
        <v>-16.159999999999997</v>
      </c>
      <c r="S180" s="42">
        <f t="shared" si="704"/>
        <v>40.896999999999998</v>
      </c>
      <c r="T180" s="42">
        <f t="shared" ref="T180:W180" si="705">T79</f>
        <v>11.116</v>
      </c>
      <c r="U180" s="42">
        <f t="shared" si="705"/>
        <v>-16.003</v>
      </c>
      <c r="V180" s="42">
        <f t="shared" si="705"/>
        <v>-17.938000000000002</v>
      </c>
      <c r="W180" s="42">
        <f t="shared" si="705"/>
        <v>32.696000000000005</v>
      </c>
      <c r="X180" s="42">
        <f t="shared" ref="X180:AA180" si="706">X79</f>
        <v>-28.841000000000001</v>
      </c>
      <c r="Y180" s="42">
        <f t="shared" si="706"/>
        <v>-2.4879999999999995</v>
      </c>
      <c r="Z180" s="42">
        <f t="shared" si="706"/>
        <v>33.56</v>
      </c>
      <c r="AA180" s="42">
        <f t="shared" si="706"/>
        <v>-14.051000000000002</v>
      </c>
      <c r="AB180" s="42">
        <f t="shared" ref="AB180:AE180" si="707">AB79</f>
        <v>-4.8000000000000001E-2</v>
      </c>
      <c r="AC180" s="42">
        <f t="shared" si="707"/>
        <v>16.827999999999999</v>
      </c>
      <c r="AD180" s="42">
        <f t="shared" si="707"/>
        <v>3.5019999999999989</v>
      </c>
      <c r="AE180" s="42">
        <f t="shared" si="707"/>
        <v>8.3870000000000005</v>
      </c>
      <c r="AF180" s="42">
        <f t="shared" ref="AF180:AG180" si="708">AF79</f>
        <v>-15.085000000000001</v>
      </c>
      <c r="AG180" s="42">
        <f t="shared" si="708"/>
        <v>-2.8369999999999997</v>
      </c>
    </row>
    <row r="181" spans="2:33" s="33" customFormat="1" ht="13.5" customHeight="1" thickBot="1">
      <c r="B181" s="40" t="str">
        <f t="shared" si="658"/>
        <v xml:space="preserve">Net change in cash </v>
      </c>
      <c r="C181" s="39">
        <f t="shared" si="658"/>
        <v>-357.19799999999998</v>
      </c>
      <c r="D181" s="39">
        <f t="shared" si="658"/>
        <v>881.10599999999999</v>
      </c>
      <c r="E181" s="39">
        <f t="shared" si="658"/>
        <v>-1144.8139999999999</v>
      </c>
      <c r="F181" s="39">
        <f t="shared" ref="F181:G181" si="709">F80</f>
        <v>980.03099999999995</v>
      </c>
      <c r="G181" s="39">
        <f t="shared" si="709"/>
        <v>479.73899999999998</v>
      </c>
      <c r="H181" s="39">
        <f t="shared" ref="H181:I181" si="710">H80</f>
        <v>-80.795999999999992</v>
      </c>
      <c r="I181" s="39">
        <f t="shared" si="710"/>
        <v>-1624.3709999999999</v>
      </c>
      <c r="J181" s="39">
        <f>J80</f>
        <v>-984.79599999999994</v>
      </c>
      <c r="K181" s="41"/>
      <c r="L181" s="39">
        <f t="shared" si="661"/>
        <v>-2008.5740000000001</v>
      </c>
      <c r="M181" s="39">
        <f t="shared" si="661"/>
        <v>154.54900000000018</v>
      </c>
      <c r="N181" s="39">
        <f t="shared" si="661"/>
        <v>150.1189999999998</v>
      </c>
      <c r="O181" s="39">
        <f t="shared" si="661"/>
        <v>559.09200000000033</v>
      </c>
      <c r="P181" s="39">
        <f t="shared" ref="P181:S181" si="711">P80</f>
        <v>786.81299999999999</v>
      </c>
      <c r="Q181" s="39">
        <f t="shared" si="711"/>
        <v>-539.61299999999994</v>
      </c>
      <c r="R181" s="39">
        <f t="shared" si="711"/>
        <v>629.6669999999998</v>
      </c>
      <c r="S181" s="39">
        <f t="shared" si="711"/>
        <v>103.16400000000073</v>
      </c>
      <c r="T181" s="39">
        <f t="shared" ref="T181:W181" si="712">T80</f>
        <v>702.37099999999998</v>
      </c>
      <c r="U181" s="39">
        <f t="shared" si="712"/>
        <v>-1176.9599999999998</v>
      </c>
      <c r="V181" s="39">
        <f t="shared" si="712"/>
        <v>-28.462999999999866</v>
      </c>
      <c r="W181" s="39">
        <f t="shared" si="712"/>
        <v>982.7909999999996</v>
      </c>
      <c r="X181" s="39">
        <f t="shared" ref="X181:AA181" si="713">X80</f>
        <v>1135.364</v>
      </c>
      <c r="Y181" s="39">
        <f t="shared" si="713"/>
        <v>-1403.1020000000001</v>
      </c>
      <c r="Z181" s="39">
        <f t="shared" si="713"/>
        <v>318.42300000000012</v>
      </c>
      <c r="AA181" s="39">
        <f t="shared" si="713"/>
        <v>-131.48100000000051</v>
      </c>
      <c r="AB181" s="39">
        <f t="shared" ref="AB181:AE181" si="714">AB80</f>
        <v>205.50299999999999</v>
      </c>
      <c r="AC181" s="39">
        <f t="shared" si="714"/>
        <v>-660.78099999999995</v>
      </c>
      <c r="AD181" s="39">
        <f t="shared" si="714"/>
        <v>-917.34100000000012</v>
      </c>
      <c r="AE181" s="39">
        <f t="shared" si="714"/>
        <v>-251.75199999999944</v>
      </c>
      <c r="AF181" s="39">
        <f t="shared" ref="AF181:AG181" si="715">AF80</f>
        <v>146.566</v>
      </c>
      <c r="AG181" s="39">
        <f t="shared" si="715"/>
        <v>37.730999999999952</v>
      </c>
    </row>
    <row r="182" spans="2:33" ht="13.5" customHeight="1" thickTop="1"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</row>
    <row r="183" spans="2:33" s="33" customFormat="1" ht="13.5" customHeight="1">
      <c r="B183" s="33" t="str">
        <f>+B118</f>
        <v>Total debt</v>
      </c>
      <c r="C183" s="41">
        <f t="shared" ref="C183:E184" si="716">C118</f>
        <v>3441.7020000000002</v>
      </c>
      <c r="D183" s="41">
        <f t="shared" si="716"/>
        <v>3932.0610000000001</v>
      </c>
      <c r="E183" s="41">
        <f t="shared" si="716"/>
        <v>4093.7150000000006</v>
      </c>
      <c r="F183" s="41">
        <f t="shared" ref="F183:G183" si="717">F118</f>
        <v>3833.0219999999999</v>
      </c>
      <c r="G183" s="41">
        <f t="shared" si="717"/>
        <v>3653.6260000000002</v>
      </c>
      <c r="H183" s="41">
        <f t="shared" ref="H183:I183" si="718">H118</f>
        <v>3761.181</v>
      </c>
      <c r="I183" s="41">
        <f t="shared" si="718"/>
        <v>4014.0469999999996</v>
      </c>
      <c r="J183" s="41">
        <f t="shared" ref="J183" si="719">J118</f>
        <v>4353.3369999999995</v>
      </c>
      <c r="K183" s="41"/>
      <c r="L183" s="41">
        <f t="shared" ref="L183:O184" si="720">L118</f>
        <v>3894.7400000000002</v>
      </c>
      <c r="M183" s="41">
        <f t="shared" si="720"/>
        <v>3931.0179999999996</v>
      </c>
      <c r="N183" s="41">
        <f t="shared" si="720"/>
        <v>3887.6109999999994</v>
      </c>
      <c r="O183" s="41">
        <f t="shared" si="720"/>
        <v>4093.7150000000006</v>
      </c>
      <c r="P183" s="41">
        <f t="shared" ref="P183:S183" si="721">P118</f>
        <v>4094.835</v>
      </c>
      <c r="Q183" s="41">
        <f t="shared" si="721"/>
        <v>4243.0429999999997</v>
      </c>
      <c r="R183" s="41">
        <f t="shared" si="721"/>
        <v>4273.7109999999993</v>
      </c>
      <c r="S183" s="41">
        <f t="shared" si="721"/>
        <v>3833.0219999999999</v>
      </c>
      <c r="T183" s="41">
        <f t="shared" ref="T183:W183" si="722">T118</f>
        <v>3849.1210000000001</v>
      </c>
      <c r="U183" s="41">
        <f t="shared" si="722"/>
        <v>3660.8689999999997</v>
      </c>
      <c r="V183" s="41">
        <f t="shared" si="722"/>
        <v>3601.2139999999999</v>
      </c>
      <c r="W183" s="41">
        <f t="shared" si="722"/>
        <v>3653.6260000000002</v>
      </c>
      <c r="X183" s="41">
        <f t="shared" ref="X183:AA183" si="723">X118</f>
        <v>3685.384</v>
      </c>
      <c r="Y183" s="41">
        <f t="shared" si="723"/>
        <v>3633.4609999999998</v>
      </c>
      <c r="Z183" s="41">
        <f t="shared" si="723"/>
        <v>3779.8179999999998</v>
      </c>
      <c r="AA183" s="41">
        <f t="shared" si="723"/>
        <v>3761.181</v>
      </c>
      <c r="AB183" s="41">
        <f t="shared" ref="AB183:AE183" si="724">AB118</f>
        <v>3882.518</v>
      </c>
      <c r="AC183" s="41">
        <f t="shared" si="724"/>
        <v>3882.7359999999999</v>
      </c>
      <c r="AD183" s="41">
        <f t="shared" si="724"/>
        <v>3975.3450000000003</v>
      </c>
      <c r="AE183" s="41">
        <f t="shared" si="724"/>
        <v>4014.0469999999996</v>
      </c>
      <c r="AF183" s="41">
        <f t="shared" ref="AF183:AG183" si="725">AF118</f>
        <v>3943.0440000000003</v>
      </c>
      <c r="AG183" s="41">
        <f t="shared" si="725"/>
        <v>4353.3369999999995</v>
      </c>
    </row>
    <row r="184" spans="2:33" ht="13.5" customHeight="1">
      <c r="B184" s="30" t="str">
        <f>+B119</f>
        <v>Cash and cash equivalents</v>
      </c>
      <c r="C184" s="38">
        <f t="shared" si="716"/>
        <v>2822.8969999999999</v>
      </c>
      <c r="D184" s="38">
        <f t="shared" si="716"/>
        <v>3704.0030000000002</v>
      </c>
      <c r="E184" s="38">
        <f t="shared" si="716"/>
        <v>2559.1889999999999</v>
      </c>
      <c r="F184" s="38">
        <f t="shared" ref="F184:G184" si="726">F119</f>
        <v>3539.22</v>
      </c>
      <c r="G184" s="38">
        <f t="shared" si="726"/>
        <v>4018.9589999999998</v>
      </c>
      <c r="H184" s="38">
        <f t="shared" ref="H184:I184" si="727">H119</f>
        <v>3938.163</v>
      </c>
      <c r="I184" s="38">
        <f t="shared" si="727"/>
        <v>2313.7919999999999</v>
      </c>
      <c r="J184" s="38">
        <f t="shared" ref="J184" si="728">J119</f>
        <v>2498.0889999999999</v>
      </c>
      <c r="K184" s="38"/>
      <c r="L184" s="38">
        <f t="shared" si="720"/>
        <v>1695.4290000000001</v>
      </c>
      <c r="M184" s="38">
        <f t="shared" si="720"/>
        <v>1849.9780000000001</v>
      </c>
      <c r="N184" s="38">
        <f t="shared" si="720"/>
        <v>2000.097</v>
      </c>
      <c r="O184" s="38">
        <f t="shared" si="720"/>
        <v>2559.1889999999999</v>
      </c>
      <c r="P184" s="38">
        <f t="shared" ref="P184:S184" si="729">P119</f>
        <v>3346.002</v>
      </c>
      <c r="Q184" s="38">
        <f t="shared" si="729"/>
        <v>2806.3890000000001</v>
      </c>
      <c r="R184" s="38">
        <f t="shared" si="729"/>
        <v>3436.056</v>
      </c>
      <c r="S184" s="38">
        <f t="shared" si="729"/>
        <v>3539.22</v>
      </c>
      <c r="T184" s="38">
        <f t="shared" ref="T184:W184" si="730">T119</f>
        <v>4241.5910000000003</v>
      </c>
      <c r="U184" s="38">
        <f t="shared" si="730"/>
        <v>3064.6309999999999</v>
      </c>
      <c r="V184" s="38">
        <f t="shared" si="730"/>
        <v>3036.1680000000001</v>
      </c>
      <c r="W184" s="38">
        <f t="shared" si="730"/>
        <v>4018.9589999999998</v>
      </c>
      <c r="X184" s="38">
        <f t="shared" ref="X184:AA184" si="731">X119</f>
        <v>5154.3230000000003</v>
      </c>
      <c r="Y184" s="38">
        <f t="shared" si="731"/>
        <v>3751.221</v>
      </c>
      <c r="Z184" s="38">
        <f t="shared" si="731"/>
        <v>4069.6439999999998</v>
      </c>
      <c r="AA184" s="38">
        <f t="shared" si="731"/>
        <v>3938.163</v>
      </c>
      <c r="AB184" s="38">
        <f t="shared" ref="AB184:AE184" si="732">AB119</f>
        <v>4143.6660000000002</v>
      </c>
      <c r="AC184" s="38">
        <f t="shared" si="732"/>
        <v>3482.8850000000002</v>
      </c>
      <c r="AD184" s="38">
        <f t="shared" si="732"/>
        <v>2565.5439999999999</v>
      </c>
      <c r="AE184" s="38">
        <f t="shared" si="732"/>
        <v>2313.7919999999999</v>
      </c>
      <c r="AF184" s="38">
        <f t="shared" ref="AF184:AG184" si="733">AF119</f>
        <v>2460.3580000000002</v>
      </c>
      <c r="AG184" s="38">
        <f t="shared" si="733"/>
        <v>2498.0889999999999</v>
      </c>
    </row>
    <row r="185" spans="2:33" s="33" customFormat="1" ht="13.5" customHeight="1" thickBot="1">
      <c r="B185" s="40" t="str">
        <f>+B121</f>
        <v xml:space="preserve">Net debt </v>
      </c>
      <c r="C185" s="39">
        <f t="shared" ref="C185:G185" si="734">C121</f>
        <v>418.80500000000029</v>
      </c>
      <c r="D185" s="39">
        <f t="shared" si="734"/>
        <v>128.05799999999999</v>
      </c>
      <c r="E185" s="39">
        <f t="shared" si="734"/>
        <v>1534.5260000000007</v>
      </c>
      <c r="F185" s="39">
        <f t="shared" si="734"/>
        <v>293.80200000000013</v>
      </c>
      <c r="G185" s="39">
        <f t="shared" si="734"/>
        <v>-565.33299999999963</v>
      </c>
      <c r="H185" s="39">
        <f t="shared" ref="H185:I185" si="735">H121</f>
        <v>-468.005</v>
      </c>
      <c r="I185" s="39">
        <f t="shared" si="735"/>
        <v>1578.4159999999997</v>
      </c>
      <c r="J185" s="39">
        <f t="shared" ref="J185" si="736">J121</f>
        <v>1756.4349999999995</v>
      </c>
      <c r="K185" s="41"/>
      <c r="L185" s="39">
        <f t="shared" ref="L185:O185" si="737">L121</f>
        <v>2199.3110000000001</v>
      </c>
      <c r="M185" s="39">
        <f t="shared" si="737"/>
        <v>2081.0399999999995</v>
      </c>
      <c r="N185" s="39">
        <f t="shared" si="737"/>
        <v>1887.5139999999994</v>
      </c>
      <c r="O185" s="39">
        <f t="shared" si="737"/>
        <v>1534.5260000000007</v>
      </c>
      <c r="P185" s="39">
        <f t="shared" ref="P185:S185" si="738">P121</f>
        <v>748.83300000000008</v>
      </c>
      <c r="Q185" s="39">
        <f t="shared" si="738"/>
        <v>1436.6539999999995</v>
      </c>
      <c r="R185" s="39">
        <f t="shared" si="738"/>
        <v>837.65499999999929</v>
      </c>
      <c r="S185" s="39">
        <f t="shared" si="738"/>
        <v>293.80200000000013</v>
      </c>
      <c r="T185" s="39">
        <f t="shared" ref="T185:W185" si="739">T121</f>
        <v>-453.55800000000028</v>
      </c>
      <c r="U185" s="39">
        <f t="shared" si="739"/>
        <v>596.23799999999983</v>
      </c>
      <c r="V185" s="39">
        <f t="shared" si="739"/>
        <v>306.42399999999981</v>
      </c>
      <c r="W185" s="39">
        <f t="shared" si="739"/>
        <v>-565.33299999999963</v>
      </c>
      <c r="X185" s="39">
        <f t="shared" ref="X185:AA185" si="740">X121</f>
        <v>-1559.2270000000003</v>
      </c>
      <c r="Y185" s="39">
        <f t="shared" si="740"/>
        <v>-198.04800000000023</v>
      </c>
      <c r="Z185" s="39">
        <f t="shared" si="740"/>
        <v>-340.678</v>
      </c>
      <c r="AA185" s="39">
        <f t="shared" si="740"/>
        <v>-468.005</v>
      </c>
      <c r="AB185" s="39">
        <f t="shared" ref="AB185:AE185" si="741">AB121</f>
        <v>-631.14800000000014</v>
      </c>
      <c r="AC185" s="39">
        <f t="shared" si="741"/>
        <v>164.85099999999966</v>
      </c>
      <c r="AD185" s="39">
        <f t="shared" si="741"/>
        <v>1192.2200000000005</v>
      </c>
      <c r="AE185" s="39">
        <f t="shared" si="741"/>
        <v>1578.4159999999997</v>
      </c>
      <c r="AF185" s="39">
        <f t="shared" ref="AF185:AG185" si="742">AF121</f>
        <v>1410.8470000000002</v>
      </c>
      <c r="AG185" s="39">
        <f t="shared" si="742"/>
        <v>1756.4349999999995</v>
      </c>
    </row>
    <row r="186" spans="2:33" ht="13.5" customHeight="1" thickTop="1"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spans="2:33" ht="13.5" customHeight="1">
      <c r="B187" s="33" t="str">
        <f t="shared" ref="B187:E187" si="743">B123</f>
        <v>Company reported net debt</v>
      </c>
      <c r="C187" s="56">
        <f t="shared" si="743"/>
        <v>418.80500000000029</v>
      </c>
      <c r="D187" s="56">
        <f t="shared" si="743"/>
        <v>128.05799999999999</v>
      </c>
      <c r="E187" s="56">
        <f t="shared" si="743"/>
        <v>1534.5260000000007</v>
      </c>
      <c r="F187" s="56">
        <f t="shared" ref="F187:G187" si="744">F123</f>
        <v>293.80200000000013</v>
      </c>
      <c r="G187" s="56">
        <f t="shared" si="744"/>
        <v>-565.33299999999963</v>
      </c>
      <c r="H187" s="56">
        <f t="shared" ref="H187:I187" si="745">H123</f>
        <v>-468.005</v>
      </c>
      <c r="I187" s="56">
        <f t="shared" si="745"/>
        <v>1578.4159999999997</v>
      </c>
      <c r="J187" s="56">
        <f t="shared" ref="J187" si="746">J123</f>
        <v>1756.4349999999995</v>
      </c>
      <c r="K187" s="38"/>
      <c r="L187" s="56">
        <f t="shared" ref="L187:O187" si="747">L123</f>
        <v>2199.3110000000001</v>
      </c>
      <c r="M187" s="56">
        <f t="shared" si="747"/>
        <v>2081.0399999999995</v>
      </c>
      <c r="N187" s="56">
        <f t="shared" si="747"/>
        <v>1887.5139999999994</v>
      </c>
      <c r="O187" s="56">
        <f t="shared" si="747"/>
        <v>1534.5260000000007</v>
      </c>
      <c r="P187" s="56">
        <f t="shared" ref="P187:S187" si="748">P123</f>
        <v>748.83300000000008</v>
      </c>
      <c r="Q187" s="56">
        <f t="shared" si="748"/>
        <v>1436.6539999999995</v>
      </c>
      <c r="R187" s="56">
        <f t="shared" si="748"/>
        <v>837.65499999999929</v>
      </c>
      <c r="S187" s="56">
        <f t="shared" si="748"/>
        <v>293.80200000000013</v>
      </c>
      <c r="T187" s="56">
        <f t="shared" ref="T187:W187" si="749">T123</f>
        <v>-453.55800000000028</v>
      </c>
      <c r="U187" s="56">
        <f t="shared" si="749"/>
        <v>596.23799999999983</v>
      </c>
      <c r="V187" s="56">
        <f t="shared" si="749"/>
        <v>306.42399999999981</v>
      </c>
      <c r="W187" s="56">
        <f t="shared" si="749"/>
        <v>-565.33299999999963</v>
      </c>
      <c r="X187" s="56">
        <f t="shared" ref="X187:AA187" si="750">X123</f>
        <v>-1559.2270000000003</v>
      </c>
      <c r="Y187" s="56">
        <f t="shared" si="750"/>
        <v>-198.04800000000023</v>
      </c>
      <c r="Z187" s="56">
        <f t="shared" si="750"/>
        <v>-340.678</v>
      </c>
      <c r="AA187" s="56">
        <f t="shared" si="750"/>
        <v>-468.005</v>
      </c>
      <c r="AB187" s="56">
        <f t="shared" ref="AB187:AE187" si="751">AB123</f>
        <v>-631.14800000000014</v>
      </c>
      <c r="AC187" s="56">
        <f t="shared" si="751"/>
        <v>164.85099999999966</v>
      </c>
      <c r="AD187" s="56">
        <f t="shared" si="751"/>
        <v>1192.2200000000005</v>
      </c>
      <c r="AE187" s="56">
        <f t="shared" si="751"/>
        <v>1578.4159999999997</v>
      </c>
      <c r="AF187" s="56">
        <f t="shared" ref="AF187:AG187" si="752">AF123</f>
        <v>1410.8470000000002</v>
      </c>
      <c r="AG187" s="56">
        <f t="shared" si="752"/>
        <v>1756.4349999999995</v>
      </c>
    </row>
    <row r="188" spans="2:33" ht="13.5" customHeight="1"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spans="2:33" ht="13.5" customHeight="1">
      <c r="B189" s="33" t="str">
        <f>+B129</f>
        <v>Net Leverage excluding lease obligations</v>
      </c>
      <c r="C189" s="35">
        <f t="shared" ref="C189:E190" si="753">C129</f>
        <v>6.3185576481396485E-2</v>
      </c>
      <c r="D189" s="35" t="str">
        <f t="shared" si="753"/>
        <v>net cash</v>
      </c>
      <c r="E189" s="35">
        <f t="shared" si="753"/>
        <v>0.1026160928742996</v>
      </c>
      <c r="F189" s="35" t="str">
        <f t="shared" ref="F189:G189" si="754">F129</f>
        <v>net cash</v>
      </c>
      <c r="G189" s="35" t="str">
        <f t="shared" si="754"/>
        <v>net cash</v>
      </c>
      <c r="H189" s="35" t="str">
        <f t="shared" ref="H189:I189" si="755">H129</f>
        <v>net cash</v>
      </c>
      <c r="I189" s="35">
        <f t="shared" si="755"/>
        <v>7.2594694425789086E-2</v>
      </c>
      <c r="J189" s="35">
        <f t="shared" ref="J189" si="756">J129</f>
        <v>0.10161461744566827</v>
      </c>
      <c r="K189" s="35"/>
      <c r="L189" s="117"/>
      <c r="M189" s="117"/>
      <c r="N189" s="117"/>
      <c r="O189" s="35">
        <f t="shared" ref="O189:O190" si="757">O129</f>
        <v>0.1026160928742996</v>
      </c>
      <c r="P189" s="35" t="str">
        <f t="shared" ref="P189:S190" si="758">P129</f>
        <v>net cash</v>
      </c>
      <c r="Q189" s="35">
        <f t="shared" si="758"/>
        <v>9.5966578424884111E-2</v>
      </c>
      <c r="R189" s="35" t="str">
        <f t="shared" si="758"/>
        <v>net cash</v>
      </c>
      <c r="S189" s="35" t="str">
        <f t="shared" si="758"/>
        <v>net cash</v>
      </c>
      <c r="T189" s="35" t="str">
        <f t="shared" ref="T189:W189" si="759">T129</f>
        <v>net cash</v>
      </c>
      <c r="U189" s="35" t="str">
        <f t="shared" si="759"/>
        <v>net cash</v>
      </c>
      <c r="V189" s="35" t="str">
        <f t="shared" si="759"/>
        <v>net cash</v>
      </c>
      <c r="W189" s="35" t="str">
        <f t="shared" si="759"/>
        <v>net cash</v>
      </c>
      <c r="X189" s="35" t="str">
        <f t="shared" ref="X189:AA189" si="760">X129</f>
        <v>net cash</v>
      </c>
      <c r="Y189" s="35" t="str">
        <f t="shared" si="760"/>
        <v>net cash</v>
      </c>
      <c r="Z189" s="35" t="str">
        <f t="shared" si="760"/>
        <v>net cash</v>
      </c>
      <c r="AA189" s="35" t="str">
        <f t="shared" si="760"/>
        <v>net cash</v>
      </c>
      <c r="AB189" s="35" t="str">
        <f t="shared" ref="AB189:AE189" si="761">AB129</f>
        <v>net cash</v>
      </c>
      <c r="AC189" s="35" t="str">
        <f t="shared" si="761"/>
        <v>net cash</v>
      </c>
      <c r="AD189" s="35">
        <f t="shared" si="761"/>
        <v>1.0283719402004343E-2</v>
      </c>
      <c r="AE189" s="35">
        <f t="shared" si="761"/>
        <v>7.2594694425789086E-2</v>
      </c>
      <c r="AF189" s="35">
        <f t="shared" ref="AF189:AG189" si="762">AF129</f>
        <v>4.865021912027271E-2</v>
      </c>
      <c r="AG189" s="35">
        <f t="shared" si="762"/>
        <v>0.10161461744566827</v>
      </c>
    </row>
    <row r="190" spans="2:33" ht="13.5" customHeight="1">
      <c r="B190" s="30" t="str">
        <f>+B130</f>
        <v>Gross Leverage  excluding lease obligations</v>
      </c>
      <c r="C190" s="37">
        <f t="shared" si="753"/>
        <v>0.75746600826825905</v>
      </c>
      <c r="D190" s="37">
        <f t="shared" si="753"/>
        <v>0.97523747152619589</v>
      </c>
      <c r="E190" s="37">
        <f t="shared" si="753"/>
        <v>0.61486369095276228</v>
      </c>
      <c r="F190" s="37">
        <f t="shared" ref="F190:G190" si="763">F130</f>
        <v>0.39550330846121362</v>
      </c>
      <c r="G190" s="37">
        <f t="shared" si="763"/>
        <v>0.4329616042281984</v>
      </c>
      <c r="H190" s="37">
        <f t="shared" ref="H190:I190" si="764">H130</f>
        <v>0.43258588672237697</v>
      </c>
      <c r="I190" s="37">
        <f t="shared" si="764"/>
        <v>0.48153206850235053</v>
      </c>
      <c r="J190" s="37">
        <f>J130</f>
        <v>0.4881734147067579</v>
      </c>
      <c r="K190" s="37"/>
      <c r="L190" s="116"/>
      <c r="M190" s="116"/>
      <c r="N190" s="116"/>
      <c r="O190" s="37">
        <f t="shared" si="757"/>
        <v>0.61486369095276228</v>
      </c>
      <c r="P190" s="37">
        <f t="shared" ref="P190:R190" si="765">P130</f>
        <v>0.55346796256299502</v>
      </c>
      <c r="Q190" s="37">
        <f t="shared" si="765"/>
        <v>0.56029301786896091</v>
      </c>
      <c r="R190" s="37">
        <f t="shared" si="765"/>
        <v>0.50575839028094149</v>
      </c>
      <c r="S190" s="37">
        <f t="shared" si="758"/>
        <v>0.39550330846121362</v>
      </c>
      <c r="T190" s="37">
        <f t="shared" ref="T190:W190" si="766">T130</f>
        <v>0.39643073897162123</v>
      </c>
      <c r="U190" s="37">
        <f t="shared" si="766"/>
        <v>0.40376436021742323</v>
      </c>
      <c r="V190" s="37">
        <f t="shared" si="766"/>
        <v>0.41189305135951659</v>
      </c>
      <c r="W190" s="37">
        <f t="shared" si="766"/>
        <v>0.4329616042281984</v>
      </c>
      <c r="X190" s="37">
        <f t="shared" ref="X190:AA190" si="767">X130</f>
        <v>0.42768050117462802</v>
      </c>
      <c r="Y190" s="37">
        <f t="shared" si="767"/>
        <v>0.40908233173076919</v>
      </c>
      <c r="Z190" s="37">
        <f t="shared" si="767"/>
        <v>0.43259101978691011</v>
      </c>
      <c r="AA190" s="37">
        <f t="shared" si="767"/>
        <v>0.43258588672237697</v>
      </c>
      <c r="AB190" s="37">
        <f t="shared" ref="AB190:AE190" si="768">AB130</f>
        <v>0.43684824355971896</v>
      </c>
      <c r="AC190" s="37">
        <f t="shared" si="768"/>
        <v>0.45870218270008084</v>
      </c>
      <c r="AD190" s="37">
        <f t="shared" si="768"/>
        <v>0.46750813208477088</v>
      </c>
      <c r="AE190" s="37">
        <f t="shared" si="768"/>
        <v>0.48153206850235053</v>
      </c>
      <c r="AF190" s="37">
        <f t="shared" ref="AF190:AG190" si="769">AF130</f>
        <v>0.45965443921441335</v>
      </c>
      <c r="AG190" s="37">
        <f t="shared" si="769"/>
        <v>0.4881734147067579</v>
      </c>
    </row>
    <row r="191" spans="2:33" ht="13.5" customHeight="1">
      <c r="C191" s="32"/>
      <c r="D191" s="32"/>
      <c r="E191" s="32"/>
      <c r="F191" s="32"/>
      <c r="G191" s="32"/>
      <c r="H191" s="32"/>
      <c r="I191" s="32"/>
      <c r="J191" s="32"/>
      <c r="K191" s="32"/>
      <c r="L191" s="118"/>
      <c r="M191" s="118"/>
      <c r="N191" s="118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spans="2:33" s="33" customFormat="1" ht="13.5" customHeight="1">
      <c r="B192" s="33" t="str">
        <f>+B132</f>
        <v>Net Leverage including lease obligations</v>
      </c>
      <c r="C192" s="35">
        <f t="shared" ref="C192:E193" si="770">C132</f>
        <v>9.6188562241616968E-2</v>
      </c>
      <c r="D192" s="35">
        <f t="shared" si="770"/>
        <v>3.6462984054669703E-2</v>
      </c>
      <c r="E192" s="35">
        <f t="shared" si="770"/>
        <v>0.30715092073658939</v>
      </c>
      <c r="F192" s="35">
        <f t="shared" ref="F192:G192" si="771">F132</f>
        <v>4.1363086019991571E-2</v>
      </c>
      <c r="G192" s="35" t="str">
        <f t="shared" si="771"/>
        <v>net cash</v>
      </c>
      <c r="H192" s="35" t="str">
        <f t="shared" ref="H192:I192" si="772">H132</f>
        <v>net cash</v>
      </c>
      <c r="I192" s="35">
        <f t="shared" si="772"/>
        <v>0.26501276024177295</v>
      </c>
      <c r="J192" s="35">
        <f t="shared" ref="J192" si="773">J132</f>
        <v>0.26145206906817497</v>
      </c>
      <c r="K192" s="35"/>
      <c r="L192" s="117"/>
      <c r="M192" s="117"/>
      <c r="N192" s="117"/>
      <c r="O192" s="35">
        <f t="shared" ref="O192:O193" si="774">O132</f>
        <v>0.30715092073658939</v>
      </c>
      <c r="P192" s="35">
        <f t="shared" ref="P192:S193" si="775">P132</f>
        <v>0.13477915766738663</v>
      </c>
      <c r="Q192" s="35">
        <f t="shared" si="775"/>
        <v>0.23769920582395757</v>
      </c>
      <c r="R192" s="35">
        <f t="shared" si="775"/>
        <v>0.12720652999240689</v>
      </c>
      <c r="S192" s="35">
        <f t="shared" si="775"/>
        <v>4.1363086019991571E-2</v>
      </c>
      <c r="T192" s="35" t="str">
        <f t="shared" ref="T192:W192" si="776">T132</f>
        <v>net cash</v>
      </c>
      <c r="U192" s="35">
        <f t="shared" si="776"/>
        <v>8.75918907007492E-2</v>
      </c>
      <c r="V192" s="35">
        <f t="shared" si="776"/>
        <v>4.6287613293051331E-2</v>
      </c>
      <c r="W192" s="35" t="str">
        <f t="shared" si="776"/>
        <v>net cash</v>
      </c>
      <c r="X192" s="35" t="str">
        <f t="shared" ref="X192:AA192" si="777">X132</f>
        <v>net cash</v>
      </c>
      <c r="Y192" s="35" t="str">
        <f t="shared" si="777"/>
        <v>net cash</v>
      </c>
      <c r="Z192" s="35" t="str">
        <f t="shared" si="777"/>
        <v>net cash</v>
      </c>
      <c r="AA192" s="35" t="str">
        <f t="shared" si="777"/>
        <v>net cash</v>
      </c>
      <c r="AB192" s="35" t="str">
        <f t="shared" ref="AB192:AE192" si="778">AB132</f>
        <v>net cash</v>
      </c>
      <c r="AC192" s="35">
        <f t="shared" si="778"/>
        <v>2.6653354890864941E-2</v>
      </c>
      <c r="AD192" s="35">
        <f t="shared" si="778"/>
        <v>0.19586331526203393</v>
      </c>
      <c r="AE192" s="35">
        <f t="shared" si="778"/>
        <v>0.26501276024177295</v>
      </c>
      <c r="AF192" s="35">
        <f t="shared" ref="AF192:AG192" si="779">AF132</f>
        <v>0.22899642915111187</v>
      </c>
      <c r="AG192" s="35">
        <f t="shared" si="779"/>
        <v>0.26145206906817497</v>
      </c>
    </row>
    <row r="193" spans="2:33" ht="13.5" customHeight="1">
      <c r="B193" s="30" t="str">
        <f>+B133</f>
        <v>Gross Leverage  including lease obligations</v>
      </c>
      <c r="C193" s="37">
        <f t="shared" si="770"/>
        <v>0.79046899402847959</v>
      </c>
      <c r="D193" s="37">
        <f t="shared" si="770"/>
        <v>1.119607346241458</v>
      </c>
      <c r="E193" s="37">
        <f t="shared" si="770"/>
        <v>0.81939851881505221</v>
      </c>
      <c r="F193" s="37">
        <f t="shared" ref="F193:G193" si="780">F133</f>
        <v>0.53963423905392083</v>
      </c>
      <c r="G193" s="37">
        <f t="shared" si="780"/>
        <v>0.5679505673869113</v>
      </c>
      <c r="H193" s="37">
        <f t="shared" ref="H193:I193" si="781">H133</f>
        <v>0.58204596100278549</v>
      </c>
      <c r="I193" s="37">
        <f t="shared" si="781"/>
        <v>0.67395013431833439</v>
      </c>
      <c r="J193" s="37">
        <f t="shared" ref="J193" si="782">J133</f>
        <v>0.64801086632926463</v>
      </c>
      <c r="K193" s="37"/>
      <c r="L193" s="116"/>
      <c r="M193" s="116"/>
      <c r="N193" s="116"/>
      <c r="O193" s="37">
        <f t="shared" si="774"/>
        <v>0.81939851881505221</v>
      </c>
      <c r="P193" s="37">
        <f t="shared" ref="P193:R193" si="783">P133</f>
        <v>0.73701133909287253</v>
      </c>
      <c r="Q193" s="37">
        <f t="shared" si="783"/>
        <v>0.70202564526803435</v>
      </c>
      <c r="R193" s="37">
        <f t="shared" si="783"/>
        <v>0.64900698557327252</v>
      </c>
      <c r="S193" s="37">
        <f t="shared" si="775"/>
        <v>0.53963423905392083</v>
      </c>
      <c r="T193" s="37">
        <f t="shared" ref="T193:W193" si="784">T133</f>
        <v>0.54075878055633608</v>
      </c>
      <c r="U193" s="37">
        <f t="shared" si="784"/>
        <v>0.53780946084912584</v>
      </c>
      <c r="V193" s="37">
        <f t="shared" si="784"/>
        <v>0.5439900302114804</v>
      </c>
      <c r="W193" s="37">
        <f t="shared" si="784"/>
        <v>0.5679505673869113</v>
      </c>
      <c r="X193" s="37">
        <f t="shared" ref="X193:AA193" si="785">X133</f>
        <v>0.57719404855129208</v>
      </c>
      <c r="Y193" s="37">
        <f t="shared" si="785"/>
        <v>0.54589257812499992</v>
      </c>
      <c r="Z193" s="37">
        <f t="shared" si="785"/>
        <v>0.57531476407914761</v>
      </c>
      <c r="AA193" s="37">
        <f t="shared" si="785"/>
        <v>0.58204596100278549</v>
      </c>
      <c r="AB193" s="37">
        <f t="shared" ref="AB193:AE193" si="786">AB133</f>
        <v>0.60616986729117872</v>
      </c>
      <c r="AC193" s="37">
        <f t="shared" si="786"/>
        <v>0.62776653193209375</v>
      </c>
      <c r="AD193" s="37">
        <f t="shared" si="786"/>
        <v>0.65308772794480041</v>
      </c>
      <c r="AE193" s="37">
        <f t="shared" si="786"/>
        <v>0.67395013431833439</v>
      </c>
      <c r="AF193" s="37">
        <f t="shared" ref="AF193:AG193" si="787">AF133</f>
        <v>0.64000064924525246</v>
      </c>
      <c r="AG193" s="37">
        <f t="shared" si="787"/>
        <v>0.64801086632926463</v>
      </c>
    </row>
    <row r="194" spans="2:33" ht="13.5" customHeight="1">
      <c r="C194" s="37"/>
      <c r="D194" s="37"/>
      <c r="E194" s="37"/>
      <c r="F194" s="37"/>
      <c r="G194" s="37"/>
      <c r="H194" s="37"/>
      <c r="I194" s="37"/>
      <c r="J194" s="37"/>
      <c r="K194" s="37"/>
      <c r="L194" s="116"/>
      <c r="M194" s="116"/>
      <c r="N194" s="116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</row>
    <row r="195" spans="2:33" ht="13.5" customHeight="1">
      <c r="B195" s="33" t="str">
        <f>+B135</f>
        <v>Company reported net leverage</v>
      </c>
      <c r="C195" s="35">
        <f t="shared" ref="C195:G195" si="788">C135</f>
        <v>9.6188562241616968E-2</v>
      </c>
      <c r="D195" s="35">
        <f t="shared" si="788"/>
        <v>3.6462984054669703E-2</v>
      </c>
      <c r="E195" s="35">
        <f t="shared" si="788"/>
        <v>0.30715092073658939</v>
      </c>
      <c r="F195" s="35">
        <f t="shared" si="788"/>
        <v>4.1363086019991571E-2</v>
      </c>
      <c r="G195" s="35">
        <f t="shared" si="788"/>
        <v>-8.7880149230530016E-2</v>
      </c>
      <c r="H195" s="35">
        <f>H135</f>
        <v>-7.242417208294645E-2</v>
      </c>
      <c r="I195" s="35">
        <f>I135</f>
        <v>0.26501276024177295</v>
      </c>
      <c r="J195" s="35">
        <f t="shared" ref="J195" si="789">J135</f>
        <v>0.26145206906817497</v>
      </c>
      <c r="K195" s="37"/>
      <c r="L195" s="117"/>
      <c r="M195" s="117"/>
      <c r="N195" s="117"/>
      <c r="O195" s="35">
        <f t="shared" ref="O195:R195" si="790">O135</f>
        <v>0.30715092073658939</v>
      </c>
      <c r="P195" s="35">
        <f t="shared" si="790"/>
        <v>0.13477915766738663</v>
      </c>
      <c r="Q195" s="35">
        <f t="shared" si="790"/>
        <v>0.23769920582395757</v>
      </c>
      <c r="R195" s="35">
        <f t="shared" si="790"/>
        <v>0.12720652999240689</v>
      </c>
      <c r="S195" s="35">
        <f t="shared" ref="S195:V195" si="791">S135</f>
        <v>4.1363086019991571E-2</v>
      </c>
      <c r="T195" s="35">
        <f t="shared" si="791"/>
        <v>-6.3719865130654724E-2</v>
      </c>
      <c r="U195" s="35">
        <f t="shared" si="791"/>
        <v>8.75918907007492E-2</v>
      </c>
      <c r="V195" s="35">
        <f t="shared" si="791"/>
        <v>4.6287613293051331E-2</v>
      </c>
      <c r="W195" s="35">
        <f t="shared" ref="W195:Z195" si="792">W135</f>
        <v>-8.7880149230530016E-2</v>
      </c>
      <c r="X195" s="35">
        <f t="shared" si="792"/>
        <v>-0.24420156617071265</v>
      </c>
      <c r="Y195" s="35">
        <f t="shared" si="792"/>
        <v>-2.9754807692307726E-2</v>
      </c>
      <c r="Z195" s="35">
        <f t="shared" si="792"/>
        <v>-5.1853576864535768E-2</v>
      </c>
      <c r="AA195" s="35">
        <f t="shared" ref="AA195:AD195" si="793">AA135</f>
        <v>-7.242417208294645E-2</v>
      </c>
      <c r="AB195" s="35">
        <f t="shared" si="793"/>
        <v>-9.8539890710382536E-2</v>
      </c>
      <c r="AC195" s="35">
        <f t="shared" si="793"/>
        <v>2.6653354890864941E-2</v>
      </c>
      <c r="AD195" s="35">
        <f t="shared" si="793"/>
        <v>0.19586331526203393</v>
      </c>
      <c r="AE195" s="35">
        <f t="shared" ref="AE195:AG195" si="794">AE135</f>
        <v>0.26501276024177295</v>
      </c>
      <c r="AF195" s="35">
        <f t="shared" si="794"/>
        <v>0.22899642915111187</v>
      </c>
      <c r="AG195" s="35">
        <f t="shared" si="794"/>
        <v>0.26145206906817497</v>
      </c>
    </row>
    <row r="196" spans="2:33" ht="13.5" customHeight="1">
      <c r="C196" s="37"/>
      <c r="D196" s="37"/>
      <c r="E196" s="37"/>
      <c r="F196" s="37"/>
      <c r="G196" s="37"/>
      <c r="H196" s="37"/>
      <c r="I196" s="37"/>
      <c r="J196" s="37"/>
      <c r="K196" s="37"/>
      <c r="L196" s="116"/>
      <c r="M196" s="116"/>
      <c r="N196" s="116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</row>
    <row r="197" spans="2:33" s="33" customFormat="1" ht="13.5" customHeight="1">
      <c r="B197" s="33" t="str">
        <f>+B137</f>
        <v>EBITDA - Capex / Interest</v>
      </c>
      <c r="C197" s="35">
        <f t="shared" ref="C197:E198" si="795">C137</f>
        <v>19.393547874259369</v>
      </c>
      <c r="D197" s="35">
        <f t="shared" si="795"/>
        <v>14.742638853664721</v>
      </c>
      <c r="E197" s="35">
        <f t="shared" si="795"/>
        <v>23.433800296395717</v>
      </c>
      <c r="F197" s="35">
        <f t="shared" ref="F197:G197" si="796">F137</f>
        <v>35.273763465459119</v>
      </c>
      <c r="G197" s="35">
        <f t="shared" si="796"/>
        <v>29.776038768996511</v>
      </c>
      <c r="H197" s="35">
        <f t="shared" ref="H197:I197" si="797">H137</f>
        <v>26.584008882264371</v>
      </c>
      <c r="I197" s="35">
        <f t="shared" si="797"/>
        <v>15.485761782280601</v>
      </c>
      <c r="J197" s="35">
        <f t="shared" ref="J197" si="798">J137</f>
        <v>16.827409505095456</v>
      </c>
      <c r="K197" s="35"/>
      <c r="L197" s="117"/>
      <c r="M197" s="117"/>
      <c r="N197" s="117"/>
      <c r="O197" s="35">
        <f t="shared" ref="O197:O198" si="799">O137</f>
        <v>23.433800296395717</v>
      </c>
      <c r="P197" s="35">
        <f t="shared" ref="P197:S198" si="800">P137</f>
        <v>27.785425586693847</v>
      </c>
      <c r="Q197" s="35">
        <f t="shared" si="800"/>
        <v>29.995604471432511</v>
      </c>
      <c r="R197" s="35">
        <f t="shared" si="800"/>
        <v>33.414297514243152</v>
      </c>
      <c r="S197" s="35">
        <f t="shared" si="800"/>
        <v>35.273763465459119</v>
      </c>
      <c r="T197" s="35">
        <f t="shared" ref="T197:W197" si="801">T137</f>
        <v>32.936553317926702</v>
      </c>
      <c r="U197" s="35">
        <f t="shared" si="801"/>
        <v>30.900943883346759</v>
      </c>
      <c r="V197" s="35">
        <f t="shared" si="801"/>
        <v>29.275675564230138</v>
      </c>
      <c r="W197" s="35">
        <f t="shared" si="801"/>
        <v>29.776038768996511</v>
      </c>
      <c r="X197" s="35">
        <f t="shared" ref="X197:AA197" si="802">X137</f>
        <v>30.042060187410783</v>
      </c>
      <c r="Y197" s="35">
        <f t="shared" si="802"/>
        <v>31.234386945016169</v>
      </c>
      <c r="Z197" s="35">
        <f t="shared" si="802"/>
        <v>28.319464602483464</v>
      </c>
      <c r="AA197" s="35">
        <f t="shared" si="802"/>
        <v>26.584008882264371</v>
      </c>
      <c r="AB197" s="35">
        <f t="shared" ref="AB197:AE197" si="803">AB137</f>
        <v>24.993493296010367</v>
      </c>
      <c r="AC197" s="35">
        <f t="shared" si="803"/>
        <v>21.10668331374853</v>
      </c>
      <c r="AD197" s="35">
        <f t="shared" si="803"/>
        <v>18.834820198766721</v>
      </c>
      <c r="AE197" s="35">
        <f t="shared" si="803"/>
        <v>15.485761782280601</v>
      </c>
      <c r="AF197" s="35">
        <f t="shared" ref="AF197:AG197" si="804">AF137</f>
        <v>13.58158517247654</v>
      </c>
      <c r="AG197" s="35">
        <f t="shared" si="804"/>
        <v>16.827409505095456</v>
      </c>
    </row>
    <row r="198" spans="2:33" ht="12.75" customHeight="1">
      <c r="B198" s="30" t="str">
        <f>+B138</f>
        <v>EBITDA/Interest</v>
      </c>
      <c r="C198" s="37">
        <f t="shared" si="795"/>
        <v>26.6229676598815</v>
      </c>
      <c r="D198" s="37">
        <f t="shared" si="795"/>
        <v>22.26730915546538</v>
      </c>
      <c r="E198" s="37">
        <f t="shared" si="795"/>
        <v>34.924363168637981</v>
      </c>
      <c r="F198" s="37">
        <f t="shared" ref="F198:G198" si="805">F138</f>
        <v>47.792707625436513</v>
      </c>
      <c r="G198" s="37">
        <f t="shared" si="805"/>
        <v>47.09232526133934</v>
      </c>
      <c r="H198" s="37">
        <f t="shared" ref="H198:I198" si="806">H138</f>
        <v>49.141431808848807</v>
      </c>
      <c r="I198" s="37">
        <f t="shared" si="806"/>
        <v>38.980843363243082</v>
      </c>
      <c r="J198" s="37">
        <f t="shared" ref="J198" si="807">J138</f>
        <v>43.139596858605124</v>
      </c>
      <c r="K198" s="37"/>
      <c r="L198" s="116"/>
      <c r="M198" s="116"/>
      <c r="N198" s="116"/>
      <c r="O198" s="37">
        <f t="shared" si="799"/>
        <v>34.924363168637981</v>
      </c>
      <c r="P198" s="37">
        <f t="shared" ref="P198:R198" si="808">P138</f>
        <v>39.190514146251999</v>
      </c>
      <c r="Q198" s="37">
        <f t="shared" si="808"/>
        <v>41.705768699972396</v>
      </c>
      <c r="R198" s="37">
        <f t="shared" si="808"/>
        <v>46.488806681398124</v>
      </c>
      <c r="S198" s="37">
        <f t="shared" si="800"/>
        <v>47.792707625436513</v>
      </c>
      <c r="T198" s="37">
        <f t="shared" ref="T198:W198" si="809">T138</f>
        <v>46.999009574116855</v>
      </c>
      <c r="U198" s="37">
        <f t="shared" si="809"/>
        <v>46.863704897040293</v>
      </c>
      <c r="V198" s="37">
        <f t="shared" si="809"/>
        <v>45.495780300739469</v>
      </c>
      <c r="W198" s="37">
        <f t="shared" si="809"/>
        <v>47.09232526133934</v>
      </c>
      <c r="X198" s="37">
        <f t="shared" ref="X198:AA198" si="810">X138</f>
        <v>47.222489294510055</v>
      </c>
      <c r="Y198" s="37">
        <f t="shared" si="810"/>
        <v>48.926786239341361</v>
      </c>
      <c r="Z198" s="37">
        <f t="shared" si="810"/>
        <v>48.159387782029285</v>
      </c>
      <c r="AA198" s="37">
        <f t="shared" si="810"/>
        <v>49.141431808848807</v>
      </c>
      <c r="AB198" s="37">
        <f t="shared" ref="AB198:AE198" si="811">AB138</f>
        <v>47.683568711240824</v>
      </c>
      <c r="AC198" s="37">
        <f t="shared" si="811"/>
        <v>45.424500587544067</v>
      </c>
      <c r="AD198" s="37">
        <f t="shared" si="811"/>
        <v>42.995486427496772</v>
      </c>
      <c r="AE198" s="37">
        <f t="shared" si="811"/>
        <v>38.980843363243082</v>
      </c>
      <c r="AF198" s="37">
        <f t="shared" ref="AF198:AG198" si="812">AF138</f>
        <v>40.038732485897732</v>
      </c>
      <c r="AG198" s="37">
        <f t="shared" si="812"/>
        <v>43.139596858605124</v>
      </c>
    </row>
    <row r="199" spans="2:33" ht="13.5" customHeight="1"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spans="2:33" s="33" customFormat="1" ht="13.5" customHeight="1">
      <c r="B200" s="62" t="str">
        <f t="shared" ref="B200:E200" si="813">+B140</f>
        <v xml:space="preserve">Gearing (Net debt / Equity) </v>
      </c>
      <c r="C200" s="226">
        <f t="shared" si="813"/>
        <v>3.5368536937300327E-2</v>
      </c>
      <c r="D200" s="226">
        <f t="shared" si="813"/>
        <v>1.0853184110880151E-2</v>
      </c>
      <c r="E200" s="226">
        <f t="shared" si="813"/>
        <v>0.14009960826640339</v>
      </c>
      <c r="F200" s="226">
        <f t="shared" ref="F200:G200" si="814">+F140</f>
        <v>2.1738488649633972E-2</v>
      </c>
      <c r="G200" s="226">
        <f t="shared" si="814"/>
        <v>-3.873823642293104E-2</v>
      </c>
      <c r="H200" s="226">
        <f t="shared" ref="H200:I200" si="815">+H140</f>
        <v>-2.9683129633975402E-2</v>
      </c>
      <c r="I200" s="226">
        <f t="shared" si="815"/>
        <v>9.5945726294612871E-2</v>
      </c>
      <c r="J200" s="226">
        <f t="shared" ref="J200" si="816">+J140</f>
        <v>0.10290819417412017</v>
      </c>
      <c r="K200" s="227"/>
      <c r="L200" s="226">
        <f t="shared" ref="L200:O200" si="817">+L140</f>
        <v>0.1810034187443316</v>
      </c>
      <c r="M200" s="226">
        <f t="shared" si="817"/>
        <v>0.17311921978222999</v>
      </c>
      <c r="N200" s="226">
        <f t="shared" si="817"/>
        <v>0.15640002379748533</v>
      </c>
      <c r="O200" s="226">
        <f t="shared" si="817"/>
        <v>0.14009960826640339</v>
      </c>
      <c r="P200" s="226">
        <f t="shared" ref="P200:S200" si="818">+P140</f>
        <v>6.0378300795018505E-2</v>
      </c>
      <c r="Q200" s="226">
        <f t="shared" si="818"/>
        <v>0.11203061940793969</v>
      </c>
      <c r="R200" s="226">
        <f t="shared" si="818"/>
        <v>6.4133257954650844E-2</v>
      </c>
      <c r="S200" s="226">
        <f t="shared" si="818"/>
        <v>2.1738488649633972E-2</v>
      </c>
      <c r="T200" s="226">
        <f t="shared" ref="T200:W200" si="819">+T140</f>
        <v>-3.2204369563456209E-2</v>
      </c>
      <c r="U200" s="226">
        <f t="shared" si="819"/>
        <v>4.2355356122832352E-2</v>
      </c>
      <c r="V200" s="226">
        <f t="shared" si="819"/>
        <v>2.1744693298234193E-2</v>
      </c>
      <c r="W200" s="226">
        <f t="shared" si="819"/>
        <v>-3.873823642293104E-2</v>
      </c>
      <c r="X200" s="226">
        <f t="shared" ref="X200:AA200" si="820">+X140</f>
        <v>-0.10302007039626959</v>
      </c>
      <c r="Y200" s="226">
        <f t="shared" si="820"/>
        <v>-1.3033581834906004E-2</v>
      </c>
      <c r="Z200" s="226">
        <f t="shared" si="820"/>
        <v>-2.2449290781964497E-2</v>
      </c>
      <c r="AA200" s="226">
        <f t="shared" si="820"/>
        <v>-2.9683129633975402E-2</v>
      </c>
      <c r="AB200" s="226">
        <f t="shared" ref="AB200:AE200" si="821">+AB140</f>
        <v>-4.0332329479144169E-2</v>
      </c>
      <c r="AC200" s="226">
        <f t="shared" si="821"/>
        <v>1.0254458314091417E-2</v>
      </c>
      <c r="AD200" s="226">
        <f t="shared" si="821"/>
        <v>7.4780008895422731E-2</v>
      </c>
      <c r="AE200" s="226">
        <f t="shared" si="821"/>
        <v>9.5945726294612871E-2</v>
      </c>
      <c r="AF200" s="226">
        <f t="shared" ref="AF200:AG200" si="822">+AF140</f>
        <v>8.6948394814651359E-2</v>
      </c>
      <c r="AG200" s="226">
        <f t="shared" si="822"/>
        <v>0.10290819417412017</v>
      </c>
    </row>
    <row r="201" spans="2:33" ht="13.5" customHeight="1">
      <c r="C201" s="14"/>
      <c r="D201" s="14"/>
      <c r="E201" s="14"/>
      <c r="F201" s="14"/>
      <c r="G201" s="14"/>
      <c r="H201" s="14"/>
      <c r="I201" s="14"/>
      <c r="J201" s="14"/>
      <c r="K201" s="31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2:33" ht="13.5" customHeight="1"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2:33" ht="13.5" customHeight="1">
      <c r="B203" s="228" t="s">
        <v>212</v>
      </c>
      <c r="C203" s="224">
        <v>1</v>
      </c>
      <c r="D203" s="224">
        <v>1</v>
      </c>
      <c r="E203" s="224">
        <v>1</v>
      </c>
      <c r="F203" s="224">
        <v>1</v>
      </c>
      <c r="G203" s="224">
        <v>1</v>
      </c>
      <c r="H203" s="224">
        <v>1</v>
      </c>
      <c r="I203" s="224">
        <v>1</v>
      </c>
      <c r="J203" s="225">
        <v>1</v>
      </c>
      <c r="K203" s="31"/>
      <c r="L203" s="224">
        <v>1</v>
      </c>
      <c r="M203" s="224">
        <v>1</v>
      </c>
      <c r="N203" s="224">
        <v>1</v>
      </c>
      <c r="O203" s="224">
        <v>1</v>
      </c>
      <c r="P203" s="224">
        <v>1</v>
      </c>
      <c r="Q203" s="224">
        <v>1</v>
      </c>
      <c r="R203" s="224">
        <v>1</v>
      </c>
      <c r="S203" s="224">
        <v>1</v>
      </c>
      <c r="T203" s="224">
        <v>1</v>
      </c>
      <c r="U203" s="224">
        <v>1</v>
      </c>
      <c r="V203" s="224">
        <v>1</v>
      </c>
      <c r="W203" s="224">
        <v>1</v>
      </c>
      <c r="X203" s="224">
        <v>1</v>
      </c>
      <c r="Y203" s="224">
        <v>1</v>
      </c>
      <c r="Z203" s="224">
        <v>1</v>
      </c>
      <c r="AA203" s="224">
        <v>1</v>
      </c>
      <c r="AB203" s="224">
        <v>1</v>
      </c>
      <c r="AC203" s="224">
        <v>1</v>
      </c>
      <c r="AD203" s="224">
        <v>1</v>
      </c>
      <c r="AE203" s="224">
        <v>1</v>
      </c>
      <c r="AF203" s="224">
        <v>1</v>
      </c>
      <c r="AG203" s="224">
        <v>1</v>
      </c>
    </row>
    <row r="204" spans="2:33" ht="13.5" customHeight="1">
      <c r="B204" s="228" t="s">
        <v>213</v>
      </c>
      <c r="C204" s="224">
        <v>1</v>
      </c>
      <c r="D204" s="224">
        <v>1</v>
      </c>
      <c r="E204" s="224">
        <v>1</v>
      </c>
      <c r="F204" s="224">
        <v>1</v>
      </c>
      <c r="G204" s="224">
        <v>1</v>
      </c>
      <c r="H204" s="224">
        <v>1</v>
      </c>
      <c r="I204" s="224">
        <v>1</v>
      </c>
      <c r="J204" s="225">
        <v>1</v>
      </c>
      <c r="K204" s="31"/>
      <c r="L204" s="224">
        <v>1</v>
      </c>
      <c r="M204" s="224">
        <v>1</v>
      </c>
      <c r="N204" s="224">
        <v>1</v>
      </c>
      <c r="O204" s="224">
        <v>1</v>
      </c>
      <c r="P204" s="224">
        <v>1</v>
      </c>
      <c r="Q204" s="224">
        <v>1</v>
      </c>
      <c r="R204" s="224">
        <v>1</v>
      </c>
      <c r="S204" s="224">
        <v>1</v>
      </c>
      <c r="T204" s="224">
        <v>1</v>
      </c>
      <c r="U204" s="224">
        <v>1</v>
      </c>
      <c r="V204" s="224">
        <v>1</v>
      </c>
      <c r="W204" s="224">
        <v>1</v>
      </c>
      <c r="X204" s="224">
        <v>1</v>
      </c>
      <c r="Y204" s="224">
        <v>1</v>
      </c>
      <c r="Z204" s="224">
        <v>1</v>
      </c>
      <c r="AA204" s="224">
        <v>1</v>
      </c>
      <c r="AB204" s="224">
        <v>1</v>
      </c>
      <c r="AC204" s="224">
        <v>1</v>
      </c>
      <c r="AD204" s="224">
        <v>1</v>
      </c>
      <c r="AE204" s="224">
        <v>1</v>
      </c>
      <c r="AF204" s="224">
        <v>1</v>
      </c>
      <c r="AG204" s="224">
        <v>1</v>
      </c>
    </row>
    <row r="205" spans="2:33" ht="13.5" customHeight="1">
      <c r="B205" s="228" t="s">
        <v>214</v>
      </c>
      <c r="C205" s="225">
        <f t="shared" ref="C205:H205" si="823">C203</f>
        <v>1</v>
      </c>
      <c r="D205" s="225">
        <f t="shared" si="823"/>
        <v>1</v>
      </c>
      <c r="E205" s="225">
        <f t="shared" si="823"/>
        <v>1</v>
      </c>
      <c r="F205" s="225">
        <f t="shared" si="823"/>
        <v>1</v>
      </c>
      <c r="G205" s="225">
        <f t="shared" si="823"/>
        <v>1</v>
      </c>
      <c r="H205" s="225">
        <f t="shared" si="823"/>
        <v>1</v>
      </c>
      <c r="I205" s="225">
        <f t="shared" ref="I205:J205" si="824">I203</f>
        <v>1</v>
      </c>
      <c r="J205" s="225">
        <f t="shared" si="824"/>
        <v>1</v>
      </c>
      <c r="K205" s="31"/>
      <c r="L205" s="225">
        <f>AVERAGE(L203:L203)</f>
        <v>1</v>
      </c>
      <c r="M205" s="225">
        <f t="shared" ref="M205:AD205" si="825">AVERAGE(M203:M203)</f>
        <v>1</v>
      </c>
      <c r="N205" s="225">
        <f t="shared" si="825"/>
        <v>1</v>
      </c>
      <c r="O205" s="225">
        <f t="shared" si="825"/>
        <v>1</v>
      </c>
      <c r="P205" s="225">
        <f t="shared" si="825"/>
        <v>1</v>
      </c>
      <c r="Q205" s="225">
        <f t="shared" si="825"/>
        <v>1</v>
      </c>
      <c r="R205" s="225">
        <f t="shared" si="825"/>
        <v>1</v>
      </c>
      <c r="S205" s="225">
        <f t="shared" si="825"/>
        <v>1</v>
      </c>
      <c r="T205" s="225">
        <f t="shared" si="825"/>
        <v>1</v>
      </c>
      <c r="U205" s="225">
        <f t="shared" si="825"/>
        <v>1</v>
      </c>
      <c r="V205" s="225">
        <f t="shared" si="825"/>
        <v>1</v>
      </c>
      <c r="W205" s="225">
        <f t="shared" si="825"/>
        <v>1</v>
      </c>
      <c r="X205" s="225">
        <f t="shared" si="825"/>
        <v>1</v>
      </c>
      <c r="Y205" s="225">
        <f t="shared" si="825"/>
        <v>1</v>
      </c>
      <c r="Z205" s="225">
        <f t="shared" si="825"/>
        <v>1</v>
      </c>
      <c r="AA205" s="225">
        <f t="shared" si="825"/>
        <v>1</v>
      </c>
      <c r="AB205" s="225">
        <f t="shared" si="825"/>
        <v>1</v>
      </c>
      <c r="AC205" s="225">
        <f t="shared" si="825"/>
        <v>1</v>
      </c>
      <c r="AD205" s="225">
        <f t="shared" si="825"/>
        <v>1</v>
      </c>
      <c r="AE205" s="225">
        <f t="shared" ref="AE205:AG205" si="826">AVERAGE(AE203:AE203)</f>
        <v>1</v>
      </c>
      <c r="AF205" s="225">
        <f t="shared" si="826"/>
        <v>1</v>
      </c>
      <c r="AG205" s="225">
        <f t="shared" si="826"/>
        <v>1</v>
      </c>
    </row>
    <row r="206" spans="2:33" ht="13.5" customHeight="1">
      <c r="C206" s="14"/>
      <c r="D206" s="14"/>
      <c r="E206" s="14"/>
      <c r="F206" s="14"/>
      <c r="G206" s="14"/>
      <c r="H206" s="14"/>
      <c r="I206" s="14"/>
      <c r="J206" s="14"/>
      <c r="K206" s="31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2:33" ht="13.5" customHeight="1">
      <c r="B207" s="52" t="s">
        <v>215</v>
      </c>
      <c r="C207" s="51">
        <f t="shared" ref="C207:H207" si="827">C3</f>
        <v>43830</v>
      </c>
      <c r="D207" s="51">
        <f t="shared" si="827"/>
        <v>44196</v>
      </c>
      <c r="E207" s="51">
        <f t="shared" si="827"/>
        <v>44561</v>
      </c>
      <c r="F207" s="51">
        <f t="shared" si="827"/>
        <v>44926</v>
      </c>
      <c r="G207" s="51">
        <f t="shared" si="827"/>
        <v>45291</v>
      </c>
      <c r="H207" s="51">
        <f t="shared" si="827"/>
        <v>45657</v>
      </c>
      <c r="I207" s="51">
        <f t="shared" ref="I207" si="828">I3</f>
        <v>46022</v>
      </c>
      <c r="J207" s="51" t="str">
        <f>J2</f>
        <v>LTM</v>
      </c>
      <c r="K207" s="31"/>
      <c r="L207" s="51">
        <f t="shared" ref="L207:AB207" si="829">L3</f>
        <v>44286</v>
      </c>
      <c r="M207" s="51">
        <f t="shared" si="829"/>
        <v>44377</v>
      </c>
      <c r="N207" s="51">
        <f t="shared" si="829"/>
        <v>44469</v>
      </c>
      <c r="O207" s="51">
        <f t="shared" si="829"/>
        <v>44561</v>
      </c>
      <c r="P207" s="51">
        <f t="shared" si="829"/>
        <v>44651</v>
      </c>
      <c r="Q207" s="51">
        <f t="shared" si="829"/>
        <v>44742</v>
      </c>
      <c r="R207" s="51">
        <f t="shared" si="829"/>
        <v>44834</v>
      </c>
      <c r="S207" s="51">
        <f t="shared" si="829"/>
        <v>44926</v>
      </c>
      <c r="T207" s="51">
        <f t="shared" si="829"/>
        <v>45016</v>
      </c>
      <c r="U207" s="51">
        <f t="shared" si="829"/>
        <v>45107</v>
      </c>
      <c r="V207" s="51">
        <f t="shared" si="829"/>
        <v>45199</v>
      </c>
      <c r="W207" s="51">
        <f t="shared" si="829"/>
        <v>45291</v>
      </c>
      <c r="X207" s="51">
        <f t="shared" si="829"/>
        <v>45382</v>
      </c>
      <c r="Y207" s="51">
        <f t="shared" si="829"/>
        <v>45473</v>
      </c>
      <c r="Z207" s="51">
        <f t="shared" si="829"/>
        <v>45565</v>
      </c>
      <c r="AA207" s="51">
        <f t="shared" si="829"/>
        <v>45657</v>
      </c>
      <c r="AB207" s="51">
        <f t="shared" si="829"/>
        <v>45747</v>
      </c>
      <c r="AC207" s="51">
        <f t="shared" ref="AC207:AF207" si="830">AC3</f>
        <v>45838</v>
      </c>
      <c r="AD207" s="51">
        <f t="shared" si="830"/>
        <v>45930</v>
      </c>
      <c r="AE207" s="51">
        <f t="shared" si="830"/>
        <v>46022</v>
      </c>
      <c r="AF207" s="51">
        <f t="shared" si="830"/>
        <v>46112</v>
      </c>
      <c r="AG207" s="51">
        <f t="shared" ref="AG207" si="831">AG3</f>
        <v>46203</v>
      </c>
    </row>
    <row r="208" spans="2:33" ht="13.5" customHeight="1">
      <c r="B208" s="30" t="s">
        <v>202</v>
      </c>
      <c r="C208" s="14">
        <f t="shared" ref="C208:E209" si="832">C144*C$203</f>
        <v>6162.8122949999997</v>
      </c>
      <c r="D208" s="14">
        <f t="shared" si="832"/>
        <v>5135.5200000000004</v>
      </c>
      <c r="E208" s="14">
        <f t="shared" si="832"/>
        <v>6824.0069999999996</v>
      </c>
      <c r="F208" s="14">
        <f t="shared" ref="F208:G208" si="833">F144*F$203</f>
        <v>9421.487000000001</v>
      </c>
      <c r="G208" s="14">
        <f t="shared" si="833"/>
        <v>8639.1460000000006</v>
      </c>
      <c r="H208" s="14">
        <f t="shared" ref="H208:I208" si="834">H144*H$203</f>
        <v>8842.3009999999995</v>
      </c>
      <c r="I208" s="14">
        <f t="shared" si="834"/>
        <v>8562.1899999999987</v>
      </c>
      <c r="J208" s="14">
        <f>J144*J$203</f>
        <v>9669.378999999999</v>
      </c>
      <c r="K208" s="14"/>
      <c r="L208" s="14">
        <f t="shared" ref="L208:O209" si="835">L144*L$205</f>
        <v>0</v>
      </c>
      <c r="M208" s="14">
        <f t="shared" si="835"/>
        <v>0</v>
      </c>
      <c r="N208" s="14">
        <f t="shared" si="835"/>
        <v>0</v>
      </c>
      <c r="O208" s="14">
        <f t="shared" si="835"/>
        <v>6824.0069999999996</v>
      </c>
      <c r="P208" s="14">
        <f t="shared" ref="P208:S208" si="836">P144*P$205</f>
        <v>7472.9130000000005</v>
      </c>
      <c r="Q208" s="14">
        <f t="shared" si="836"/>
        <v>8139.4690000000001</v>
      </c>
      <c r="R208" s="14">
        <f t="shared" si="836"/>
        <v>8800.4700000000012</v>
      </c>
      <c r="S208" s="14">
        <f t="shared" si="836"/>
        <v>9421.487000000001</v>
      </c>
      <c r="T208" s="14">
        <f t="shared" ref="T208:W208" si="837">T144*T$205</f>
        <v>9588.0830000000005</v>
      </c>
      <c r="U208" s="14">
        <f t="shared" si="837"/>
        <v>9130.2989999999991</v>
      </c>
      <c r="V208" s="14">
        <f t="shared" si="837"/>
        <v>8922.3809999999994</v>
      </c>
      <c r="W208" s="14">
        <f t="shared" si="837"/>
        <v>8639.1460000000006</v>
      </c>
      <c r="X208" s="14">
        <f t="shared" ref="X208:AA208" si="838">X144*X$205</f>
        <v>8534.8159999999989</v>
      </c>
      <c r="Y208" s="14">
        <f t="shared" si="838"/>
        <v>8875.6929999999993</v>
      </c>
      <c r="Z208" s="14">
        <f t="shared" si="838"/>
        <v>8825.7439999999988</v>
      </c>
      <c r="AA208" s="14">
        <f t="shared" si="838"/>
        <v>8842.3009999999995</v>
      </c>
      <c r="AB208" s="14">
        <f t="shared" ref="AB208:AE208" si="839">AB144*AB$205</f>
        <v>8815.1889999999985</v>
      </c>
      <c r="AC208" s="14">
        <f t="shared" si="839"/>
        <v>8667.6809999999987</v>
      </c>
      <c r="AD208" s="14">
        <f t="shared" si="839"/>
        <v>8620.9570000000003</v>
      </c>
      <c r="AE208" s="14">
        <f t="shared" si="839"/>
        <v>8562.19</v>
      </c>
      <c r="AF208" s="14">
        <f t="shared" ref="AF208:AG208" si="840">AF144*AF$205</f>
        <v>8870.4889999999996</v>
      </c>
      <c r="AG208" s="14">
        <f t="shared" si="840"/>
        <v>9669.3790000000008</v>
      </c>
    </row>
    <row r="209" spans="2:33" ht="13.5" customHeight="1">
      <c r="B209" s="30" t="s">
        <v>203</v>
      </c>
      <c r="C209" s="14">
        <f t="shared" si="832"/>
        <v>4354</v>
      </c>
      <c r="D209" s="14">
        <f t="shared" si="832"/>
        <v>3512</v>
      </c>
      <c r="E209" s="14">
        <f t="shared" si="832"/>
        <v>4996</v>
      </c>
      <c r="F209" s="14">
        <f t="shared" ref="F209:G209" si="841">F145*F$203</f>
        <v>7103</v>
      </c>
      <c r="G209" s="14">
        <f t="shared" si="841"/>
        <v>6433</v>
      </c>
      <c r="H209" s="14">
        <f t="shared" ref="H209:I209" si="842">H145*H$203</f>
        <v>6462</v>
      </c>
      <c r="I209" s="14">
        <f t="shared" si="842"/>
        <v>5956</v>
      </c>
      <c r="J209" s="14">
        <f>J145*J$203</f>
        <v>6718</v>
      </c>
      <c r="K209" s="14"/>
      <c r="L209" s="14">
        <f t="shared" si="835"/>
        <v>0</v>
      </c>
      <c r="M209" s="14">
        <f t="shared" si="835"/>
        <v>0</v>
      </c>
      <c r="N209" s="14">
        <f t="shared" si="835"/>
        <v>0</v>
      </c>
      <c r="O209" s="14">
        <f t="shared" si="835"/>
        <v>4996</v>
      </c>
      <c r="P209" s="14">
        <f t="shared" ref="P209:S209" si="843">P145*P$205</f>
        <v>5556</v>
      </c>
      <c r="Q209" s="14">
        <f t="shared" si="843"/>
        <v>6044</v>
      </c>
      <c r="R209" s="14">
        <f t="shared" si="843"/>
        <v>6585</v>
      </c>
      <c r="S209" s="14">
        <f t="shared" si="843"/>
        <v>7103</v>
      </c>
      <c r="T209" s="14">
        <f t="shared" ref="T209:W209" si="844">T145*T$205</f>
        <v>7118</v>
      </c>
      <c r="U209" s="14">
        <f t="shared" si="844"/>
        <v>6807</v>
      </c>
      <c r="V209" s="14">
        <f t="shared" si="844"/>
        <v>6620</v>
      </c>
      <c r="W209" s="14">
        <f t="shared" si="844"/>
        <v>6433</v>
      </c>
      <c r="X209" s="14">
        <f t="shared" ref="X209:AA209" si="845">X145*X$205</f>
        <v>6385</v>
      </c>
      <c r="Y209" s="14">
        <f t="shared" si="845"/>
        <v>6656</v>
      </c>
      <c r="Z209" s="14">
        <f t="shared" si="845"/>
        <v>6570</v>
      </c>
      <c r="AA209" s="14">
        <f t="shared" si="845"/>
        <v>6462</v>
      </c>
      <c r="AB209" s="14">
        <f t="shared" ref="AB209:AE209" si="846">AB145*AB$205</f>
        <v>6405</v>
      </c>
      <c r="AC209" s="14">
        <f t="shared" si="846"/>
        <v>6185</v>
      </c>
      <c r="AD209" s="14">
        <f t="shared" si="846"/>
        <v>6087</v>
      </c>
      <c r="AE209" s="14">
        <f t="shared" si="846"/>
        <v>5956</v>
      </c>
      <c r="AF209" s="14">
        <f t="shared" ref="AF209:AG209" si="847">AF145*AF$205</f>
        <v>6161</v>
      </c>
      <c r="AG209" s="14">
        <f t="shared" si="847"/>
        <v>6718</v>
      </c>
    </row>
    <row r="210" spans="2:33" ht="13.5" customHeight="1">
      <c r="B210" s="30" t="s">
        <v>204</v>
      </c>
      <c r="C210" s="31">
        <f t="shared" ref="C210:E210" si="848">C209/C208</f>
        <v>0.70649563731358145</v>
      </c>
      <c r="D210" s="31">
        <f t="shared" si="848"/>
        <v>0.6838645356263825</v>
      </c>
      <c r="E210" s="31">
        <f t="shared" si="848"/>
        <v>0.73212117162247936</v>
      </c>
      <c r="F210" s="31">
        <f t="shared" ref="F210:G210" si="849">F209/F208</f>
        <v>0.75391496055771234</v>
      </c>
      <c r="G210" s="31">
        <f t="shared" si="849"/>
        <v>0.74463378671919644</v>
      </c>
      <c r="H210" s="31">
        <f t="shared" ref="H210:I210" si="850">H209/H208</f>
        <v>0.73080525080519199</v>
      </c>
      <c r="I210" s="31">
        <f t="shared" si="850"/>
        <v>0.6956164252370014</v>
      </c>
      <c r="J210" s="31">
        <f t="shared" ref="J210" si="851">J209/J208</f>
        <v>0.69477057420130095</v>
      </c>
      <c r="K210" s="31"/>
      <c r="L210" s="115"/>
      <c r="M210" s="115"/>
      <c r="N210" s="115"/>
      <c r="O210" s="31">
        <f t="shared" ref="O210" si="852">O209/O208</f>
        <v>0.73212117162247936</v>
      </c>
      <c r="P210" s="31">
        <f t="shared" ref="P210:S210" si="853">P209/P208</f>
        <v>0.74348517104374157</v>
      </c>
      <c r="Q210" s="31">
        <f t="shared" si="853"/>
        <v>0.74255458187751555</v>
      </c>
      <c r="R210" s="31">
        <f t="shared" si="853"/>
        <v>0.74825549089991772</v>
      </c>
      <c r="S210" s="31">
        <f t="shared" si="853"/>
        <v>0.75391496055771234</v>
      </c>
      <c r="T210" s="31">
        <f t="shared" ref="T210:W210" si="854">T209/T208</f>
        <v>0.74237988970266522</v>
      </c>
      <c r="U210" s="31">
        <f t="shared" si="854"/>
        <v>0.74553965866835259</v>
      </c>
      <c r="V210" s="31">
        <f t="shared" si="854"/>
        <v>0.74195441777256543</v>
      </c>
      <c r="W210" s="31">
        <f t="shared" si="854"/>
        <v>0.74463378671919644</v>
      </c>
      <c r="X210" s="31">
        <f t="shared" ref="X210:AA210" si="855">X209/X208</f>
        <v>0.74811220300472803</v>
      </c>
      <c r="Y210" s="31">
        <f t="shared" si="855"/>
        <v>0.74991327437756139</v>
      </c>
      <c r="Z210" s="31">
        <f t="shared" si="855"/>
        <v>0.74441316222179121</v>
      </c>
      <c r="AA210" s="31">
        <f t="shared" si="855"/>
        <v>0.73080525080519199</v>
      </c>
      <c r="AB210" s="31">
        <f t="shared" ref="AB210:AE210" si="856">AB209/AB208</f>
        <v>0.72658680375429285</v>
      </c>
      <c r="AC210" s="31">
        <f t="shared" si="856"/>
        <v>0.71357033098010891</v>
      </c>
      <c r="AD210" s="31">
        <f t="shared" si="856"/>
        <v>0.70607010335395481</v>
      </c>
      <c r="AE210" s="31">
        <f t="shared" si="856"/>
        <v>0.69561642523700129</v>
      </c>
      <c r="AF210" s="31">
        <f t="shared" ref="AF210:AG210" si="857">AF209/AF208</f>
        <v>0.69455021025334684</v>
      </c>
      <c r="AG210" s="31">
        <f t="shared" si="857"/>
        <v>0.69477057420130073</v>
      </c>
    </row>
    <row r="211" spans="2:33" ht="13.5" customHeight="1">
      <c r="B211" s="30" t="s">
        <v>182</v>
      </c>
      <c r="C211" s="14">
        <f t="shared" ref="C211:E213" si="858">C147*C$204</f>
        <v>3441.7020000000002</v>
      </c>
      <c r="D211" s="14">
        <f t="shared" si="858"/>
        <v>3932.0610000000001</v>
      </c>
      <c r="E211" s="14">
        <f t="shared" si="858"/>
        <v>4093.7150000000006</v>
      </c>
      <c r="F211" s="14">
        <f t="shared" ref="F211:G211" si="859">F147*F$204</f>
        <v>3833.0219999999999</v>
      </c>
      <c r="G211" s="14">
        <f t="shared" si="859"/>
        <v>3653.6260000000002</v>
      </c>
      <c r="H211" s="14">
        <f t="shared" ref="H211:I211" si="860">H147*H$204</f>
        <v>3761.181</v>
      </c>
      <c r="I211" s="14">
        <f t="shared" si="860"/>
        <v>4014.0469999999996</v>
      </c>
      <c r="J211" s="14">
        <f>J147*J$204</f>
        <v>4353.3369999999995</v>
      </c>
      <c r="K211" s="14"/>
      <c r="L211" s="14">
        <f t="shared" ref="L211:O213" si="861">L147*L$204</f>
        <v>3894.7400000000002</v>
      </c>
      <c r="M211" s="14">
        <f t="shared" si="861"/>
        <v>3931.0179999999996</v>
      </c>
      <c r="N211" s="14">
        <f t="shared" si="861"/>
        <v>3887.6109999999994</v>
      </c>
      <c r="O211" s="14">
        <f t="shared" si="861"/>
        <v>4093.7150000000006</v>
      </c>
      <c r="P211" s="14">
        <f t="shared" ref="P211:S211" si="862">P147*P$204</f>
        <v>4094.835</v>
      </c>
      <c r="Q211" s="14">
        <f t="shared" si="862"/>
        <v>4243.0429999999997</v>
      </c>
      <c r="R211" s="14">
        <f t="shared" si="862"/>
        <v>4273.7109999999993</v>
      </c>
      <c r="S211" s="14">
        <f t="shared" si="862"/>
        <v>3833.0219999999999</v>
      </c>
      <c r="T211" s="14">
        <f t="shared" ref="T211:W211" si="863">T147*T$204</f>
        <v>3849.1210000000001</v>
      </c>
      <c r="U211" s="14">
        <f t="shared" si="863"/>
        <v>3660.8689999999997</v>
      </c>
      <c r="V211" s="14">
        <f t="shared" si="863"/>
        <v>3601.2139999999999</v>
      </c>
      <c r="W211" s="14">
        <f t="shared" si="863"/>
        <v>3653.6260000000002</v>
      </c>
      <c r="X211" s="14">
        <f t="shared" ref="X211:AA211" si="864">X147*X$204</f>
        <v>3685.384</v>
      </c>
      <c r="Y211" s="14">
        <f t="shared" si="864"/>
        <v>3633.4609999999998</v>
      </c>
      <c r="Z211" s="14">
        <f t="shared" si="864"/>
        <v>3779.8179999999998</v>
      </c>
      <c r="AA211" s="14">
        <f t="shared" si="864"/>
        <v>3761.181</v>
      </c>
      <c r="AB211" s="14">
        <f t="shared" ref="AB211:AE211" si="865">AB147*AB$204</f>
        <v>3882.518</v>
      </c>
      <c r="AC211" s="14">
        <f t="shared" si="865"/>
        <v>3882.7359999999999</v>
      </c>
      <c r="AD211" s="14">
        <f t="shared" si="865"/>
        <v>3975.3450000000003</v>
      </c>
      <c r="AE211" s="14">
        <f t="shared" si="865"/>
        <v>4014.0469999999996</v>
      </c>
      <c r="AF211" s="14">
        <f t="shared" ref="AF211:AG211" si="866">AF147*AF$204</f>
        <v>3943.0440000000003</v>
      </c>
      <c r="AG211" s="14">
        <f t="shared" si="866"/>
        <v>4353.3369999999995</v>
      </c>
    </row>
    <row r="212" spans="2:33" ht="13.5" customHeight="1">
      <c r="B212" s="30" t="s">
        <v>205</v>
      </c>
      <c r="C212" s="14">
        <f t="shared" si="858"/>
        <v>3022.8969999999999</v>
      </c>
      <c r="D212" s="14">
        <f t="shared" si="858"/>
        <v>3804.0030000000002</v>
      </c>
      <c r="E212" s="14">
        <f t="shared" si="858"/>
        <v>2559.1889999999999</v>
      </c>
      <c r="F212" s="14">
        <f t="shared" ref="F212:G212" si="867">F148*F$204</f>
        <v>3539.22</v>
      </c>
      <c r="G212" s="14">
        <f t="shared" si="867"/>
        <v>4218.9589999999998</v>
      </c>
      <c r="H212" s="14">
        <f t="shared" ref="H212:I212" si="868">H148*H$204</f>
        <v>4229.1859999999997</v>
      </c>
      <c r="I212" s="14">
        <f t="shared" si="868"/>
        <v>2435.6309999999999</v>
      </c>
      <c r="J212" s="14">
        <f>J148*J$204</f>
        <v>2596.902</v>
      </c>
      <c r="K212" s="14"/>
      <c r="L212" s="14">
        <f t="shared" si="861"/>
        <v>1695.4290000000001</v>
      </c>
      <c r="M212" s="14">
        <f t="shared" si="861"/>
        <v>1849.9780000000001</v>
      </c>
      <c r="N212" s="14">
        <f t="shared" si="861"/>
        <v>2000.097</v>
      </c>
      <c r="O212" s="14">
        <f t="shared" si="861"/>
        <v>2559.1889999999999</v>
      </c>
      <c r="P212" s="14">
        <f t="shared" ref="P212:S212" si="869">P148*P$204</f>
        <v>3346.002</v>
      </c>
      <c r="Q212" s="14">
        <f t="shared" si="869"/>
        <v>2806.3890000000001</v>
      </c>
      <c r="R212" s="14">
        <f t="shared" si="869"/>
        <v>3436.056</v>
      </c>
      <c r="S212" s="14">
        <f t="shared" si="869"/>
        <v>3539.22</v>
      </c>
      <c r="T212" s="14">
        <f t="shared" ref="T212:W212" si="870">T148*T$204</f>
        <v>4302.6790000000001</v>
      </c>
      <c r="U212" s="14">
        <f t="shared" si="870"/>
        <v>3064.6309999999999</v>
      </c>
      <c r="V212" s="14">
        <f t="shared" si="870"/>
        <v>3294.79</v>
      </c>
      <c r="W212" s="14">
        <f t="shared" si="870"/>
        <v>4218.9589999999998</v>
      </c>
      <c r="X212" s="14">
        <f t="shared" ref="X212:AA212" si="871">X148*X$204</f>
        <v>5244.6109999999999</v>
      </c>
      <c r="Y212" s="14">
        <f t="shared" si="871"/>
        <v>3831.509</v>
      </c>
      <c r="Z212" s="14">
        <f t="shared" si="871"/>
        <v>4120.4960000000001</v>
      </c>
      <c r="AA212" s="14">
        <f t="shared" si="871"/>
        <v>4229.1859999999997</v>
      </c>
      <c r="AB212" s="14">
        <f t="shared" ref="AB212:AE212" si="872">AB148*AB$204</f>
        <v>4513.6660000000002</v>
      </c>
      <c r="AC212" s="14">
        <f t="shared" si="872"/>
        <v>3717.8850000000002</v>
      </c>
      <c r="AD212" s="14">
        <f t="shared" si="872"/>
        <v>2783.125</v>
      </c>
      <c r="AE212" s="14">
        <f t="shared" si="872"/>
        <v>2435.6309999999999</v>
      </c>
      <c r="AF212" s="14">
        <f t="shared" ref="AF212:AG212" si="873">AF148*AF$204</f>
        <v>2532.1970000000001</v>
      </c>
      <c r="AG212" s="14">
        <f t="shared" si="873"/>
        <v>2596.902</v>
      </c>
    </row>
    <row r="213" spans="2:33" ht="13.5" customHeight="1">
      <c r="B213" s="30" t="s">
        <v>206</v>
      </c>
      <c r="C213" s="14">
        <f t="shared" si="858"/>
        <v>418.80500000000029</v>
      </c>
      <c r="D213" s="14">
        <f t="shared" si="858"/>
        <v>128.05799999999999</v>
      </c>
      <c r="E213" s="14">
        <f t="shared" si="858"/>
        <v>1534.5260000000007</v>
      </c>
      <c r="F213" s="14">
        <f t="shared" ref="F213:G213" si="874">F149*F$204</f>
        <v>293.80200000000013</v>
      </c>
      <c r="G213" s="14">
        <f t="shared" si="874"/>
        <v>-565.33299999999963</v>
      </c>
      <c r="H213" s="14">
        <f t="shared" ref="H213:I213" si="875">H149*H$204</f>
        <v>-468.00499999999965</v>
      </c>
      <c r="I213" s="14">
        <f t="shared" si="875"/>
        <v>1578.4159999999997</v>
      </c>
      <c r="J213" s="14">
        <f>J149*J$204</f>
        <v>1756.4349999999995</v>
      </c>
      <c r="K213" s="14"/>
      <c r="L213" s="14">
        <f t="shared" si="861"/>
        <v>2199.3110000000001</v>
      </c>
      <c r="M213" s="14">
        <f t="shared" si="861"/>
        <v>2081.0399999999995</v>
      </c>
      <c r="N213" s="14">
        <f t="shared" si="861"/>
        <v>1887.5139999999994</v>
      </c>
      <c r="O213" s="14">
        <f t="shared" si="861"/>
        <v>1534.5260000000007</v>
      </c>
      <c r="P213" s="14">
        <f t="shared" ref="P213:S213" si="876">P149*P$204</f>
        <v>748.83300000000008</v>
      </c>
      <c r="Q213" s="14">
        <f t="shared" si="876"/>
        <v>1436.6539999999995</v>
      </c>
      <c r="R213" s="14">
        <f t="shared" si="876"/>
        <v>837.65499999999929</v>
      </c>
      <c r="S213" s="14">
        <f t="shared" si="876"/>
        <v>293.80200000000013</v>
      </c>
      <c r="T213" s="14">
        <f t="shared" ref="T213:W213" si="877">T149*T$204</f>
        <v>-453.55799999999999</v>
      </c>
      <c r="U213" s="14">
        <f t="shared" si="877"/>
        <v>596.23799999999983</v>
      </c>
      <c r="V213" s="14">
        <f t="shared" si="877"/>
        <v>306.42399999999998</v>
      </c>
      <c r="W213" s="14">
        <f t="shared" si="877"/>
        <v>-565.33299999999963</v>
      </c>
      <c r="X213" s="14">
        <f t="shared" ref="X213:AA213" si="878">X149*X$204</f>
        <v>-1559.2269999999999</v>
      </c>
      <c r="Y213" s="14">
        <f t="shared" si="878"/>
        <v>-198.04800000000023</v>
      </c>
      <c r="Z213" s="14">
        <f t="shared" si="878"/>
        <v>-340.67800000000034</v>
      </c>
      <c r="AA213" s="14">
        <f t="shared" si="878"/>
        <v>-468.00499999999965</v>
      </c>
      <c r="AB213" s="14">
        <f t="shared" ref="AB213:AE213" si="879">AB149*AB$204</f>
        <v>-631.14800000000014</v>
      </c>
      <c r="AC213" s="14">
        <f t="shared" si="879"/>
        <v>164.85099999999966</v>
      </c>
      <c r="AD213" s="14">
        <f t="shared" si="879"/>
        <v>1192.2200000000003</v>
      </c>
      <c r="AE213" s="14">
        <f t="shared" si="879"/>
        <v>1578.4159999999997</v>
      </c>
      <c r="AF213" s="14">
        <f t="shared" ref="AF213:AG213" si="880">AF149*AF$204</f>
        <v>1410.8470000000002</v>
      </c>
      <c r="AG213" s="14">
        <f t="shared" si="880"/>
        <v>1756.4349999999995</v>
      </c>
    </row>
    <row r="214" spans="2:33" ht="13.5" customHeight="1">
      <c r="B214" s="30" t="s">
        <v>207</v>
      </c>
      <c r="C214" s="37">
        <f t="shared" ref="C214:E214" si="881">C211/C209</f>
        <v>0.79046899402847959</v>
      </c>
      <c r="D214" s="37">
        <f t="shared" si="881"/>
        <v>1.119607346241458</v>
      </c>
      <c r="E214" s="37">
        <f t="shared" si="881"/>
        <v>0.81939851881505221</v>
      </c>
      <c r="F214" s="37">
        <f t="shared" ref="F214:G214" si="882">F211/F209</f>
        <v>0.53963423905392083</v>
      </c>
      <c r="G214" s="37">
        <f t="shared" si="882"/>
        <v>0.5679505673869113</v>
      </c>
      <c r="H214" s="37">
        <f t="shared" ref="H214:I214" si="883">H211/H209</f>
        <v>0.58204596100278549</v>
      </c>
      <c r="I214" s="37">
        <f t="shared" si="883"/>
        <v>0.67395013431833439</v>
      </c>
      <c r="J214" s="37">
        <f t="shared" ref="J214" si="884">J211/J209</f>
        <v>0.64801086632926463</v>
      </c>
      <c r="K214" s="37"/>
      <c r="L214" s="116"/>
      <c r="M214" s="116"/>
      <c r="N214" s="116"/>
      <c r="O214" s="37">
        <f t="shared" ref="O214" si="885">O211/O209</f>
        <v>0.81939851881505221</v>
      </c>
      <c r="P214" s="37">
        <f t="shared" ref="P214:S214" si="886">P211/P209</f>
        <v>0.73701133909287253</v>
      </c>
      <c r="Q214" s="37">
        <f t="shared" si="886"/>
        <v>0.70202564526803435</v>
      </c>
      <c r="R214" s="37">
        <f t="shared" si="886"/>
        <v>0.64900698557327252</v>
      </c>
      <c r="S214" s="37">
        <f t="shared" si="886"/>
        <v>0.53963423905392083</v>
      </c>
      <c r="T214" s="37">
        <f t="shared" ref="T214:W214" si="887">T211/T209</f>
        <v>0.54075878055633608</v>
      </c>
      <c r="U214" s="37">
        <f t="shared" si="887"/>
        <v>0.53780946084912584</v>
      </c>
      <c r="V214" s="37">
        <f t="shared" si="887"/>
        <v>0.5439900302114804</v>
      </c>
      <c r="W214" s="37">
        <f t="shared" si="887"/>
        <v>0.5679505673869113</v>
      </c>
      <c r="X214" s="37">
        <f t="shared" ref="X214:AA214" si="888">X211/X209</f>
        <v>0.57719404855129208</v>
      </c>
      <c r="Y214" s="37">
        <f t="shared" si="888"/>
        <v>0.54589257812499992</v>
      </c>
      <c r="Z214" s="37">
        <f t="shared" si="888"/>
        <v>0.57531476407914761</v>
      </c>
      <c r="AA214" s="37">
        <f t="shared" si="888"/>
        <v>0.58204596100278549</v>
      </c>
      <c r="AB214" s="37">
        <f t="shared" ref="AB214:AE214" si="889">AB211/AB209</f>
        <v>0.60616986729117872</v>
      </c>
      <c r="AC214" s="37">
        <f t="shared" si="889"/>
        <v>0.62776653193209375</v>
      </c>
      <c r="AD214" s="37">
        <f t="shared" si="889"/>
        <v>0.65308772794480041</v>
      </c>
      <c r="AE214" s="37">
        <f t="shared" si="889"/>
        <v>0.67395013431833439</v>
      </c>
      <c r="AF214" s="37">
        <f t="shared" ref="AF214:AG214" si="890">AF211/AF209</f>
        <v>0.64000064924525246</v>
      </c>
      <c r="AG214" s="37">
        <f t="shared" si="890"/>
        <v>0.64801086632926463</v>
      </c>
    </row>
    <row r="215" spans="2:33" ht="13.5" customHeight="1">
      <c r="B215" s="30" t="s">
        <v>208</v>
      </c>
      <c r="C215" s="37">
        <f t="shared" ref="C215:E215" si="891">C213/C209</f>
        <v>9.6188562241616968E-2</v>
      </c>
      <c r="D215" s="37">
        <f t="shared" si="891"/>
        <v>3.6462984054669703E-2</v>
      </c>
      <c r="E215" s="37">
        <f t="shared" si="891"/>
        <v>0.30715092073658939</v>
      </c>
      <c r="F215" s="37">
        <f t="shared" ref="F215:G215" si="892">F213/F209</f>
        <v>4.1363086019991571E-2</v>
      </c>
      <c r="G215" s="37">
        <f t="shared" si="892"/>
        <v>-8.7880149230530016E-2</v>
      </c>
      <c r="H215" s="37">
        <f t="shared" ref="H215:I215" si="893">H213/H209</f>
        <v>-7.2424172082946409E-2</v>
      </c>
      <c r="I215" s="37">
        <f t="shared" si="893"/>
        <v>0.26501276024177295</v>
      </c>
      <c r="J215" s="37">
        <f t="shared" ref="J215" si="894">J213/J209</f>
        <v>0.26145206906817497</v>
      </c>
      <c r="K215" s="37"/>
      <c r="L215" s="116"/>
      <c r="M215" s="116"/>
      <c r="N215" s="116"/>
      <c r="O215" s="37">
        <f t="shared" ref="O215" si="895">O213/O209</f>
        <v>0.30715092073658939</v>
      </c>
      <c r="P215" s="37">
        <f t="shared" ref="P215:S215" si="896">P213/P209</f>
        <v>0.13477915766738663</v>
      </c>
      <c r="Q215" s="37">
        <f t="shared" si="896"/>
        <v>0.23769920582395757</v>
      </c>
      <c r="R215" s="37">
        <f t="shared" si="896"/>
        <v>0.12720652999240689</v>
      </c>
      <c r="S215" s="37">
        <f t="shared" si="896"/>
        <v>4.1363086019991571E-2</v>
      </c>
      <c r="T215" s="37">
        <f t="shared" ref="T215:W215" si="897">T213/T209</f>
        <v>-6.3719865130654682E-2</v>
      </c>
      <c r="U215" s="37">
        <f t="shared" si="897"/>
        <v>8.75918907007492E-2</v>
      </c>
      <c r="V215" s="37">
        <f t="shared" si="897"/>
        <v>4.6287613293051359E-2</v>
      </c>
      <c r="W215" s="37">
        <f t="shared" si="897"/>
        <v>-8.7880149230530016E-2</v>
      </c>
      <c r="X215" s="37">
        <f t="shared" ref="X215:AA215" si="898">X213/X209</f>
        <v>-0.24420156617071259</v>
      </c>
      <c r="Y215" s="37">
        <f t="shared" si="898"/>
        <v>-2.9754807692307726E-2</v>
      </c>
      <c r="Z215" s="37">
        <f t="shared" si="898"/>
        <v>-5.1853576864535823E-2</v>
      </c>
      <c r="AA215" s="37">
        <f t="shared" si="898"/>
        <v>-7.2424172082946409E-2</v>
      </c>
      <c r="AB215" s="37">
        <f t="shared" ref="AB215:AE215" si="899">AB213/AB209</f>
        <v>-9.8539890710382536E-2</v>
      </c>
      <c r="AC215" s="37">
        <f t="shared" si="899"/>
        <v>2.6653354890864941E-2</v>
      </c>
      <c r="AD215" s="37">
        <f t="shared" si="899"/>
        <v>0.19586331526203388</v>
      </c>
      <c r="AE215" s="37">
        <f t="shared" si="899"/>
        <v>0.26501276024177295</v>
      </c>
      <c r="AF215" s="37">
        <f t="shared" ref="AF215:AG215" si="900">AF213/AF209</f>
        <v>0.22899642915111187</v>
      </c>
      <c r="AG215" s="37">
        <f t="shared" si="900"/>
        <v>0.26145206906817497</v>
      </c>
    </row>
    <row r="216" spans="2:33" ht="13.5" customHeight="1"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2:33" ht="13.5" customHeight="1">
      <c r="B217" s="55" t="s">
        <v>209</v>
      </c>
      <c r="C217" s="54"/>
      <c r="D217" s="54"/>
      <c r="E217" s="54"/>
      <c r="F217" s="54"/>
      <c r="G217" s="54"/>
      <c r="H217" s="54"/>
      <c r="I217" s="54"/>
      <c r="J217" s="54"/>
      <c r="K217" s="183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</row>
    <row r="218" spans="2:33" s="53" customFormat="1" ht="13.5" customHeight="1">
      <c r="B218" s="52" t="s">
        <v>216</v>
      </c>
      <c r="C218" s="51">
        <f t="shared" ref="C218:H218" si="901">C3</f>
        <v>43830</v>
      </c>
      <c r="D218" s="51">
        <f t="shared" si="901"/>
        <v>44196</v>
      </c>
      <c r="E218" s="51">
        <f t="shared" si="901"/>
        <v>44561</v>
      </c>
      <c r="F218" s="51">
        <f t="shared" si="901"/>
        <v>44926</v>
      </c>
      <c r="G218" s="51">
        <f t="shared" si="901"/>
        <v>45291</v>
      </c>
      <c r="H218" s="51">
        <f t="shared" si="901"/>
        <v>45657</v>
      </c>
      <c r="I218" s="51">
        <f t="shared" ref="I218" si="902">I3</f>
        <v>46022</v>
      </c>
      <c r="J218" s="51" t="str">
        <f>J2</f>
        <v>LTM</v>
      </c>
      <c r="K218" s="175"/>
      <c r="L218" s="51">
        <f t="shared" ref="L218:AB218" si="903">L3</f>
        <v>44286</v>
      </c>
      <c r="M218" s="51">
        <f t="shared" si="903"/>
        <v>44377</v>
      </c>
      <c r="N218" s="51">
        <f t="shared" si="903"/>
        <v>44469</v>
      </c>
      <c r="O218" s="51">
        <f t="shared" si="903"/>
        <v>44561</v>
      </c>
      <c r="P218" s="51">
        <f t="shared" si="903"/>
        <v>44651</v>
      </c>
      <c r="Q218" s="51">
        <f t="shared" si="903"/>
        <v>44742</v>
      </c>
      <c r="R218" s="51">
        <f t="shared" si="903"/>
        <v>44834</v>
      </c>
      <c r="S218" s="51">
        <f t="shared" si="903"/>
        <v>44926</v>
      </c>
      <c r="T218" s="51">
        <f t="shared" si="903"/>
        <v>45016</v>
      </c>
      <c r="U218" s="51">
        <f t="shared" si="903"/>
        <v>45107</v>
      </c>
      <c r="V218" s="51">
        <f t="shared" si="903"/>
        <v>45199</v>
      </c>
      <c r="W218" s="51">
        <f t="shared" si="903"/>
        <v>45291</v>
      </c>
      <c r="X218" s="51">
        <f t="shared" si="903"/>
        <v>45382</v>
      </c>
      <c r="Y218" s="51">
        <f t="shared" si="903"/>
        <v>45473</v>
      </c>
      <c r="Z218" s="51">
        <f t="shared" si="903"/>
        <v>45565</v>
      </c>
      <c r="AA218" s="51">
        <f t="shared" si="903"/>
        <v>45657</v>
      </c>
      <c r="AB218" s="51">
        <f t="shared" si="903"/>
        <v>45747</v>
      </c>
      <c r="AC218" s="51">
        <f t="shared" ref="AC218:AF218" si="904">AC3</f>
        <v>45838</v>
      </c>
      <c r="AD218" s="51">
        <f t="shared" si="904"/>
        <v>45930</v>
      </c>
      <c r="AE218" s="51">
        <f t="shared" si="904"/>
        <v>46022</v>
      </c>
      <c r="AF218" s="51">
        <f t="shared" si="904"/>
        <v>46112</v>
      </c>
      <c r="AG218" s="51">
        <f t="shared" ref="AG218" si="905">AG3</f>
        <v>46203</v>
      </c>
    </row>
    <row r="219" spans="2:33" s="33" customFormat="1" ht="13.5" customHeight="1">
      <c r="B219" s="52"/>
      <c r="C219" s="51" t="s">
        <v>100</v>
      </c>
      <c r="D219" s="51" t="s">
        <v>100</v>
      </c>
      <c r="E219" s="51" t="s">
        <v>100</v>
      </c>
      <c r="F219" s="51" t="s">
        <v>100</v>
      </c>
      <c r="G219" s="51" t="s">
        <v>100</v>
      </c>
      <c r="H219" s="51" t="s">
        <v>100</v>
      </c>
      <c r="I219" s="51" t="s">
        <v>100</v>
      </c>
      <c r="J219" s="51" t="s">
        <v>100</v>
      </c>
      <c r="K219" s="175"/>
      <c r="L219" s="51" t="s">
        <v>100</v>
      </c>
      <c r="M219" s="51" t="s">
        <v>100</v>
      </c>
      <c r="N219" s="51" t="s">
        <v>100</v>
      </c>
      <c r="O219" s="51" t="s">
        <v>100</v>
      </c>
      <c r="P219" s="51" t="s">
        <v>100</v>
      </c>
      <c r="Q219" s="51" t="s">
        <v>100</v>
      </c>
      <c r="R219" s="51" t="s">
        <v>100</v>
      </c>
      <c r="S219" s="51" t="s">
        <v>100</v>
      </c>
      <c r="T219" s="51" t="s">
        <v>100</v>
      </c>
      <c r="U219" s="51" t="s">
        <v>100</v>
      </c>
      <c r="V219" s="51"/>
      <c r="W219" s="51" t="s">
        <v>100</v>
      </c>
      <c r="X219" s="51" t="s">
        <v>100</v>
      </c>
      <c r="Y219" s="51" t="s">
        <v>100</v>
      </c>
      <c r="Z219" s="51"/>
      <c r="AA219" s="51" t="s">
        <v>100</v>
      </c>
      <c r="AB219" s="51" t="s">
        <v>100</v>
      </c>
      <c r="AC219" s="51" t="s">
        <v>100</v>
      </c>
      <c r="AD219" s="51"/>
      <c r="AE219" s="51" t="s">
        <v>100</v>
      </c>
      <c r="AF219" s="51" t="s">
        <v>100</v>
      </c>
      <c r="AG219" s="51" t="s">
        <v>100</v>
      </c>
    </row>
    <row r="220" spans="2:33" ht="13.5" customHeight="1"/>
    <row r="221" spans="2:33" s="33" customFormat="1" ht="13.5" customHeight="1">
      <c r="B221" s="33" t="str">
        <f>B7</f>
        <v>Total Revenues</v>
      </c>
      <c r="C221" s="49">
        <f t="shared" ref="C221:H221" si="906">C7*C$203</f>
        <v>6162.8122949999997</v>
      </c>
      <c r="D221" s="49">
        <f t="shared" si="906"/>
        <v>5135.5200000000004</v>
      </c>
      <c r="E221" s="49">
        <f t="shared" si="906"/>
        <v>6824.0069999999996</v>
      </c>
      <c r="F221" s="49">
        <f t="shared" si="906"/>
        <v>9421.487000000001</v>
      </c>
      <c r="G221" s="49">
        <f t="shared" si="906"/>
        <v>8639.1460000000006</v>
      </c>
      <c r="H221" s="49">
        <f t="shared" si="906"/>
        <v>8842.3009999999995</v>
      </c>
      <c r="I221" s="49">
        <f t="shared" ref="I221" si="907">I7*I$203</f>
        <v>8562.1899999999987</v>
      </c>
      <c r="J221" s="49">
        <f>J7*J$203</f>
        <v>9669.378999999999</v>
      </c>
      <c r="K221" s="49"/>
      <c r="L221" s="49">
        <f t="shared" ref="L221:AB221" si="908">L7*L$203</f>
        <v>1411.7270000000001</v>
      </c>
      <c r="M221" s="49">
        <f t="shared" si="908"/>
        <v>1748.6990000000001</v>
      </c>
      <c r="N221" s="49">
        <f t="shared" si="908"/>
        <v>1770.3249999999998</v>
      </c>
      <c r="O221" s="49">
        <f t="shared" si="908"/>
        <v>1893.2559999999999</v>
      </c>
      <c r="P221" s="49">
        <f t="shared" si="908"/>
        <v>2060.6330000000003</v>
      </c>
      <c r="Q221" s="49">
        <f t="shared" si="908"/>
        <v>2415.2550000000001</v>
      </c>
      <c r="R221" s="49">
        <f t="shared" si="908"/>
        <v>2431.326</v>
      </c>
      <c r="S221" s="49">
        <f t="shared" si="908"/>
        <v>2514.2730000000001</v>
      </c>
      <c r="T221" s="49">
        <f t="shared" si="908"/>
        <v>2227.2289999999998</v>
      </c>
      <c r="U221" s="49">
        <f t="shared" si="908"/>
        <v>1957.471</v>
      </c>
      <c r="V221" s="49">
        <f t="shared" si="908"/>
        <v>2223.4079999999999</v>
      </c>
      <c r="W221" s="49">
        <f t="shared" si="908"/>
        <v>2231.0379999999996</v>
      </c>
      <c r="X221" s="49">
        <f t="shared" si="908"/>
        <v>2122.8989999999999</v>
      </c>
      <c r="Y221" s="49">
        <f t="shared" si="908"/>
        <v>2298.348</v>
      </c>
      <c r="Z221" s="49">
        <f t="shared" si="908"/>
        <v>2173.4589999999998</v>
      </c>
      <c r="AA221" s="49">
        <f t="shared" si="908"/>
        <v>2247.5949999999993</v>
      </c>
      <c r="AB221" s="49">
        <f t="shared" si="908"/>
        <v>2095.7870000000003</v>
      </c>
      <c r="AC221" s="49">
        <f t="shared" ref="AC221:AF221" si="909">AC7*AC$203</f>
        <v>2150.8399999999997</v>
      </c>
      <c r="AD221" s="49">
        <f t="shared" si="909"/>
        <v>2126.7350000000001</v>
      </c>
      <c r="AE221" s="49">
        <f t="shared" si="909"/>
        <v>2188.8279999999995</v>
      </c>
      <c r="AF221" s="49">
        <f t="shared" si="909"/>
        <v>2404.0860000000002</v>
      </c>
      <c r="AG221" s="49">
        <f t="shared" ref="AG221" si="910">AG7*AG$203</f>
        <v>2949.7300000000005</v>
      </c>
    </row>
    <row r="222" spans="2:33" s="45" customFormat="1" ht="13.5" customHeight="1">
      <c r="B222" s="50" t="s">
        <v>211</v>
      </c>
      <c r="C222" s="46"/>
      <c r="D222" s="46">
        <f t="shared" ref="D222:I222" si="911">D221/C221-1</f>
        <v>-0.1666921278510235</v>
      </c>
      <c r="E222" s="46">
        <f t="shared" si="911"/>
        <v>0.32878598467146447</v>
      </c>
      <c r="F222" s="46">
        <f t="shared" si="911"/>
        <v>0.38063853099799005</v>
      </c>
      <c r="G222" s="46">
        <f t="shared" si="911"/>
        <v>-8.3037953562956734E-2</v>
      </c>
      <c r="H222" s="46">
        <f t="shared" si="911"/>
        <v>2.3515634531468654E-2</v>
      </c>
      <c r="I222" s="46">
        <f t="shared" si="911"/>
        <v>-3.1678518973737857E-2</v>
      </c>
      <c r="J222" s="46"/>
      <c r="K222" s="49"/>
      <c r="L222" s="46"/>
      <c r="M222" s="46"/>
      <c r="N222" s="46"/>
      <c r="O222" s="46"/>
      <c r="P222" s="46">
        <f t="shared" ref="P222:AG222" si="912">P221/L221-1</f>
        <v>0.45965402659296029</v>
      </c>
      <c r="Q222" s="46">
        <f t="shared" si="912"/>
        <v>0.38117251739721936</v>
      </c>
      <c r="R222" s="46">
        <f t="shared" si="912"/>
        <v>0.37337833448660573</v>
      </c>
      <c r="S222" s="46">
        <f t="shared" si="912"/>
        <v>0.32801533442915298</v>
      </c>
      <c r="T222" s="46">
        <f t="shared" si="912"/>
        <v>8.0847001867872414E-2</v>
      </c>
      <c r="U222" s="46">
        <f t="shared" si="912"/>
        <v>-0.18953857874220326</v>
      </c>
      <c r="V222" s="46">
        <f t="shared" si="912"/>
        <v>-8.5516298513650613E-2</v>
      </c>
      <c r="W222" s="46">
        <f t="shared" si="912"/>
        <v>-0.11265085374579475</v>
      </c>
      <c r="X222" s="46">
        <f t="shared" si="912"/>
        <v>-4.6842960467917694E-2</v>
      </c>
      <c r="Y222" s="46">
        <f t="shared" si="912"/>
        <v>0.17414153262040655</v>
      </c>
      <c r="Z222" s="46">
        <f t="shared" si="912"/>
        <v>-2.2465062642573974E-2</v>
      </c>
      <c r="AA222" s="46">
        <f t="shared" si="912"/>
        <v>7.421209320504607E-3</v>
      </c>
      <c r="AB222" s="46">
        <f t="shared" si="912"/>
        <v>-1.2771215210897746E-2</v>
      </c>
      <c r="AC222" s="46">
        <f t="shared" si="912"/>
        <v>-6.4180011034012385E-2</v>
      </c>
      <c r="AD222" s="46">
        <f t="shared" si="912"/>
        <v>-2.1497529974110252E-2</v>
      </c>
      <c r="AE222" s="46">
        <f t="shared" si="912"/>
        <v>-2.6146614492379538E-2</v>
      </c>
      <c r="AF222" s="46">
        <f t="shared" si="912"/>
        <v>0.1471041665970827</v>
      </c>
      <c r="AG222" s="46">
        <f t="shared" si="912"/>
        <v>0.37143162671328445</v>
      </c>
    </row>
    <row r="223" spans="2:33" ht="13.5" customHeight="1"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</row>
    <row r="224" spans="2:33" s="33" customFormat="1" ht="13.5" customHeight="1" thickBot="1">
      <c r="B224" s="40" t="str">
        <f>B55</f>
        <v xml:space="preserve">Adj. EBITDA </v>
      </c>
      <c r="C224" s="48">
        <f t="shared" ref="C224:G224" si="913">C55*C$203</f>
        <v>4354</v>
      </c>
      <c r="D224" s="48">
        <f t="shared" si="913"/>
        <v>3512</v>
      </c>
      <c r="E224" s="48">
        <f t="shared" si="913"/>
        <v>4996</v>
      </c>
      <c r="F224" s="48">
        <f t="shared" si="913"/>
        <v>7103</v>
      </c>
      <c r="G224" s="48">
        <f t="shared" si="913"/>
        <v>6433</v>
      </c>
      <c r="H224" s="48">
        <f t="shared" ref="H224:I224" si="914">H55*H$203</f>
        <v>6462</v>
      </c>
      <c r="I224" s="48">
        <f t="shared" si="914"/>
        <v>5956</v>
      </c>
      <c r="J224" s="48">
        <f>J55*J$203</f>
        <v>6718</v>
      </c>
      <c r="K224" s="58"/>
      <c r="L224" s="48">
        <f>L55*L$203</f>
        <v>1041</v>
      </c>
      <c r="M224" s="48">
        <f>M55*M$203</f>
        <v>1328</v>
      </c>
      <c r="N224" s="48">
        <f>N55*N$203</f>
        <v>1297</v>
      </c>
      <c r="O224" s="48">
        <f>O55*O$203</f>
        <v>1330</v>
      </c>
      <c r="P224" s="48">
        <f t="shared" ref="P224:R224" si="915">P55*P$203</f>
        <v>1601</v>
      </c>
      <c r="Q224" s="48">
        <f t="shared" si="915"/>
        <v>1816</v>
      </c>
      <c r="R224" s="48">
        <f t="shared" si="915"/>
        <v>1838</v>
      </c>
      <c r="S224" s="48">
        <f>S55*S$203</f>
        <v>1848</v>
      </c>
      <c r="T224" s="48">
        <f>T55*T$203</f>
        <v>1616</v>
      </c>
      <c r="U224" s="48">
        <f t="shared" ref="U224:V224" si="916">U55*U$203</f>
        <v>1505</v>
      </c>
      <c r="V224" s="48">
        <f t="shared" si="916"/>
        <v>1651</v>
      </c>
      <c r="W224" s="48">
        <f>W55*W$203</f>
        <v>1661</v>
      </c>
      <c r="X224" s="48">
        <f>X55*X$203</f>
        <v>1568</v>
      </c>
      <c r="Y224" s="48">
        <f t="shared" ref="Y224:Z224" si="917">Y55*Y$203</f>
        <v>1776</v>
      </c>
      <c r="Z224" s="48">
        <f t="shared" si="917"/>
        <v>1565</v>
      </c>
      <c r="AA224" s="48">
        <f>AA55*AA$203</f>
        <v>1553</v>
      </c>
      <c r="AB224" s="48">
        <f>AB55*AB$203</f>
        <v>1511</v>
      </c>
      <c r="AC224" s="48">
        <f t="shared" ref="AC224:AD224" si="918">AC55*AC$203</f>
        <v>1556</v>
      </c>
      <c r="AD224" s="48">
        <f t="shared" si="918"/>
        <v>1467</v>
      </c>
      <c r="AE224" s="48">
        <f>AE55*AE$203</f>
        <v>1422</v>
      </c>
      <c r="AF224" s="48">
        <f>AF55*AF$203</f>
        <v>1716</v>
      </c>
      <c r="AG224" s="48">
        <f t="shared" ref="AG224" si="919">AG55*AG$203</f>
        <v>2113</v>
      </c>
    </row>
    <row r="225" spans="2:33" s="45" customFormat="1" ht="13.5" customHeight="1" thickTop="1">
      <c r="B225" s="47" t="str">
        <f>B56</f>
        <v xml:space="preserve">% growth </v>
      </c>
      <c r="C225" s="46"/>
      <c r="D225" s="46">
        <f t="shared" ref="D225:I225" si="920">D224/C224-1</f>
        <v>-0.19338539274230593</v>
      </c>
      <c r="E225" s="46">
        <f t="shared" si="920"/>
        <v>0.42255125284738049</v>
      </c>
      <c r="F225" s="46">
        <f t="shared" si="920"/>
        <v>0.42173738991192944</v>
      </c>
      <c r="G225" s="46">
        <f t="shared" si="920"/>
        <v>-9.4326340982683332E-2</v>
      </c>
      <c r="H225" s="46">
        <f t="shared" si="920"/>
        <v>4.5080055961448373E-3</v>
      </c>
      <c r="I225" s="46">
        <f t="shared" si="920"/>
        <v>-7.8303930671618671E-2</v>
      </c>
      <c r="J225" s="46"/>
      <c r="K225" s="186"/>
      <c r="L225" s="46"/>
      <c r="M225" s="46"/>
      <c r="N225" s="46"/>
      <c r="O225" s="46"/>
      <c r="P225" s="46">
        <f>P224/L224-1</f>
        <v>0.53794428434197883</v>
      </c>
      <c r="Q225" s="46">
        <f>Q224/M224-1</f>
        <v>0.3674698795180722</v>
      </c>
      <c r="R225" s="46">
        <f>R224/N224-1</f>
        <v>0.41711642251349268</v>
      </c>
      <c r="S225" s="46"/>
      <c r="T225" s="46"/>
      <c r="U225" s="46">
        <f>U224/Q224-1</f>
        <v>-0.17125550660792954</v>
      </c>
      <c r="V225" s="46">
        <f>V224/R224-1</f>
        <v>-0.1017410228509249</v>
      </c>
      <c r="W225" s="46"/>
      <c r="X225" s="46"/>
      <c r="Y225" s="46">
        <f>Y224/U224-1</f>
        <v>0.1800664451827243</v>
      </c>
      <c r="Z225" s="46">
        <f>Z224/V224-1</f>
        <v>-5.2089642640823719E-2</v>
      </c>
      <c r="AA225" s="46"/>
      <c r="AB225" s="46"/>
      <c r="AC225" s="46">
        <f>AC224/Y224-1</f>
        <v>-0.12387387387387383</v>
      </c>
      <c r="AD225" s="46">
        <f>AD224/Z224-1</f>
        <v>-6.2619808306709213E-2</v>
      </c>
      <c r="AE225" s="46"/>
      <c r="AF225" s="46"/>
      <c r="AG225" s="46">
        <f>AG224/AC224-1</f>
        <v>0.35796915167095111</v>
      </c>
    </row>
    <row r="226" spans="2:33" s="45" customFormat="1" ht="13.5" customHeight="1">
      <c r="B226" s="47" t="str">
        <f>B57</f>
        <v>% margin</v>
      </c>
      <c r="C226" s="46">
        <f t="shared" ref="C226:E226" si="921">C224/C221</f>
        <v>0.70649563731358145</v>
      </c>
      <c r="D226" s="46">
        <f t="shared" si="921"/>
        <v>0.6838645356263825</v>
      </c>
      <c r="E226" s="46">
        <f t="shared" si="921"/>
        <v>0.73212117162247936</v>
      </c>
      <c r="F226" s="46">
        <f t="shared" ref="F226:G226" si="922">F224/F221</f>
        <v>0.75391496055771234</v>
      </c>
      <c r="G226" s="46">
        <f t="shared" si="922"/>
        <v>0.74463378671919644</v>
      </c>
      <c r="H226" s="46">
        <f t="shared" ref="H226:I226" si="923">H224/H221</f>
        <v>0.73080525080519199</v>
      </c>
      <c r="I226" s="46">
        <f t="shared" si="923"/>
        <v>0.6956164252370014</v>
      </c>
      <c r="J226" s="46">
        <f t="shared" ref="J226" si="924">J224/J221</f>
        <v>0.69477057420130095</v>
      </c>
      <c r="K226" s="186"/>
      <c r="L226" s="46">
        <f t="shared" ref="L226:O226" si="925">L224/L221</f>
        <v>0.73739469458330109</v>
      </c>
      <c r="M226" s="46">
        <f t="shared" si="925"/>
        <v>0.75942171866055852</v>
      </c>
      <c r="N226" s="46">
        <f t="shared" si="925"/>
        <v>0.73263383841949936</v>
      </c>
      <c r="O226" s="46">
        <f t="shared" si="925"/>
        <v>0.70249348212814333</v>
      </c>
      <c r="P226" s="46">
        <f t="shared" ref="P226:S226" si="926">P224/P221</f>
        <v>0.7769457249301549</v>
      </c>
      <c r="Q226" s="46">
        <f t="shared" si="926"/>
        <v>0.75188748186009347</v>
      </c>
      <c r="R226" s="46">
        <f t="shared" si="926"/>
        <v>0.75596608599587223</v>
      </c>
      <c r="S226" s="46">
        <f t="shared" si="926"/>
        <v>0.73500371678015863</v>
      </c>
      <c r="T226" s="46">
        <f t="shared" ref="T226:W226" si="927">T224/T221</f>
        <v>0.72556526517928788</v>
      </c>
      <c r="U226" s="46">
        <f t="shared" si="927"/>
        <v>0.76884919367898685</v>
      </c>
      <c r="V226" s="46">
        <f t="shared" si="927"/>
        <v>0.74255377330656369</v>
      </c>
      <c r="W226" s="46">
        <f t="shared" si="927"/>
        <v>0.7444965079034962</v>
      </c>
      <c r="X226" s="46">
        <f t="shared" ref="X226:AA226" si="928">X224/X221</f>
        <v>0.73861262358689705</v>
      </c>
      <c r="Y226" s="46">
        <f t="shared" si="928"/>
        <v>0.772728933999551</v>
      </c>
      <c r="Z226" s="46">
        <f t="shared" si="928"/>
        <v>0.72005038972439794</v>
      </c>
      <c r="AA226" s="46">
        <f t="shared" si="928"/>
        <v>0.69096078252532167</v>
      </c>
      <c r="AB226" s="46">
        <f t="shared" ref="AB226:AE226" si="929">AB224/AB221</f>
        <v>0.7209702130989456</v>
      </c>
      <c r="AC226" s="46">
        <f t="shared" si="929"/>
        <v>0.72343828457718851</v>
      </c>
      <c r="AD226" s="46">
        <f t="shared" si="929"/>
        <v>0.68978974813505201</v>
      </c>
      <c r="AE226" s="46">
        <f t="shared" si="929"/>
        <v>0.64966274188743944</v>
      </c>
      <c r="AF226" s="46">
        <f t="shared" ref="AF226:AG226" si="930">AF224/AF221</f>
        <v>0.71378478140964996</v>
      </c>
      <c r="AG226" s="46">
        <f t="shared" si="930"/>
        <v>0.7163367494652052</v>
      </c>
    </row>
    <row r="227" spans="2:33" ht="13.5" customHeight="1"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</row>
    <row r="228" spans="2:33" s="33" customFormat="1" ht="13.5" customHeight="1">
      <c r="B228" s="33" t="str">
        <f t="shared" ref="B228:B245" si="931">B63</f>
        <v xml:space="preserve">Adj. EBITDA </v>
      </c>
      <c r="C228" s="43">
        <f t="shared" ref="C228:E245" si="932">C63*C$203</f>
        <v>4354</v>
      </c>
      <c r="D228" s="43">
        <f t="shared" si="932"/>
        <v>3512</v>
      </c>
      <c r="E228" s="43">
        <f t="shared" si="932"/>
        <v>4996</v>
      </c>
      <c r="F228" s="43">
        <f t="shared" ref="F228:G228" si="933">F63*F$203</f>
        <v>7103</v>
      </c>
      <c r="G228" s="43">
        <f t="shared" si="933"/>
        <v>6433</v>
      </c>
      <c r="H228" s="43">
        <f t="shared" ref="H228:I228" si="934">H63*H$203</f>
        <v>6462</v>
      </c>
      <c r="I228" s="43">
        <f t="shared" si="934"/>
        <v>5956</v>
      </c>
      <c r="J228" s="43">
        <f>J63*J$203</f>
        <v>6718</v>
      </c>
      <c r="K228" s="16"/>
      <c r="L228" s="43">
        <f t="shared" ref="L228:O245" si="935">L63*L$203</f>
        <v>1041</v>
      </c>
      <c r="M228" s="43">
        <f t="shared" si="935"/>
        <v>1328</v>
      </c>
      <c r="N228" s="43">
        <f t="shared" si="935"/>
        <v>1297</v>
      </c>
      <c r="O228" s="43">
        <f t="shared" si="935"/>
        <v>1330</v>
      </c>
      <c r="P228" s="43">
        <f t="shared" ref="P228:S228" si="936">P63*P$203</f>
        <v>1601</v>
      </c>
      <c r="Q228" s="43">
        <f t="shared" si="936"/>
        <v>1816</v>
      </c>
      <c r="R228" s="43">
        <f t="shared" si="936"/>
        <v>1838</v>
      </c>
      <c r="S228" s="43">
        <f t="shared" si="936"/>
        <v>1848</v>
      </c>
      <c r="T228" s="43">
        <f t="shared" ref="T228:W228" si="937">T63*T$203</f>
        <v>1616</v>
      </c>
      <c r="U228" s="43">
        <f t="shared" si="937"/>
        <v>1505</v>
      </c>
      <c r="V228" s="43">
        <f t="shared" si="937"/>
        <v>1651</v>
      </c>
      <c r="W228" s="43">
        <f t="shared" si="937"/>
        <v>1661</v>
      </c>
      <c r="X228" s="43">
        <f t="shared" ref="X228:AA228" si="938">X63*X$203</f>
        <v>1568</v>
      </c>
      <c r="Y228" s="43">
        <f t="shared" si="938"/>
        <v>1776</v>
      </c>
      <c r="Z228" s="43">
        <f t="shared" si="938"/>
        <v>1565</v>
      </c>
      <c r="AA228" s="43">
        <f t="shared" si="938"/>
        <v>1553</v>
      </c>
      <c r="AB228" s="43">
        <f t="shared" ref="AB228:AE228" si="939">AB63*AB$203</f>
        <v>1511</v>
      </c>
      <c r="AC228" s="43">
        <f t="shared" si="939"/>
        <v>1556</v>
      </c>
      <c r="AD228" s="43">
        <f t="shared" si="939"/>
        <v>1467</v>
      </c>
      <c r="AE228" s="43">
        <f t="shared" si="939"/>
        <v>1422</v>
      </c>
      <c r="AF228" s="43">
        <f t="shared" ref="AF228:AG228" si="940">AF63*AF$203</f>
        <v>1716</v>
      </c>
      <c r="AG228" s="43">
        <f t="shared" si="940"/>
        <v>2113</v>
      </c>
    </row>
    <row r="229" spans="2:33" ht="13.5" customHeight="1">
      <c r="B229" s="30" t="str">
        <f t="shared" si="931"/>
        <v>Working Capital</v>
      </c>
      <c r="C229" s="20">
        <f t="shared" si="932"/>
        <v>-1103.4380000000001</v>
      </c>
      <c r="D229" s="20">
        <f t="shared" si="932"/>
        <v>43.871999999999844</v>
      </c>
      <c r="E229" s="20">
        <f t="shared" si="932"/>
        <v>-447.94599999999991</v>
      </c>
      <c r="F229" s="20">
        <f t="shared" ref="F229:G229" si="941">F64*F$203</f>
        <v>-861.55599999999959</v>
      </c>
      <c r="G229" s="20">
        <f t="shared" si="941"/>
        <v>-635.16399999999976</v>
      </c>
      <c r="H229" s="20">
        <f t="shared" ref="H229:I229" si="942">H64*H$203</f>
        <v>417.94200000000001</v>
      </c>
      <c r="I229" s="20">
        <f t="shared" si="942"/>
        <v>-234.36200000000008</v>
      </c>
      <c r="J229" s="20">
        <f>J64*J$203</f>
        <v>-259.82099999999991</v>
      </c>
      <c r="K229" s="185"/>
      <c r="L229" s="20">
        <f t="shared" si="935"/>
        <v>-160.2639999999999</v>
      </c>
      <c r="M229" s="20">
        <f t="shared" si="935"/>
        <v>-54.98900000000026</v>
      </c>
      <c r="N229" s="20">
        <f t="shared" si="935"/>
        <v>-259.22300000000041</v>
      </c>
      <c r="O229" s="20">
        <f t="shared" si="935"/>
        <v>26.530000000000655</v>
      </c>
      <c r="P229" s="20">
        <f t="shared" ref="P229:S229" si="943">P64*P$203</f>
        <v>-183.93999999999983</v>
      </c>
      <c r="Q229" s="20">
        <f t="shared" si="943"/>
        <v>-426.27800000000047</v>
      </c>
      <c r="R229" s="20">
        <f t="shared" si="943"/>
        <v>-819.14600000000064</v>
      </c>
      <c r="S229" s="20">
        <f t="shared" si="943"/>
        <v>567.80800000000136</v>
      </c>
      <c r="T229" s="20">
        <f t="shared" ref="T229:W229" si="944">T64*T$203</f>
        <v>-9.8759999999999764</v>
      </c>
      <c r="U229" s="20">
        <f t="shared" si="944"/>
        <v>-254.21500000000037</v>
      </c>
      <c r="V229" s="20">
        <f t="shared" si="944"/>
        <v>-801.25599999999986</v>
      </c>
      <c r="W229" s="20">
        <f t="shared" si="944"/>
        <v>430.18300000000045</v>
      </c>
      <c r="X229" s="20">
        <f t="shared" ref="X229:AA229" si="945">X64*X$203</f>
        <v>286.625</v>
      </c>
      <c r="Y229" s="20">
        <f t="shared" si="945"/>
        <v>-13.307000000000244</v>
      </c>
      <c r="Z229" s="20">
        <f t="shared" si="945"/>
        <v>382.31399999999985</v>
      </c>
      <c r="AA229" s="20">
        <f t="shared" si="945"/>
        <v>-237.6899999999996</v>
      </c>
      <c r="AB229" s="20">
        <f t="shared" ref="AB229:AE229" si="946">AB64*AB$203</f>
        <v>-257.60700000000003</v>
      </c>
      <c r="AC229" s="20">
        <f t="shared" si="946"/>
        <v>59.449999999999875</v>
      </c>
      <c r="AD229" s="20">
        <f t="shared" si="946"/>
        <v>224.59200000000067</v>
      </c>
      <c r="AE229" s="20">
        <f t="shared" si="946"/>
        <v>-260.79700000000059</v>
      </c>
      <c r="AF229" s="20">
        <f t="shared" ref="AF229:AG229" si="947">AF64*AF$203</f>
        <v>-138.85900000000015</v>
      </c>
      <c r="AG229" s="20">
        <f t="shared" si="947"/>
        <v>-84.756999999999834</v>
      </c>
    </row>
    <row r="230" spans="2:33" ht="13.5" customHeight="1">
      <c r="B230" s="30" t="str">
        <f t="shared" si="931"/>
        <v>Taxes</v>
      </c>
      <c r="C230" s="20">
        <f t="shared" si="932"/>
        <v>0</v>
      </c>
      <c r="D230" s="20">
        <f t="shared" si="932"/>
        <v>-1110.1959999999999</v>
      </c>
      <c r="E230" s="20">
        <f t="shared" si="932"/>
        <v>-989.08299999999997</v>
      </c>
      <c r="F230" s="20">
        <f t="shared" ref="F230:G230" si="948">F65*F$203</f>
        <v>-1611.2470000000001</v>
      </c>
      <c r="G230" s="20">
        <f t="shared" si="948"/>
        <v>-1786.615</v>
      </c>
      <c r="H230" s="20">
        <f t="shared" ref="H230:I230" si="949">H65*H$203</f>
        <v>-1620.3489999999999</v>
      </c>
      <c r="I230" s="20">
        <f t="shared" si="949"/>
        <v>-1621.2239999999999</v>
      </c>
      <c r="J230" s="20">
        <f>J65*J$203</f>
        <v>-1437.4209999999998</v>
      </c>
      <c r="K230" s="185"/>
      <c r="L230" s="20">
        <f t="shared" si="935"/>
        <v>-60.83</v>
      </c>
      <c r="M230" s="20">
        <f t="shared" si="935"/>
        <v>-619.22499999999991</v>
      </c>
      <c r="N230" s="20">
        <f t="shared" si="935"/>
        <v>-155.89600000000007</v>
      </c>
      <c r="O230" s="20">
        <f t="shared" si="935"/>
        <v>-153.13199999999995</v>
      </c>
      <c r="P230" s="20">
        <f t="shared" ref="P230:S230" si="950">P65*P$203</f>
        <v>-169.77600000000001</v>
      </c>
      <c r="Q230" s="20">
        <f t="shared" si="950"/>
        <v>-947.55899999999997</v>
      </c>
      <c r="R230" s="20">
        <f t="shared" si="950"/>
        <v>-230.07799999999997</v>
      </c>
      <c r="S230" s="20">
        <f t="shared" si="950"/>
        <v>-263.83400000000006</v>
      </c>
      <c r="T230" s="20">
        <f t="shared" ref="T230:W230" si="951">T65*T$203</f>
        <v>-270.31299999999999</v>
      </c>
      <c r="U230" s="20">
        <f t="shared" si="951"/>
        <v>-992.19600000000003</v>
      </c>
      <c r="V230" s="20">
        <f t="shared" si="951"/>
        <v>-278.36500000000012</v>
      </c>
      <c r="W230" s="20">
        <f t="shared" si="951"/>
        <v>-245.74099999999976</v>
      </c>
      <c r="X230" s="20">
        <f t="shared" ref="X230:AA230" si="952">X65*X$203</f>
        <v>-220.65899999999999</v>
      </c>
      <c r="Y230" s="20">
        <f t="shared" si="952"/>
        <v>-701.2</v>
      </c>
      <c r="Z230" s="20">
        <f t="shared" si="952"/>
        <v>-442.47999999999979</v>
      </c>
      <c r="AA230" s="20">
        <f t="shared" si="952"/>
        <v>-256.01</v>
      </c>
      <c r="AB230" s="20">
        <f t="shared" ref="AB230:AE230" si="953">AB65*AB$203</f>
        <v>-220.57300000000001</v>
      </c>
      <c r="AC230" s="20">
        <f t="shared" si="953"/>
        <v>-825.20500000000004</v>
      </c>
      <c r="AD230" s="20">
        <f t="shared" si="953"/>
        <v>-391.19099999999992</v>
      </c>
      <c r="AE230" s="20">
        <f t="shared" si="953"/>
        <v>-184.25499999999988</v>
      </c>
      <c r="AF230" s="20">
        <f t="shared" ref="AF230:AG230" si="954">AF65*AF$203</f>
        <v>-206.547</v>
      </c>
      <c r="AG230" s="20">
        <f t="shared" si="954"/>
        <v>-655.428</v>
      </c>
    </row>
    <row r="231" spans="2:33" ht="13.5" customHeight="1">
      <c r="B231" s="30" t="str">
        <f t="shared" si="931"/>
        <v>Cash interest paid</v>
      </c>
      <c r="C231" s="20">
        <f t="shared" si="932"/>
        <v>-163.54300000000001</v>
      </c>
      <c r="D231" s="20">
        <f t="shared" si="932"/>
        <v>-157.72</v>
      </c>
      <c r="E231" s="20">
        <f t="shared" si="932"/>
        <v>-143.05199999999999</v>
      </c>
      <c r="F231" s="20">
        <f t="shared" ref="F231:G231" si="955">F66*F$203</f>
        <v>-148.62100000000001</v>
      </c>
      <c r="G231" s="20">
        <f t="shared" si="955"/>
        <v>-136.60400000000001</v>
      </c>
      <c r="H231" s="20">
        <f t="shared" ref="H231:I231" si="956">H66*H$203</f>
        <v>-131.49799999999999</v>
      </c>
      <c r="I231" s="20">
        <f t="shared" si="956"/>
        <v>-152.79300000000001</v>
      </c>
      <c r="J231" s="20">
        <f>J66*J$203</f>
        <v>-155.727</v>
      </c>
      <c r="K231" s="185"/>
      <c r="L231" s="20">
        <f t="shared" si="935"/>
        <v>-11.277999999999999</v>
      </c>
      <c r="M231" s="20">
        <f t="shared" si="935"/>
        <v>-60.485999999999997</v>
      </c>
      <c r="N231" s="20">
        <f t="shared" si="935"/>
        <v>-13.103000000000002</v>
      </c>
      <c r="O231" s="20">
        <f t="shared" si="935"/>
        <v>-58.185000000000002</v>
      </c>
      <c r="P231" s="20">
        <f t="shared" ref="P231:S231" si="957">P66*P$203</f>
        <v>-9.9949999999999992</v>
      </c>
      <c r="Q231" s="20">
        <f t="shared" si="957"/>
        <v>-63.637000000000008</v>
      </c>
      <c r="R231" s="20">
        <f t="shared" si="957"/>
        <v>-9.8299999999999912</v>
      </c>
      <c r="S231" s="20">
        <f t="shared" si="957"/>
        <v>-65.15900000000002</v>
      </c>
      <c r="T231" s="20">
        <f t="shared" ref="T231:W231" si="958">T66*T$203</f>
        <v>-12.824</v>
      </c>
      <c r="U231" s="20">
        <f t="shared" si="958"/>
        <v>-57.438000000000002</v>
      </c>
      <c r="V231" s="20">
        <f t="shared" si="958"/>
        <v>-10.087000000000003</v>
      </c>
      <c r="W231" s="20">
        <f t="shared" si="958"/>
        <v>-56.25500000000001</v>
      </c>
      <c r="X231" s="20">
        <f t="shared" ref="X231:AA231" si="959">X66*X$203</f>
        <v>-11.430999999999999</v>
      </c>
      <c r="Y231" s="20">
        <f t="shared" si="959"/>
        <v>-58.266999999999996</v>
      </c>
      <c r="Z231" s="20">
        <f t="shared" si="959"/>
        <v>-10.469000000000008</v>
      </c>
      <c r="AA231" s="20">
        <f t="shared" si="959"/>
        <v>-51.330999999999989</v>
      </c>
      <c r="AB231" s="20">
        <f t="shared" ref="AB231:AE231" si="960">AB66*AB$203</f>
        <v>-14.256</v>
      </c>
      <c r="AC231" s="20">
        <f t="shared" si="960"/>
        <v>-60.103999999999999</v>
      </c>
      <c r="AD231" s="20">
        <f t="shared" si="960"/>
        <v>-15.882000000000005</v>
      </c>
      <c r="AE231" s="20">
        <f t="shared" si="960"/>
        <v>-62.551000000000002</v>
      </c>
      <c r="AF231" s="20">
        <f t="shared" ref="AF231:AG231" si="961">AF66*AF$203</f>
        <v>-15.339</v>
      </c>
      <c r="AG231" s="20">
        <f t="shared" si="961"/>
        <v>-61.954999999999998</v>
      </c>
    </row>
    <row r="232" spans="2:33" s="33" customFormat="1" ht="13.5" customHeight="1" thickBot="1">
      <c r="B232" s="40" t="str">
        <f t="shared" si="931"/>
        <v xml:space="preserve">Net cash from operations </v>
      </c>
      <c r="C232" s="39">
        <f t="shared" si="932"/>
        <v>3087.0189999999998</v>
      </c>
      <c r="D232" s="39">
        <f t="shared" si="932"/>
        <v>2287.9560000000001</v>
      </c>
      <c r="E232" s="39">
        <f t="shared" si="932"/>
        <v>3415.9189999999999</v>
      </c>
      <c r="F232" s="39">
        <f t="shared" ref="F232:G232" si="962">F67*F$203</f>
        <v>4481.576</v>
      </c>
      <c r="G232" s="39">
        <f t="shared" si="962"/>
        <v>3874.6170000000006</v>
      </c>
      <c r="H232" s="39">
        <f t="shared" ref="H232:I232" si="963">H67*H$203</f>
        <v>5128.0950000000003</v>
      </c>
      <c r="I232" s="39">
        <f t="shared" si="963"/>
        <v>3947.6209999999996</v>
      </c>
      <c r="J232" s="39">
        <f>J67*J$203</f>
        <v>4865.0309999999999</v>
      </c>
      <c r="K232" s="41"/>
      <c r="L232" s="39">
        <f t="shared" si="935"/>
        <v>808.62800000000004</v>
      </c>
      <c r="M232" s="39">
        <f t="shared" si="935"/>
        <v>593.29999999999984</v>
      </c>
      <c r="N232" s="39">
        <f t="shared" si="935"/>
        <v>868.77799999999957</v>
      </c>
      <c r="O232" s="39">
        <f t="shared" si="935"/>
        <v>1145.2130000000006</v>
      </c>
      <c r="P232" s="39">
        <f t="shared" ref="P232:S232" si="964">P67*P$203</f>
        <v>1237.2890000000002</v>
      </c>
      <c r="Q232" s="39">
        <f t="shared" si="964"/>
        <v>378.52599999999956</v>
      </c>
      <c r="R232" s="39">
        <f t="shared" si="964"/>
        <v>778.94599999999934</v>
      </c>
      <c r="S232" s="39">
        <f t="shared" si="964"/>
        <v>2086.815000000001</v>
      </c>
      <c r="T232" s="39">
        <f t="shared" ref="T232:W232" si="965">T67*T$203</f>
        <v>1322.9870000000001</v>
      </c>
      <c r="U232" s="39">
        <f t="shared" si="965"/>
        <v>201.15099999999961</v>
      </c>
      <c r="V232" s="39">
        <f t="shared" si="965"/>
        <v>561.29200000000003</v>
      </c>
      <c r="W232" s="39">
        <f t="shared" si="965"/>
        <v>1789.1870000000006</v>
      </c>
      <c r="X232" s="39">
        <f t="shared" ref="X232:AA232" si="966">X67*X$203</f>
        <v>1622.5349999999999</v>
      </c>
      <c r="Y232" s="39">
        <f t="shared" si="966"/>
        <v>1003.2259999999997</v>
      </c>
      <c r="Z232" s="39">
        <f t="shared" si="966"/>
        <v>1494.365</v>
      </c>
      <c r="AA232" s="39">
        <f t="shared" si="966"/>
        <v>1007.9690000000004</v>
      </c>
      <c r="AB232" s="39">
        <f t="shared" ref="AB232:AE232" si="967">AB67*AB$203</f>
        <v>1018.564</v>
      </c>
      <c r="AC232" s="39">
        <f t="shared" si="967"/>
        <v>730.14099999999974</v>
      </c>
      <c r="AD232" s="39">
        <f t="shared" si="967"/>
        <v>1284.5190000000007</v>
      </c>
      <c r="AE232" s="39">
        <f t="shared" si="967"/>
        <v>914.39699999999959</v>
      </c>
      <c r="AF232" s="39">
        <f t="shared" ref="AF232:AG232" si="968">AF67*AF$203</f>
        <v>1355.2549999999999</v>
      </c>
      <c r="AG232" s="39">
        <f t="shared" si="968"/>
        <v>1310.8600000000001</v>
      </c>
    </row>
    <row r="233" spans="2:33" ht="13.5" customHeight="1" thickTop="1">
      <c r="B233" s="30" t="str">
        <f t="shared" si="931"/>
        <v>Net Capex</v>
      </c>
      <c r="C233" s="42">
        <f t="shared" si="932"/>
        <v>-1182.3210000000001</v>
      </c>
      <c r="D233" s="42">
        <f t="shared" si="932"/>
        <v>-1186.7910000000002</v>
      </c>
      <c r="E233" s="42">
        <f t="shared" si="932"/>
        <v>-1643.748</v>
      </c>
      <c r="F233" s="42">
        <f t="shared" ref="F233:G233" si="969">F68*F$203</f>
        <v>-1860.578</v>
      </c>
      <c r="G233" s="42">
        <f t="shared" si="969"/>
        <v>-2365.4740000000002</v>
      </c>
      <c r="H233" s="42">
        <f t="shared" ref="H233:I233" si="970">H68*H$203</f>
        <v>-2966.2559999999999</v>
      </c>
      <c r="I233" s="42">
        <f t="shared" si="970"/>
        <v>-3589.884</v>
      </c>
      <c r="J233" s="42">
        <f>J68*J$203</f>
        <v>-4097.518</v>
      </c>
      <c r="K233" s="185"/>
      <c r="L233" s="42">
        <f t="shared" si="935"/>
        <v>-412.536</v>
      </c>
      <c r="M233" s="42">
        <f t="shared" si="935"/>
        <v>-304.18</v>
      </c>
      <c r="N233" s="42">
        <f t="shared" si="935"/>
        <v>-350.18199999999985</v>
      </c>
      <c r="O233" s="42">
        <f t="shared" si="935"/>
        <v>-576.85000000000014</v>
      </c>
      <c r="P233" s="42">
        <f t="shared" ref="P233:S233" si="971">P68*P$203</f>
        <v>-385.67599999999999</v>
      </c>
      <c r="Q233" s="42">
        <f t="shared" si="971"/>
        <v>-384.32900000000001</v>
      </c>
      <c r="R233" s="42">
        <f t="shared" si="971"/>
        <v>-505.11000000000007</v>
      </c>
      <c r="S233" s="42">
        <f t="shared" si="971"/>
        <v>-585.46299999999997</v>
      </c>
      <c r="T233" s="42">
        <f t="shared" ref="T233:W233" si="972">T68*T$203</f>
        <v>-654.85699999999997</v>
      </c>
      <c r="U233" s="42">
        <f t="shared" si="972"/>
        <v>-573.17700000000013</v>
      </c>
      <c r="V233" s="42">
        <f t="shared" si="972"/>
        <v>-546.6579999999999</v>
      </c>
      <c r="W233" s="42">
        <f t="shared" si="972"/>
        <v>-590.78200000000015</v>
      </c>
      <c r="X233" s="42">
        <f t="shared" ref="X233:AA233" si="973">X68*X$203</f>
        <v>-612.36599999999999</v>
      </c>
      <c r="Y233" s="42">
        <f t="shared" si="973"/>
        <v>-657.06799999999998</v>
      </c>
      <c r="Z233" s="42">
        <f t="shared" si="973"/>
        <v>-846.38600000000019</v>
      </c>
      <c r="AA233" s="42">
        <f t="shared" si="973"/>
        <v>-850.43599999999969</v>
      </c>
      <c r="AB233" s="42">
        <f t="shared" ref="AB233:AE233" si="974">AB68*AB$203</f>
        <v>-693.90899999999999</v>
      </c>
      <c r="AC233" s="42">
        <f t="shared" si="974"/>
        <v>-920.38300000000015</v>
      </c>
      <c r="AD233" s="42">
        <f t="shared" si="974"/>
        <v>-955.76999999999964</v>
      </c>
      <c r="AE233" s="42">
        <f t="shared" si="974"/>
        <v>-1019.8220000000001</v>
      </c>
      <c r="AF233" s="42">
        <f t="shared" ref="AF233:AG233" si="975">AF68*AF$203</f>
        <v>-1175.145</v>
      </c>
      <c r="AG233" s="42">
        <f t="shared" si="975"/>
        <v>-946.78099999999995</v>
      </c>
    </row>
    <row r="234" spans="2:33" ht="13.5" customHeight="1">
      <c r="B234" s="30" t="str">
        <f t="shared" si="931"/>
        <v>Purchase of intangible assets</v>
      </c>
      <c r="C234" s="42">
        <f t="shared" si="932"/>
        <v>-26.146999999999998</v>
      </c>
      <c r="D234" s="42">
        <f t="shared" si="932"/>
        <v>-28.466000000000001</v>
      </c>
      <c r="E234" s="42">
        <f t="shared" si="932"/>
        <v>-29.067</v>
      </c>
      <c r="F234" s="42">
        <f t="shared" ref="F234:G234" si="976">F69*F$203</f>
        <v>-31.077000000000002</v>
      </c>
      <c r="G234" s="42">
        <f t="shared" si="976"/>
        <v>-26.414000000000001</v>
      </c>
      <c r="H234" s="42">
        <f t="shared" ref="H234:I234" si="977">H69*H$203</f>
        <v>-53.45</v>
      </c>
      <c r="I234" s="42">
        <f t="shared" si="977"/>
        <v>-91.635999999999996</v>
      </c>
      <c r="J234" s="42">
        <f>J69*J$203</f>
        <v>-86.304999999999978</v>
      </c>
      <c r="K234" s="185"/>
      <c r="L234" s="42">
        <f t="shared" si="935"/>
        <v>-4.1369999999999996</v>
      </c>
      <c r="M234" s="42">
        <f t="shared" si="935"/>
        <v>-9.5489999999999995</v>
      </c>
      <c r="N234" s="42">
        <f t="shared" si="935"/>
        <v>-12.556999999999999</v>
      </c>
      <c r="O234" s="42">
        <f t="shared" si="935"/>
        <v>-2.8240000000000016</v>
      </c>
      <c r="P234" s="42">
        <f t="shared" ref="P234:S234" si="978">P69*P$203</f>
        <v>-8.4339999999999993</v>
      </c>
      <c r="Q234" s="42">
        <f t="shared" si="978"/>
        <v>-5.8330000000000002</v>
      </c>
      <c r="R234" s="42">
        <f t="shared" si="978"/>
        <v>-7.0459999999999994</v>
      </c>
      <c r="S234" s="42">
        <f t="shared" si="978"/>
        <v>-9.7640000000000029</v>
      </c>
      <c r="T234" s="42">
        <f t="shared" ref="T234:W234" si="979">T69*T$203</f>
        <v>-3.6379999999999999</v>
      </c>
      <c r="U234" s="42">
        <f t="shared" si="979"/>
        <v>-4.8810000000000002</v>
      </c>
      <c r="V234" s="42">
        <f t="shared" si="979"/>
        <v>-15.462999999999999</v>
      </c>
      <c r="W234" s="42">
        <f t="shared" si="979"/>
        <v>-2.4320000000000022</v>
      </c>
      <c r="X234" s="42">
        <f t="shared" ref="X234:AA234" si="980">X69*X$203</f>
        <v>-4.2670000000000003</v>
      </c>
      <c r="Y234" s="42">
        <f t="shared" si="980"/>
        <v>-4.8809999999999993</v>
      </c>
      <c r="Z234" s="42">
        <f t="shared" si="980"/>
        <v>-18.241</v>
      </c>
      <c r="AA234" s="42">
        <f t="shared" si="980"/>
        <v>-26.061000000000003</v>
      </c>
      <c r="AB234" s="42">
        <f t="shared" ref="AB234:AE234" si="981">AB69*AB$203</f>
        <v>-20.507000000000001</v>
      </c>
      <c r="AC234" s="42">
        <f t="shared" si="981"/>
        <v>-21.016000000000002</v>
      </c>
      <c r="AD234" s="42">
        <f t="shared" si="981"/>
        <v>-22.599999999999998</v>
      </c>
      <c r="AE234" s="42">
        <f t="shared" si="981"/>
        <v>-27.512999999999991</v>
      </c>
      <c r="AF234" s="42">
        <f t="shared" ref="AF234:AG234" si="982">AF69*AF$203</f>
        <v>-18.507999999999999</v>
      </c>
      <c r="AG234" s="42">
        <f t="shared" si="982"/>
        <v>-17.684000000000001</v>
      </c>
    </row>
    <row r="235" spans="2:33" ht="13.5" customHeight="1">
      <c r="B235" s="30" t="str">
        <f t="shared" si="931"/>
        <v>Disposals/ Acquistion, of subsidiaries, businesses</v>
      </c>
      <c r="C235" s="42">
        <f t="shared" si="932"/>
        <v>-2713.3</v>
      </c>
      <c r="D235" s="42">
        <f t="shared" si="932"/>
        <v>0</v>
      </c>
      <c r="E235" s="42">
        <f t="shared" si="932"/>
        <v>-2299.4920000000002</v>
      </c>
      <c r="F235" s="42">
        <f t="shared" ref="F235:G235" si="983">F70*F$203</f>
        <v>0</v>
      </c>
      <c r="G235" s="42">
        <f t="shared" si="983"/>
        <v>0</v>
      </c>
      <c r="H235" s="42">
        <f t="shared" ref="H235:I235" si="984">H70*H$203</f>
        <v>0</v>
      </c>
      <c r="I235" s="42">
        <f t="shared" si="984"/>
        <v>-475.00599999999997</v>
      </c>
      <c r="J235" s="42">
        <f>J70*J$203</f>
        <v>-475.00599999999997</v>
      </c>
      <c r="K235" s="185"/>
      <c r="L235" s="42">
        <f t="shared" si="935"/>
        <v>-2364</v>
      </c>
      <c r="M235" s="42">
        <f t="shared" si="935"/>
        <v>0</v>
      </c>
      <c r="N235" s="42">
        <f t="shared" si="935"/>
        <v>64.092000000000098</v>
      </c>
      <c r="O235" s="42">
        <f t="shared" si="935"/>
        <v>0.4159999999997126</v>
      </c>
      <c r="P235" s="42">
        <f t="shared" ref="P235:S235" si="985">P70*P$203</f>
        <v>0</v>
      </c>
      <c r="Q235" s="42">
        <f t="shared" si="985"/>
        <v>0</v>
      </c>
      <c r="R235" s="42">
        <f t="shared" si="985"/>
        <v>0</v>
      </c>
      <c r="S235" s="42">
        <f t="shared" si="985"/>
        <v>0</v>
      </c>
      <c r="T235" s="42">
        <f t="shared" ref="T235:W235" si="986">T70*T$203</f>
        <v>0</v>
      </c>
      <c r="U235" s="42">
        <f t="shared" si="986"/>
        <v>0</v>
      </c>
      <c r="V235" s="42">
        <f t="shared" si="986"/>
        <v>0</v>
      </c>
      <c r="W235" s="42">
        <f t="shared" si="986"/>
        <v>0</v>
      </c>
      <c r="X235" s="42">
        <f t="shared" ref="X235:AA235" si="987">X70*X$203</f>
        <v>0</v>
      </c>
      <c r="Y235" s="42">
        <f t="shared" si="987"/>
        <v>0</v>
      </c>
      <c r="Z235" s="42">
        <f t="shared" si="987"/>
        <v>0</v>
      </c>
      <c r="AA235" s="42">
        <f t="shared" si="987"/>
        <v>0</v>
      </c>
      <c r="AB235" s="42">
        <f t="shared" ref="AB235:AE235" si="988">AB70*AB$203</f>
        <v>0</v>
      </c>
      <c r="AC235" s="42">
        <f t="shared" si="988"/>
        <v>0</v>
      </c>
      <c r="AD235" s="42">
        <f t="shared" si="988"/>
        <v>-382.31700000000001</v>
      </c>
      <c r="AE235" s="42">
        <f t="shared" si="988"/>
        <v>-92.688999999999965</v>
      </c>
      <c r="AF235" s="42">
        <f t="shared" ref="AF235:AG235" si="989">AF70*AF$203</f>
        <v>0</v>
      </c>
      <c r="AG235" s="42">
        <f t="shared" si="989"/>
        <v>0</v>
      </c>
    </row>
    <row r="236" spans="2:33" s="33" customFormat="1" ht="13.5" customHeight="1" thickBot="1">
      <c r="B236" s="40" t="str">
        <f t="shared" si="931"/>
        <v xml:space="preserve">Free cash flow </v>
      </c>
      <c r="C236" s="39">
        <f t="shared" si="932"/>
        <v>-834.74900000000048</v>
      </c>
      <c r="D236" s="39">
        <f t="shared" si="932"/>
        <v>1072.6990000000001</v>
      </c>
      <c r="E236" s="39">
        <f t="shared" si="932"/>
        <v>-556.38800000000037</v>
      </c>
      <c r="F236" s="39">
        <f t="shared" ref="F236:G236" si="990">F71*F$203</f>
        <v>2589.9209999999998</v>
      </c>
      <c r="G236" s="39">
        <f t="shared" si="990"/>
        <v>1482.7290000000005</v>
      </c>
      <c r="H236" s="39">
        <f t="shared" ref="H236:I236" si="991">H71*H$203</f>
        <v>2108.3890000000006</v>
      </c>
      <c r="I236" s="39">
        <f t="shared" si="991"/>
        <v>-208.90500000000031</v>
      </c>
      <c r="J236" s="39">
        <f>J71*J$203</f>
        <v>206.202</v>
      </c>
      <c r="K236" s="41"/>
      <c r="L236" s="39">
        <f t="shared" si="935"/>
        <v>-1972.0450000000001</v>
      </c>
      <c r="M236" s="39">
        <f t="shared" si="935"/>
        <v>279.57099999999986</v>
      </c>
      <c r="N236" s="39">
        <f t="shared" si="935"/>
        <v>570.13099999999986</v>
      </c>
      <c r="O236" s="39">
        <f t="shared" si="935"/>
        <v>565.95500000000027</v>
      </c>
      <c r="P236" s="39">
        <f t="shared" ref="P236:S236" si="992">P71*P$203</f>
        <v>843.17900000000031</v>
      </c>
      <c r="Q236" s="39">
        <f t="shared" si="992"/>
        <v>-11.636000000000452</v>
      </c>
      <c r="R236" s="39">
        <f t="shared" si="992"/>
        <v>266.78999999999928</v>
      </c>
      <c r="S236" s="39">
        <f t="shared" si="992"/>
        <v>1491.5880000000011</v>
      </c>
      <c r="T236" s="39">
        <f t="shared" ref="T236:W236" si="993">T71*T$203</f>
        <v>664.49200000000008</v>
      </c>
      <c r="U236" s="39">
        <f t="shared" si="993"/>
        <v>-376.90700000000049</v>
      </c>
      <c r="V236" s="39">
        <f t="shared" si="993"/>
        <v>-0.82899999999987095</v>
      </c>
      <c r="W236" s="39">
        <f t="shared" si="993"/>
        <v>1195.9730000000004</v>
      </c>
      <c r="X236" s="39">
        <f t="shared" ref="X236:AA236" si="994">X71*X$203</f>
        <v>1005.9019999999998</v>
      </c>
      <c r="Y236" s="39">
        <f t="shared" si="994"/>
        <v>341.2769999999997</v>
      </c>
      <c r="Z236" s="39">
        <f t="shared" si="994"/>
        <v>629.73799999999983</v>
      </c>
      <c r="AA236" s="39">
        <f t="shared" si="994"/>
        <v>131.47200000000069</v>
      </c>
      <c r="AB236" s="39">
        <f t="shared" ref="AB236:AE236" si="995">AB71*AB$203</f>
        <v>304.14799999999997</v>
      </c>
      <c r="AC236" s="39">
        <f t="shared" si="995"/>
        <v>-211.25800000000041</v>
      </c>
      <c r="AD236" s="39">
        <f t="shared" si="995"/>
        <v>-76.167999999998983</v>
      </c>
      <c r="AE236" s="39">
        <f t="shared" si="995"/>
        <v>-225.62700000000046</v>
      </c>
      <c r="AF236" s="39">
        <f t="shared" ref="AF236:AG236" si="996">AF71*AF$203</f>
        <v>161.60199999999989</v>
      </c>
      <c r="AG236" s="39">
        <f t="shared" si="996"/>
        <v>346.39500000000015</v>
      </c>
    </row>
    <row r="237" spans="2:33" s="33" customFormat="1" ht="13.5" customHeight="1" thickTop="1">
      <c r="B237" s="30" t="str">
        <f t="shared" si="931"/>
        <v xml:space="preserve">Other Investing </v>
      </c>
      <c r="C237" s="42">
        <f t="shared" si="932"/>
        <v>578.13999999999987</v>
      </c>
      <c r="D237" s="42">
        <f t="shared" si="932"/>
        <v>143.64499999999998</v>
      </c>
      <c r="E237" s="42">
        <f t="shared" si="932"/>
        <v>118.94200000000046</v>
      </c>
      <c r="F237" s="42">
        <f t="shared" ref="F237:G237" si="997">F72*F$203</f>
        <v>212.05099999999993</v>
      </c>
      <c r="G237" s="42">
        <f t="shared" si="997"/>
        <v>21.184000000000196</v>
      </c>
      <c r="H237" s="42">
        <f t="shared" ref="H237:I237" si="998">H72*H$203</f>
        <v>-1246.3409999999999</v>
      </c>
      <c r="I237" s="42">
        <f t="shared" si="998"/>
        <v>-410.459</v>
      </c>
      <c r="J237" s="42">
        <f>J72*J$203</f>
        <v>-574.78400000000011</v>
      </c>
      <c r="K237" s="185"/>
      <c r="L237" s="42">
        <f t="shared" si="935"/>
        <v>8.6029999999996107</v>
      </c>
      <c r="M237" s="42">
        <f t="shared" si="935"/>
        <v>110.73300000000017</v>
      </c>
      <c r="N237" s="42">
        <f t="shared" si="935"/>
        <v>-27.530999999999949</v>
      </c>
      <c r="O237" s="42">
        <f t="shared" si="935"/>
        <v>27.137000000000626</v>
      </c>
      <c r="P237" s="42">
        <f t="shared" ref="P237:S237" si="999">P72*P$203</f>
        <v>3.0790000000000077</v>
      </c>
      <c r="Q237" s="42">
        <f t="shared" si="999"/>
        <v>175.30900000000003</v>
      </c>
      <c r="R237" s="42">
        <f t="shared" si="999"/>
        <v>21.326000000000022</v>
      </c>
      <c r="S237" s="42">
        <f t="shared" si="999"/>
        <v>12.336999999999875</v>
      </c>
      <c r="T237" s="42">
        <f t="shared" ref="T237:W237" si="1000">T72*T$203</f>
        <v>-54.212999999999965</v>
      </c>
      <c r="U237" s="42">
        <f t="shared" si="1000"/>
        <v>-145.61500000000001</v>
      </c>
      <c r="V237" s="42">
        <f t="shared" si="1000"/>
        <v>-27.828999999999951</v>
      </c>
      <c r="W237" s="42">
        <f t="shared" si="1000"/>
        <v>248.84100000000012</v>
      </c>
      <c r="X237" s="42">
        <f t="shared" ref="X237:AA237" si="1001">X72*X$203</f>
        <v>116.74000000000007</v>
      </c>
      <c r="Y237" s="42">
        <f t="shared" si="1001"/>
        <v>-1189.7539999999999</v>
      </c>
      <c r="Z237" s="42">
        <f t="shared" si="1001"/>
        <v>75.91199999999958</v>
      </c>
      <c r="AA237" s="42">
        <f t="shared" si="1001"/>
        <v>-249.23899999999958</v>
      </c>
      <c r="AB237" s="42">
        <f t="shared" ref="AB237:AE237" si="1002">AB72*AB$203</f>
        <v>-90.698000000000093</v>
      </c>
      <c r="AC237" s="42">
        <f t="shared" si="1002"/>
        <v>137.3760000000002</v>
      </c>
      <c r="AD237" s="42">
        <f t="shared" si="1002"/>
        <v>-228.45500000000015</v>
      </c>
      <c r="AE237" s="42">
        <f t="shared" si="1002"/>
        <v>-228.68199999999996</v>
      </c>
      <c r="AF237" s="42">
        <f t="shared" ref="AF237:AG237" si="1003">AF72*AF$203</f>
        <v>59.771000000000001</v>
      </c>
      <c r="AG237" s="42">
        <f t="shared" si="1003"/>
        <v>-177.41800000000001</v>
      </c>
    </row>
    <row r="238" spans="2:33" ht="13.5" customHeight="1">
      <c r="B238" s="30" t="str">
        <f t="shared" si="931"/>
        <v>Equity Issuance</v>
      </c>
      <c r="C238" s="42">
        <f t="shared" si="932"/>
        <v>0</v>
      </c>
      <c r="D238" s="42">
        <f t="shared" si="932"/>
        <v>0</v>
      </c>
      <c r="E238" s="42">
        <f t="shared" si="932"/>
        <v>0</v>
      </c>
      <c r="F238" s="42">
        <f t="shared" ref="F238:G238" si="1004">F73*F$203</f>
        <v>0</v>
      </c>
      <c r="G238" s="42">
        <f t="shared" si="1004"/>
        <v>0</v>
      </c>
      <c r="H238" s="42">
        <f t="shared" ref="H238:I238" si="1005">H73*H$203</f>
        <v>0</v>
      </c>
      <c r="I238" s="42">
        <f t="shared" si="1005"/>
        <v>0</v>
      </c>
      <c r="J238" s="42">
        <f>J73*J$203</f>
        <v>0.22500000000000001</v>
      </c>
      <c r="K238" s="185"/>
      <c r="L238" s="42">
        <f t="shared" si="935"/>
        <v>0</v>
      </c>
      <c r="M238" s="42">
        <f t="shared" si="935"/>
        <v>0</v>
      </c>
      <c r="N238" s="42">
        <f t="shared" si="935"/>
        <v>0</v>
      </c>
      <c r="O238" s="42">
        <f t="shared" si="935"/>
        <v>0</v>
      </c>
      <c r="P238" s="42">
        <f t="shared" ref="P238:S238" si="1006">P73*P$203</f>
        <v>0</v>
      </c>
      <c r="Q238" s="42">
        <f t="shared" si="1006"/>
        <v>0</v>
      </c>
      <c r="R238" s="42">
        <f t="shared" si="1006"/>
        <v>0</v>
      </c>
      <c r="S238" s="42">
        <f t="shared" si="1006"/>
        <v>0</v>
      </c>
      <c r="T238" s="42">
        <f t="shared" ref="T238:W238" si="1007">T73*T$203</f>
        <v>0</v>
      </c>
      <c r="U238" s="42">
        <f t="shared" si="1007"/>
        <v>0</v>
      </c>
      <c r="V238" s="42">
        <f t="shared" si="1007"/>
        <v>0</v>
      </c>
      <c r="W238" s="42">
        <f t="shared" si="1007"/>
        <v>0</v>
      </c>
      <c r="X238" s="42">
        <f t="shared" ref="X238:AA238" si="1008">X73*X$203</f>
        <v>0</v>
      </c>
      <c r="Y238" s="42">
        <f t="shared" si="1008"/>
        <v>0</v>
      </c>
      <c r="Z238" s="42">
        <f t="shared" si="1008"/>
        <v>0</v>
      </c>
      <c r="AA238" s="42">
        <f t="shared" si="1008"/>
        <v>0</v>
      </c>
      <c r="AB238" s="42">
        <f t="shared" ref="AB238:AE238" si="1009">AB73*AB$203</f>
        <v>0</v>
      </c>
      <c r="AC238" s="42">
        <f t="shared" si="1009"/>
        <v>0</v>
      </c>
      <c r="AD238" s="42">
        <f t="shared" si="1009"/>
        <v>0</v>
      </c>
      <c r="AE238" s="42">
        <f t="shared" si="1009"/>
        <v>0</v>
      </c>
      <c r="AF238" s="42">
        <f t="shared" ref="AF238:AG238" si="1010">AF73*AF$203</f>
        <v>0.22500000000000001</v>
      </c>
      <c r="AG238" s="42">
        <f t="shared" si="1010"/>
        <v>0</v>
      </c>
    </row>
    <row r="239" spans="2:33" ht="13.5" customHeight="1">
      <c r="B239" s="30" t="str">
        <f t="shared" si="931"/>
        <v>Dividends</v>
      </c>
      <c r="C239" s="42">
        <f t="shared" si="932"/>
        <v>-697.76</v>
      </c>
      <c r="D239" s="42">
        <f t="shared" si="932"/>
        <v>-671</v>
      </c>
      <c r="E239" s="42">
        <f t="shared" si="932"/>
        <v>-605.34100000000001</v>
      </c>
      <c r="F239" s="42">
        <f t="shared" ref="F239:G239" si="1011">F74*F$203</f>
        <v>-819.49199999999996</v>
      </c>
      <c r="G239" s="42">
        <f t="shared" si="1011"/>
        <v>-1098.7719999999999</v>
      </c>
      <c r="H239" s="42">
        <f t="shared" ref="H239:I239" si="1012">H74*H$203</f>
        <v>-1080.0239999999999</v>
      </c>
      <c r="I239" s="42">
        <f t="shared" si="1012"/>
        <v>-1108.4069999999999</v>
      </c>
      <c r="J239" s="42">
        <f>J74*J$203</f>
        <v>-1087.4549999999999</v>
      </c>
      <c r="K239" s="185"/>
      <c r="L239" s="42">
        <f t="shared" si="935"/>
        <v>0</v>
      </c>
      <c r="M239" s="42">
        <f t="shared" si="935"/>
        <v>-364.15300000000002</v>
      </c>
      <c r="N239" s="42">
        <f t="shared" si="935"/>
        <v>-241.18799999999999</v>
      </c>
      <c r="O239" s="42">
        <f t="shared" si="935"/>
        <v>0</v>
      </c>
      <c r="P239" s="42">
        <f t="shared" ref="P239:S239" si="1013">P74*P$203</f>
        <v>0</v>
      </c>
      <c r="Q239" s="42">
        <f t="shared" si="1013"/>
        <v>-361.31700000000001</v>
      </c>
      <c r="R239" s="42">
        <f t="shared" si="1013"/>
        <v>-458.17499999999995</v>
      </c>
      <c r="S239" s="42">
        <f t="shared" si="1013"/>
        <v>0</v>
      </c>
      <c r="T239" s="42">
        <f t="shared" ref="T239:W239" si="1014">T74*T$203</f>
        <v>0</v>
      </c>
      <c r="U239" s="42">
        <f t="shared" si="1014"/>
        <v>-603.71600000000001</v>
      </c>
      <c r="V239" s="42">
        <f t="shared" si="1014"/>
        <v>-495.05599999999993</v>
      </c>
      <c r="W239" s="42">
        <f t="shared" si="1014"/>
        <v>0</v>
      </c>
      <c r="X239" s="42">
        <f t="shared" ref="X239:AA239" si="1015">X74*X$203</f>
        <v>0</v>
      </c>
      <c r="Y239" s="42">
        <f t="shared" si="1015"/>
        <v>-585.64400000000001</v>
      </c>
      <c r="Z239" s="42">
        <f t="shared" si="1015"/>
        <v>-494.37999999999988</v>
      </c>
      <c r="AA239" s="42">
        <f t="shared" si="1015"/>
        <v>0</v>
      </c>
      <c r="AB239" s="42">
        <f t="shared" ref="AB239:AE239" si="1016">AB74*AB$203</f>
        <v>0</v>
      </c>
      <c r="AC239" s="42">
        <f t="shared" si="1016"/>
        <v>-603.01700000000005</v>
      </c>
      <c r="AD239" s="42">
        <f t="shared" si="1016"/>
        <v>-505.38999999999987</v>
      </c>
      <c r="AE239" s="42">
        <f t="shared" si="1016"/>
        <v>0</v>
      </c>
      <c r="AF239" s="42">
        <f t="shared" ref="AF239:AG239" si="1017">AF74*AF$203</f>
        <v>0</v>
      </c>
      <c r="AG239" s="42">
        <f t="shared" si="1017"/>
        <v>-582.06500000000005</v>
      </c>
    </row>
    <row r="240" spans="2:33" ht="13.5" customHeight="1">
      <c r="B240" s="30" t="str">
        <f t="shared" si="931"/>
        <v>Net Change in debt</v>
      </c>
      <c r="C240" s="42">
        <f t="shared" si="932"/>
        <v>313.97000000000025</v>
      </c>
      <c r="D240" s="42">
        <f t="shared" si="932"/>
        <v>-7.6569999999999787</v>
      </c>
      <c r="E240" s="42">
        <f t="shared" si="932"/>
        <v>51.478000000000009</v>
      </c>
      <c r="F240" s="42">
        <f t="shared" ref="F240:G240" si="1018">F75*F$203</f>
        <v>-986.64300000000003</v>
      </c>
      <c r="G240" s="42">
        <f t="shared" si="1018"/>
        <v>-289.45699999999999</v>
      </c>
      <c r="H240" s="42">
        <f t="shared" ref="H240:I240" si="1019">H75*H$203</f>
        <v>-317.71199999999999</v>
      </c>
      <c r="I240" s="42">
        <f t="shared" si="1019"/>
        <v>-396.94900000000001</v>
      </c>
      <c r="J240" s="42">
        <f>J75*J$203</f>
        <v>30.132999999999981</v>
      </c>
      <c r="K240" s="185"/>
      <c r="L240" s="42">
        <f t="shared" si="935"/>
        <v>-28.138000000000002</v>
      </c>
      <c r="M240" s="42">
        <f t="shared" si="935"/>
        <v>167.238</v>
      </c>
      <c r="N240" s="42">
        <f t="shared" si="935"/>
        <v>-227.26900000000001</v>
      </c>
      <c r="O240" s="42">
        <f t="shared" si="935"/>
        <v>139.64700000000002</v>
      </c>
      <c r="P240" s="42">
        <f t="shared" ref="P240:S240" si="1020">P75*P$203</f>
        <v>-36.036000000000001</v>
      </c>
      <c r="Q240" s="42">
        <f t="shared" si="1020"/>
        <v>-259.46800000000002</v>
      </c>
      <c r="R240" s="42">
        <f t="shared" si="1020"/>
        <v>105.99600000000004</v>
      </c>
      <c r="S240" s="42">
        <f t="shared" si="1020"/>
        <v>-797.13499999999999</v>
      </c>
      <c r="T240" s="42">
        <f t="shared" ref="T240:W240" si="1021">T75*T$203</f>
        <v>-55.593000000000004</v>
      </c>
      <c r="U240" s="42">
        <f t="shared" si="1021"/>
        <v>-105.831</v>
      </c>
      <c r="V240" s="42">
        <f t="shared" si="1021"/>
        <v>-64.911999999999992</v>
      </c>
      <c r="W240" s="42">
        <f t="shared" si="1021"/>
        <v>-63.120999999999981</v>
      </c>
      <c r="X240" s="42">
        <f t="shared" ref="X240:AA240" si="1022">X75*X$203</f>
        <v>-67.975999999999999</v>
      </c>
      <c r="Y240" s="42">
        <f t="shared" si="1022"/>
        <v>-67.442999999999984</v>
      </c>
      <c r="Z240" s="42">
        <f t="shared" si="1022"/>
        <v>-83.998000000000019</v>
      </c>
      <c r="AA240" s="42">
        <f t="shared" si="1022"/>
        <v>-98.294999999999987</v>
      </c>
      <c r="AB240" s="42">
        <f t="shared" ref="AB240:AE240" si="1023">AB75*AB$203</f>
        <v>-84.444000000000003</v>
      </c>
      <c r="AC240" s="42">
        <f t="shared" si="1023"/>
        <v>-96.858999999999995</v>
      </c>
      <c r="AD240" s="42">
        <f t="shared" si="1023"/>
        <v>-104.25699999999999</v>
      </c>
      <c r="AE240" s="42">
        <f t="shared" si="1023"/>
        <v>-111.38900000000001</v>
      </c>
      <c r="AF240" s="42">
        <f t="shared" ref="AF240:AG240" si="1024">AF75*AF$203</f>
        <v>-110.848</v>
      </c>
      <c r="AG240" s="42">
        <f t="shared" si="1024"/>
        <v>356.62700000000001</v>
      </c>
    </row>
    <row r="241" spans="2:33" ht="13.5" customHeight="1">
      <c r="B241" s="30" t="str">
        <f t="shared" si="931"/>
        <v>Other financing activities</v>
      </c>
      <c r="C241" s="42">
        <f t="shared" si="932"/>
        <v>-6.2600000000002183</v>
      </c>
      <c r="D241" s="42">
        <f t="shared" si="932"/>
        <v>-9.9450000000000784</v>
      </c>
      <c r="E241" s="42">
        <f t="shared" si="932"/>
        <v>1.5560000000000116</v>
      </c>
      <c r="F241" s="42">
        <f t="shared" ref="F241:G241" si="1025">F76*F$203</f>
        <v>-44.924000000000063</v>
      </c>
      <c r="G241" s="42">
        <f t="shared" si="1025"/>
        <v>3.496</v>
      </c>
      <c r="H241" s="42">
        <f t="shared" ref="H241:I241" si="1026">H76*H$203</f>
        <v>4.7359999999999998</v>
      </c>
      <c r="I241" s="42">
        <f t="shared" si="1026"/>
        <v>0</v>
      </c>
      <c r="J241" s="42">
        <f>J76*J$203</f>
        <v>-0.45500000000000002</v>
      </c>
      <c r="K241" s="185"/>
      <c r="L241" s="42">
        <f t="shared" si="935"/>
        <v>0</v>
      </c>
      <c r="M241" s="42">
        <f t="shared" si="935"/>
        <v>0</v>
      </c>
      <c r="N241" s="42">
        <f t="shared" si="935"/>
        <v>0</v>
      </c>
      <c r="O241" s="42">
        <f t="shared" si="935"/>
        <v>1.5560000000000116</v>
      </c>
      <c r="P241" s="42">
        <f t="shared" ref="P241:S241" si="1027">P76*P$203</f>
        <v>0</v>
      </c>
      <c r="Q241" s="42">
        <f t="shared" si="1027"/>
        <v>-45.486999999999973</v>
      </c>
      <c r="R241" s="42">
        <f t="shared" si="1027"/>
        <v>-142.59000000000009</v>
      </c>
      <c r="S241" s="42">
        <f t="shared" si="1027"/>
        <v>143.15299999999999</v>
      </c>
      <c r="T241" s="42">
        <f t="shared" ref="T241:W241" si="1028">T76*T$203</f>
        <v>0</v>
      </c>
      <c r="U241" s="42">
        <f t="shared" si="1028"/>
        <v>2.5220000000000358</v>
      </c>
      <c r="V241" s="42">
        <f t="shared" si="1028"/>
        <v>-2.0000000000095497E-3</v>
      </c>
      <c r="W241" s="42">
        <f t="shared" si="1028"/>
        <v>0.97599999999997378</v>
      </c>
      <c r="X241" s="42">
        <f t="shared" ref="X241:AA241" si="1029">X76*X$203</f>
        <v>2.742</v>
      </c>
      <c r="Y241" s="42">
        <f t="shared" si="1029"/>
        <v>-2.742</v>
      </c>
      <c r="Z241" s="42">
        <f t="shared" si="1029"/>
        <v>4.3409999999999087</v>
      </c>
      <c r="AA241" s="42">
        <f t="shared" si="1029"/>
        <v>0.39500000000009106</v>
      </c>
      <c r="AB241" s="42">
        <f t="shared" ref="AB241:AE241" si="1030">AB76*AB$203</f>
        <v>0</v>
      </c>
      <c r="AC241" s="42">
        <f t="shared" si="1030"/>
        <v>0</v>
      </c>
      <c r="AD241" s="42">
        <f t="shared" si="1030"/>
        <v>-2.4158453015843406E-13</v>
      </c>
      <c r="AE241" s="42">
        <f t="shared" si="1030"/>
        <v>2.4158453015843406E-13</v>
      </c>
      <c r="AF241" s="42">
        <f t="shared" ref="AF241:AG241" si="1031">AF76*AF$203</f>
        <v>0</v>
      </c>
      <c r="AG241" s="42">
        <f t="shared" si="1031"/>
        <v>-0.45500000000000002</v>
      </c>
    </row>
    <row r="242" spans="2:33" s="33" customFormat="1" ht="13.5" customHeight="1" thickBot="1">
      <c r="B242" s="40" t="str">
        <f t="shared" si="931"/>
        <v>Cash flow after financing activities</v>
      </c>
      <c r="C242" s="39">
        <f t="shared" si="932"/>
        <v>-646.65900000000056</v>
      </c>
      <c r="D242" s="39">
        <f t="shared" si="932"/>
        <v>527.74200000000008</v>
      </c>
      <c r="E242" s="39">
        <f t="shared" si="932"/>
        <v>-989.7529999999997</v>
      </c>
      <c r="F242" s="39">
        <f t="shared" ref="F242:G242" si="1032">F77*F$203</f>
        <v>950.91299999999967</v>
      </c>
      <c r="G242" s="39">
        <f t="shared" si="1032"/>
        <v>119.18000000000076</v>
      </c>
      <c r="H242" s="39">
        <f t="shared" ref="H242:I242" si="1033">H77*H$203</f>
        <v>-530.9519999999992</v>
      </c>
      <c r="I242" s="39">
        <f t="shared" si="1033"/>
        <v>-2124.7200000000003</v>
      </c>
      <c r="J242" s="39">
        <f>J77*J$203</f>
        <v>-1426.1339999999998</v>
      </c>
      <c r="K242" s="41"/>
      <c r="L242" s="39">
        <f t="shared" si="935"/>
        <v>-1991.5800000000004</v>
      </c>
      <c r="M242" s="39">
        <f t="shared" si="935"/>
        <v>193.38900000000001</v>
      </c>
      <c r="N242" s="39">
        <f t="shared" si="935"/>
        <v>74.142999999999915</v>
      </c>
      <c r="O242" s="39">
        <f t="shared" si="935"/>
        <v>734.29500000000098</v>
      </c>
      <c r="P242" s="39">
        <f t="shared" ref="P242:S242" si="1034">P77*P$203</f>
        <v>810.22200000000021</v>
      </c>
      <c r="Q242" s="39">
        <f t="shared" si="1034"/>
        <v>-502.59900000000039</v>
      </c>
      <c r="R242" s="39">
        <f t="shared" si="1034"/>
        <v>-206.6530000000007</v>
      </c>
      <c r="S242" s="39">
        <f t="shared" si="1034"/>
        <v>849.94300000000112</v>
      </c>
      <c r="T242" s="39">
        <f t="shared" ref="T242:W242" si="1035">T77*T$203</f>
        <v>554.68600000000015</v>
      </c>
      <c r="U242" s="39">
        <f t="shared" si="1035"/>
        <v>-1229.5470000000005</v>
      </c>
      <c r="V242" s="39">
        <f t="shared" si="1035"/>
        <v>-588.6279999999997</v>
      </c>
      <c r="W242" s="39">
        <f t="shared" si="1035"/>
        <v>1382.6690000000006</v>
      </c>
      <c r="X242" s="39">
        <f t="shared" ref="X242:AA242" si="1036">X77*X$203</f>
        <v>1057.4079999999997</v>
      </c>
      <c r="Y242" s="39">
        <f t="shared" si="1036"/>
        <v>-1504.306</v>
      </c>
      <c r="Z242" s="39">
        <f t="shared" si="1036"/>
        <v>131.61299999999943</v>
      </c>
      <c r="AA242" s="39">
        <f t="shared" si="1036"/>
        <v>-215.66699999999878</v>
      </c>
      <c r="AB242" s="39">
        <f t="shared" ref="AB242:AE242" si="1037">AB77*AB$203</f>
        <v>129.00599999999986</v>
      </c>
      <c r="AC242" s="39">
        <f t="shared" si="1037"/>
        <v>-773.75800000000027</v>
      </c>
      <c r="AD242" s="39">
        <f t="shared" si="1037"/>
        <v>-914.26999999999919</v>
      </c>
      <c r="AE242" s="39">
        <f t="shared" si="1037"/>
        <v>-565.69800000000021</v>
      </c>
      <c r="AF242" s="39">
        <f t="shared" ref="AF242:AG242" si="1038">AF77*AF$203</f>
        <v>110.74999999999987</v>
      </c>
      <c r="AG242" s="39">
        <f t="shared" si="1038"/>
        <v>-56.915999999999897</v>
      </c>
    </row>
    <row r="243" spans="2:33" s="33" customFormat="1" ht="13.5" customHeight="1" thickTop="1">
      <c r="B243" s="30" t="str">
        <f t="shared" si="931"/>
        <v>Balancing figure</v>
      </c>
      <c r="C243" s="42">
        <f t="shared" si="932"/>
        <v>269.04400000000055</v>
      </c>
      <c r="D243" s="42">
        <f t="shared" si="932"/>
        <v>325.82399999999996</v>
      </c>
      <c r="E243" s="42">
        <f t="shared" si="932"/>
        <v>-130.66300000000024</v>
      </c>
      <c r="F243" s="42">
        <f t="shared" ref="F243:G243" si="1039">F78*F$203</f>
        <v>42.005000000000337</v>
      </c>
      <c r="G243" s="42">
        <f t="shared" si="1039"/>
        <v>350.68799999999925</v>
      </c>
      <c r="H243" s="42">
        <f t="shared" ref="H243:I243" si="1040">H78*H$203</f>
        <v>461.9759999999992</v>
      </c>
      <c r="I243" s="42">
        <f t="shared" si="1040"/>
        <v>471.68000000000029</v>
      </c>
      <c r="J243" s="42">
        <f>J78*J$203</f>
        <v>447.37099999999987</v>
      </c>
      <c r="K243" s="185"/>
      <c r="L243" s="42">
        <f t="shared" si="935"/>
        <v>-3.2729999999996835</v>
      </c>
      <c r="M243" s="42">
        <f t="shared" si="935"/>
        <v>-35.920999999999822</v>
      </c>
      <c r="N243" s="42">
        <f t="shared" si="935"/>
        <v>90.186999999999898</v>
      </c>
      <c r="O243" s="42">
        <f t="shared" si="935"/>
        <v>-181.65600000000063</v>
      </c>
      <c r="P243" s="42">
        <f t="shared" ref="P243:S243" si="1041">P78*P$203</f>
        <v>-23.548000000000229</v>
      </c>
      <c r="Q243" s="42">
        <f t="shared" si="1041"/>
        <v>0.74900000000047839</v>
      </c>
      <c r="R243" s="42">
        <f t="shared" si="1041"/>
        <v>852.48000000000047</v>
      </c>
      <c r="S243" s="42">
        <f t="shared" si="1041"/>
        <v>-787.67600000000039</v>
      </c>
      <c r="T243" s="42">
        <f t="shared" ref="T243:W243" si="1042">T78*T$203</f>
        <v>136.56899999999985</v>
      </c>
      <c r="U243" s="42">
        <f t="shared" si="1042"/>
        <v>68.590000000000487</v>
      </c>
      <c r="V243" s="42">
        <f t="shared" si="1042"/>
        <v>578.10299999999984</v>
      </c>
      <c r="W243" s="42">
        <f t="shared" si="1042"/>
        <v>-432.57400000000092</v>
      </c>
      <c r="X243" s="42">
        <f t="shared" ref="X243:AA243" si="1043">X78*X$203</f>
        <v>106.79700000000025</v>
      </c>
      <c r="Y243" s="42">
        <f t="shared" si="1043"/>
        <v>103.69200000000001</v>
      </c>
      <c r="Z243" s="42">
        <f t="shared" si="1043"/>
        <v>153.25000000000068</v>
      </c>
      <c r="AA243" s="42">
        <f t="shared" si="1043"/>
        <v>98.236999999998261</v>
      </c>
      <c r="AB243" s="42">
        <f t="shared" ref="AB243:AE243" si="1044">AB78*AB$203</f>
        <v>76.54500000000013</v>
      </c>
      <c r="AC243" s="42">
        <f t="shared" si="1044"/>
        <v>96.149000000000285</v>
      </c>
      <c r="AD243" s="42">
        <f t="shared" si="1044"/>
        <v>-6.5730000000008886</v>
      </c>
      <c r="AE243" s="42">
        <f t="shared" si="1044"/>
        <v>305.55900000000076</v>
      </c>
      <c r="AF243" s="42">
        <f t="shared" ref="AF243:AG243" si="1045">AF78*AF$203</f>
        <v>50.901000000000138</v>
      </c>
      <c r="AG243" s="42">
        <f t="shared" si="1045"/>
        <v>97.483999999999853</v>
      </c>
    </row>
    <row r="244" spans="2:33" ht="13.5" customHeight="1">
      <c r="B244" s="30" t="str">
        <f t="shared" si="931"/>
        <v xml:space="preserve">FX </v>
      </c>
      <c r="C244" s="42">
        <f t="shared" si="932"/>
        <v>20.417000000000002</v>
      </c>
      <c r="D244" s="42">
        <f t="shared" si="932"/>
        <v>27.54</v>
      </c>
      <c r="E244" s="42">
        <f t="shared" si="932"/>
        <v>-24.398</v>
      </c>
      <c r="F244" s="42">
        <f t="shared" ref="F244:G244" si="1046">F79*F$203</f>
        <v>-12.887</v>
      </c>
      <c r="G244" s="42">
        <f t="shared" si="1046"/>
        <v>9.8710000000000004</v>
      </c>
      <c r="H244" s="42">
        <f t="shared" ref="H244:I244" si="1047">H79*H$203</f>
        <v>-11.82</v>
      </c>
      <c r="I244" s="42">
        <f t="shared" si="1047"/>
        <v>28.669</v>
      </c>
      <c r="J244" s="42">
        <f>J79*J$203</f>
        <v>-6.0330000000000013</v>
      </c>
      <c r="K244" s="185"/>
      <c r="L244" s="42">
        <f t="shared" si="935"/>
        <v>-13.721</v>
      </c>
      <c r="M244" s="42">
        <f t="shared" si="935"/>
        <v>-2.9190000000000005</v>
      </c>
      <c r="N244" s="42">
        <f t="shared" si="935"/>
        <v>-14.210999999999999</v>
      </c>
      <c r="O244" s="42">
        <f t="shared" si="935"/>
        <v>6.4529999999999994</v>
      </c>
      <c r="P244" s="42">
        <f t="shared" ref="P244:S244" si="1048">P79*P$203</f>
        <v>0.13900000000000001</v>
      </c>
      <c r="Q244" s="42">
        <f t="shared" si="1048"/>
        <v>-37.763000000000005</v>
      </c>
      <c r="R244" s="42">
        <f t="shared" si="1048"/>
        <v>-16.159999999999997</v>
      </c>
      <c r="S244" s="42">
        <f t="shared" si="1048"/>
        <v>40.896999999999998</v>
      </c>
      <c r="T244" s="42">
        <f t="shared" ref="T244:W244" si="1049">T79*T$203</f>
        <v>11.116</v>
      </c>
      <c r="U244" s="42">
        <f t="shared" si="1049"/>
        <v>-16.003</v>
      </c>
      <c r="V244" s="42">
        <f t="shared" si="1049"/>
        <v>-17.938000000000002</v>
      </c>
      <c r="W244" s="42">
        <f t="shared" si="1049"/>
        <v>32.696000000000005</v>
      </c>
      <c r="X244" s="42">
        <f t="shared" ref="X244:AA244" si="1050">X79*X$203</f>
        <v>-28.841000000000001</v>
      </c>
      <c r="Y244" s="42">
        <f t="shared" si="1050"/>
        <v>-2.4879999999999995</v>
      </c>
      <c r="Z244" s="42">
        <f t="shared" si="1050"/>
        <v>33.56</v>
      </c>
      <c r="AA244" s="42">
        <f t="shared" si="1050"/>
        <v>-14.051000000000002</v>
      </c>
      <c r="AB244" s="42">
        <f t="shared" ref="AB244:AE244" si="1051">AB79*AB$203</f>
        <v>-4.8000000000000001E-2</v>
      </c>
      <c r="AC244" s="42">
        <f t="shared" si="1051"/>
        <v>16.827999999999999</v>
      </c>
      <c r="AD244" s="42">
        <f t="shared" si="1051"/>
        <v>3.5019999999999989</v>
      </c>
      <c r="AE244" s="42">
        <f t="shared" si="1051"/>
        <v>8.3870000000000005</v>
      </c>
      <c r="AF244" s="42">
        <f t="shared" ref="AF244:AG244" si="1052">AF79*AF$203</f>
        <v>-15.085000000000001</v>
      </c>
      <c r="AG244" s="42">
        <f t="shared" si="1052"/>
        <v>-2.8369999999999997</v>
      </c>
    </row>
    <row r="245" spans="2:33" s="33" customFormat="1" ht="13.5" customHeight="1" thickBot="1">
      <c r="B245" s="40" t="str">
        <f t="shared" si="931"/>
        <v xml:space="preserve">Net change in cash </v>
      </c>
      <c r="C245" s="39">
        <f t="shared" si="932"/>
        <v>-357.19799999999998</v>
      </c>
      <c r="D245" s="39">
        <f t="shared" si="932"/>
        <v>881.10599999999999</v>
      </c>
      <c r="E245" s="39">
        <f t="shared" si="932"/>
        <v>-1144.8139999999999</v>
      </c>
      <c r="F245" s="39">
        <f t="shared" ref="F245:G245" si="1053">F80*F$203</f>
        <v>980.03099999999995</v>
      </c>
      <c r="G245" s="39">
        <f t="shared" si="1053"/>
        <v>479.73899999999998</v>
      </c>
      <c r="H245" s="39">
        <f t="shared" ref="H245:I245" si="1054">H80*H$203</f>
        <v>-80.795999999999992</v>
      </c>
      <c r="I245" s="39">
        <f t="shared" si="1054"/>
        <v>-1624.3709999999999</v>
      </c>
      <c r="J245" s="39">
        <f>J80*J$203</f>
        <v>-984.79599999999994</v>
      </c>
      <c r="K245" s="41"/>
      <c r="L245" s="39">
        <f t="shared" si="935"/>
        <v>-2008.5740000000001</v>
      </c>
      <c r="M245" s="39">
        <f t="shared" si="935"/>
        <v>154.54900000000018</v>
      </c>
      <c r="N245" s="39">
        <f t="shared" si="935"/>
        <v>150.1189999999998</v>
      </c>
      <c r="O245" s="39">
        <f t="shared" si="935"/>
        <v>559.09200000000033</v>
      </c>
      <c r="P245" s="39">
        <f t="shared" ref="P245:S245" si="1055">P80*P$203</f>
        <v>786.81299999999999</v>
      </c>
      <c r="Q245" s="39">
        <f t="shared" si="1055"/>
        <v>-539.61299999999994</v>
      </c>
      <c r="R245" s="39">
        <f t="shared" si="1055"/>
        <v>629.6669999999998</v>
      </c>
      <c r="S245" s="39">
        <f t="shared" si="1055"/>
        <v>103.16400000000073</v>
      </c>
      <c r="T245" s="39">
        <f t="shared" ref="T245:W245" si="1056">T80*T$203</f>
        <v>702.37099999999998</v>
      </c>
      <c r="U245" s="39">
        <f t="shared" si="1056"/>
        <v>-1176.9599999999998</v>
      </c>
      <c r="V245" s="39">
        <f t="shared" si="1056"/>
        <v>-28.462999999999866</v>
      </c>
      <c r="W245" s="39">
        <f t="shared" si="1056"/>
        <v>982.7909999999996</v>
      </c>
      <c r="X245" s="39">
        <f t="shared" ref="X245:AA245" si="1057">X80*X$203</f>
        <v>1135.364</v>
      </c>
      <c r="Y245" s="39">
        <f t="shared" si="1057"/>
        <v>-1403.1020000000001</v>
      </c>
      <c r="Z245" s="39">
        <f t="shared" si="1057"/>
        <v>318.42300000000012</v>
      </c>
      <c r="AA245" s="39">
        <f t="shared" si="1057"/>
        <v>-131.48100000000051</v>
      </c>
      <c r="AB245" s="39">
        <f t="shared" ref="AB245:AE245" si="1058">AB80*AB$203</f>
        <v>205.50299999999999</v>
      </c>
      <c r="AC245" s="39">
        <f t="shared" si="1058"/>
        <v>-660.78099999999995</v>
      </c>
      <c r="AD245" s="39">
        <f t="shared" si="1058"/>
        <v>-917.34100000000012</v>
      </c>
      <c r="AE245" s="39">
        <f t="shared" si="1058"/>
        <v>-251.75199999999944</v>
      </c>
      <c r="AF245" s="39">
        <f t="shared" ref="AF245:AG245" si="1059">AF80*AF$203</f>
        <v>146.566</v>
      </c>
      <c r="AG245" s="39">
        <f t="shared" si="1059"/>
        <v>37.730999999999952</v>
      </c>
    </row>
    <row r="246" spans="2:33" ht="13.5" customHeight="1" thickTop="1"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</row>
    <row r="247" spans="2:33" s="33" customFormat="1" ht="13.5" customHeight="1">
      <c r="B247" s="33" t="str">
        <f>+B118</f>
        <v>Total debt</v>
      </c>
      <c r="C247" s="41">
        <f t="shared" ref="C247:G247" si="1060">C118*C$204</f>
        <v>3441.7020000000002</v>
      </c>
      <c r="D247" s="41">
        <f t="shared" si="1060"/>
        <v>3932.0610000000001</v>
      </c>
      <c r="E247" s="41">
        <f t="shared" si="1060"/>
        <v>4093.7150000000006</v>
      </c>
      <c r="F247" s="41">
        <f t="shared" si="1060"/>
        <v>3833.0219999999999</v>
      </c>
      <c r="G247" s="41">
        <f t="shared" si="1060"/>
        <v>3653.6260000000002</v>
      </c>
      <c r="H247" s="41">
        <f t="shared" ref="H247:I247" si="1061">H118*H$204</f>
        <v>3761.181</v>
      </c>
      <c r="I247" s="41">
        <f t="shared" si="1061"/>
        <v>4014.0469999999996</v>
      </c>
      <c r="J247" s="41">
        <f>J118*J$204</f>
        <v>4353.3369999999995</v>
      </c>
      <c r="K247" s="41"/>
      <c r="L247" s="41">
        <f>L118*L$204</f>
        <v>3894.7400000000002</v>
      </c>
      <c r="M247" s="41">
        <f>M118*M$204</f>
        <v>3931.0179999999996</v>
      </c>
      <c r="N247" s="41">
        <f>N118*N$204</f>
        <v>3887.6109999999994</v>
      </c>
      <c r="O247" s="41">
        <f>O118*O$204</f>
        <v>4093.7150000000006</v>
      </c>
      <c r="P247" s="41">
        <f t="shared" ref="P247:R247" si="1062">P118*P$204</f>
        <v>4094.835</v>
      </c>
      <c r="Q247" s="41">
        <f t="shared" si="1062"/>
        <v>4243.0429999999997</v>
      </c>
      <c r="R247" s="41">
        <f t="shared" si="1062"/>
        <v>4273.7109999999993</v>
      </c>
      <c r="S247" s="41">
        <f>S118*S$204</f>
        <v>3833.0219999999999</v>
      </c>
      <c r="T247" s="41">
        <f>T118*T$204</f>
        <v>3849.1210000000001</v>
      </c>
      <c r="U247" s="41">
        <f t="shared" ref="U247:V247" si="1063">U118*U$204</f>
        <v>3660.8689999999997</v>
      </c>
      <c r="V247" s="41">
        <f t="shared" si="1063"/>
        <v>3601.2139999999999</v>
      </c>
      <c r="W247" s="41">
        <f>W118*W$204</f>
        <v>3653.6260000000002</v>
      </c>
      <c r="X247" s="41">
        <f>X118*X$204</f>
        <v>3685.384</v>
      </c>
      <c r="Y247" s="41">
        <f t="shared" ref="Y247:Z247" si="1064">Y118*Y$204</f>
        <v>3633.4609999999998</v>
      </c>
      <c r="Z247" s="41">
        <f t="shared" si="1064"/>
        <v>3779.8179999999998</v>
      </c>
      <c r="AA247" s="41">
        <f>AA118*AA$204</f>
        <v>3761.181</v>
      </c>
      <c r="AB247" s="41">
        <f>AB118*AB$204</f>
        <v>3882.518</v>
      </c>
      <c r="AC247" s="41">
        <f t="shared" ref="AC247:AD247" si="1065">AC118*AC$204</f>
        <v>3882.7359999999999</v>
      </c>
      <c r="AD247" s="41">
        <f t="shared" si="1065"/>
        <v>3975.3450000000003</v>
      </c>
      <c r="AE247" s="41">
        <f>AE118*AE$204</f>
        <v>4014.0469999999996</v>
      </c>
      <c r="AF247" s="41">
        <f>AF118*AF$204</f>
        <v>3943.0440000000003</v>
      </c>
      <c r="AG247" s="41">
        <f t="shared" ref="AG247" si="1066">AG118*AG$204</f>
        <v>4353.3369999999995</v>
      </c>
    </row>
    <row r="248" spans="2:33" ht="13.5" customHeight="1">
      <c r="B248" s="30" t="str">
        <f>+B119</f>
        <v>Cash and cash equivalents</v>
      </c>
      <c r="C248" s="38">
        <f t="shared" ref="C248:D248" si="1067">(C119+C120)*C$204</f>
        <v>3022.8969999999999</v>
      </c>
      <c r="D248" s="38">
        <f t="shared" si="1067"/>
        <v>3804.0030000000002</v>
      </c>
      <c r="E248" s="38">
        <f>(E119+E120)*E$204</f>
        <v>2559.1889999999999</v>
      </c>
      <c r="F248" s="38">
        <f>(F119+F120)*F$204</f>
        <v>3539.22</v>
      </c>
      <c r="G248" s="38">
        <f>(G119+G120)*G$204</f>
        <v>4218.9589999999998</v>
      </c>
      <c r="H248" s="38">
        <f>(H119+H120)*H$204</f>
        <v>4229.1859999999997</v>
      </c>
      <c r="I248" s="38">
        <f>(I119+I120)*I$204</f>
        <v>2435.6309999999999</v>
      </c>
      <c r="J248" s="38">
        <f>(J119+J120)*J$204</f>
        <v>2596.902</v>
      </c>
      <c r="K248" s="38"/>
      <c r="L248" s="38">
        <f>(L119+L120)*L$204</f>
        <v>1695.4290000000001</v>
      </c>
      <c r="M248" s="38">
        <f>(M119+M120)*M$204</f>
        <v>1849.9780000000001</v>
      </c>
      <c r="N248" s="38">
        <f>(N119+N120)*N$204</f>
        <v>2000.097</v>
      </c>
      <c r="O248" s="38">
        <f>(O119+O120)*O$204</f>
        <v>2559.1889999999999</v>
      </c>
      <c r="P248" s="38">
        <f t="shared" ref="P248:R248" si="1068">(P119+P120)*P$204</f>
        <v>3346.002</v>
      </c>
      <c r="Q248" s="38">
        <f t="shared" si="1068"/>
        <v>2806.3890000000001</v>
      </c>
      <c r="R248" s="38">
        <f t="shared" si="1068"/>
        <v>3436.056</v>
      </c>
      <c r="S248" s="38">
        <f>(S119+S120)*S$204</f>
        <v>3539.22</v>
      </c>
      <c r="T248" s="38">
        <f>(T119+T120)*T$204</f>
        <v>4302.6790000000001</v>
      </c>
      <c r="U248" s="38">
        <f t="shared" ref="U248:V248" si="1069">(U119+U120)*U$204</f>
        <v>3064.6309999999999</v>
      </c>
      <c r="V248" s="38">
        <f t="shared" si="1069"/>
        <v>3294.79</v>
      </c>
      <c r="W248" s="38">
        <f>(W119+W120)*W$204</f>
        <v>4218.9589999999998</v>
      </c>
      <c r="X248" s="38">
        <f>(X119+X120)*X$204</f>
        <v>5244.6109999999999</v>
      </c>
      <c r="Y248" s="38">
        <f t="shared" ref="Y248:Z248" si="1070">(Y119+Y120)*Y$204</f>
        <v>3831.509</v>
      </c>
      <c r="Z248" s="38">
        <f t="shared" si="1070"/>
        <v>4120.4960000000001</v>
      </c>
      <c r="AA248" s="38">
        <f>(AA119+AA120)*AA$204</f>
        <v>4229.1859999999997</v>
      </c>
      <c r="AB248" s="38">
        <f>(AB119+AB120)*AB$204</f>
        <v>4513.6660000000002</v>
      </c>
      <c r="AC248" s="38">
        <f t="shared" ref="AC248:AD248" si="1071">(AC119+AC120)*AC$204</f>
        <v>3717.8850000000002</v>
      </c>
      <c r="AD248" s="38">
        <f t="shared" si="1071"/>
        <v>2783.125</v>
      </c>
      <c r="AE248" s="38">
        <f>(AE119+AE120)*AE$204</f>
        <v>2435.6309999999999</v>
      </c>
      <c r="AF248" s="38">
        <f>(AF119+AF120)*AF$204</f>
        <v>2532.1970000000001</v>
      </c>
      <c r="AG248" s="38">
        <f t="shared" ref="AG248" si="1072">(AG119+AG120)*AG$204</f>
        <v>2596.902</v>
      </c>
    </row>
    <row r="249" spans="2:33" s="33" customFormat="1" ht="13.5" customHeight="1" thickBot="1">
      <c r="B249" s="40" t="str">
        <f>+B121</f>
        <v xml:space="preserve">Net debt </v>
      </c>
      <c r="C249" s="39">
        <f t="shared" ref="C249:J249" si="1073">C247-C248</f>
        <v>418.80500000000029</v>
      </c>
      <c r="D249" s="39">
        <f t="shared" si="1073"/>
        <v>128.05799999999999</v>
      </c>
      <c r="E249" s="39">
        <f t="shared" si="1073"/>
        <v>1534.5260000000007</v>
      </c>
      <c r="F249" s="39">
        <f t="shared" si="1073"/>
        <v>293.80200000000013</v>
      </c>
      <c r="G249" s="39">
        <f t="shared" si="1073"/>
        <v>-565.33299999999963</v>
      </c>
      <c r="H249" s="39">
        <f t="shared" si="1073"/>
        <v>-468.00499999999965</v>
      </c>
      <c r="I249" s="39">
        <f t="shared" si="1073"/>
        <v>1578.4159999999997</v>
      </c>
      <c r="J249" s="39">
        <f t="shared" si="1073"/>
        <v>1756.4349999999995</v>
      </c>
      <c r="K249" s="41"/>
      <c r="L249" s="39">
        <f t="shared" ref="L249:AF249" si="1074">L247-L248</f>
        <v>2199.3110000000001</v>
      </c>
      <c r="M249" s="39">
        <f t="shared" si="1074"/>
        <v>2081.0399999999995</v>
      </c>
      <c r="N249" s="39">
        <f t="shared" si="1074"/>
        <v>1887.5139999999994</v>
      </c>
      <c r="O249" s="39">
        <f t="shared" si="1074"/>
        <v>1534.5260000000007</v>
      </c>
      <c r="P249" s="39">
        <f t="shared" si="1074"/>
        <v>748.83300000000008</v>
      </c>
      <c r="Q249" s="39">
        <f t="shared" si="1074"/>
        <v>1436.6539999999995</v>
      </c>
      <c r="R249" s="39">
        <f t="shared" si="1074"/>
        <v>837.65499999999929</v>
      </c>
      <c r="S249" s="39">
        <f t="shared" si="1074"/>
        <v>293.80200000000013</v>
      </c>
      <c r="T249" s="39">
        <f t="shared" si="1074"/>
        <v>-453.55799999999999</v>
      </c>
      <c r="U249" s="39">
        <f t="shared" si="1074"/>
        <v>596.23799999999983</v>
      </c>
      <c r="V249" s="39">
        <f t="shared" si="1074"/>
        <v>306.42399999999998</v>
      </c>
      <c r="W249" s="39">
        <f t="shared" si="1074"/>
        <v>-565.33299999999963</v>
      </c>
      <c r="X249" s="39">
        <f t="shared" si="1074"/>
        <v>-1559.2269999999999</v>
      </c>
      <c r="Y249" s="39">
        <f t="shared" si="1074"/>
        <v>-198.04800000000023</v>
      </c>
      <c r="Z249" s="39">
        <f t="shared" si="1074"/>
        <v>-340.67800000000034</v>
      </c>
      <c r="AA249" s="39">
        <f t="shared" si="1074"/>
        <v>-468.00499999999965</v>
      </c>
      <c r="AB249" s="39">
        <f t="shared" si="1074"/>
        <v>-631.14800000000014</v>
      </c>
      <c r="AC249" s="39">
        <f t="shared" si="1074"/>
        <v>164.85099999999966</v>
      </c>
      <c r="AD249" s="39">
        <f t="shared" si="1074"/>
        <v>1192.2200000000003</v>
      </c>
      <c r="AE249" s="39">
        <f t="shared" si="1074"/>
        <v>1578.4159999999997</v>
      </c>
      <c r="AF249" s="39">
        <f t="shared" si="1074"/>
        <v>1410.8470000000002</v>
      </c>
      <c r="AG249" s="39">
        <f t="shared" ref="AG249" si="1075">AG247-AG248</f>
        <v>1756.4349999999995</v>
      </c>
    </row>
    <row r="250" spans="2:33" ht="13.5" customHeight="1" thickTop="1"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spans="2:33" ht="13.5" customHeight="1">
      <c r="B251" s="33" t="str">
        <f>B123</f>
        <v>Company reported net debt</v>
      </c>
      <c r="C251" s="34">
        <f t="shared" ref="C251:J251" si="1076">C123*C204</f>
        <v>418.80500000000029</v>
      </c>
      <c r="D251" s="34">
        <f t="shared" si="1076"/>
        <v>128.05799999999999</v>
      </c>
      <c r="E251" s="34">
        <f t="shared" si="1076"/>
        <v>1534.5260000000007</v>
      </c>
      <c r="F251" s="34">
        <f t="shared" si="1076"/>
        <v>293.80200000000013</v>
      </c>
      <c r="G251" s="34">
        <f t="shared" si="1076"/>
        <v>-565.33299999999963</v>
      </c>
      <c r="H251" s="34">
        <f t="shared" si="1076"/>
        <v>-468.005</v>
      </c>
      <c r="I251" s="34">
        <f t="shared" si="1076"/>
        <v>1578.4159999999997</v>
      </c>
      <c r="J251" s="34">
        <f t="shared" si="1076"/>
        <v>1756.4349999999995</v>
      </c>
      <c r="K251" s="32"/>
      <c r="L251" s="34">
        <f t="shared" ref="L251:AE251" si="1077">L123*L204</f>
        <v>2199.3110000000001</v>
      </c>
      <c r="M251" s="34">
        <f t="shared" si="1077"/>
        <v>2081.0399999999995</v>
      </c>
      <c r="N251" s="34">
        <f t="shared" si="1077"/>
        <v>1887.5139999999994</v>
      </c>
      <c r="O251" s="34">
        <f t="shared" si="1077"/>
        <v>1534.5260000000007</v>
      </c>
      <c r="P251" s="34">
        <f t="shared" si="1077"/>
        <v>748.83300000000008</v>
      </c>
      <c r="Q251" s="34">
        <f t="shared" si="1077"/>
        <v>1436.6539999999995</v>
      </c>
      <c r="R251" s="34">
        <f t="shared" si="1077"/>
        <v>837.65499999999929</v>
      </c>
      <c r="S251" s="34">
        <f t="shared" si="1077"/>
        <v>293.80200000000013</v>
      </c>
      <c r="T251" s="34">
        <f t="shared" si="1077"/>
        <v>-453.55800000000028</v>
      </c>
      <c r="U251" s="34">
        <f t="shared" si="1077"/>
        <v>596.23799999999983</v>
      </c>
      <c r="V251" s="34">
        <f t="shared" si="1077"/>
        <v>306.42399999999981</v>
      </c>
      <c r="W251" s="34">
        <f t="shared" si="1077"/>
        <v>-565.33299999999963</v>
      </c>
      <c r="X251" s="34">
        <f t="shared" si="1077"/>
        <v>-1559.2270000000003</v>
      </c>
      <c r="Y251" s="34">
        <f t="shared" si="1077"/>
        <v>-198.04800000000023</v>
      </c>
      <c r="Z251" s="34">
        <f t="shared" si="1077"/>
        <v>-340.678</v>
      </c>
      <c r="AA251" s="34">
        <f t="shared" si="1077"/>
        <v>-468.005</v>
      </c>
      <c r="AB251" s="34">
        <f t="shared" si="1077"/>
        <v>-631.14800000000014</v>
      </c>
      <c r="AC251" s="34">
        <f t="shared" si="1077"/>
        <v>164.85099999999966</v>
      </c>
      <c r="AD251" s="34">
        <f t="shared" si="1077"/>
        <v>1192.2200000000005</v>
      </c>
      <c r="AE251" s="34">
        <f t="shared" si="1077"/>
        <v>1578.4159999999997</v>
      </c>
      <c r="AF251" s="34">
        <f t="shared" ref="AF251:AG251" si="1078">AF123*AF204</f>
        <v>1410.8470000000002</v>
      </c>
      <c r="AG251" s="34">
        <f t="shared" si="1078"/>
        <v>1756.4349999999995</v>
      </c>
    </row>
    <row r="252" spans="2:33" ht="13.5" customHeight="1">
      <c r="B252" s="33"/>
      <c r="C252" s="34"/>
      <c r="D252" s="34"/>
      <c r="E252" s="34"/>
      <c r="F252" s="34"/>
      <c r="G252" s="34"/>
      <c r="H252" s="34"/>
      <c r="I252" s="34"/>
      <c r="J252" s="34"/>
      <c r="K252" s="32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 spans="2:33" ht="13.5" customHeight="1">
      <c r="B253" s="8" t="s">
        <v>183</v>
      </c>
      <c r="C253" s="34"/>
      <c r="D253" s="34"/>
      <c r="E253" s="34"/>
      <c r="F253" s="34"/>
      <c r="G253" s="34"/>
      <c r="H253" s="34"/>
      <c r="I253" s="34"/>
      <c r="J253" s="34"/>
      <c r="K253" s="32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 spans="2:33" ht="13.5" customHeight="1">
      <c r="B254" s="13" t="s">
        <v>184</v>
      </c>
      <c r="C254" s="36">
        <f t="shared" ref="C254:I255" si="1079">C111*C$204</f>
        <v>18.282</v>
      </c>
      <c r="D254" s="36">
        <f t="shared" si="1079"/>
        <v>135.47499999999999</v>
      </c>
      <c r="E254" s="36">
        <f t="shared" si="1079"/>
        <v>633.346</v>
      </c>
      <c r="F254" s="36">
        <f t="shared" si="1079"/>
        <v>303.19299999999998</v>
      </c>
      <c r="G254" s="36">
        <f t="shared" si="1079"/>
        <v>280.86</v>
      </c>
      <c r="H254" s="36">
        <f t="shared" si="1079"/>
        <v>389.96600000000001</v>
      </c>
      <c r="I254" s="36">
        <f t="shared" si="1079"/>
        <v>432</v>
      </c>
      <c r="J254" s="36">
        <f>J111*J$204</f>
        <v>410</v>
      </c>
      <c r="K254" s="32"/>
      <c r="L254" s="36">
        <f t="shared" ref="L254:AE254" si="1080">L111*L$204</f>
        <v>151.21299999999999</v>
      </c>
      <c r="M254" s="36">
        <f t="shared" si="1080"/>
        <v>638.69399999999996</v>
      </c>
      <c r="N254" s="36">
        <f t="shared" si="1080"/>
        <v>623.82299999999998</v>
      </c>
      <c r="O254" s="36">
        <f t="shared" si="1080"/>
        <v>633.346</v>
      </c>
      <c r="P254" s="36">
        <f t="shared" si="1080"/>
        <v>633.66499999999996</v>
      </c>
      <c r="Q254" s="36">
        <f t="shared" si="1080"/>
        <v>216.904</v>
      </c>
      <c r="R254" s="36">
        <f t="shared" si="1080"/>
        <v>258.95100000000002</v>
      </c>
      <c r="S254" s="36">
        <f t="shared" si="1080"/>
        <v>303.19299999999998</v>
      </c>
      <c r="T254" s="36">
        <f t="shared" si="1080"/>
        <v>325.93799999999999</v>
      </c>
      <c r="U254" s="36">
        <f t="shared" si="1080"/>
        <v>272.22699999999998</v>
      </c>
      <c r="V254" s="36">
        <f t="shared" si="1080"/>
        <v>253.392</v>
      </c>
      <c r="W254" s="36">
        <f t="shared" si="1080"/>
        <v>280.86</v>
      </c>
      <c r="X254" s="36">
        <f t="shared" si="1080"/>
        <v>339.55799999999999</v>
      </c>
      <c r="Y254" s="36">
        <f t="shared" si="1080"/>
        <v>339.04700000000003</v>
      </c>
      <c r="Z254" s="36">
        <f t="shared" si="1080"/>
        <v>373.024</v>
      </c>
      <c r="AA254" s="36">
        <f t="shared" si="1080"/>
        <v>389.96600000000001</v>
      </c>
      <c r="AB254" s="36">
        <f t="shared" si="1080"/>
        <v>416.815</v>
      </c>
      <c r="AC254" s="36">
        <f t="shared" si="1080"/>
        <v>415</v>
      </c>
      <c r="AD254" s="36">
        <f t="shared" si="1080"/>
        <v>418</v>
      </c>
      <c r="AE254" s="36">
        <f t="shared" si="1080"/>
        <v>432</v>
      </c>
      <c r="AF254" s="36">
        <f t="shared" ref="AF254:AG254" si="1081">AF111*AF$204</f>
        <v>433</v>
      </c>
      <c r="AG254" s="36">
        <f t="shared" si="1081"/>
        <v>410</v>
      </c>
    </row>
    <row r="255" spans="2:33" ht="13.5" customHeight="1">
      <c r="B255" s="13" t="s">
        <v>185</v>
      </c>
      <c r="C255" s="36">
        <f t="shared" si="1079"/>
        <v>125.413</v>
      </c>
      <c r="D255" s="36">
        <f t="shared" si="1079"/>
        <v>371.55200000000002</v>
      </c>
      <c r="E255" s="36">
        <f t="shared" si="1079"/>
        <v>388.51</v>
      </c>
      <c r="F255" s="36">
        <f t="shared" si="1079"/>
        <v>720.56899999999996</v>
      </c>
      <c r="G255" s="36">
        <f t="shared" si="1079"/>
        <v>587.524</v>
      </c>
      <c r="H255" s="36">
        <f t="shared" si="1079"/>
        <v>575.84500000000003</v>
      </c>
      <c r="I255" s="36">
        <f t="shared" si="1079"/>
        <v>714.04200000000003</v>
      </c>
      <c r="J255" s="36">
        <f>J112*J$204</f>
        <v>663.78800000000001</v>
      </c>
      <c r="K255" s="32"/>
      <c r="L255" s="36">
        <f t="shared" ref="L255:AE255" si="1082">L112*L$204</f>
        <v>353.68099999999998</v>
      </c>
      <c r="M255" s="36">
        <f t="shared" si="1082"/>
        <v>387.72899999999998</v>
      </c>
      <c r="N255" s="36">
        <f t="shared" si="1082"/>
        <v>377.51799999999997</v>
      </c>
      <c r="O255" s="36">
        <f t="shared" si="1082"/>
        <v>388.51</v>
      </c>
      <c r="P255" s="36">
        <f t="shared" si="1082"/>
        <v>386.10199999999998</v>
      </c>
      <c r="Q255" s="36">
        <f t="shared" si="1082"/>
        <v>639.72799999999995</v>
      </c>
      <c r="R255" s="36">
        <f t="shared" si="1082"/>
        <v>684.34100000000001</v>
      </c>
      <c r="S255" s="36">
        <f t="shared" si="1082"/>
        <v>720.56899999999996</v>
      </c>
      <c r="T255" s="36">
        <f t="shared" si="1082"/>
        <v>701.38900000000001</v>
      </c>
      <c r="U255" s="36">
        <f t="shared" si="1082"/>
        <v>640.21799999999996</v>
      </c>
      <c r="V255" s="36">
        <f t="shared" si="1082"/>
        <v>621.09</v>
      </c>
      <c r="W255" s="36">
        <f t="shared" si="1082"/>
        <v>587.524</v>
      </c>
      <c r="X255" s="36">
        <f t="shared" si="1082"/>
        <v>615.08600000000001</v>
      </c>
      <c r="Y255" s="36">
        <f t="shared" si="1082"/>
        <v>571.56200000000001</v>
      </c>
      <c r="Z255" s="36">
        <f t="shared" si="1082"/>
        <v>564.67100000000005</v>
      </c>
      <c r="AA255" s="36">
        <f t="shared" si="1082"/>
        <v>575.84500000000003</v>
      </c>
      <c r="AB255" s="36">
        <f t="shared" si="1082"/>
        <v>667.69</v>
      </c>
      <c r="AC255" s="36">
        <f t="shared" si="1082"/>
        <v>630.66300000000001</v>
      </c>
      <c r="AD255" s="36">
        <f t="shared" si="1082"/>
        <v>711.62300000000005</v>
      </c>
      <c r="AE255" s="36">
        <f t="shared" si="1082"/>
        <v>714.04200000000003</v>
      </c>
      <c r="AF255" s="36">
        <f t="shared" ref="AF255:AG255" si="1083">AF112*AF$204</f>
        <v>678.11300000000006</v>
      </c>
      <c r="AG255" s="36">
        <f t="shared" si="1083"/>
        <v>663.78800000000001</v>
      </c>
    </row>
    <row r="256" spans="2:33" ht="13.5" customHeight="1">
      <c r="B256" s="8" t="s">
        <v>186</v>
      </c>
      <c r="C256" s="34">
        <f>SUM(C254:C255)</f>
        <v>143.69499999999999</v>
      </c>
      <c r="D256" s="34">
        <f t="shared" ref="D256:L256" si="1084">SUM(D254:D255)</f>
        <v>507.02700000000004</v>
      </c>
      <c r="E256" s="34">
        <f t="shared" si="1084"/>
        <v>1021.856</v>
      </c>
      <c r="F256" s="34">
        <f t="shared" si="1084"/>
        <v>1023.7619999999999</v>
      </c>
      <c r="G256" s="34">
        <f t="shared" si="1084"/>
        <v>868.38400000000001</v>
      </c>
      <c r="H256" s="34">
        <f t="shared" si="1084"/>
        <v>965.81100000000004</v>
      </c>
      <c r="I256" s="34">
        <f t="shared" ref="I256" si="1085">SUM(I254:I255)</f>
        <v>1146.0419999999999</v>
      </c>
      <c r="J256" s="34">
        <f t="shared" si="1084"/>
        <v>1073.788</v>
      </c>
      <c r="K256" s="32"/>
      <c r="L256" s="34">
        <f t="shared" si="1084"/>
        <v>504.89400000000001</v>
      </c>
      <c r="M256" s="34">
        <f t="shared" ref="M256" si="1086">SUM(M254:M255)</f>
        <v>1026.423</v>
      </c>
      <c r="N256" s="34">
        <f t="shared" ref="N256" si="1087">SUM(N254:N255)</f>
        <v>1001.3409999999999</v>
      </c>
      <c r="O256" s="34">
        <f t="shared" ref="O256" si="1088">SUM(O254:O255)</f>
        <v>1021.856</v>
      </c>
      <c r="P256" s="34">
        <f t="shared" ref="P256" si="1089">SUM(P254:P255)</f>
        <v>1019.7669999999999</v>
      </c>
      <c r="Q256" s="34">
        <f t="shared" ref="Q256" si="1090">SUM(Q254:Q255)</f>
        <v>856.63199999999995</v>
      </c>
      <c r="R256" s="34">
        <f t="shared" ref="R256" si="1091">SUM(R254:R255)</f>
        <v>943.29200000000003</v>
      </c>
      <c r="S256" s="34">
        <f t="shared" ref="S256" si="1092">SUM(S254:S255)</f>
        <v>1023.7619999999999</v>
      </c>
      <c r="T256" s="34">
        <f t="shared" ref="T256" si="1093">SUM(T254:T255)</f>
        <v>1027.327</v>
      </c>
      <c r="U256" s="34">
        <f t="shared" ref="U256" si="1094">SUM(U254:U255)</f>
        <v>912.44499999999994</v>
      </c>
      <c r="V256" s="34">
        <f t="shared" ref="V256" si="1095">SUM(V254:V255)</f>
        <v>874.48199999999997</v>
      </c>
      <c r="W256" s="34">
        <f t="shared" ref="W256" si="1096">SUM(W254:W255)</f>
        <v>868.38400000000001</v>
      </c>
      <c r="X256" s="34">
        <f t="shared" ref="X256" si="1097">SUM(X254:X255)</f>
        <v>954.64400000000001</v>
      </c>
      <c r="Y256" s="34">
        <f t="shared" ref="Y256" si="1098">SUM(Y254:Y255)</f>
        <v>910.60900000000004</v>
      </c>
      <c r="Z256" s="34">
        <f t="shared" ref="Z256" si="1099">SUM(Z254:Z255)</f>
        <v>937.69500000000005</v>
      </c>
      <c r="AA256" s="34">
        <f t="shared" ref="AA256" si="1100">SUM(AA254:AA255)</f>
        <v>965.81100000000004</v>
      </c>
      <c r="AB256" s="34">
        <f t="shared" ref="AB256:AE256" si="1101">SUM(AB254:AB255)</f>
        <v>1084.5050000000001</v>
      </c>
      <c r="AC256" s="34">
        <f t="shared" si="1101"/>
        <v>1045.663</v>
      </c>
      <c r="AD256" s="34">
        <f t="shared" si="1101"/>
        <v>1129.623</v>
      </c>
      <c r="AE256" s="34">
        <f t="shared" si="1101"/>
        <v>1146.0419999999999</v>
      </c>
      <c r="AF256" s="34">
        <f t="shared" ref="AF256:AG256" si="1102">SUM(AF254:AF255)</f>
        <v>1111.1130000000001</v>
      </c>
      <c r="AG256" s="34">
        <f t="shared" si="1102"/>
        <v>1073.788</v>
      </c>
    </row>
    <row r="257" spans="2:33" ht="13.5" customHeight="1">
      <c r="B257" s="33"/>
      <c r="C257" s="34"/>
      <c r="D257" s="34"/>
      <c r="E257" s="34"/>
      <c r="F257" s="34"/>
      <c r="G257" s="34"/>
      <c r="H257" s="34"/>
      <c r="I257" s="34"/>
      <c r="J257" s="34"/>
      <c r="K257" s="32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 spans="2:33" ht="13.5" customHeight="1">
      <c r="B258" s="30" t="s">
        <v>190</v>
      </c>
      <c r="C258" s="36">
        <f t="shared" ref="C258:I258" si="1103">C124*C$204</f>
        <v>11841.174000000001</v>
      </c>
      <c r="D258" s="36">
        <f t="shared" si="1103"/>
        <v>11799.118</v>
      </c>
      <c r="E258" s="36">
        <f t="shared" si="1103"/>
        <v>10953.107</v>
      </c>
      <c r="F258" s="36">
        <f t="shared" si="1103"/>
        <v>13515.290999999999</v>
      </c>
      <c r="G258" s="36">
        <f t="shared" si="1103"/>
        <v>14593.669</v>
      </c>
      <c r="H258" s="36">
        <f t="shared" si="1103"/>
        <v>15766.7</v>
      </c>
      <c r="I258" s="36">
        <f t="shared" si="1103"/>
        <v>16451.133999999998</v>
      </c>
      <c r="J258" s="36">
        <f>J124*J$204</f>
        <v>17067.98</v>
      </c>
      <c r="K258" s="32"/>
      <c r="L258" s="36">
        <f t="shared" ref="L258:AE258" si="1104">L124*L$204</f>
        <v>12150.66</v>
      </c>
      <c r="M258" s="36">
        <f t="shared" si="1104"/>
        <v>12020.849</v>
      </c>
      <c r="N258" s="36">
        <f t="shared" si="1104"/>
        <v>12068.502</v>
      </c>
      <c r="O258" s="36">
        <f t="shared" si="1104"/>
        <v>10953.107</v>
      </c>
      <c r="P258" s="36">
        <f t="shared" si="1104"/>
        <v>12402.352999999999</v>
      </c>
      <c r="Q258" s="36">
        <f t="shared" si="1104"/>
        <v>12823.762000000001</v>
      </c>
      <c r="R258" s="36">
        <f t="shared" si="1104"/>
        <v>13061.164000000001</v>
      </c>
      <c r="S258" s="36">
        <f t="shared" si="1104"/>
        <v>13515.290999999999</v>
      </c>
      <c r="T258" s="36">
        <f t="shared" si="1104"/>
        <v>14083.741</v>
      </c>
      <c r="U258" s="36">
        <f t="shared" si="1104"/>
        <v>14077.039000000001</v>
      </c>
      <c r="V258" s="36">
        <f t="shared" si="1104"/>
        <v>14091.897999999999</v>
      </c>
      <c r="W258" s="36">
        <f t="shared" si="1104"/>
        <v>14593.669</v>
      </c>
      <c r="X258" s="36">
        <f t="shared" si="1104"/>
        <v>15135.177</v>
      </c>
      <c r="Y258" s="36">
        <f t="shared" si="1104"/>
        <v>15195.209000000001</v>
      </c>
      <c r="Z258" s="36">
        <f t="shared" si="1104"/>
        <v>15175.446</v>
      </c>
      <c r="AA258" s="36">
        <f t="shared" si="1104"/>
        <v>15766.7</v>
      </c>
      <c r="AB258" s="36">
        <f t="shared" si="1104"/>
        <v>15648.687</v>
      </c>
      <c r="AC258" s="36">
        <f t="shared" si="1104"/>
        <v>16076.031999999999</v>
      </c>
      <c r="AD258" s="36">
        <f t="shared" si="1104"/>
        <v>15943.031000000001</v>
      </c>
      <c r="AE258" s="36">
        <f t="shared" si="1104"/>
        <v>16451.133999999998</v>
      </c>
      <c r="AF258" s="36">
        <f t="shared" ref="AF258:AG258" si="1105">AF124*AF$204</f>
        <v>16226.257</v>
      </c>
      <c r="AG258" s="36">
        <f t="shared" si="1105"/>
        <v>17067.98</v>
      </c>
    </row>
    <row r="259" spans="2:33" ht="13.5" customHeight="1">
      <c r="B259" s="33"/>
      <c r="C259" s="34"/>
      <c r="D259" s="34"/>
      <c r="E259" s="34"/>
      <c r="F259" s="34"/>
      <c r="G259" s="34"/>
      <c r="H259" s="34"/>
      <c r="I259" s="34"/>
      <c r="J259" s="34"/>
      <c r="K259" s="32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 spans="2:33" s="33" customFormat="1" ht="13.5" customHeight="1">
      <c r="B260" s="33" t="s">
        <v>217</v>
      </c>
      <c r="C260" s="34">
        <f t="shared" ref="C260:J260" si="1106">C224</f>
        <v>4354</v>
      </c>
      <c r="D260" s="34">
        <f t="shared" si="1106"/>
        <v>3512</v>
      </c>
      <c r="E260" s="34">
        <f t="shared" si="1106"/>
        <v>4996</v>
      </c>
      <c r="F260" s="34">
        <f t="shared" si="1106"/>
        <v>7103</v>
      </c>
      <c r="G260" s="34">
        <f t="shared" si="1106"/>
        <v>6433</v>
      </c>
      <c r="H260" s="34">
        <f t="shared" si="1106"/>
        <v>6462</v>
      </c>
      <c r="I260" s="34">
        <f t="shared" si="1106"/>
        <v>5956</v>
      </c>
      <c r="J260" s="34">
        <f t="shared" si="1106"/>
        <v>6718</v>
      </c>
      <c r="K260" s="229"/>
      <c r="L260" s="117"/>
      <c r="M260" s="117"/>
      <c r="N260" s="117"/>
      <c r="O260" s="34">
        <f t="shared" ref="O260:AG260" si="1107">SUM(L224:O224)</f>
        <v>4996</v>
      </c>
      <c r="P260" s="34">
        <f t="shared" si="1107"/>
        <v>5556</v>
      </c>
      <c r="Q260" s="34">
        <f t="shared" si="1107"/>
        <v>6044</v>
      </c>
      <c r="R260" s="34">
        <f t="shared" si="1107"/>
        <v>6585</v>
      </c>
      <c r="S260" s="34">
        <f t="shared" si="1107"/>
        <v>7103</v>
      </c>
      <c r="T260" s="34">
        <f t="shared" si="1107"/>
        <v>7118</v>
      </c>
      <c r="U260" s="34">
        <f t="shared" si="1107"/>
        <v>6807</v>
      </c>
      <c r="V260" s="34">
        <f t="shared" si="1107"/>
        <v>6620</v>
      </c>
      <c r="W260" s="34">
        <f t="shared" si="1107"/>
        <v>6433</v>
      </c>
      <c r="X260" s="34">
        <f t="shared" si="1107"/>
        <v>6385</v>
      </c>
      <c r="Y260" s="34">
        <f t="shared" si="1107"/>
        <v>6656</v>
      </c>
      <c r="Z260" s="34">
        <f t="shared" si="1107"/>
        <v>6570</v>
      </c>
      <c r="AA260" s="34">
        <f t="shared" si="1107"/>
        <v>6462</v>
      </c>
      <c r="AB260" s="34">
        <f t="shared" si="1107"/>
        <v>6405</v>
      </c>
      <c r="AC260" s="34">
        <f t="shared" si="1107"/>
        <v>6185</v>
      </c>
      <c r="AD260" s="34">
        <f t="shared" si="1107"/>
        <v>6087</v>
      </c>
      <c r="AE260" s="34">
        <f t="shared" si="1107"/>
        <v>5956</v>
      </c>
      <c r="AF260" s="34">
        <f t="shared" si="1107"/>
        <v>6161</v>
      </c>
      <c r="AG260" s="34">
        <f t="shared" si="1107"/>
        <v>6718</v>
      </c>
    </row>
    <row r="261" spans="2:33" ht="13.5" customHeight="1">
      <c r="C261" s="32"/>
      <c r="D261" s="32"/>
      <c r="E261" s="32"/>
      <c r="F261" s="32"/>
      <c r="G261" s="32"/>
      <c r="H261" s="32"/>
      <c r="I261" s="32"/>
      <c r="J261" s="32"/>
      <c r="K261" s="32"/>
      <c r="L261" s="117"/>
      <c r="M261" s="117"/>
      <c r="N261" s="117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spans="2:33" ht="13.5" customHeight="1">
      <c r="B262" s="33" t="str">
        <f>+B129</f>
        <v>Net Leverage excluding lease obligations</v>
      </c>
      <c r="C262" s="35">
        <f t="shared" ref="C262:H262" si="1108">((C249-(C256))/C260)</f>
        <v>6.3185576481396485E-2</v>
      </c>
      <c r="D262" s="35">
        <f t="shared" si="1108"/>
        <v>-0.10790689066059227</v>
      </c>
      <c r="E262" s="35">
        <f t="shared" si="1108"/>
        <v>0.1026160928742996</v>
      </c>
      <c r="F262" s="35">
        <f t="shared" si="1108"/>
        <v>-0.10276784457271573</v>
      </c>
      <c r="G262" s="35">
        <f t="shared" si="1108"/>
        <v>-0.22286911238924292</v>
      </c>
      <c r="H262" s="35">
        <f t="shared" si="1108"/>
        <v>-0.22188424636335496</v>
      </c>
      <c r="I262" s="35">
        <f t="shared" ref="I262" si="1109">((I249-(I256))/I260)</f>
        <v>7.2594694425789086E-2</v>
      </c>
      <c r="J262" s="35">
        <f>((J249-(J256))/J260)</f>
        <v>0.10161461744566827</v>
      </c>
      <c r="K262" s="35"/>
      <c r="L262" s="117"/>
      <c r="M262" s="117"/>
      <c r="N262" s="117"/>
      <c r="O262" s="35">
        <f t="shared" ref="O262:AA262" si="1110">((O249-(O256))/O260)</f>
        <v>0.1026160928742996</v>
      </c>
      <c r="P262" s="35">
        <f t="shared" si="1110"/>
        <v>-4.8764218862490973E-2</v>
      </c>
      <c r="Q262" s="35">
        <f t="shared" si="1110"/>
        <v>9.5966578424884111E-2</v>
      </c>
      <c r="R262" s="35">
        <f t="shared" si="1110"/>
        <v>-1.604206529992418E-2</v>
      </c>
      <c r="S262" s="35">
        <f t="shared" si="1110"/>
        <v>-0.10276784457271573</v>
      </c>
      <c r="T262" s="35">
        <f t="shared" si="1110"/>
        <v>-0.20804790671536949</v>
      </c>
      <c r="U262" s="35">
        <f t="shared" si="1110"/>
        <v>-4.6453209930953449E-2</v>
      </c>
      <c r="V262" s="35">
        <f t="shared" si="1110"/>
        <v>-8.5809365558912387E-2</v>
      </c>
      <c r="W262" s="35">
        <f t="shared" si="1110"/>
        <v>-0.22286911238924292</v>
      </c>
      <c r="X262" s="35">
        <f t="shared" si="1110"/>
        <v>-0.3937151135473767</v>
      </c>
      <c r="Y262" s="35">
        <f t="shared" si="1110"/>
        <v>-0.16656505408653849</v>
      </c>
      <c r="Z262" s="35">
        <f t="shared" si="1110"/>
        <v>-0.19457732115677329</v>
      </c>
      <c r="AA262" s="35">
        <f t="shared" si="1110"/>
        <v>-0.22188424636335496</v>
      </c>
      <c r="AB262" s="35">
        <f>((AB249-(AB256))/AB260)</f>
        <v>-0.26786151444184236</v>
      </c>
      <c r="AC262" s="35">
        <f t="shared" ref="AC262:AE262" si="1111">((AC249-(AC256))/AC260)</f>
        <v>-0.14241099434114798</v>
      </c>
      <c r="AD262" s="35">
        <f t="shared" si="1111"/>
        <v>1.0283719402004305E-2</v>
      </c>
      <c r="AE262" s="35">
        <f t="shared" si="1111"/>
        <v>7.2594694425789086E-2</v>
      </c>
      <c r="AF262" s="35">
        <f>((AF249-(AF256))/AF260)</f>
        <v>4.865021912027271E-2</v>
      </c>
      <c r="AG262" s="35">
        <f t="shared" ref="AG262" si="1112">((AG249-(AG256))/AG260)</f>
        <v>0.10161461744566827</v>
      </c>
    </row>
    <row r="263" spans="2:33" ht="13.5" customHeight="1">
      <c r="B263" s="30" t="str">
        <f>+B130</f>
        <v>Gross Leverage  excluding lease obligations</v>
      </c>
      <c r="C263" s="37">
        <f t="shared" ref="C263:I263" si="1113">((C247-(C256))/C260)</f>
        <v>0.75746600826825905</v>
      </c>
      <c r="D263" s="37">
        <f t="shared" si="1113"/>
        <v>0.97523747152619589</v>
      </c>
      <c r="E263" s="37">
        <f t="shared" si="1113"/>
        <v>0.61486369095276228</v>
      </c>
      <c r="F263" s="37">
        <f t="shared" si="1113"/>
        <v>0.39550330846121362</v>
      </c>
      <c r="G263" s="37">
        <f t="shared" si="1113"/>
        <v>0.4329616042281984</v>
      </c>
      <c r="H263" s="37">
        <f t="shared" si="1113"/>
        <v>0.43258588672237697</v>
      </c>
      <c r="I263" s="37">
        <f t="shared" si="1113"/>
        <v>0.48153206850235053</v>
      </c>
      <c r="J263" s="37">
        <f>((J247-(J256))/J260)</f>
        <v>0.4881734147067579</v>
      </c>
      <c r="K263" s="37"/>
      <c r="L263" s="116"/>
      <c r="M263" s="116"/>
      <c r="N263" s="116"/>
      <c r="O263" s="37">
        <f>((O247-(O256))/O260)</f>
        <v>0.61486369095276228</v>
      </c>
      <c r="P263" s="37">
        <f t="shared" ref="P263:AE263" si="1114">((P247-(P256))/P260)</f>
        <v>0.55346796256299502</v>
      </c>
      <c r="Q263" s="37">
        <f t="shared" si="1114"/>
        <v>0.56029301786896091</v>
      </c>
      <c r="R263" s="37">
        <f t="shared" si="1114"/>
        <v>0.50575839028094149</v>
      </c>
      <c r="S263" s="37">
        <f t="shared" si="1114"/>
        <v>0.39550330846121362</v>
      </c>
      <c r="T263" s="37">
        <f t="shared" si="1114"/>
        <v>0.39643073897162123</v>
      </c>
      <c r="U263" s="37">
        <f t="shared" si="1114"/>
        <v>0.40376436021742323</v>
      </c>
      <c r="V263" s="37">
        <f t="shared" si="1114"/>
        <v>0.41189305135951659</v>
      </c>
      <c r="W263" s="37">
        <f t="shared" si="1114"/>
        <v>0.4329616042281984</v>
      </c>
      <c r="X263" s="37">
        <f t="shared" si="1114"/>
        <v>0.42768050117462802</v>
      </c>
      <c r="Y263" s="37">
        <f t="shared" si="1114"/>
        <v>0.40908233173076919</v>
      </c>
      <c r="Z263" s="37">
        <f t="shared" si="1114"/>
        <v>0.43259101978691011</v>
      </c>
      <c r="AA263" s="37">
        <f t="shared" si="1114"/>
        <v>0.43258588672237697</v>
      </c>
      <c r="AB263" s="37">
        <f t="shared" si="1114"/>
        <v>0.43684824355971896</v>
      </c>
      <c r="AC263" s="37">
        <f t="shared" si="1114"/>
        <v>0.45870218270008084</v>
      </c>
      <c r="AD263" s="37">
        <f t="shared" si="1114"/>
        <v>0.46750813208477088</v>
      </c>
      <c r="AE263" s="37">
        <f t="shared" si="1114"/>
        <v>0.48153206850235053</v>
      </c>
      <c r="AF263" s="37">
        <f t="shared" ref="AF263:AG263" si="1115">((AF247-(AF256))/AF260)</f>
        <v>0.45965443921441335</v>
      </c>
      <c r="AG263" s="37">
        <f t="shared" si="1115"/>
        <v>0.4881734147067579</v>
      </c>
    </row>
    <row r="264" spans="2:33" ht="13.5" customHeight="1">
      <c r="C264" s="32"/>
      <c r="D264" s="32"/>
      <c r="E264" s="32"/>
      <c r="F264" s="32"/>
      <c r="G264" s="32"/>
      <c r="H264" s="32"/>
      <c r="I264" s="32"/>
      <c r="J264" s="32"/>
      <c r="K264" s="32"/>
      <c r="L264" s="118"/>
      <c r="M264" s="118"/>
      <c r="N264" s="118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spans="2:33" s="33" customFormat="1" ht="13.5" customHeight="1">
      <c r="B265" s="33" t="str">
        <f>+B132</f>
        <v>Net Leverage including lease obligations</v>
      </c>
      <c r="C265" s="35">
        <f t="shared" ref="C265:H265" si="1116">C249/C260</f>
        <v>9.6188562241616968E-2</v>
      </c>
      <c r="D265" s="35">
        <f t="shared" si="1116"/>
        <v>3.6462984054669703E-2</v>
      </c>
      <c r="E265" s="35">
        <f t="shared" si="1116"/>
        <v>0.30715092073658939</v>
      </c>
      <c r="F265" s="35">
        <f t="shared" si="1116"/>
        <v>4.1363086019991571E-2</v>
      </c>
      <c r="G265" s="35">
        <f t="shared" si="1116"/>
        <v>-8.7880149230530016E-2</v>
      </c>
      <c r="H265" s="35">
        <f t="shared" si="1116"/>
        <v>-7.2424172082946409E-2</v>
      </c>
      <c r="I265" s="35">
        <f t="shared" ref="I265" si="1117">I249/I260</f>
        <v>0.26501276024177295</v>
      </c>
      <c r="J265" s="35">
        <f>J249/J260</f>
        <v>0.26145206906817497</v>
      </c>
      <c r="K265" s="35"/>
      <c r="L265" s="117"/>
      <c r="M265" s="117"/>
      <c r="N265" s="117"/>
      <c r="O265" s="35">
        <f t="shared" ref="O265:AA265" si="1118">O249/O260</f>
        <v>0.30715092073658939</v>
      </c>
      <c r="P265" s="35">
        <f t="shared" si="1118"/>
        <v>0.13477915766738663</v>
      </c>
      <c r="Q265" s="35">
        <f t="shared" si="1118"/>
        <v>0.23769920582395757</v>
      </c>
      <c r="R265" s="35">
        <f t="shared" si="1118"/>
        <v>0.12720652999240689</v>
      </c>
      <c r="S265" s="35">
        <f t="shared" si="1118"/>
        <v>4.1363086019991571E-2</v>
      </c>
      <c r="T265" s="35">
        <f t="shared" si="1118"/>
        <v>-6.3719865130654682E-2</v>
      </c>
      <c r="U265" s="35">
        <f t="shared" si="1118"/>
        <v>8.75918907007492E-2</v>
      </c>
      <c r="V265" s="35">
        <f t="shared" si="1118"/>
        <v>4.6287613293051359E-2</v>
      </c>
      <c r="W265" s="35">
        <f t="shared" si="1118"/>
        <v>-8.7880149230530016E-2</v>
      </c>
      <c r="X265" s="35">
        <f t="shared" si="1118"/>
        <v>-0.24420156617071259</v>
      </c>
      <c r="Y265" s="35">
        <f t="shared" si="1118"/>
        <v>-2.9754807692307726E-2</v>
      </c>
      <c r="Z265" s="35">
        <f t="shared" si="1118"/>
        <v>-5.1853576864535823E-2</v>
      </c>
      <c r="AA265" s="35">
        <f t="shared" si="1118"/>
        <v>-7.2424172082946409E-2</v>
      </c>
      <c r="AB265" s="35">
        <f>AB249/AB260</f>
        <v>-9.8539890710382536E-2</v>
      </c>
      <c r="AC265" s="35">
        <f t="shared" ref="AC265:AE265" si="1119">AC249/AC260</f>
        <v>2.6653354890864941E-2</v>
      </c>
      <c r="AD265" s="35">
        <f t="shared" si="1119"/>
        <v>0.19586331526203388</v>
      </c>
      <c r="AE265" s="35">
        <f t="shared" si="1119"/>
        <v>0.26501276024177295</v>
      </c>
      <c r="AF265" s="35">
        <f>AF249/AF260</f>
        <v>0.22899642915111187</v>
      </c>
      <c r="AG265" s="35">
        <f t="shared" ref="AG265" si="1120">AG249/AG260</f>
        <v>0.26145206906817497</v>
      </c>
    </row>
    <row r="266" spans="2:33" ht="13.5" customHeight="1">
      <c r="B266" s="30" t="str">
        <f>+B133</f>
        <v>Gross Leverage  including lease obligations</v>
      </c>
      <c r="C266" s="37">
        <f t="shared" ref="C266:J266" si="1121">C247/C260</f>
        <v>0.79046899402847959</v>
      </c>
      <c r="D266" s="37">
        <f t="shared" si="1121"/>
        <v>1.119607346241458</v>
      </c>
      <c r="E266" s="37">
        <f t="shared" si="1121"/>
        <v>0.81939851881505221</v>
      </c>
      <c r="F266" s="37">
        <f t="shared" si="1121"/>
        <v>0.53963423905392083</v>
      </c>
      <c r="G266" s="37">
        <f t="shared" si="1121"/>
        <v>0.5679505673869113</v>
      </c>
      <c r="H266" s="37">
        <f t="shared" si="1121"/>
        <v>0.58204596100278549</v>
      </c>
      <c r="I266" s="37">
        <f t="shared" si="1121"/>
        <v>0.67395013431833439</v>
      </c>
      <c r="J266" s="37">
        <f t="shared" si="1121"/>
        <v>0.64801086632926463</v>
      </c>
      <c r="K266" s="37"/>
      <c r="L266" s="116"/>
      <c r="M266" s="116"/>
      <c r="N266" s="116"/>
      <c r="O266" s="37">
        <f t="shared" ref="O266:AE266" si="1122">O247/O260</f>
        <v>0.81939851881505221</v>
      </c>
      <c r="P266" s="37">
        <f t="shared" si="1122"/>
        <v>0.73701133909287253</v>
      </c>
      <c r="Q266" s="37">
        <f t="shared" si="1122"/>
        <v>0.70202564526803435</v>
      </c>
      <c r="R266" s="37">
        <f t="shared" si="1122"/>
        <v>0.64900698557327252</v>
      </c>
      <c r="S266" s="37">
        <f t="shared" si="1122"/>
        <v>0.53963423905392083</v>
      </c>
      <c r="T266" s="37">
        <f t="shared" si="1122"/>
        <v>0.54075878055633608</v>
      </c>
      <c r="U266" s="37">
        <f t="shared" si="1122"/>
        <v>0.53780946084912584</v>
      </c>
      <c r="V266" s="37">
        <f t="shared" si="1122"/>
        <v>0.5439900302114804</v>
      </c>
      <c r="W266" s="37">
        <f t="shared" si="1122"/>
        <v>0.5679505673869113</v>
      </c>
      <c r="X266" s="37">
        <f t="shared" si="1122"/>
        <v>0.57719404855129208</v>
      </c>
      <c r="Y266" s="37">
        <f t="shared" si="1122"/>
        <v>0.54589257812499992</v>
      </c>
      <c r="Z266" s="37">
        <f t="shared" si="1122"/>
        <v>0.57531476407914761</v>
      </c>
      <c r="AA266" s="37">
        <f t="shared" si="1122"/>
        <v>0.58204596100278549</v>
      </c>
      <c r="AB266" s="37">
        <f t="shared" si="1122"/>
        <v>0.60616986729117872</v>
      </c>
      <c r="AC266" s="37">
        <f t="shared" si="1122"/>
        <v>0.62776653193209375</v>
      </c>
      <c r="AD266" s="37">
        <f t="shared" si="1122"/>
        <v>0.65308772794480041</v>
      </c>
      <c r="AE266" s="37">
        <f t="shared" si="1122"/>
        <v>0.67395013431833439</v>
      </c>
      <c r="AF266" s="37">
        <f t="shared" ref="AF266:AG266" si="1123">AF247/AF260</f>
        <v>0.64000064924525246</v>
      </c>
      <c r="AG266" s="37">
        <f t="shared" si="1123"/>
        <v>0.64801086632926463</v>
      </c>
    </row>
    <row r="267" spans="2:33" ht="13.5" customHeight="1"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</row>
    <row r="268" spans="2:33" ht="13.5" customHeight="1">
      <c r="B268" s="33" t="str">
        <f>+B135</f>
        <v>Company reported net leverage</v>
      </c>
      <c r="C268" s="35">
        <f t="shared" ref="C268:H268" si="1124">C251/C260</f>
        <v>9.6188562241616968E-2</v>
      </c>
      <c r="D268" s="35">
        <f t="shared" si="1124"/>
        <v>3.6462984054669703E-2</v>
      </c>
      <c r="E268" s="35">
        <f t="shared" si="1124"/>
        <v>0.30715092073658939</v>
      </c>
      <c r="F268" s="35">
        <f t="shared" si="1124"/>
        <v>4.1363086019991571E-2</v>
      </c>
      <c r="G268" s="35">
        <f t="shared" si="1124"/>
        <v>-8.7880149230530016E-2</v>
      </c>
      <c r="H268" s="35">
        <f t="shared" si="1124"/>
        <v>-7.242417208294645E-2</v>
      </c>
      <c r="I268" s="35">
        <f t="shared" ref="I268" si="1125">I251/I260</f>
        <v>0.26501276024177295</v>
      </c>
      <c r="J268" s="35">
        <f>J251/J260</f>
        <v>0.26145206906817497</v>
      </c>
      <c r="K268" s="37"/>
      <c r="L268" s="35">
        <f>L195*L204</f>
        <v>0</v>
      </c>
      <c r="M268" s="35">
        <f>M195*M204</f>
        <v>0</v>
      </c>
      <c r="N268" s="35">
        <f>N195*N204</f>
        <v>0</v>
      </c>
      <c r="O268" s="35">
        <f t="shared" ref="O268:AA268" si="1126">O251/O260</f>
        <v>0.30715092073658939</v>
      </c>
      <c r="P268" s="35">
        <f t="shared" si="1126"/>
        <v>0.13477915766738663</v>
      </c>
      <c r="Q268" s="35">
        <f t="shared" si="1126"/>
        <v>0.23769920582395757</v>
      </c>
      <c r="R268" s="35">
        <f t="shared" si="1126"/>
        <v>0.12720652999240689</v>
      </c>
      <c r="S268" s="35">
        <f t="shared" si="1126"/>
        <v>4.1363086019991571E-2</v>
      </c>
      <c r="T268" s="35">
        <f t="shared" si="1126"/>
        <v>-6.3719865130654724E-2</v>
      </c>
      <c r="U268" s="35">
        <f t="shared" si="1126"/>
        <v>8.75918907007492E-2</v>
      </c>
      <c r="V268" s="35">
        <f t="shared" si="1126"/>
        <v>4.6287613293051331E-2</v>
      </c>
      <c r="W268" s="35">
        <f t="shared" si="1126"/>
        <v>-8.7880149230530016E-2</v>
      </c>
      <c r="X268" s="35">
        <f t="shared" si="1126"/>
        <v>-0.24420156617071265</v>
      </c>
      <c r="Y268" s="35">
        <f t="shared" si="1126"/>
        <v>-2.9754807692307726E-2</v>
      </c>
      <c r="Z268" s="35">
        <f t="shared" si="1126"/>
        <v>-5.1853576864535768E-2</v>
      </c>
      <c r="AA268" s="35">
        <f t="shared" si="1126"/>
        <v>-7.242417208294645E-2</v>
      </c>
      <c r="AB268" s="35">
        <f>AB251/AB260</f>
        <v>-9.8539890710382536E-2</v>
      </c>
      <c r="AC268" s="35">
        <f t="shared" ref="AC268:AE268" si="1127">AC251/AC260</f>
        <v>2.6653354890864941E-2</v>
      </c>
      <c r="AD268" s="35">
        <f t="shared" si="1127"/>
        <v>0.19586331526203393</v>
      </c>
      <c r="AE268" s="35">
        <f t="shared" si="1127"/>
        <v>0.26501276024177295</v>
      </c>
      <c r="AF268" s="35">
        <f>AF251/AF260</f>
        <v>0.22899642915111187</v>
      </c>
      <c r="AG268" s="35">
        <f t="shared" ref="AG268" si="1128">AG251/AG260</f>
        <v>0.26145206906817497</v>
      </c>
    </row>
    <row r="269" spans="2:33" ht="13.5" customHeight="1"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</row>
    <row r="270" spans="2:33" s="33" customFormat="1" ht="13.5" customHeight="1">
      <c r="B270" s="33" t="str">
        <f>+B137</f>
        <v>EBITDA - Capex / Interest</v>
      </c>
      <c r="C270" s="35">
        <f t="shared" ref="C270:J270" si="1129">(C260+C233)/-C231</f>
        <v>19.393547874259369</v>
      </c>
      <c r="D270" s="35">
        <f t="shared" si="1129"/>
        <v>14.742638853664721</v>
      </c>
      <c r="E270" s="35">
        <f t="shared" si="1129"/>
        <v>23.433800296395717</v>
      </c>
      <c r="F270" s="35">
        <f t="shared" si="1129"/>
        <v>35.273763465459119</v>
      </c>
      <c r="G270" s="35">
        <f t="shared" si="1129"/>
        <v>29.776038768996511</v>
      </c>
      <c r="H270" s="35">
        <f t="shared" si="1129"/>
        <v>26.584008882264371</v>
      </c>
      <c r="I270" s="35">
        <f t="shared" si="1129"/>
        <v>15.485761782280601</v>
      </c>
      <c r="J270" s="35">
        <f t="shared" si="1129"/>
        <v>16.827409505095456</v>
      </c>
      <c r="K270" s="35"/>
      <c r="L270" s="34">
        <f>(L228+L233)/-L231</f>
        <v>55.724773896080869</v>
      </c>
      <c r="M270" s="34">
        <f>(M228+M233)/-M231</f>
        <v>16.926561518367887</v>
      </c>
      <c r="N270" s="34">
        <f>(N228+N233)/-N231</f>
        <v>72.259635198046254</v>
      </c>
      <c r="O270" s="35">
        <f t="shared" ref="O270:AG270" si="1130">(O260+SUM(L233:O233))/-SUM(L231:O231)</f>
        <v>23.433800296395717</v>
      </c>
      <c r="P270" s="35">
        <f t="shared" si="1130"/>
        <v>27.785425586693847</v>
      </c>
      <c r="Q270" s="35">
        <f t="shared" si="1130"/>
        <v>29.995604471432511</v>
      </c>
      <c r="R270" s="35">
        <f t="shared" si="1130"/>
        <v>33.414297514243152</v>
      </c>
      <c r="S270" s="35">
        <f t="shared" si="1130"/>
        <v>35.273763465459119</v>
      </c>
      <c r="T270" s="35">
        <f t="shared" si="1130"/>
        <v>32.936553317926702</v>
      </c>
      <c r="U270" s="35">
        <f t="shared" si="1130"/>
        <v>30.900943883346759</v>
      </c>
      <c r="V270" s="35">
        <f t="shared" si="1130"/>
        <v>29.275675564230138</v>
      </c>
      <c r="W270" s="35">
        <f t="shared" si="1130"/>
        <v>29.776038768996511</v>
      </c>
      <c r="X270" s="35">
        <f t="shared" si="1130"/>
        <v>30.042060187410783</v>
      </c>
      <c r="Y270" s="35">
        <f t="shared" si="1130"/>
        <v>31.234386945016169</v>
      </c>
      <c r="Z270" s="35">
        <f t="shared" si="1130"/>
        <v>28.319464602483464</v>
      </c>
      <c r="AA270" s="35">
        <f t="shared" si="1130"/>
        <v>26.584008882264371</v>
      </c>
      <c r="AB270" s="35">
        <f t="shared" si="1130"/>
        <v>24.993493296010367</v>
      </c>
      <c r="AC270" s="35">
        <f t="shared" si="1130"/>
        <v>21.10668331374853</v>
      </c>
      <c r="AD270" s="35">
        <f t="shared" si="1130"/>
        <v>18.834820198766721</v>
      </c>
      <c r="AE270" s="35">
        <f t="shared" si="1130"/>
        <v>15.485761782280601</v>
      </c>
      <c r="AF270" s="35">
        <f t="shared" si="1130"/>
        <v>13.58158517247654</v>
      </c>
      <c r="AG270" s="35">
        <f t="shared" si="1130"/>
        <v>16.827409505095456</v>
      </c>
    </row>
    <row r="271" spans="2:33" ht="12.75" customHeight="1">
      <c r="B271" s="30" t="str">
        <f>+B138</f>
        <v>EBITDA/Interest</v>
      </c>
      <c r="C271" s="37">
        <f t="shared" ref="C271:J271" si="1131">(C260)/-C231</f>
        <v>26.6229676598815</v>
      </c>
      <c r="D271" s="37">
        <f t="shared" si="1131"/>
        <v>22.26730915546538</v>
      </c>
      <c r="E271" s="37">
        <f t="shared" si="1131"/>
        <v>34.924363168637981</v>
      </c>
      <c r="F271" s="37">
        <f t="shared" si="1131"/>
        <v>47.792707625436513</v>
      </c>
      <c r="G271" s="37">
        <f t="shared" si="1131"/>
        <v>47.09232526133934</v>
      </c>
      <c r="H271" s="37">
        <f t="shared" si="1131"/>
        <v>49.141431808848807</v>
      </c>
      <c r="I271" s="37">
        <f t="shared" si="1131"/>
        <v>38.980843363243082</v>
      </c>
      <c r="J271" s="37">
        <f t="shared" si="1131"/>
        <v>43.139596858605124</v>
      </c>
      <c r="K271" s="37"/>
      <c r="L271" s="36">
        <f>(L228)/-L231</f>
        <v>92.303599929065442</v>
      </c>
      <c r="M271" s="36">
        <f>(M228)/-M231</f>
        <v>21.955493833283736</v>
      </c>
      <c r="N271" s="36">
        <f>(N228)/-N231</f>
        <v>98.98496527512782</v>
      </c>
      <c r="O271" s="37">
        <f t="shared" ref="O271:AG271" si="1132">(O260)/-SUM(L231:O231)</f>
        <v>34.924363168637981</v>
      </c>
      <c r="P271" s="37">
        <f t="shared" si="1132"/>
        <v>39.190514146251999</v>
      </c>
      <c r="Q271" s="37">
        <f t="shared" si="1132"/>
        <v>41.705768699972396</v>
      </c>
      <c r="R271" s="37">
        <f t="shared" si="1132"/>
        <v>46.488806681398124</v>
      </c>
      <c r="S271" s="37">
        <f t="shared" si="1132"/>
        <v>47.792707625436513</v>
      </c>
      <c r="T271" s="37">
        <f t="shared" si="1132"/>
        <v>46.999009574116855</v>
      </c>
      <c r="U271" s="37">
        <f t="shared" si="1132"/>
        <v>46.863704897040293</v>
      </c>
      <c r="V271" s="37">
        <f t="shared" si="1132"/>
        <v>45.495780300739469</v>
      </c>
      <c r="W271" s="37">
        <f t="shared" si="1132"/>
        <v>47.09232526133934</v>
      </c>
      <c r="X271" s="37">
        <f t="shared" si="1132"/>
        <v>47.222489294510055</v>
      </c>
      <c r="Y271" s="37">
        <f t="shared" si="1132"/>
        <v>48.926786239341361</v>
      </c>
      <c r="Z271" s="37">
        <f t="shared" si="1132"/>
        <v>48.159387782029285</v>
      </c>
      <c r="AA271" s="37">
        <f t="shared" si="1132"/>
        <v>49.141431808848807</v>
      </c>
      <c r="AB271" s="37">
        <f t="shared" si="1132"/>
        <v>47.683568711240824</v>
      </c>
      <c r="AC271" s="37">
        <f t="shared" si="1132"/>
        <v>45.424500587544067</v>
      </c>
      <c r="AD271" s="37">
        <f t="shared" si="1132"/>
        <v>42.995486427496772</v>
      </c>
      <c r="AE271" s="37">
        <f t="shared" si="1132"/>
        <v>38.980843363243082</v>
      </c>
      <c r="AF271" s="37">
        <f t="shared" si="1132"/>
        <v>40.038732485897732</v>
      </c>
      <c r="AG271" s="37">
        <f t="shared" si="1132"/>
        <v>43.139596858605124</v>
      </c>
    </row>
    <row r="272" spans="2:33" ht="13.5" customHeight="1"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spans="2:33" s="33" customFormat="1" ht="13.5" customHeight="1">
      <c r="B273" s="62" t="str">
        <f>+B140</f>
        <v xml:space="preserve">Gearing (Net debt / Equity) </v>
      </c>
      <c r="C273" s="226">
        <f t="shared" ref="C273:H273" si="1133">C249/C258</f>
        <v>3.5368536937300327E-2</v>
      </c>
      <c r="D273" s="226">
        <f t="shared" si="1133"/>
        <v>1.0853184110880151E-2</v>
      </c>
      <c r="E273" s="226">
        <f t="shared" si="1133"/>
        <v>0.14009960826640339</v>
      </c>
      <c r="F273" s="226">
        <f t="shared" si="1133"/>
        <v>2.1738488649633972E-2</v>
      </c>
      <c r="G273" s="226">
        <f t="shared" si="1133"/>
        <v>-3.873823642293104E-2</v>
      </c>
      <c r="H273" s="226">
        <f t="shared" si="1133"/>
        <v>-2.9683129633975382E-2</v>
      </c>
      <c r="I273" s="226">
        <f t="shared" ref="I273" si="1134">I249/I258</f>
        <v>9.5945726294612871E-2</v>
      </c>
      <c r="J273" s="226">
        <f>J249/J258</f>
        <v>0.10290819417412017</v>
      </c>
      <c r="K273" s="227"/>
      <c r="L273" s="226">
        <f t="shared" ref="L273:Z273" si="1135">L249/L258</f>
        <v>0.1810034187443316</v>
      </c>
      <c r="M273" s="226">
        <f t="shared" si="1135"/>
        <v>0.17311921978222999</v>
      </c>
      <c r="N273" s="226">
        <f t="shared" si="1135"/>
        <v>0.15640002379748533</v>
      </c>
      <c r="O273" s="226">
        <f t="shared" si="1135"/>
        <v>0.14009960826640339</v>
      </c>
      <c r="P273" s="226">
        <f t="shared" si="1135"/>
        <v>6.0378300795018505E-2</v>
      </c>
      <c r="Q273" s="226">
        <f t="shared" si="1135"/>
        <v>0.11203061940793969</v>
      </c>
      <c r="R273" s="226">
        <f t="shared" si="1135"/>
        <v>6.4133257954650844E-2</v>
      </c>
      <c r="S273" s="226">
        <f t="shared" si="1135"/>
        <v>2.1738488649633972E-2</v>
      </c>
      <c r="T273" s="226">
        <f t="shared" si="1135"/>
        <v>-3.2204369563456188E-2</v>
      </c>
      <c r="U273" s="226">
        <f t="shared" si="1135"/>
        <v>4.2355356122832352E-2</v>
      </c>
      <c r="V273" s="226">
        <f t="shared" si="1135"/>
        <v>2.1744693298234204E-2</v>
      </c>
      <c r="W273" s="226">
        <f t="shared" si="1135"/>
        <v>-3.873823642293104E-2</v>
      </c>
      <c r="X273" s="226">
        <f t="shared" si="1135"/>
        <v>-0.10302007039626956</v>
      </c>
      <c r="Y273" s="226">
        <f t="shared" si="1135"/>
        <v>-1.3033581834906004E-2</v>
      </c>
      <c r="Z273" s="226">
        <f t="shared" si="1135"/>
        <v>-2.2449290781964521E-2</v>
      </c>
      <c r="AA273" s="226">
        <f t="shared" ref="AA273" si="1136">AA249/AA258</f>
        <v>-2.9683129633975382E-2</v>
      </c>
      <c r="AB273" s="226">
        <f>AB249/AB258</f>
        <v>-4.0332329479144169E-2</v>
      </c>
      <c r="AC273" s="226">
        <f t="shared" ref="AC273:AE273" si="1137">AC249/AC258</f>
        <v>1.0254458314091417E-2</v>
      </c>
      <c r="AD273" s="226">
        <f t="shared" si="1137"/>
        <v>7.4780008895422717E-2</v>
      </c>
      <c r="AE273" s="226">
        <f t="shared" si="1137"/>
        <v>9.5945726294612871E-2</v>
      </c>
      <c r="AF273" s="226">
        <f>AF249/AF258</f>
        <v>8.6948394814651359E-2</v>
      </c>
      <c r="AG273" s="226">
        <f t="shared" ref="AG273" si="1138">AG249/AG258</f>
        <v>0.10290819417412017</v>
      </c>
    </row>
    <row r="274" spans="2:33" ht="13.5" customHeight="1"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</row>
    <row r="275" spans="2:33" ht="13.5" customHeight="1"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O92 L31:M31 O108:O110 L29:M29 L77 O72:O76 L71 O68:O70 C92:E92 O31 O28:O29 O25:O26 O67 O77 O71 O112:O114 O116:O118" formula="1"/>
    <ignoredError sqref="L140:O141 L35:O38 C56:D59 O103 O129:O138 C129:E138 L211:O213 C210:E215 L11:M11 L52:O52 L60:O60 L147:O149 L159:O160 L199:O200 L226:O226 L267:N272 C225:E226 C189:E200 C158:E162 C146:E151 C60:E60 C51:E52 C35:E38 C11:E11 L162:O162 O11 O146 O150:O151 O189:O198 O210 O214:O215 C44:E45 L44:O45 L41:O42 C41:E42" evalError="1"/>
    <ignoredError sqref="O30 L57:O59 E56:E59" evalError="1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AG88"/>
  <sheetViews>
    <sheetView showGridLines="0" zoomScaleNormal="100" workbookViewId="0">
      <pane xSplit="2" ySplit="6" topLeftCell="G7" activePane="bottomRight" state="frozen"/>
      <selection pane="bottomRight" activeCell="AJ2" sqref="AJ2"/>
      <selection pane="bottomLeft" activeCell="J91" sqref="J91"/>
      <selection pane="topRight" activeCell="J91" sqref="J91"/>
    </sheetView>
  </sheetViews>
  <sheetFormatPr defaultRowHeight="12.75" outlineLevelCol="1"/>
  <cols>
    <col min="1" max="1" width="2.7109375" style="89" customWidth="1"/>
    <col min="2" max="2" width="50.7109375" style="89" customWidth="1"/>
    <col min="3" max="6" width="12.7109375" style="89" hidden="1" customWidth="1" outlineLevel="1"/>
    <col min="7" max="7" width="12.7109375" style="89" customWidth="1" collapsed="1"/>
    <col min="8" max="11" width="12.7109375" style="89" customWidth="1"/>
    <col min="12" max="14" width="12.7109375" style="89" hidden="1" customWidth="1" outlineLevel="1"/>
    <col min="15" max="15" width="12.7109375" style="105" hidden="1" customWidth="1" outlineLevel="1"/>
    <col min="16" max="16" width="12.7109375" style="89" hidden="1" customWidth="1" outlineLevel="1" collapsed="1"/>
    <col min="17" max="18" width="12.7109375" style="89" hidden="1" customWidth="1" outlineLevel="1"/>
    <col min="19" max="19" width="12.7109375" style="105" hidden="1" customWidth="1" outlineLevel="1"/>
    <col min="20" max="20" width="12.7109375" style="89" hidden="1" customWidth="1" outlineLevel="1"/>
    <col min="21" max="21" width="12.7109375" style="89" hidden="1" customWidth="1" outlineLevel="1" collapsed="1"/>
    <col min="22" max="22" width="12.7109375" style="89" hidden="1" customWidth="1" outlineLevel="1"/>
    <col min="23" max="23" width="12.7109375" style="105" hidden="1" customWidth="1" outlineLevel="1"/>
    <col min="24" max="24" width="12.7109375" style="89" hidden="1" customWidth="1" outlineLevel="1"/>
    <col min="25" max="25" width="12.7109375" style="89" hidden="1" customWidth="1" outlineLevel="1" collapsed="1"/>
    <col min="26" max="26" width="12.7109375" style="89" hidden="1" customWidth="1" outlineLevel="1"/>
    <col min="27" max="27" width="12.7109375" style="105" customWidth="1" collapsed="1"/>
    <col min="28" max="28" width="12.7109375" style="89" customWidth="1"/>
    <col min="29" max="29" width="12.7109375" style="89" customWidth="1" collapsed="1"/>
    <col min="30" max="30" width="12.7109375" style="89" customWidth="1"/>
    <col min="31" max="31" width="12.7109375" style="105" customWidth="1"/>
    <col min="32" max="32" width="12.7109375" style="89" customWidth="1"/>
    <col min="33" max="33" width="12.7109375" style="89" customWidth="1" collapsed="1"/>
    <col min="34" max="37" width="12.7109375" style="89" customWidth="1"/>
    <col min="38" max="263" width="9.28515625" style="89"/>
    <col min="264" max="264" width="2.5703125" style="89" customWidth="1"/>
    <col min="265" max="265" width="29.42578125" style="89" customWidth="1"/>
    <col min="266" max="270" width="11.28515625" style="89" customWidth="1"/>
    <col min="271" max="271" width="6.28515625" style="89" customWidth="1"/>
    <col min="272" max="275" width="11.28515625" style="89" customWidth="1"/>
    <col min="276" max="519" width="9.28515625" style="89"/>
    <col min="520" max="520" width="2.5703125" style="89" customWidth="1"/>
    <col min="521" max="521" width="29.42578125" style="89" customWidth="1"/>
    <col min="522" max="526" width="11.28515625" style="89" customWidth="1"/>
    <col min="527" max="527" width="6.28515625" style="89" customWidth="1"/>
    <col min="528" max="531" width="11.28515625" style="89" customWidth="1"/>
    <col min="532" max="775" width="9.28515625" style="89"/>
    <col min="776" max="776" width="2.5703125" style="89" customWidth="1"/>
    <col min="777" max="777" width="29.42578125" style="89" customWidth="1"/>
    <col min="778" max="782" width="11.28515625" style="89" customWidth="1"/>
    <col min="783" max="783" width="6.28515625" style="89" customWidth="1"/>
    <col min="784" max="787" width="11.28515625" style="89" customWidth="1"/>
    <col min="788" max="1031" width="9.28515625" style="89"/>
    <col min="1032" max="1032" width="2.5703125" style="89" customWidth="1"/>
    <col min="1033" max="1033" width="29.42578125" style="89" customWidth="1"/>
    <col min="1034" max="1038" width="11.28515625" style="89" customWidth="1"/>
    <col min="1039" max="1039" width="6.28515625" style="89" customWidth="1"/>
    <col min="1040" max="1043" width="11.28515625" style="89" customWidth="1"/>
    <col min="1044" max="1287" width="9.28515625" style="89"/>
    <col min="1288" max="1288" width="2.5703125" style="89" customWidth="1"/>
    <col min="1289" max="1289" width="29.42578125" style="89" customWidth="1"/>
    <col min="1290" max="1294" width="11.28515625" style="89" customWidth="1"/>
    <col min="1295" max="1295" width="6.28515625" style="89" customWidth="1"/>
    <col min="1296" max="1299" width="11.28515625" style="89" customWidth="1"/>
    <col min="1300" max="1543" width="9.28515625" style="89"/>
    <col min="1544" max="1544" width="2.5703125" style="89" customWidth="1"/>
    <col min="1545" max="1545" width="29.42578125" style="89" customWidth="1"/>
    <col min="1546" max="1550" width="11.28515625" style="89" customWidth="1"/>
    <col min="1551" max="1551" width="6.28515625" style="89" customWidth="1"/>
    <col min="1552" max="1555" width="11.28515625" style="89" customWidth="1"/>
    <col min="1556" max="1799" width="9.28515625" style="89"/>
    <col min="1800" max="1800" width="2.5703125" style="89" customWidth="1"/>
    <col min="1801" max="1801" width="29.42578125" style="89" customWidth="1"/>
    <col min="1802" max="1806" width="11.28515625" style="89" customWidth="1"/>
    <col min="1807" max="1807" width="6.28515625" style="89" customWidth="1"/>
    <col min="1808" max="1811" width="11.28515625" style="89" customWidth="1"/>
    <col min="1812" max="2055" width="9.28515625" style="89"/>
    <col min="2056" max="2056" width="2.5703125" style="89" customWidth="1"/>
    <col min="2057" max="2057" width="29.42578125" style="89" customWidth="1"/>
    <col min="2058" max="2062" width="11.28515625" style="89" customWidth="1"/>
    <col min="2063" max="2063" width="6.28515625" style="89" customWidth="1"/>
    <col min="2064" max="2067" width="11.28515625" style="89" customWidth="1"/>
    <col min="2068" max="2311" width="9.28515625" style="89"/>
    <col min="2312" max="2312" width="2.5703125" style="89" customWidth="1"/>
    <col min="2313" max="2313" width="29.42578125" style="89" customWidth="1"/>
    <col min="2314" max="2318" width="11.28515625" style="89" customWidth="1"/>
    <col min="2319" max="2319" width="6.28515625" style="89" customWidth="1"/>
    <col min="2320" max="2323" width="11.28515625" style="89" customWidth="1"/>
    <col min="2324" max="2567" width="9.28515625" style="89"/>
    <col min="2568" max="2568" width="2.5703125" style="89" customWidth="1"/>
    <col min="2569" max="2569" width="29.42578125" style="89" customWidth="1"/>
    <col min="2570" max="2574" width="11.28515625" style="89" customWidth="1"/>
    <col min="2575" max="2575" width="6.28515625" style="89" customWidth="1"/>
    <col min="2576" max="2579" width="11.28515625" style="89" customWidth="1"/>
    <col min="2580" max="2823" width="9.28515625" style="89"/>
    <col min="2824" max="2824" width="2.5703125" style="89" customWidth="1"/>
    <col min="2825" max="2825" width="29.42578125" style="89" customWidth="1"/>
    <col min="2826" max="2830" width="11.28515625" style="89" customWidth="1"/>
    <col min="2831" max="2831" width="6.28515625" style="89" customWidth="1"/>
    <col min="2832" max="2835" width="11.28515625" style="89" customWidth="1"/>
    <col min="2836" max="3079" width="9.28515625" style="89"/>
    <col min="3080" max="3080" width="2.5703125" style="89" customWidth="1"/>
    <col min="3081" max="3081" width="29.42578125" style="89" customWidth="1"/>
    <col min="3082" max="3086" width="11.28515625" style="89" customWidth="1"/>
    <col min="3087" max="3087" width="6.28515625" style="89" customWidth="1"/>
    <col min="3088" max="3091" width="11.28515625" style="89" customWidth="1"/>
    <col min="3092" max="3335" width="9.28515625" style="89"/>
    <col min="3336" max="3336" width="2.5703125" style="89" customWidth="1"/>
    <col min="3337" max="3337" width="29.42578125" style="89" customWidth="1"/>
    <col min="3338" max="3342" width="11.28515625" style="89" customWidth="1"/>
    <col min="3343" max="3343" width="6.28515625" style="89" customWidth="1"/>
    <col min="3344" max="3347" width="11.28515625" style="89" customWidth="1"/>
    <col min="3348" max="3591" width="9.28515625" style="89"/>
    <col min="3592" max="3592" width="2.5703125" style="89" customWidth="1"/>
    <col min="3593" max="3593" width="29.42578125" style="89" customWidth="1"/>
    <col min="3594" max="3598" width="11.28515625" style="89" customWidth="1"/>
    <col min="3599" max="3599" width="6.28515625" style="89" customWidth="1"/>
    <col min="3600" max="3603" width="11.28515625" style="89" customWidth="1"/>
    <col min="3604" max="3847" width="9.28515625" style="89"/>
    <col min="3848" max="3848" width="2.5703125" style="89" customWidth="1"/>
    <col min="3849" max="3849" width="29.42578125" style="89" customWidth="1"/>
    <col min="3850" max="3854" width="11.28515625" style="89" customWidth="1"/>
    <col min="3855" max="3855" width="6.28515625" style="89" customWidth="1"/>
    <col min="3856" max="3859" width="11.28515625" style="89" customWidth="1"/>
    <col min="3860" max="4103" width="9.28515625" style="89"/>
    <col min="4104" max="4104" width="2.5703125" style="89" customWidth="1"/>
    <col min="4105" max="4105" width="29.42578125" style="89" customWidth="1"/>
    <col min="4106" max="4110" width="11.28515625" style="89" customWidth="1"/>
    <col min="4111" max="4111" width="6.28515625" style="89" customWidth="1"/>
    <col min="4112" max="4115" width="11.28515625" style="89" customWidth="1"/>
    <col min="4116" max="4359" width="9.28515625" style="89"/>
    <col min="4360" max="4360" width="2.5703125" style="89" customWidth="1"/>
    <col min="4361" max="4361" width="29.42578125" style="89" customWidth="1"/>
    <col min="4362" max="4366" width="11.28515625" style="89" customWidth="1"/>
    <col min="4367" max="4367" width="6.28515625" style="89" customWidth="1"/>
    <col min="4368" max="4371" width="11.28515625" style="89" customWidth="1"/>
    <col min="4372" max="4615" width="9.28515625" style="89"/>
    <col min="4616" max="4616" width="2.5703125" style="89" customWidth="1"/>
    <col min="4617" max="4617" width="29.42578125" style="89" customWidth="1"/>
    <col min="4618" max="4622" width="11.28515625" style="89" customWidth="1"/>
    <col min="4623" max="4623" width="6.28515625" style="89" customWidth="1"/>
    <col min="4624" max="4627" width="11.28515625" style="89" customWidth="1"/>
    <col min="4628" max="4871" width="9.28515625" style="89"/>
    <col min="4872" max="4872" width="2.5703125" style="89" customWidth="1"/>
    <col min="4873" max="4873" width="29.42578125" style="89" customWidth="1"/>
    <col min="4874" max="4878" width="11.28515625" style="89" customWidth="1"/>
    <col min="4879" max="4879" width="6.28515625" style="89" customWidth="1"/>
    <col min="4880" max="4883" width="11.28515625" style="89" customWidth="1"/>
    <col min="4884" max="5127" width="9.28515625" style="89"/>
    <col min="5128" max="5128" width="2.5703125" style="89" customWidth="1"/>
    <col min="5129" max="5129" width="29.42578125" style="89" customWidth="1"/>
    <col min="5130" max="5134" width="11.28515625" style="89" customWidth="1"/>
    <col min="5135" max="5135" width="6.28515625" style="89" customWidth="1"/>
    <col min="5136" max="5139" width="11.28515625" style="89" customWidth="1"/>
    <col min="5140" max="5383" width="9.28515625" style="89"/>
    <col min="5384" max="5384" width="2.5703125" style="89" customWidth="1"/>
    <col min="5385" max="5385" width="29.42578125" style="89" customWidth="1"/>
    <col min="5386" max="5390" width="11.28515625" style="89" customWidth="1"/>
    <col min="5391" max="5391" width="6.28515625" style="89" customWidth="1"/>
    <col min="5392" max="5395" width="11.28515625" style="89" customWidth="1"/>
    <col min="5396" max="5639" width="9.28515625" style="89"/>
    <col min="5640" max="5640" width="2.5703125" style="89" customWidth="1"/>
    <col min="5641" max="5641" width="29.42578125" style="89" customWidth="1"/>
    <col min="5642" max="5646" width="11.28515625" style="89" customWidth="1"/>
    <col min="5647" max="5647" width="6.28515625" style="89" customWidth="1"/>
    <col min="5648" max="5651" width="11.28515625" style="89" customWidth="1"/>
    <col min="5652" max="5895" width="9.28515625" style="89"/>
    <col min="5896" max="5896" width="2.5703125" style="89" customWidth="1"/>
    <col min="5897" max="5897" width="29.42578125" style="89" customWidth="1"/>
    <col min="5898" max="5902" width="11.28515625" style="89" customWidth="1"/>
    <col min="5903" max="5903" width="6.28515625" style="89" customWidth="1"/>
    <col min="5904" max="5907" width="11.28515625" style="89" customWidth="1"/>
    <col min="5908" max="6151" width="9.28515625" style="89"/>
    <col min="6152" max="6152" width="2.5703125" style="89" customWidth="1"/>
    <col min="6153" max="6153" width="29.42578125" style="89" customWidth="1"/>
    <col min="6154" max="6158" width="11.28515625" style="89" customWidth="1"/>
    <col min="6159" max="6159" width="6.28515625" style="89" customWidth="1"/>
    <col min="6160" max="6163" width="11.28515625" style="89" customWidth="1"/>
    <col min="6164" max="6407" width="9.28515625" style="89"/>
    <col min="6408" max="6408" width="2.5703125" style="89" customWidth="1"/>
    <col min="6409" max="6409" width="29.42578125" style="89" customWidth="1"/>
    <col min="6410" max="6414" width="11.28515625" style="89" customWidth="1"/>
    <col min="6415" max="6415" width="6.28515625" style="89" customWidth="1"/>
    <col min="6416" max="6419" width="11.28515625" style="89" customWidth="1"/>
    <col min="6420" max="6663" width="9.28515625" style="89"/>
    <col min="6664" max="6664" width="2.5703125" style="89" customWidth="1"/>
    <col min="6665" max="6665" width="29.42578125" style="89" customWidth="1"/>
    <col min="6666" max="6670" width="11.28515625" style="89" customWidth="1"/>
    <col min="6671" max="6671" width="6.28515625" style="89" customWidth="1"/>
    <col min="6672" max="6675" width="11.28515625" style="89" customWidth="1"/>
    <col min="6676" max="6919" width="9.28515625" style="89"/>
    <col min="6920" max="6920" width="2.5703125" style="89" customWidth="1"/>
    <col min="6921" max="6921" width="29.42578125" style="89" customWidth="1"/>
    <col min="6922" max="6926" width="11.28515625" style="89" customWidth="1"/>
    <col min="6927" max="6927" width="6.28515625" style="89" customWidth="1"/>
    <col min="6928" max="6931" width="11.28515625" style="89" customWidth="1"/>
    <col min="6932" max="7175" width="9.28515625" style="89"/>
    <col min="7176" max="7176" width="2.5703125" style="89" customWidth="1"/>
    <col min="7177" max="7177" width="29.42578125" style="89" customWidth="1"/>
    <col min="7178" max="7182" width="11.28515625" style="89" customWidth="1"/>
    <col min="7183" max="7183" width="6.28515625" style="89" customWidth="1"/>
    <col min="7184" max="7187" width="11.28515625" style="89" customWidth="1"/>
    <col min="7188" max="7431" width="9.28515625" style="89"/>
    <col min="7432" max="7432" width="2.5703125" style="89" customWidth="1"/>
    <col min="7433" max="7433" width="29.42578125" style="89" customWidth="1"/>
    <col min="7434" max="7438" width="11.28515625" style="89" customWidth="1"/>
    <col min="7439" max="7439" width="6.28515625" style="89" customWidth="1"/>
    <col min="7440" max="7443" width="11.28515625" style="89" customWidth="1"/>
    <col min="7444" max="7687" width="9.28515625" style="89"/>
    <col min="7688" max="7688" width="2.5703125" style="89" customWidth="1"/>
    <col min="7689" max="7689" width="29.42578125" style="89" customWidth="1"/>
    <col min="7690" max="7694" width="11.28515625" style="89" customWidth="1"/>
    <col min="7695" max="7695" width="6.28515625" style="89" customWidth="1"/>
    <col min="7696" max="7699" width="11.28515625" style="89" customWidth="1"/>
    <col min="7700" max="7943" width="9.28515625" style="89"/>
    <col min="7944" max="7944" width="2.5703125" style="89" customWidth="1"/>
    <col min="7945" max="7945" width="29.42578125" style="89" customWidth="1"/>
    <col min="7946" max="7950" width="11.28515625" style="89" customWidth="1"/>
    <col min="7951" max="7951" width="6.28515625" style="89" customWidth="1"/>
    <col min="7952" max="7955" width="11.28515625" style="89" customWidth="1"/>
    <col min="7956" max="8199" width="9.28515625" style="89"/>
    <col min="8200" max="8200" width="2.5703125" style="89" customWidth="1"/>
    <col min="8201" max="8201" width="29.42578125" style="89" customWidth="1"/>
    <col min="8202" max="8206" width="11.28515625" style="89" customWidth="1"/>
    <col min="8207" max="8207" width="6.28515625" style="89" customWidth="1"/>
    <col min="8208" max="8211" width="11.28515625" style="89" customWidth="1"/>
    <col min="8212" max="8455" width="9.28515625" style="89"/>
    <col min="8456" max="8456" width="2.5703125" style="89" customWidth="1"/>
    <col min="8457" max="8457" width="29.42578125" style="89" customWidth="1"/>
    <col min="8458" max="8462" width="11.28515625" style="89" customWidth="1"/>
    <col min="8463" max="8463" width="6.28515625" style="89" customWidth="1"/>
    <col min="8464" max="8467" width="11.28515625" style="89" customWidth="1"/>
    <col min="8468" max="8711" width="9.28515625" style="89"/>
    <col min="8712" max="8712" width="2.5703125" style="89" customWidth="1"/>
    <col min="8713" max="8713" width="29.42578125" style="89" customWidth="1"/>
    <col min="8714" max="8718" width="11.28515625" style="89" customWidth="1"/>
    <col min="8719" max="8719" width="6.28515625" style="89" customWidth="1"/>
    <col min="8720" max="8723" width="11.28515625" style="89" customWidth="1"/>
    <col min="8724" max="8967" width="9.28515625" style="89"/>
    <col min="8968" max="8968" width="2.5703125" style="89" customWidth="1"/>
    <col min="8969" max="8969" width="29.42578125" style="89" customWidth="1"/>
    <col min="8970" max="8974" width="11.28515625" style="89" customWidth="1"/>
    <col min="8975" max="8975" width="6.28515625" style="89" customWidth="1"/>
    <col min="8976" max="8979" width="11.28515625" style="89" customWidth="1"/>
    <col min="8980" max="9223" width="9.28515625" style="89"/>
    <col min="9224" max="9224" width="2.5703125" style="89" customWidth="1"/>
    <col min="9225" max="9225" width="29.42578125" style="89" customWidth="1"/>
    <col min="9226" max="9230" width="11.28515625" style="89" customWidth="1"/>
    <col min="9231" max="9231" width="6.28515625" style="89" customWidth="1"/>
    <col min="9232" max="9235" width="11.28515625" style="89" customWidth="1"/>
    <col min="9236" max="9479" width="9.28515625" style="89"/>
    <col min="9480" max="9480" width="2.5703125" style="89" customWidth="1"/>
    <col min="9481" max="9481" width="29.42578125" style="89" customWidth="1"/>
    <col min="9482" max="9486" width="11.28515625" style="89" customWidth="1"/>
    <col min="9487" max="9487" width="6.28515625" style="89" customWidth="1"/>
    <col min="9488" max="9491" width="11.28515625" style="89" customWidth="1"/>
    <col min="9492" max="9735" width="9.28515625" style="89"/>
    <col min="9736" max="9736" width="2.5703125" style="89" customWidth="1"/>
    <col min="9737" max="9737" width="29.42578125" style="89" customWidth="1"/>
    <col min="9738" max="9742" width="11.28515625" style="89" customWidth="1"/>
    <col min="9743" max="9743" width="6.28515625" style="89" customWidth="1"/>
    <col min="9744" max="9747" width="11.28515625" style="89" customWidth="1"/>
    <col min="9748" max="9991" width="9.28515625" style="89"/>
    <col min="9992" max="9992" width="2.5703125" style="89" customWidth="1"/>
    <col min="9993" max="9993" width="29.42578125" style="89" customWidth="1"/>
    <col min="9994" max="9998" width="11.28515625" style="89" customWidth="1"/>
    <col min="9999" max="9999" width="6.28515625" style="89" customWidth="1"/>
    <col min="10000" max="10003" width="11.28515625" style="89" customWidth="1"/>
    <col min="10004" max="10247" width="9.28515625" style="89"/>
    <col min="10248" max="10248" width="2.5703125" style="89" customWidth="1"/>
    <col min="10249" max="10249" width="29.42578125" style="89" customWidth="1"/>
    <col min="10250" max="10254" width="11.28515625" style="89" customWidth="1"/>
    <col min="10255" max="10255" width="6.28515625" style="89" customWidth="1"/>
    <col min="10256" max="10259" width="11.28515625" style="89" customWidth="1"/>
    <col min="10260" max="10503" width="9.28515625" style="89"/>
    <col min="10504" max="10504" width="2.5703125" style="89" customWidth="1"/>
    <col min="10505" max="10505" width="29.42578125" style="89" customWidth="1"/>
    <col min="10506" max="10510" width="11.28515625" style="89" customWidth="1"/>
    <col min="10511" max="10511" width="6.28515625" style="89" customWidth="1"/>
    <col min="10512" max="10515" width="11.28515625" style="89" customWidth="1"/>
    <col min="10516" max="10759" width="9.28515625" style="89"/>
    <col min="10760" max="10760" width="2.5703125" style="89" customWidth="1"/>
    <col min="10761" max="10761" width="29.42578125" style="89" customWidth="1"/>
    <col min="10762" max="10766" width="11.28515625" style="89" customWidth="1"/>
    <col min="10767" max="10767" width="6.28515625" style="89" customWidth="1"/>
    <col min="10768" max="10771" width="11.28515625" style="89" customWidth="1"/>
    <col min="10772" max="11015" width="9.28515625" style="89"/>
    <col min="11016" max="11016" width="2.5703125" style="89" customWidth="1"/>
    <col min="11017" max="11017" width="29.42578125" style="89" customWidth="1"/>
    <col min="11018" max="11022" width="11.28515625" style="89" customWidth="1"/>
    <col min="11023" max="11023" width="6.28515625" style="89" customWidth="1"/>
    <col min="11024" max="11027" width="11.28515625" style="89" customWidth="1"/>
    <col min="11028" max="11271" width="9.28515625" style="89"/>
    <col min="11272" max="11272" width="2.5703125" style="89" customWidth="1"/>
    <col min="11273" max="11273" width="29.42578125" style="89" customWidth="1"/>
    <col min="11274" max="11278" width="11.28515625" style="89" customWidth="1"/>
    <col min="11279" max="11279" width="6.28515625" style="89" customWidth="1"/>
    <col min="11280" max="11283" width="11.28515625" style="89" customWidth="1"/>
    <col min="11284" max="11527" width="9.28515625" style="89"/>
    <col min="11528" max="11528" width="2.5703125" style="89" customWidth="1"/>
    <col min="11529" max="11529" width="29.42578125" style="89" customWidth="1"/>
    <col min="11530" max="11534" width="11.28515625" style="89" customWidth="1"/>
    <col min="11535" max="11535" width="6.28515625" style="89" customWidth="1"/>
    <col min="11536" max="11539" width="11.28515625" style="89" customWidth="1"/>
    <col min="11540" max="11783" width="9.28515625" style="89"/>
    <col min="11784" max="11784" width="2.5703125" style="89" customWidth="1"/>
    <col min="11785" max="11785" width="29.42578125" style="89" customWidth="1"/>
    <col min="11786" max="11790" width="11.28515625" style="89" customWidth="1"/>
    <col min="11791" max="11791" width="6.28515625" style="89" customWidth="1"/>
    <col min="11792" max="11795" width="11.28515625" style="89" customWidth="1"/>
    <col min="11796" max="12039" width="9.28515625" style="89"/>
    <col min="12040" max="12040" width="2.5703125" style="89" customWidth="1"/>
    <col min="12041" max="12041" width="29.42578125" style="89" customWidth="1"/>
    <col min="12042" max="12046" width="11.28515625" style="89" customWidth="1"/>
    <col min="12047" max="12047" width="6.28515625" style="89" customWidth="1"/>
    <col min="12048" max="12051" width="11.28515625" style="89" customWidth="1"/>
    <col min="12052" max="12295" width="9.28515625" style="89"/>
    <col min="12296" max="12296" width="2.5703125" style="89" customWidth="1"/>
    <col min="12297" max="12297" width="29.42578125" style="89" customWidth="1"/>
    <col min="12298" max="12302" width="11.28515625" style="89" customWidth="1"/>
    <col min="12303" max="12303" width="6.28515625" style="89" customWidth="1"/>
    <col min="12304" max="12307" width="11.28515625" style="89" customWidth="1"/>
    <col min="12308" max="12551" width="9.28515625" style="89"/>
    <col min="12552" max="12552" width="2.5703125" style="89" customWidth="1"/>
    <col min="12553" max="12553" width="29.42578125" style="89" customWidth="1"/>
    <col min="12554" max="12558" width="11.28515625" style="89" customWidth="1"/>
    <col min="12559" max="12559" width="6.28515625" style="89" customWidth="1"/>
    <col min="12560" max="12563" width="11.28515625" style="89" customWidth="1"/>
    <col min="12564" max="12807" width="9.28515625" style="89"/>
    <col min="12808" max="12808" width="2.5703125" style="89" customWidth="1"/>
    <col min="12809" max="12809" width="29.42578125" style="89" customWidth="1"/>
    <col min="12810" max="12814" width="11.28515625" style="89" customWidth="1"/>
    <col min="12815" max="12815" width="6.28515625" style="89" customWidth="1"/>
    <col min="12816" max="12819" width="11.28515625" style="89" customWidth="1"/>
    <col min="12820" max="13063" width="9.28515625" style="89"/>
    <col min="13064" max="13064" width="2.5703125" style="89" customWidth="1"/>
    <col min="13065" max="13065" width="29.42578125" style="89" customWidth="1"/>
    <col min="13066" max="13070" width="11.28515625" style="89" customWidth="1"/>
    <col min="13071" max="13071" width="6.28515625" style="89" customWidth="1"/>
    <col min="13072" max="13075" width="11.28515625" style="89" customWidth="1"/>
    <col min="13076" max="13319" width="9.28515625" style="89"/>
    <col min="13320" max="13320" width="2.5703125" style="89" customWidth="1"/>
    <col min="13321" max="13321" width="29.42578125" style="89" customWidth="1"/>
    <col min="13322" max="13326" width="11.28515625" style="89" customWidth="1"/>
    <col min="13327" max="13327" width="6.28515625" style="89" customWidth="1"/>
    <col min="13328" max="13331" width="11.28515625" style="89" customWidth="1"/>
    <col min="13332" max="13575" width="9.28515625" style="89"/>
    <col min="13576" max="13576" width="2.5703125" style="89" customWidth="1"/>
    <col min="13577" max="13577" width="29.42578125" style="89" customWidth="1"/>
    <col min="13578" max="13582" width="11.28515625" style="89" customWidth="1"/>
    <col min="13583" max="13583" width="6.28515625" style="89" customWidth="1"/>
    <col min="13584" max="13587" width="11.28515625" style="89" customWidth="1"/>
    <col min="13588" max="13831" width="9.28515625" style="89"/>
    <col min="13832" max="13832" width="2.5703125" style="89" customWidth="1"/>
    <col min="13833" max="13833" width="29.42578125" style="89" customWidth="1"/>
    <col min="13834" max="13838" width="11.28515625" style="89" customWidth="1"/>
    <col min="13839" max="13839" width="6.28515625" style="89" customWidth="1"/>
    <col min="13840" max="13843" width="11.28515625" style="89" customWidth="1"/>
    <col min="13844" max="14087" width="9.28515625" style="89"/>
    <col min="14088" max="14088" width="2.5703125" style="89" customWidth="1"/>
    <col min="14089" max="14089" width="29.42578125" style="89" customWidth="1"/>
    <col min="14090" max="14094" width="11.28515625" style="89" customWidth="1"/>
    <col min="14095" max="14095" width="6.28515625" style="89" customWidth="1"/>
    <col min="14096" max="14099" width="11.28515625" style="89" customWidth="1"/>
    <col min="14100" max="14343" width="9.28515625" style="89"/>
    <col min="14344" max="14344" width="2.5703125" style="89" customWidth="1"/>
    <col min="14345" max="14345" width="29.42578125" style="89" customWidth="1"/>
    <col min="14346" max="14350" width="11.28515625" style="89" customWidth="1"/>
    <col min="14351" max="14351" width="6.28515625" style="89" customWidth="1"/>
    <col min="14352" max="14355" width="11.28515625" style="89" customWidth="1"/>
    <col min="14356" max="14599" width="9.28515625" style="89"/>
    <col min="14600" max="14600" width="2.5703125" style="89" customWidth="1"/>
    <col min="14601" max="14601" width="29.42578125" style="89" customWidth="1"/>
    <col min="14602" max="14606" width="11.28515625" style="89" customWidth="1"/>
    <col min="14607" max="14607" width="6.28515625" style="89" customWidth="1"/>
    <col min="14608" max="14611" width="11.28515625" style="89" customWidth="1"/>
    <col min="14612" max="14855" width="9.28515625" style="89"/>
    <col min="14856" max="14856" width="2.5703125" style="89" customWidth="1"/>
    <col min="14857" max="14857" width="29.42578125" style="89" customWidth="1"/>
    <col min="14858" max="14862" width="11.28515625" style="89" customWidth="1"/>
    <col min="14863" max="14863" width="6.28515625" style="89" customWidth="1"/>
    <col min="14864" max="14867" width="11.28515625" style="89" customWidth="1"/>
    <col min="14868" max="15111" width="9.28515625" style="89"/>
    <col min="15112" max="15112" width="2.5703125" style="89" customWidth="1"/>
    <col min="15113" max="15113" width="29.42578125" style="89" customWidth="1"/>
    <col min="15114" max="15118" width="11.28515625" style="89" customWidth="1"/>
    <col min="15119" max="15119" width="6.28515625" style="89" customWidth="1"/>
    <col min="15120" max="15123" width="11.28515625" style="89" customWidth="1"/>
    <col min="15124" max="15367" width="9.28515625" style="89"/>
    <col min="15368" max="15368" width="2.5703125" style="89" customWidth="1"/>
    <col min="15369" max="15369" width="29.42578125" style="89" customWidth="1"/>
    <col min="15370" max="15374" width="11.28515625" style="89" customWidth="1"/>
    <col min="15375" max="15375" width="6.28515625" style="89" customWidth="1"/>
    <col min="15376" max="15379" width="11.28515625" style="89" customWidth="1"/>
    <col min="15380" max="15623" width="9.28515625" style="89"/>
    <col min="15624" max="15624" width="2.5703125" style="89" customWidth="1"/>
    <col min="15625" max="15625" width="29.42578125" style="89" customWidth="1"/>
    <col min="15626" max="15630" width="11.28515625" style="89" customWidth="1"/>
    <col min="15631" max="15631" width="6.28515625" style="89" customWidth="1"/>
    <col min="15632" max="15635" width="11.28515625" style="89" customWidth="1"/>
    <col min="15636" max="15879" width="9.28515625" style="89"/>
    <col min="15880" max="15880" width="2.5703125" style="89" customWidth="1"/>
    <col min="15881" max="15881" width="29.42578125" style="89" customWidth="1"/>
    <col min="15882" max="15886" width="11.28515625" style="89" customWidth="1"/>
    <col min="15887" max="15887" width="6.28515625" style="89" customWidth="1"/>
    <col min="15888" max="15891" width="11.28515625" style="89" customWidth="1"/>
    <col min="15892" max="16135" width="9.28515625" style="89"/>
    <col min="16136" max="16136" width="2.5703125" style="89" customWidth="1"/>
    <col min="16137" max="16137" width="29.42578125" style="89" customWidth="1"/>
    <col min="16138" max="16142" width="11.28515625" style="89" customWidth="1"/>
    <col min="16143" max="16143" width="6.28515625" style="89" customWidth="1"/>
    <col min="16144" max="16147" width="11.28515625" style="89" customWidth="1"/>
    <col min="16148" max="16384" width="9.28515625" style="89"/>
  </cols>
  <sheetData>
    <row r="2" spans="2:33" s="92" customFormat="1" ht="24.75" customHeight="1">
      <c r="B2" s="233" t="s">
        <v>95</v>
      </c>
      <c r="C2" s="234" t="s">
        <v>96</v>
      </c>
      <c r="D2" s="234" t="s">
        <v>96</v>
      </c>
      <c r="E2" s="234" t="s">
        <v>96</v>
      </c>
      <c r="F2" s="234" t="s">
        <v>96</v>
      </c>
      <c r="G2" s="234" t="s">
        <v>96</v>
      </c>
      <c r="H2" s="234" t="s">
        <v>96</v>
      </c>
      <c r="I2" s="234" t="s">
        <v>96</v>
      </c>
      <c r="J2" s="248" t="s">
        <v>97</v>
      </c>
      <c r="K2" s="235"/>
      <c r="L2" s="234" t="s">
        <v>98</v>
      </c>
      <c r="M2" s="234" t="s">
        <v>98</v>
      </c>
      <c r="N2" s="234" t="s">
        <v>98</v>
      </c>
      <c r="O2" s="253" t="s">
        <v>98</v>
      </c>
      <c r="P2" s="234" t="s">
        <v>98</v>
      </c>
      <c r="Q2" s="234" t="s">
        <v>98</v>
      </c>
      <c r="R2" s="234" t="s">
        <v>98</v>
      </c>
      <c r="S2" s="253" t="s">
        <v>98</v>
      </c>
      <c r="T2" s="234" t="s">
        <v>98</v>
      </c>
      <c r="U2" s="234" t="s">
        <v>98</v>
      </c>
      <c r="V2" s="234" t="s">
        <v>98</v>
      </c>
      <c r="W2" s="253" t="s">
        <v>98</v>
      </c>
      <c r="X2" s="234" t="s">
        <v>98</v>
      </c>
      <c r="Y2" s="234" t="s">
        <v>98</v>
      </c>
      <c r="Z2" s="234" t="s">
        <v>98</v>
      </c>
      <c r="AA2" s="253" t="s">
        <v>98</v>
      </c>
      <c r="AB2" s="234" t="s">
        <v>98</v>
      </c>
      <c r="AC2" s="234" t="s">
        <v>98</v>
      </c>
      <c r="AD2" s="234" t="s">
        <v>98</v>
      </c>
      <c r="AE2" s="253" t="s">
        <v>98</v>
      </c>
      <c r="AF2" s="234" t="s">
        <v>98</v>
      </c>
      <c r="AG2" s="248" t="s">
        <v>98</v>
      </c>
    </row>
    <row r="3" spans="2:33" s="92" customFormat="1" ht="13.5" customHeight="1">
      <c r="B3" s="237" t="s">
        <v>99</v>
      </c>
      <c r="C3" s="238">
        <v>43830</v>
      </c>
      <c r="D3" s="238">
        <v>44196</v>
      </c>
      <c r="E3" s="238">
        <v>44561</v>
      </c>
      <c r="F3" s="238">
        <v>44926</v>
      </c>
      <c r="G3" s="238">
        <v>45291</v>
      </c>
      <c r="H3" s="238">
        <v>45657</v>
      </c>
      <c r="I3" s="238">
        <v>46022</v>
      </c>
      <c r="J3" s="249">
        <f>AG3</f>
        <v>46203</v>
      </c>
      <c r="K3" s="235"/>
      <c r="L3" s="238">
        <v>44286</v>
      </c>
      <c r="M3" s="238">
        <v>44377</v>
      </c>
      <c r="N3" s="238">
        <v>44469</v>
      </c>
      <c r="O3" s="238">
        <v>44561</v>
      </c>
      <c r="P3" s="238">
        <v>44651</v>
      </c>
      <c r="Q3" s="238">
        <v>44742</v>
      </c>
      <c r="R3" s="238">
        <v>44834</v>
      </c>
      <c r="S3" s="238">
        <v>44926</v>
      </c>
      <c r="T3" s="238">
        <v>45016</v>
      </c>
      <c r="U3" s="238">
        <v>45107</v>
      </c>
      <c r="V3" s="238">
        <v>45199</v>
      </c>
      <c r="W3" s="238">
        <v>45291</v>
      </c>
      <c r="X3" s="238">
        <v>45382</v>
      </c>
      <c r="Y3" s="238">
        <v>45473</v>
      </c>
      <c r="Z3" s="238">
        <v>45565</v>
      </c>
      <c r="AA3" s="238">
        <v>45657</v>
      </c>
      <c r="AB3" s="238">
        <v>45747</v>
      </c>
      <c r="AC3" s="238">
        <v>45838</v>
      </c>
      <c r="AD3" s="238">
        <v>45930</v>
      </c>
      <c r="AE3" s="238">
        <v>46022</v>
      </c>
      <c r="AF3" s="238">
        <v>46112</v>
      </c>
      <c r="AG3" s="249">
        <v>46203</v>
      </c>
    </row>
    <row r="4" spans="2:33" s="91" customFormat="1" ht="13.5" customHeight="1">
      <c r="B4" s="254"/>
      <c r="C4" s="238" t="s">
        <v>100</v>
      </c>
      <c r="D4" s="238" t="s">
        <v>100</v>
      </c>
      <c r="E4" s="238" t="s">
        <v>100</v>
      </c>
      <c r="F4" s="238" t="s">
        <v>100</v>
      </c>
      <c r="G4" s="238" t="s">
        <v>100</v>
      </c>
      <c r="H4" s="238" t="s">
        <v>100</v>
      </c>
      <c r="I4" s="238" t="s">
        <v>100</v>
      </c>
      <c r="J4" s="249" t="s">
        <v>100</v>
      </c>
      <c r="K4" s="235"/>
      <c r="L4" s="238" t="s">
        <v>100</v>
      </c>
      <c r="M4" s="238" t="s">
        <v>100</v>
      </c>
      <c r="N4" s="238" t="s">
        <v>100</v>
      </c>
      <c r="O4" s="255" t="s">
        <v>100</v>
      </c>
      <c r="P4" s="238" t="s">
        <v>100</v>
      </c>
      <c r="Q4" s="238" t="s">
        <v>100</v>
      </c>
      <c r="R4" s="238" t="s">
        <v>100</v>
      </c>
      <c r="S4" s="255" t="s">
        <v>100</v>
      </c>
      <c r="T4" s="238" t="s">
        <v>100</v>
      </c>
      <c r="U4" s="238" t="s">
        <v>100</v>
      </c>
      <c r="V4" s="238" t="s">
        <v>100</v>
      </c>
      <c r="W4" s="255" t="s">
        <v>100</v>
      </c>
      <c r="X4" s="238" t="s">
        <v>100</v>
      </c>
      <c r="Y4" s="238" t="s">
        <v>100</v>
      </c>
      <c r="Z4" s="238" t="s">
        <v>100</v>
      </c>
      <c r="AA4" s="255" t="s">
        <v>100</v>
      </c>
      <c r="AB4" s="238" t="s">
        <v>100</v>
      </c>
      <c r="AC4" s="238" t="s">
        <v>100</v>
      </c>
      <c r="AD4" s="238" t="s">
        <v>100</v>
      </c>
      <c r="AE4" s="255" t="s">
        <v>100</v>
      </c>
      <c r="AF4" s="238" t="s">
        <v>100</v>
      </c>
      <c r="AG4" s="249" t="s">
        <v>100</v>
      </c>
    </row>
    <row r="5" spans="2:33" s="90" customFormat="1" ht="13.5" customHeight="1">
      <c r="B5" s="256"/>
      <c r="C5" s="242" t="s">
        <v>101</v>
      </c>
      <c r="D5" s="242" t="s">
        <v>101</v>
      </c>
      <c r="E5" s="242" t="s">
        <v>101</v>
      </c>
      <c r="F5" s="242" t="s">
        <v>101</v>
      </c>
      <c r="G5" s="242" t="s">
        <v>101</v>
      </c>
      <c r="H5" s="242" t="s">
        <v>101</v>
      </c>
      <c r="I5" s="242" t="s">
        <v>101</v>
      </c>
      <c r="J5" s="243" t="s">
        <v>97</v>
      </c>
      <c r="K5" s="235"/>
      <c r="L5" s="242" t="s">
        <v>102</v>
      </c>
      <c r="M5" s="242" t="s">
        <v>103</v>
      </c>
      <c r="N5" s="242" t="s">
        <v>104</v>
      </c>
      <c r="O5" s="257" t="s">
        <v>105</v>
      </c>
      <c r="P5" s="242" t="s">
        <v>102</v>
      </c>
      <c r="Q5" s="242" t="s">
        <v>103</v>
      </c>
      <c r="R5" s="242" t="s">
        <v>104</v>
      </c>
      <c r="S5" s="257" t="s">
        <v>105</v>
      </c>
      <c r="T5" s="242" t="s">
        <v>102</v>
      </c>
      <c r="U5" s="242" t="s">
        <v>103</v>
      </c>
      <c r="V5" s="242" t="s">
        <v>104</v>
      </c>
      <c r="W5" s="257" t="s">
        <v>105</v>
      </c>
      <c r="X5" s="242" t="s">
        <v>102</v>
      </c>
      <c r="Y5" s="242" t="s">
        <v>103</v>
      </c>
      <c r="Z5" s="242" t="s">
        <v>104</v>
      </c>
      <c r="AA5" s="257" t="s">
        <v>105</v>
      </c>
      <c r="AB5" s="242" t="s">
        <v>102</v>
      </c>
      <c r="AC5" s="242" t="s">
        <v>103</v>
      </c>
      <c r="AD5" s="242" t="s">
        <v>104</v>
      </c>
      <c r="AE5" s="257" t="s">
        <v>105</v>
      </c>
      <c r="AF5" s="242" t="s">
        <v>102</v>
      </c>
      <c r="AG5" s="242" t="s">
        <v>103</v>
      </c>
    </row>
    <row r="6" spans="2:33" s="90" customFormat="1" ht="13.5" customHeight="1">
      <c r="B6" s="258"/>
      <c r="C6" s="259"/>
      <c r="D6" s="259"/>
      <c r="E6" s="259"/>
      <c r="F6" s="259"/>
      <c r="G6" s="259"/>
      <c r="H6" s="259"/>
      <c r="I6" s="259"/>
      <c r="J6" s="260"/>
      <c r="K6" s="235"/>
      <c r="L6" s="259"/>
      <c r="M6" s="259"/>
      <c r="N6" s="259"/>
      <c r="O6" s="255"/>
      <c r="P6" s="259"/>
      <c r="Q6" s="259"/>
      <c r="R6" s="259"/>
      <c r="S6" s="255"/>
      <c r="T6" s="259"/>
      <c r="U6" s="259"/>
      <c r="V6" s="259"/>
      <c r="W6" s="255"/>
      <c r="X6" s="259"/>
      <c r="Y6" s="259"/>
      <c r="Z6" s="259"/>
      <c r="AA6" s="255"/>
      <c r="AB6" s="259"/>
      <c r="AC6" s="259"/>
      <c r="AD6" s="259"/>
      <c r="AE6" s="255"/>
      <c r="AF6" s="259"/>
      <c r="AG6" s="259"/>
    </row>
    <row r="7" spans="2:33" s="90" customFormat="1" ht="13.5" customHeight="1">
      <c r="B7" s="91" t="s">
        <v>218</v>
      </c>
      <c r="C7" s="86">
        <f t="shared" ref="C7:G7" si="0">SUM(C10:C16)</f>
        <v>1634</v>
      </c>
      <c r="D7" s="86">
        <f t="shared" si="0"/>
        <v>868</v>
      </c>
      <c r="E7" s="86">
        <f t="shared" si="0"/>
        <v>1698</v>
      </c>
      <c r="F7" s="86">
        <f t="shared" si="0"/>
        <v>2489</v>
      </c>
      <c r="G7" s="86">
        <f t="shared" si="0"/>
        <v>2513</v>
      </c>
      <c r="H7" s="86">
        <f t="shared" ref="H7:I7" si="1">SUM(H10:H16)</f>
        <v>2399</v>
      </c>
      <c r="I7" s="86">
        <f t="shared" si="1"/>
        <v>2057</v>
      </c>
      <c r="J7" s="86">
        <f>SUM(J10:J16)</f>
        <v>2559</v>
      </c>
      <c r="K7" s="174"/>
      <c r="L7" s="100">
        <f t="shared" ref="L7:R7" si="2">SUM(L10:L16)</f>
        <v>539</v>
      </c>
      <c r="M7" s="100">
        <f t="shared" si="2"/>
        <v>394.5</v>
      </c>
      <c r="N7" s="100">
        <f t="shared" si="2"/>
        <v>365.5</v>
      </c>
      <c r="O7" s="100">
        <f t="shared" si="2"/>
        <v>399</v>
      </c>
      <c r="P7" s="100">
        <f t="shared" si="2"/>
        <v>631</v>
      </c>
      <c r="Q7" s="100">
        <f t="shared" si="2"/>
        <v>682</v>
      </c>
      <c r="R7" s="100">
        <f t="shared" si="2"/>
        <v>610</v>
      </c>
      <c r="S7" s="100">
        <f t="shared" ref="S7:V7" si="3">SUM(S10:S16)</f>
        <v>566</v>
      </c>
      <c r="T7" s="100">
        <f t="shared" si="3"/>
        <v>664</v>
      </c>
      <c r="U7" s="100">
        <f t="shared" si="3"/>
        <v>664</v>
      </c>
      <c r="V7" s="100">
        <f t="shared" si="3"/>
        <v>626</v>
      </c>
      <c r="W7" s="100">
        <f t="shared" ref="W7:Z7" si="4">SUM(W10:W16)</f>
        <v>559</v>
      </c>
      <c r="X7" s="100">
        <f t="shared" si="4"/>
        <v>573</v>
      </c>
      <c r="Y7" s="100">
        <f t="shared" si="4"/>
        <v>663</v>
      </c>
      <c r="Z7" s="100">
        <f t="shared" si="4"/>
        <v>590</v>
      </c>
      <c r="AA7" s="100">
        <f t="shared" ref="AA7:AD7" si="5">SUM(AA10:AA16)</f>
        <v>573</v>
      </c>
      <c r="AB7" s="100">
        <f t="shared" si="5"/>
        <v>518</v>
      </c>
      <c r="AC7" s="100">
        <f t="shared" si="5"/>
        <v>472</v>
      </c>
      <c r="AD7" s="100">
        <f t="shared" si="5"/>
        <v>478</v>
      </c>
      <c r="AE7" s="100">
        <f t="shared" ref="AE7:AG7" si="6">SUM(AE10:AE16)</f>
        <v>589</v>
      </c>
      <c r="AF7" s="100">
        <f t="shared" si="6"/>
        <v>680</v>
      </c>
      <c r="AG7" s="100">
        <f t="shared" si="6"/>
        <v>812</v>
      </c>
    </row>
    <row r="8" spans="2:33" s="90" customFormat="1" ht="13.5" customHeight="1">
      <c r="B8" s="91"/>
      <c r="C8" s="87"/>
      <c r="D8" s="87"/>
      <c r="E8" s="87"/>
      <c r="F8" s="87"/>
      <c r="G8" s="87"/>
      <c r="H8" s="87"/>
      <c r="I8" s="87"/>
      <c r="J8" s="86"/>
      <c r="K8" s="174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 spans="2:33" s="90" customFormat="1" ht="13.5" customHeight="1">
      <c r="B9" s="91" t="s">
        <v>219</v>
      </c>
      <c r="C9" s="100">
        <f t="shared" ref="C9:E9" si="7">SUM(C10:C11)</f>
        <v>1660</v>
      </c>
      <c r="D9" s="100">
        <f t="shared" si="7"/>
        <v>944</v>
      </c>
      <c r="E9" s="100">
        <f t="shared" si="7"/>
        <v>1576</v>
      </c>
      <c r="F9" s="100">
        <f t="shared" ref="F9:G9" si="8">SUM(F10:F11)</f>
        <v>2626</v>
      </c>
      <c r="G9" s="100">
        <f t="shared" si="8"/>
        <v>2277</v>
      </c>
      <c r="H9" s="100">
        <f t="shared" ref="H9:I9" si="9">SUM(H10:H11)</f>
        <v>2100</v>
      </c>
      <c r="I9" s="100">
        <f t="shared" si="9"/>
        <v>1767</v>
      </c>
      <c r="J9" s="100">
        <f>SUM(J10:J11)</f>
        <v>2215</v>
      </c>
      <c r="K9" s="87"/>
      <c r="L9" s="100">
        <f t="shared" ref="L9:O9" si="10">SUM(L10:L11)</f>
        <v>324</v>
      </c>
      <c r="M9" s="100">
        <f t="shared" si="10"/>
        <v>382</v>
      </c>
      <c r="N9" s="100">
        <f t="shared" si="10"/>
        <v>324</v>
      </c>
      <c r="O9" s="100">
        <f t="shared" si="10"/>
        <v>546</v>
      </c>
      <c r="P9" s="100">
        <f>SUM(P10:P11)</f>
        <v>584</v>
      </c>
      <c r="Q9" s="100">
        <f>SUM(Q10:Q11)</f>
        <v>632</v>
      </c>
      <c r="R9" s="100">
        <f>SUM(R10:R11)</f>
        <v>682</v>
      </c>
      <c r="S9" s="100">
        <f t="shared" ref="S9" si="11">SUM(S10:S11)</f>
        <v>728</v>
      </c>
      <c r="T9" s="100">
        <f>SUM(T10:T11)</f>
        <v>576</v>
      </c>
      <c r="U9" s="100">
        <f>SUM(U10:U11)</f>
        <v>576</v>
      </c>
      <c r="V9" s="100">
        <f>SUM(V10:V11)</f>
        <v>557</v>
      </c>
      <c r="W9" s="100">
        <f t="shared" ref="W9" si="12">SUM(W10:W11)</f>
        <v>568</v>
      </c>
      <c r="X9" s="100">
        <f>SUM(X10:X11)</f>
        <v>491</v>
      </c>
      <c r="Y9" s="100">
        <f>SUM(Y10:Y11)</f>
        <v>580</v>
      </c>
      <c r="Z9" s="100">
        <f>SUM(Z10:Z11)</f>
        <v>556</v>
      </c>
      <c r="AA9" s="100">
        <f t="shared" ref="AA9" si="13">SUM(AA10:AA11)</f>
        <v>473</v>
      </c>
      <c r="AB9" s="100">
        <f>SUM(AB10:AB11)</f>
        <v>473</v>
      </c>
      <c r="AC9" s="100">
        <f>SUM(AC10:AC11)</f>
        <v>418</v>
      </c>
      <c r="AD9" s="100">
        <f>SUM(AD10:AD11)</f>
        <v>443</v>
      </c>
      <c r="AE9" s="100">
        <f t="shared" ref="AE9" si="14">SUM(AE10:AE11)</f>
        <v>433</v>
      </c>
      <c r="AF9" s="100">
        <f>SUM(AF10:AF11)</f>
        <v>615</v>
      </c>
      <c r="AG9" s="100">
        <f>SUM(AG10:AG11)</f>
        <v>724</v>
      </c>
    </row>
    <row r="10" spans="2:33">
      <c r="B10" s="99" t="s">
        <v>220</v>
      </c>
      <c r="C10" s="102">
        <v>1236</v>
      </c>
      <c r="D10" s="102">
        <v>799</v>
      </c>
      <c r="E10" s="102">
        <v>1220</v>
      </c>
      <c r="F10" s="102">
        <v>1843</v>
      </c>
      <c r="G10" s="102">
        <v>1608</v>
      </c>
      <c r="H10" s="102">
        <v>1530</v>
      </c>
      <c r="I10" s="102">
        <v>1214</v>
      </c>
      <c r="J10" s="103">
        <f>SUM(AD10:AG10)</f>
        <v>1674</v>
      </c>
      <c r="L10" s="102">
        <v>270</v>
      </c>
      <c r="M10" s="102">
        <v>307</v>
      </c>
      <c r="N10" s="102">
        <v>271</v>
      </c>
      <c r="O10" s="101">
        <f t="shared" ref="O10:O17" si="15">E10-SUM(L10:N10)</f>
        <v>372</v>
      </c>
      <c r="P10" s="102">
        <v>418</v>
      </c>
      <c r="Q10" s="102">
        <v>480</v>
      </c>
      <c r="R10" s="102">
        <v>421</v>
      </c>
      <c r="S10" s="101">
        <f t="shared" ref="S10:S17" si="16">F10-SUM(P10:R10)</f>
        <v>524</v>
      </c>
      <c r="T10" s="102">
        <v>413</v>
      </c>
      <c r="U10" s="102">
        <v>413</v>
      </c>
      <c r="V10" s="102">
        <v>384</v>
      </c>
      <c r="W10" s="101">
        <f t="shared" ref="W10:W17" si="17">G10-SUM(T10:V10)</f>
        <v>398</v>
      </c>
      <c r="X10" s="102">
        <v>394</v>
      </c>
      <c r="Y10" s="102">
        <v>404</v>
      </c>
      <c r="Z10" s="102">
        <v>362</v>
      </c>
      <c r="AA10" s="101">
        <f t="shared" ref="AA10:AA17" si="18">H10-SUM(X10:Z10)</f>
        <v>370</v>
      </c>
      <c r="AB10" s="102">
        <v>318</v>
      </c>
      <c r="AC10" s="102">
        <v>282</v>
      </c>
      <c r="AD10" s="102">
        <v>302</v>
      </c>
      <c r="AE10" s="101">
        <f>I10-SUM(AB10:AD10)</f>
        <v>312</v>
      </c>
      <c r="AF10" s="102">
        <v>498</v>
      </c>
      <c r="AG10" s="102">
        <v>562</v>
      </c>
    </row>
    <row r="11" spans="2:33">
      <c r="B11" s="99" t="s">
        <v>221</v>
      </c>
      <c r="C11" s="102">
        <v>424</v>
      </c>
      <c r="D11" s="102">
        <v>145</v>
      </c>
      <c r="E11" s="102">
        <v>356</v>
      </c>
      <c r="F11" s="102">
        <v>783</v>
      </c>
      <c r="G11" s="102">
        <v>669</v>
      </c>
      <c r="H11" s="102">
        <v>570</v>
      </c>
      <c r="I11" s="102">
        <v>553</v>
      </c>
      <c r="J11" s="103">
        <f t="shared" ref="J11:J17" si="19">SUM(AD11:AG11)</f>
        <v>541</v>
      </c>
      <c r="L11" s="102">
        <v>54</v>
      </c>
      <c r="M11" s="102">
        <v>75</v>
      </c>
      <c r="N11" s="102">
        <v>53</v>
      </c>
      <c r="O11" s="101">
        <f t="shared" si="15"/>
        <v>174</v>
      </c>
      <c r="P11" s="102">
        <v>166</v>
      </c>
      <c r="Q11" s="102">
        <v>152</v>
      </c>
      <c r="R11" s="102">
        <v>261</v>
      </c>
      <c r="S11" s="101">
        <f t="shared" si="16"/>
        <v>204</v>
      </c>
      <c r="T11" s="102">
        <v>163</v>
      </c>
      <c r="U11" s="102">
        <v>163</v>
      </c>
      <c r="V11" s="102">
        <v>173</v>
      </c>
      <c r="W11" s="101">
        <f t="shared" si="17"/>
        <v>170</v>
      </c>
      <c r="X11" s="102">
        <v>97</v>
      </c>
      <c r="Y11" s="102">
        <v>176</v>
      </c>
      <c r="Z11" s="102">
        <v>194</v>
      </c>
      <c r="AA11" s="101">
        <f t="shared" si="18"/>
        <v>103</v>
      </c>
      <c r="AB11" s="102">
        <v>155</v>
      </c>
      <c r="AC11" s="102">
        <v>136</v>
      </c>
      <c r="AD11" s="102">
        <v>141</v>
      </c>
      <c r="AE11" s="101">
        <f t="shared" ref="AE11:AE17" si="20">I11-SUM(AB11:AD11)</f>
        <v>121</v>
      </c>
      <c r="AF11" s="102">
        <v>117</v>
      </c>
      <c r="AG11" s="102">
        <v>162</v>
      </c>
    </row>
    <row r="12" spans="2:33">
      <c r="B12" s="89" t="s">
        <v>222</v>
      </c>
      <c r="C12" s="102">
        <v>0</v>
      </c>
      <c r="D12" s="102">
        <v>-13</v>
      </c>
      <c r="E12" s="102">
        <v>426</v>
      </c>
      <c r="F12" s="102">
        <v>292</v>
      </c>
      <c r="G12" s="102">
        <v>223</v>
      </c>
      <c r="H12" s="102">
        <v>204</v>
      </c>
      <c r="I12" s="102">
        <v>142</v>
      </c>
      <c r="J12" s="103">
        <f t="shared" si="19"/>
        <v>48</v>
      </c>
      <c r="L12" s="102">
        <v>351</v>
      </c>
      <c r="M12" s="102">
        <v>6</v>
      </c>
      <c r="N12" s="102">
        <v>32</v>
      </c>
      <c r="O12" s="101">
        <f t="shared" si="15"/>
        <v>37</v>
      </c>
      <c r="P12" s="102">
        <v>54</v>
      </c>
      <c r="Q12" s="102">
        <v>56</v>
      </c>
      <c r="R12" s="102">
        <v>64</v>
      </c>
      <c r="S12" s="101">
        <f t="shared" si="16"/>
        <v>118</v>
      </c>
      <c r="T12" s="102">
        <v>69</v>
      </c>
      <c r="U12" s="102">
        <v>69</v>
      </c>
      <c r="V12" s="102">
        <v>39</v>
      </c>
      <c r="W12" s="101">
        <f t="shared" si="17"/>
        <v>46</v>
      </c>
      <c r="X12" s="102">
        <v>57</v>
      </c>
      <c r="Y12" s="102">
        <v>57</v>
      </c>
      <c r="Z12" s="102">
        <v>34</v>
      </c>
      <c r="AA12" s="101">
        <f t="shared" si="18"/>
        <v>56</v>
      </c>
      <c r="AB12" s="102">
        <v>31</v>
      </c>
      <c r="AC12" s="102">
        <v>63</v>
      </c>
      <c r="AD12" s="102">
        <v>16</v>
      </c>
      <c r="AE12" s="101">
        <f t="shared" si="20"/>
        <v>32</v>
      </c>
      <c r="AF12" s="187"/>
      <c r="AG12" s="187"/>
    </row>
    <row r="13" spans="2:33">
      <c r="B13" s="89" t="s">
        <v>223</v>
      </c>
      <c r="C13" s="102">
        <v>-15</v>
      </c>
      <c r="D13" s="102">
        <v>-28</v>
      </c>
      <c r="E13" s="102">
        <v>5</v>
      </c>
      <c r="F13" s="102">
        <v>-164</v>
      </c>
      <c r="G13" s="102">
        <v>22</v>
      </c>
      <c r="H13" s="102">
        <v>0</v>
      </c>
      <c r="I13" s="102">
        <v>0</v>
      </c>
      <c r="J13" s="103">
        <f t="shared" si="19"/>
        <v>0</v>
      </c>
      <c r="L13" s="102">
        <v>-1</v>
      </c>
      <c r="M13" s="102">
        <v>-0.5</v>
      </c>
      <c r="N13" s="102">
        <v>-0.5</v>
      </c>
      <c r="O13" s="101">
        <f t="shared" si="15"/>
        <v>7</v>
      </c>
      <c r="P13" s="102">
        <v>-1</v>
      </c>
      <c r="Q13" s="102">
        <v>-1</v>
      </c>
      <c r="R13" s="102">
        <v>-31</v>
      </c>
      <c r="S13" s="101">
        <f t="shared" si="16"/>
        <v>-131</v>
      </c>
      <c r="T13" s="102">
        <v>1</v>
      </c>
      <c r="U13" s="102">
        <v>1</v>
      </c>
      <c r="V13" s="102">
        <v>-1</v>
      </c>
      <c r="W13" s="101">
        <f t="shared" si="17"/>
        <v>21</v>
      </c>
      <c r="X13" s="102">
        <v>0</v>
      </c>
      <c r="Y13" s="102">
        <v>-30</v>
      </c>
      <c r="Z13" s="102">
        <v>-23</v>
      </c>
      <c r="AA13" s="101">
        <f t="shared" si="18"/>
        <v>53</v>
      </c>
      <c r="AB13" s="187"/>
      <c r="AC13" s="187"/>
      <c r="AD13" s="187"/>
      <c r="AE13" s="187"/>
      <c r="AF13" s="187"/>
      <c r="AG13" s="187"/>
    </row>
    <row r="14" spans="2:33">
      <c r="B14" s="89" t="s">
        <v>224</v>
      </c>
      <c r="C14" s="102">
        <v>-10</v>
      </c>
      <c r="D14" s="102">
        <v>-56</v>
      </c>
      <c r="E14" s="102">
        <v>-175</v>
      </c>
      <c r="F14" s="102">
        <v>-110</v>
      </c>
      <c r="G14" s="102">
        <v>-8</v>
      </c>
      <c r="H14" s="102">
        <v>0</v>
      </c>
      <c r="I14" s="102">
        <v>0</v>
      </c>
      <c r="J14" s="103">
        <f t="shared" si="19"/>
        <v>0</v>
      </c>
      <c r="L14" s="102">
        <v>-146</v>
      </c>
      <c r="M14" s="102">
        <v>-2</v>
      </c>
      <c r="N14" s="102">
        <v>-2</v>
      </c>
      <c r="O14" s="101">
        <f t="shared" si="15"/>
        <v>-25</v>
      </c>
      <c r="P14" s="102">
        <v>-7</v>
      </c>
      <c r="Q14" s="102">
        <v>-4</v>
      </c>
      <c r="R14" s="102">
        <v>-96</v>
      </c>
      <c r="S14" s="101">
        <f t="shared" si="16"/>
        <v>-3</v>
      </c>
      <c r="T14" s="102">
        <v>-2</v>
      </c>
      <c r="U14" s="102">
        <v>-2</v>
      </c>
      <c r="V14" s="102">
        <v>-3</v>
      </c>
      <c r="W14" s="101">
        <f t="shared" si="17"/>
        <v>-1</v>
      </c>
      <c r="X14" s="102">
        <v>-2</v>
      </c>
      <c r="Y14" s="102">
        <v>-2</v>
      </c>
      <c r="Z14" s="102">
        <v>0</v>
      </c>
      <c r="AA14" s="101">
        <f t="shared" si="18"/>
        <v>4</v>
      </c>
      <c r="AB14" s="187"/>
      <c r="AC14" s="187"/>
      <c r="AD14" s="187"/>
      <c r="AE14" s="187"/>
      <c r="AF14" s="187"/>
      <c r="AG14" s="187"/>
    </row>
    <row r="15" spans="2:33">
      <c r="B15" s="89" t="s">
        <v>225</v>
      </c>
      <c r="C15" s="102">
        <v>14</v>
      </c>
      <c r="D15" s="102">
        <v>23</v>
      </c>
      <c r="E15" s="102">
        <v>-147</v>
      </c>
      <c r="F15" s="102">
        <v>-167</v>
      </c>
      <c r="G15" s="102">
        <v>-6</v>
      </c>
      <c r="H15" s="102">
        <v>144</v>
      </c>
      <c r="I15" s="102">
        <v>180</v>
      </c>
      <c r="J15" s="103">
        <f t="shared" si="19"/>
        <v>139</v>
      </c>
      <c r="L15" s="102">
        <v>7</v>
      </c>
      <c r="M15" s="102">
        <v>6</v>
      </c>
      <c r="N15" s="102">
        <v>9</v>
      </c>
      <c r="O15" s="101">
        <f t="shared" si="15"/>
        <v>-169</v>
      </c>
      <c r="P15" s="102">
        <v>-3</v>
      </c>
      <c r="Q15" s="102">
        <v>-6</v>
      </c>
      <c r="R15" s="102">
        <v>-10</v>
      </c>
      <c r="S15" s="101">
        <f t="shared" si="16"/>
        <v>-148</v>
      </c>
      <c r="T15" s="102">
        <v>19</v>
      </c>
      <c r="U15" s="102">
        <v>19</v>
      </c>
      <c r="V15" s="102">
        <v>33</v>
      </c>
      <c r="W15" s="101">
        <f t="shared" si="17"/>
        <v>-77</v>
      </c>
      <c r="X15" s="102">
        <v>23</v>
      </c>
      <c r="Y15" s="102">
        <v>56</v>
      </c>
      <c r="Z15" s="102">
        <v>23</v>
      </c>
      <c r="AA15" s="101">
        <f t="shared" si="18"/>
        <v>42</v>
      </c>
      <c r="AB15" s="102">
        <v>13</v>
      </c>
      <c r="AC15" s="102">
        <v>28</v>
      </c>
      <c r="AD15" s="102">
        <v>16</v>
      </c>
      <c r="AE15" s="101">
        <f t="shared" si="20"/>
        <v>123</v>
      </c>
      <c r="AF15" s="187"/>
      <c r="AG15" s="187"/>
    </row>
    <row r="16" spans="2:33">
      <c r="B16" s="89" t="s">
        <v>226</v>
      </c>
      <c r="C16" s="102">
        <v>-15</v>
      </c>
      <c r="D16" s="102">
        <v>-2</v>
      </c>
      <c r="E16" s="102">
        <v>13</v>
      </c>
      <c r="F16" s="102">
        <v>12</v>
      </c>
      <c r="G16" s="102">
        <v>5</v>
      </c>
      <c r="H16" s="102">
        <v>-49</v>
      </c>
      <c r="I16" s="102">
        <v>-32</v>
      </c>
      <c r="J16" s="103">
        <f t="shared" si="19"/>
        <v>157</v>
      </c>
      <c r="L16" s="102">
        <v>4</v>
      </c>
      <c r="M16" s="102">
        <v>3</v>
      </c>
      <c r="N16" s="102">
        <v>3</v>
      </c>
      <c r="O16" s="101">
        <f t="shared" si="15"/>
        <v>3</v>
      </c>
      <c r="P16" s="102">
        <v>4</v>
      </c>
      <c r="Q16" s="102">
        <v>5</v>
      </c>
      <c r="R16" s="102">
        <v>1</v>
      </c>
      <c r="S16" s="101">
        <f t="shared" si="16"/>
        <v>2</v>
      </c>
      <c r="T16" s="102">
        <v>1</v>
      </c>
      <c r="U16" s="102">
        <v>1</v>
      </c>
      <c r="V16" s="102">
        <v>1</v>
      </c>
      <c r="W16" s="101">
        <f t="shared" si="17"/>
        <v>2</v>
      </c>
      <c r="X16" s="102">
        <v>4</v>
      </c>
      <c r="Y16" s="102">
        <v>2</v>
      </c>
      <c r="Z16" s="102">
        <v>0</v>
      </c>
      <c r="AA16" s="101">
        <f t="shared" si="18"/>
        <v>-55</v>
      </c>
      <c r="AB16" s="102">
        <v>1</v>
      </c>
      <c r="AC16" s="102">
        <v>-37</v>
      </c>
      <c r="AD16" s="102">
        <v>3</v>
      </c>
      <c r="AE16" s="101">
        <f t="shared" si="20"/>
        <v>1</v>
      </c>
      <c r="AF16" s="100">
        <v>65</v>
      </c>
      <c r="AG16" s="102">
        <v>88</v>
      </c>
    </row>
    <row r="17" spans="2:33">
      <c r="B17" s="91" t="s">
        <v>227</v>
      </c>
      <c r="C17" s="102">
        <v>-65</v>
      </c>
      <c r="D17" s="102">
        <v>-148</v>
      </c>
      <c r="E17" s="102">
        <v>-487</v>
      </c>
      <c r="F17" s="102">
        <v>-490</v>
      </c>
      <c r="G17" s="102">
        <v>-305</v>
      </c>
      <c r="H17" s="102">
        <v>-172</v>
      </c>
      <c r="I17" s="102">
        <v>-227</v>
      </c>
      <c r="J17" s="103">
        <f t="shared" si="19"/>
        <v>-437</v>
      </c>
      <c r="L17" s="102">
        <v>-163</v>
      </c>
      <c r="M17" s="102">
        <v>-173</v>
      </c>
      <c r="N17" s="102">
        <v>-74</v>
      </c>
      <c r="O17" s="101">
        <f t="shared" si="15"/>
        <v>-77</v>
      </c>
      <c r="P17" s="102">
        <v>-313</v>
      </c>
      <c r="Q17" s="102">
        <v>-82</v>
      </c>
      <c r="R17" s="102">
        <v>54</v>
      </c>
      <c r="S17" s="101">
        <f t="shared" si="16"/>
        <v>-149</v>
      </c>
      <c r="T17" s="102">
        <v>-95</v>
      </c>
      <c r="U17" s="102">
        <v>-95</v>
      </c>
      <c r="V17" s="102">
        <v>-16</v>
      </c>
      <c r="W17" s="101">
        <f t="shared" si="17"/>
        <v>-99</v>
      </c>
      <c r="X17" s="102">
        <v>-49</v>
      </c>
      <c r="Y17" s="102">
        <v>-10</v>
      </c>
      <c r="Z17" s="102">
        <v>-79</v>
      </c>
      <c r="AA17" s="101">
        <f t="shared" si="18"/>
        <v>-34</v>
      </c>
      <c r="AB17" s="102">
        <v>-30</v>
      </c>
      <c r="AC17" s="102">
        <v>-64</v>
      </c>
      <c r="AD17" s="102">
        <v>-85</v>
      </c>
      <c r="AE17" s="101">
        <f t="shared" si="20"/>
        <v>-48</v>
      </c>
      <c r="AF17" s="102">
        <v>-304</v>
      </c>
      <c r="AG17" s="102">
        <v>0</v>
      </c>
    </row>
    <row r="18" spans="2:33">
      <c r="F18" s="139"/>
      <c r="G18" s="139"/>
      <c r="H18" s="139"/>
      <c r="I18" s="139"/>
      <c r="J18" s="103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</row>
    <row r="19" spans="2:33">
      <c r="B19" s="91" t="s">
        <v>228</v>
      </c>
      <c r="C19" s="86">
        <f t="shared" ref="C19:E19" si="21">C17+C7</f>
        <v>1569</v>
      </c>
      <c r="D19" s="86">
        <f t="shared" si="21"/>
        <v>720</v>
      </c>
      <c r="E19" s="86">
        <f t="shared" si="21"/>
        <v>1211</v>
      </c>
      <c r="F19" s="86">
        <f t="shared" ref="F19:G19" si="22">F17+F7</f>
        <v>1999</v>
      </c>
      <c r="G19" s="86">
        <f t="shared" si="22"/>
        <v>2208</v>
      </c>
      <c r="H19" s="86">
        <f t="shared" ref="H19:I19" si="23">H17+H7</f>
        <v>2227</v>
      </c>
      <c r="I19" s="86">
        <f t="shared" si="23"/>
        <v>1830</v>
      </c>
      <c r="J19" s="86">
        <f>J17+J7</f>
        <v>2122</v>
      </c>
      <c r="L19" s="100">
        <f t="shared" ref="L19:P19" si="24">L17+L7</f>
        <v>376</v>
      </c>
      <c r="M19" s="100">
        <f t="shared" si="24"/>
        <v>221.5</v>
      </c>
      <c r="N19" s="100">
        <f t="shared" si="24"/>
        <v>291.5</v>
      </c>
      <c r="O19" s="100">
        <f t="shared" si="24"/>
        <v>322</v>
      </c>
      <c r="P19" s="100">
        <f t="shared" si="24"/>
        <v>318</v>
      </c>
      <c r="Q19" s="100">
        <f>Q17+Q7</f>
        <v>600</v>
      </c>
      <c r="R19" s="100">
        <f>R17+R7</f>
        <v>664</v>
      </c>
      <c r="S19" s="100">
        <f t="shared" ref="S19:T19" si="25">S17+S7</f>
        <v>417</v>
      </c>
      <c r="T19" s="100">
        <f t="shared" si="25"/>
        <v>569</v>
      </c>
      <c r="U19" s="100">
        <f>U17+U7</f>
        <v>569</v>
      </c>
      <c r="V19" s="100">
        <f>V17+V7</f>
        <v>610</v>
      </c>
      <c r="W19" s="100">
        <f t="shared" ref="W19:X19" si="26">W17+W7</f>
        <v>460</v>
      </c>
      <c r="X19" s="100">
        <f t="shared" si="26"/>
        <v>524</v>
      </c>
      <c r="Y19" s="100">
        <f>Y17+Y7</f>
        <v>653</v>
      </c>
      <c r="Z19" s="100">
        <f>Z17+Z7</f>
        <v>511</v>
      </c>
      <c r="AA19" s="100">
        <f t="shared" ref="AA19:AB19" si="27">AA17+AA7</f>
        <v>539</v>
      </c>
      <c r="AB19" s="100">
        <f t="shared" si="27"/>
        <v>488</v>
      </c>
      <c r="AC19" s="100">
        <f>AC17+AC7</f>
        <v>408</v>
      </c>
      <c r="AD19" s="100">
        <f>AD17+AD7</f>
        <v>393</v>
      </c>
      <c r="AE19" s="100">
        <f t="shared" ref="AE19:AF19" si="28">AE17+AE7</f>
        <v>541</v>
      </c>
      <c r="AF19" s="100">
        <f t="shared" si="28"/>
        <v>376</v>
      </c>
      <c r="AG19" s="100">
        <f>AG17+AG7</f>
        <v>812</v>
      </c>
    </row>
    <row r="20" spans="2:33">
      <c r="O20" s="101"/>
      <c r="R20" s="98"/>
      <c r="S20" s="101"/>
      <c r="V20" s="98"/>
      <c r="W20" s="101"/>
      <c r="Z20" s="98"/>
      <c r="AA20" s="101"/>
      <c r="AD20" s="98"/>
      <c r="AE20" s="101"/>
    </row>
    <row r="21" spans="2:33">
      <c r="B21" s="216" t="s">
        <v>229</v>
      </c>
      <c r="C21" s="217"/>
      <c r="D21" s="217"/>
      <c r="E21" s="217"/>
      <c r="F21" s="217"/>
      <c r="G21" s="217"/>
      <c r="H21" s="217"/>
      <c r="I21" s="217"/>
      <c r="J21" s="217"/>
      <c r="L21" s="217"/>
      <c r="M21" s="217"/>
      <c r="N21" s="217"/>
      <c r="O21" s="218"/>
      <c r="P21" s="217"/>
      <c r="Q21" s="217"/>
      <c r="R21" s="217"/>
      <c r="S21" s="218"/>
      <c r="T21" s="217"/>
      <c r="U21" s="217"/>
      <c r="V21" s="217"/>
      <c r="W21" s="218"/>
      <c r="X21" s="217"/>
      <c r="Y21" s="217"/>
      <c r="Z21" s="217"/>
      <c r="AA21" s="218"/>
      <c r="AB21" s="217"/>
      <c r="AC21" s="217"/>
      <c r="AD21" s="217"/>
      <c r="AE21" s="218"/>
      <c r="AF21" s="217"/>
      <c r="AG21" s="217"/>
    </row>
    <row r="22" spans="2:33">
      <c r="B22" s="104" t="s">
        <v>230</v>
      </c>
      <c r="O22" s="101"/>
      <c r="S22" s="101"/>
      <c r="W22" s="101"/>
      <c r="AA22" s="101"/>
      <c r="AE22" s="101"/>
    </row>
    <row r="23" spans="2:33">
      <c r="B23" s="89" t="s">
        <v>231</v>
      </c>
      <c r="C23" s="102">
        <v>248537</v>
      </c>
      <c r="D23" s="102">
        <v>236314</v>
      </c>
      <c r="E23" s="102">
        <v>296838</v>
      </c>
      <c r="F23" s="102">
        <v>339421</v>
      </c>
      <c r="G23" s="102">
        <v>331083</v>
      </c>
      <c r="H23" s="102">
        <v>354391</v>
      </c>
      <c r="I23" s="102">
        <v>369255</v>
      </c>
      <c r="J23" s="103">
        <f>AVERAGE(AD23:AG23)</f>
        <v>400111.25</v>
      </c>
      <c r="L23" s="102">
        <v>270982</v>
      </c>
      <c r="M23" s="102">
        <v>317243</v>
      </c>
      <c r="N23" s="102">
        <v>300319</v>
      </c>
      <c r="O23" s="101">
        <f>E23</f>
        <v>296838</v>
      </c>
      <c r="P23" s="102">
        <v>310757</v>
      </c>
      <c r="Q23" s="102">
        <v>336924</v>
      </c>
      <c r="R23" s="102">
        <v>347908</v>
      </c>
      <c r="S23" s="101">
        <f>F23</f>
        <v>339421</v>
      </c>
      <c r="T23" s="102">
        <v>332351</v>
      </c>
      <c r="U23" s="102">
        <v>323336</v>
      </c>
      <c r="V23" s="102">
        <v>328265</v>
      </c>
      <c r="W23" s="102">
        <v>340325</v>
      </c>
      <c r="X23" s="102">
        <v>345454</v>
      </c>
      <c r="Y23" s="102">
        <v>373464</v>
      </c>
      <c r="Z23" s="102">
        <v>343138</v>
      </c>
      <c r="AA23" s="102">
        <v>355616</v>
      </c>
      <c r="AB23" s="102">
        <v>354884</v>
      </c>
      <c r="AC23" s="102">
        <v>356674</v>
      </c>
      <c r="AD23" s="102">
        <v>378417</v>
      </c>
      <c r="AE23" s="102">
        <v>386598</v>
      </c>
      <c r="AF23" s="102">
        <v>412304</v>
      </c>
      <c r="AG23" s="102">
        <v>423126</v>
      </c>
    </row>
    <row r="24" spans="2:33">
      <c r="B24" s="89" t="s">
        <v>232</v>
      </c>
      <c r="C24" s="102">
        <v>102114</v>
      </c>
      <c r="D24" s="102">
        <v>117738</v>
      </c>
      <c r="E24" s="102">
        <v>119303</v>
      </c>
      <c r="F24" s="102">
        <v>128709</v>
      </c>
      <c r="G24" s="102">
        <v>130924</v>
      </c>
      <c r="H24" s="102">
        <v>134403</v>
      </c>
      <c r="I24" s="102">
        <v>140651</v>
      </c>
      <c r="J24" s="103">
        <f>AVERAGE(AD24:AG24)</f>
        <v>143956.5</v>
      </c>
      <c r="L24" s="102">
        <v>111895</v>
      </c>
      <c r="M24" s="102">
        <v>125883</v>
      </c>
      <c r="N24" s="102">
        <v>116848</v>
      </c>
      <c r="O24" s="101">
        <f>E24</f>
        <v>119303</v>
      </c>
      <c r="P24" s="102">
        <v>116611</v>
      </c>
      <c r="Q24" s="102">
        <v>128535</v>
      </c>
      <c r="R24" s="102">
        <v>130415</v>
      </c>
      <c r="S24" s="101">
        <f>F24</f>
        <v>128709</v>
      </c>
      <c r="T24" s="102">
        <v>128466</v>
      </c>
      <c r="U24" s="102">
        <v>121532</v>
      </c>
      <c r="V24" s="102">
        <v>139187</v>
      </c>
      <c r="W24" s="102">
        <v>134354</v>
      </c>
      <c r="X24" s="102">
        <v>127594</v>
      </c>
      <c r="Y24" s="102">
        <v>133245</v>
      </c>
      <c r="Z24" s="102">
        <v>131940</v>
      </c>
      <c r="AA24" s="102">
        <v>144749</v>
      </c>
      <c r="AB24" s="102">
        <v>129334</v>
      </c>
      <c r="AC24" s="102">
        <v>148098</v>
      </c>
      <c r="AD24" s="102">
        <v>132080</v>
      </c>
      <c r="AE24" s="102">
        <v>152925</v>
      </c>
      <c r="AF24" s="102">
        <v>141065</v>
      </c>
      <c r="AG24" s="102">
        <v>149756</v>
      </c>
    </row>
    <row r="25" spans="2:33">
      <c r="B25" s="91" t="s">
        <v>228</v>
      </c>
      <c r="C25" s="106">
        <f t="shared" ref="C25:P25" si="29">SUM(C23:C24)</f>
        <v>350651</v>
      </c>
      <c r="D25" s="106">
        <f t="shared" si="29"/>
        <v>354052</v>
      </c>
      <c r="E25" s="106">
        <f t="shared" si="29"/>
        <v>416141</v>
      </c>
      <c r="F25" s="106">
        <f t="shared" ref="F25" si="30">SUM(F23:F24)</f>
        <v>468130</v>
      </c>
      <c r="G25" s="106">
        <f t="shared" ref="G25:H25" si="31">SUM(G23:G24)</f>
        <v>462007</v>
      </c>
      <c r="H25" s="106">
        <f t="shared" si="31"/>
        <v>488794</v>
      </c>
      <c r="I25" s="106">
        <f t="shared" ref="I25" si="32">SUM(I23:I24)</f>
        <v>509906</v>
      </c>
      <c r="J25" s="106">
        <f t="shared" ref="J25" si="33">SUM(J23:J24)</f>
        <v>544067.75</v>
      </c>
      <c r="L25" s="106">
        <f t="shared" si="29"/>
        <v>382877</v>
      </c>
      <c r="M25" s="106">
        <f t="shared" si="29"/>
        <v>443126</v>
      </c>
      <c r="N25" s="106">
        <f t="shared" si="29"/>
        <v>417167</v>
      </c>
      <c r="O25" s="106">
        <f t="shared" si="29"/>
        <v>416141</v>
      </c>
      <c r="P25" s="106">
        <f t="shared" si="29"/>
        <v>427368</v>
      </c>
      <c r="Q25" s="106">
        <f>SUM(Q23:Q24)</f>
        <v>465459</v>
      </c>
      <c r="R25" s="106">
        <f>SUM(R23:R24)</f>
        <v>478323</v>
      </c>
      <c r="S25" s="106">
        <f t="shared" ref="S25:T25" si="34">SUM(S23:S24)</f>
        <v>468130</v>
      </c>
      <c r="T25" s="106">
        <f t="shared" si="34"/>
        <v>460817</v>
      </c>
      <c r="U25" s="106">
        <f>SUM(U23:U24)</f>
        <v>444868</v>
      </c>
      <c r="V25" s="106">
        <f>SUM(V23:V24)</f>
        <v>467452</v>
      </c>
      <c r="W25" s="106">
        <f t="shared" ref="W25:X25" si="35">SUM(W23:W24)</f>
        <v>474679</v>
      </c>
      <c r="X25" s="106">
        <f t="shared" si="35"/>
        <v>473048</v>
      </c>
      <c r="Y25" s="106">
        <f>SUM(Y23:Y24)</f>
        <v>506709</v>
      </c>
      <c r="Z25" s="106">
        <f>SUM(Z23:Z24)</f>
        <v>475078</v>
      </c>
      <c r="AA25" s="106">
        <f t="shared" ref="AA25:AB25" si="36">SUM(AA23:AA24)</f>
        <v>500365</v>
      </c>
      <c r="AB25" s="106">
        <f t="shared" si="36"/>
        <v>484218</v>
      </c>
      <c r="AC25" s="106">
        <f>SUM(AC23:AC24)</f>
        <v>504772</v>
      </c>
      <c r="AD25" s="106">
        <f>SUM(AD23:AD24)</f>
        <v>510497</v>
      </c>
      <c r="AE25" s="106">
        <f t="shared" ref="AE25:AF25" si="37">SUM(AE23:AE24)</f>
        <v>539523</v>
      </c>
      <c r="AF25" s="106">
        <f t="shared" si="37"/>
        <v>553369</v>
      </c>
      <c r="AG25" s="106">
        <f>SUM(AG23:AG24)</f>
        <v>572882</v>
      </c>
    </row>
    <row r="26" spans="2:33">
      <c r="O26" s="101"/>
      <c r="S26" s="101"/>
      <c r="W26" s="101"/>
      <c r="AA26" s="101"/>
      <c r="AE26" s="101"/>
    </row>
    <row r="27" spans="2:33">
      <c r="B27" s="104" t="s">
        <v>233</v>
      </c>
      <c r="O27" s="101"/>
      <c r="R27" s="102"/>
      <c r="S27" s="101"/>
      <c r="V27" s="102"/>
      <c r="W27" s="101"/>
      <c r="Z27" s="102"/>
      <c r="AA27" s="101"/>
      <c r="AD27" s="102"/>
      <c r="AE27" s="101"/>
    </row>
    <row r="28" spans="2:33">
      <c r="B28" s="89" t="s">
        <v>220</v>
      </c>
      <c r="C28" s="102">
        <v>273981</v>
      </c>
      <c r="D28" s="102">
        <v>249481</v>
      </c>
      <c r="E28" s="102">
        <v>264382</v>
      </c>
      <c r="F28" s="102">
        <v>295362</v>
      </c>
      <c r="G28" s="102">
        <v>306750</v>
      </c>
      <c r="H28" s="102">
        <v>334205</v>
      </c>
      <c r="I28" s="102">
        <v>353491</v>
      </c>
      <c r="J28" s="103">
        <f>AVERAGE(AD28:AG28)</f>
        <v>379139.5</v>
      </c>
      <c r="L28" s="102">
        <v>274242</v>
      </c>
      <c r="M28" s="102">
        <v>272819</v>
      </c>
      <c r="N28" s="102">
        <v>255150</v>
      </c>
      <c r="O28" s="101">
        <f>E28</f>
        <v>264382</v>
      </c>
      <c r="P28" s="102">
        <v>264424</v>
      </c>
      <c r="Q28" s="102">
        <v>290086</v>
      </c>
      <c r="R28" s="102">
        <v>302056</v>
      </c>
      <c r="S28" s="101">
        <f>F28</f>
        <v>295362</v>
      </c>
      <c r="T28" s="102">
        <v>314421</v>
      </c>
      <c r="U28" s="102">
        <v>295986</v>
      </c>
      <c r="V28" s="102">
        <v>301386</v>
      </c>
      <c r="W28" s="102">
        <v>315258</v>
      </c>
      <c r="X28" s="102">
        <v>320221</v>
      </c>
      <c r="Y28" s="102">
        <v>349190</v>
      </c>
      <c r="Z28" s="102">
        <v>328333</v>
      </c>
      <c r="AA28" s="102">
        <v>339087</v>
      </c>
      <c r="AB28" s="102">
        <v>330645</v>
      </c>
      <c r="AC28" s="102">
        <v>348042</v>
      </c>
      <c r="AD28" s="102">
        <v>360342</v>
      </c>
      <c r="AE28" s="102">
        <v>374380</v>
      </c>
      <c r="AF28" s="102">
        <v>385519</v>
      </c>
      <c r="AG28" s="102">
        <v>396317</v>
      </c>
    </row>
    <row r="29" spans="2:33">
      <c r="B29" s="89" t="s">
        <v>221</v>
      </c>
      <c r="C29" s="102">
        <v>70560</v>
      </c>
      <c r="D29" s="102">
        <v>85248</v>
      </c>
      <c r="E29" s="102">
        <v>95766</v>
      </c>
      <c r="F29" s="102">
        <v>98715</v>
      </c>
      <c r="G29" s="102">
        <v>93653</v>
      </c>
      <c r="H29" s="102">
        <v>88624</v>
      </c>
      <c r="I29" s="102">
        <v>89160</v>
      </c>
      <c r="J29" s="103">
        <f>AVERAGE(AD29:AG29)</f>
        <v>93036.25</v>
      </c>
      <c r="L29" s="102">
        <v>85215</v>
      </c>
      <c r="M29" s="102">
        <v>102239</v>
      </c>
      <c r="N29" s="102">
        <v>97468</v>
      </c>
      <c r="O29" s="101">
        <f>E29</f>
        <v>95766</v>
      </c>
      <c r="P29" s="102">
        <v>97600</v>
      </c>
      <c r="Q29" s="102">
        <v>98166</v>
      </c>
      <c r="R29" s="102">
        <v>101076</v>
      </c>
      <c r="S29" s="101">
        <f>F29</f>
        <v>98715</v>
      </c>
      <c r="T29" s="102">
        <v>88779</v>
      </c>
      <c r="U29" s="102">
        <v>91316</v>
      </c>
      <c r="V29" s="102">
        <v>99326</v>
      </c>
      <c r="W29" s="102">
        <v>95058</v>
      </c>
      <c r="X29" s="102">
        <v>90056</v>
      </c>
      <c r="Y29" s="102">
        <v>88675</v>
      </c>
      <c r="Z29" s="102">
        <v>88933</v>
      </c>
      <c r="AA29" s="102">
        <v>86850</v>
      </c>
      <c r="AB29" s="102">
        <v>100429</v>
      </c>
      <c r="AC29" s="102">
        <v>82192</v>
      </c>
      <c r="AD29" s="102">
        <v>86703</v>
      </c>
      <c r="AE29" s="102">
        <v>87487</v>
      </c>
      <c r="AF29" s="102">
        <v>97587</v>
      </c>
      <c r="AG29" s="102">
        <v>100368</v>
      </c>
    </row>
    <row r="30" spans="2:33">
      <c r="B30" s="89" t="s">
        <v>234</v>
      </c>
      <c r="C30" s="102">
        <v>6110</v>
      </c>
      <c r="D30" s="102">
        <v>19323</v>
      </c>
      <c r="E30" s="102">
        <v>55993</v>
      </c>
      <c r="F30" s="102">
        <v>74053</v>
      </c>
      <c r="G30" s="102">
        <v>61604</v>
      </c>
      <c r="H30" s="102">
        <v>65965</v>
      </c>
      <c r="I30" s="102">
        <v>67255</v>
      </c>
      <c r="J30" s="103">
        <f>AVERAGE(AD30:AG30)</f>
        <v>71892</v>
      </c>
      <c r="L30" s="102">
        <v>23420</v>
      </c>
      <c r="M30" s="102">
        <v>68068</v>
      </c>
      <c r="N30" s="102">
        <v>64549</v>
      </c>
      <c r="O30" s="101">
        <f>E30</f>
        <v>55993</v>
      </c>
      <c r="P30" s="102">
        <v>65344</v>
      </c>
      <c r="Q30" s="102">
        <v>77207</v>
      </c>
      <c r="R30" s="102">
        <v>75191</v>
      </c>
      <c r="S30" s="101">
        <f>F30</f>
        <v>74053</v>
      </c>
      <c r="T30" s="102">
        <v>57617</v>
      </c>
      <c r="U30" s="102">
        <v>57566</v>
      </c>
      <c r="V30" s="102">
        <v>66740</v>
      </c>
      <c r="W30" s="102">
        <v>64363</v>
      </c>
      <c r="X30" s="102">
        <v>62771</v>
      </c>
      <c r="Y30" s="102">
        <v>68844</v>
      </c>
      <c r="Z30" s="102">
        <v>57812</v>
      </c>
      <c r="AA30" s="102">
        <v>74428</v>
      </c>
      <c r="AB30" s="102">
        <v>53144</v>
      </c>
      <c r="AC30" s="102">
        <v>74538</v>
      </c>
      <c r="AD30" s="102">
        <v>63452</v>
      </c>
      <c r="AE30" s="102">
        <v>77656</v>
      </c>
      <c r="AF30" s="102">
        <v>70263</v>
      </c>
      <c r="AG30" s="102">
        <v>76197</v>
      </c>
    </row>
    <row r="31" spans="2:33">
      <c r="B31" s="91" t="s">
        <v>228</v>
      </c>
      <c r="C31" s="107">
        <f t="shared" ref="C31:P31" si="38">SUM(C28:C30)</f>
        <v>350651</v>
      </c>
      <c r="D31" s="107">
        <f t="shared" si="38"/>
        <v>354052</v>
      </c>
      <c r="E31" s="107">
        <f t="shared" si="38"/>
        <v>416141</v>
      </c>
      <c r="F31" s="107">
        <f t="shared" ref="F31" si="39">SUM(F28:F30)</f>
        <v>468130</v>
      </c>
      <c r="G31" s="107">
        <f t="shared" ref="G31:H31" si="40">SUM(G28:G30)</f>
        <v>462007</v>
      </c>
      <c r="H31" s="107">
        <f t="shared" si="40"/>
        <v>488794</v>
      </c>
      <c r="I31" s="107">
        <f t="shared" ref="I31" si="41">SUM(I28:I30)</f>
        <v>509906</v>
      </c>
      <c r="J31" s="107">
        <f t="shared" ref="J31" si="42">SUM(J28:J30)</f>
        <v>544067.75</v>
      </c>
      <c r="K31" s="107"/>
      <c r="L31" s="107">
        <f t="shared" si="38"/>
        <v>382877</v>
      </c>
      <c r="M31" s="107">
        <f t="shared" si="38"/>
        <v>443126</v>
      </c>
      <c r="N31" s="107">
        <f t="shared" si="38"/>
        <v>417167</v>
      </c>
      <c r="O31" s="106">
        <f t="shared" si="38"/>
        <v>416141</v>
      </c>
      <c r="P31" s="107">
        <f t="shared" si="38"/>
        <v>427368</v>
      </c>
      <c r="Q31" s="107">
        <f>SUM(Q28:Q30)</f>
        <v>465459</v>
      </c>
      <c r="R31" s="107">
        <f>SUM(R28:R30)</f>
        <v>478323</v>
      </c>
      <c r="S31" s="106">
        <f t="shared" ref="S31:T31" si="43">SUM(S28:S30)</f>
        <v>468130</v>
      </c>
      <c r="T31" s="106">
        <f t="shared" si="43"/>
        <v>460817</v>
      </c>
      <c r="U31" s="107">
        <f>SUM(U28:U30)</f>
        <v>444868</v>
      </c>
      <c r="V31" s="107">
        <f>SUM(V28:V30)</f>
        <v>467452</v>
      </c>
      <c r="W31" s="107">
        <f t="shared" ref="W31" si="44">SUM(W28:W30)</f>
        <v>474679</v>
      </c>
      <c r="X31" s="106">
        <f t="shared" ref="X31" si="45">SUM(X28:X30)</f>
        <v>473048</v>
      </c>
      <c r="Y31" s="107">
        <f>SUM(Y28:Y30)</f>
        <v>506709</v>
      </c>
      <c r="Z31" s="107">
        <f>SUM(Z28:Z30)</f>
        <v>475078</v>
      </c>
      <c r="AA31" s="107">
        <f t="shared" ref="AA31:AB31" si="46">SUM(AA28:AA30)</f>
        <v>500365</v>
      </c>
      <c r="AB31" s="106">
        <f t="shared" si="46"/>
        <v>484218</v>
      </c>
      <c r="AC31" s="107">
        <f>SUM(AC28:AC30)</f>
        <v>504772</v>
      </c>
      <c r="AD31" s="107">
        <f>SUM(AD28:AD30)</f>
        <v>510497</v>
      </c>
      <c r="AE31" s="107">
        <f t="shared" ref="AE31:AF31" si="47">SUM(AE28:AE30)</f>
        <v>539523</v>
      </c>
      <c r="AF31" s="106">
        <f t="shared" si="47"/>
        <v>553369</v>
      </c>
      <c r="AG31" s="107">
        <f>SUM(AG28:AG30)</f>
        <v>572882</v>
      </c>
    </row>
    <row r="32" spans="2:33">
      <c r="B32" s="91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6"/>
      <c r="P32" s="107"/>
      <c r="Q32" s="107"/>
      <c r="R32" s="107"/>
      <c r="S32" s="106"/>
      <c r="T32" s="106"/>
      <c r="U32" s="107"/>
      <c r="V32" s="107"/>
      <c r="W32" s="107"/>
      <c r="X32" s="106"/>
      <c r="Y32" s="107"/>
      <c r="Z32" s="107"/>
      <c r="AA32" s="107"/>
      <c r="AB32" s="106"/>
      <c r="AC32" s="107"/>
      <c r="AD32" s="107"/>
      <c r="AE32" s="107"/>
      <c r="AF32" s="106"/>
      <c r="AG32" s="107"/>
    </row>
    <row r="33" spans="2:33">
      <c r="B33" s="104" t="s">
        <v>235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6"/>
      <c r="P33" s="107"/>
      <c r="Q33" s="107"/>
      <c r="R33" s="107"/>
      <c r="S33" s="106"/>
      <c r="T33" s="106"/>
      <c r="U33" s="107"/>
      <c r="V33" s="107"/>
      <c r="W33" s="107"/>
      <c r="X33" s="106"/>
      <c r="Y33" s="107"/>
      <c r="Z33" s="107"/>
      <c r="AA33" s="107"/>
      <c r="AB33" s="106"/>
      <c r="AC33" s="107"/>
      <c r="AD33" s="107"/>
      <c r="AE33" s="107"/>
      <c r="AF33" s="106"/>
      <c r="AG33" s="107"/>
    </row>
    <row r="34" spans="2:33">
      <c r="B34" s="89" t="s">
        <v>220</v>
      </c>
      <c r="C34" s="219">
        <f>C28/C$31</f>
        <v>0.78134954698546422</v>
      </c>
      <c r="D34" s="219">
        <f t="shared" ref="D34:J34" si="48">D28/D$31</f>
        <v>0.70464508038367246</v>
      </c>
      <c r="E34" s="219">
        <f t="shared" si="48"/>
        <v>0.63531831758947088</v>
      </c>
      <c r="F34" s="219">
        <f t="shared" si="48"/>
        <v>0.6309401234699763</v>
      </c>
      <c r="G34" s="219">
        <f t="shared" si="48"/>
        <v>0.66395097909771927</v>
      </c>
      <c r="H34" s="219">
        <f t="shared" si="48"/>
        <v>0.68373384288677852</v>
      </c>
      <c r="I34" s="219">
        <f t="shared" si="48"/>
        <v>0.69324738285095688</v>
      </c>
      <c r="J34" s="219">
        <f t="shared" si="48"/>
        <v>0.69686082293979013</v>
      </c>
      <c r="K34" s="107"/>
      <c r="L34" s="219">
        <f t="shared" ref="L34:AE34" si="49">L28/L$31</f>
        <v>0.71626658169594937</v>
      </c>
      <c r="M34" s="219">
        <f t="shared" si="49"/>
        <v>0.61566913248150634</v>
      </c>
      <c r="N34" s="219">
        <f t="shared" si="49"/>
        <v>0.611625560027519</v>
      </c>
      <c r="O34" s="219">
        <f t="shared" si="49"/>
        <v>0.63531831758947088</v>
      </c>
      <c r="P34" s="219">
        <f t="shared" si="49"/>
        <v>0.61872671795735756</v>
      </c>
      <c r="Q34" s="219">
        <f t="shared" si="49"/>
        <v>0.62322567616052116</v>
      </c>
      <c r="R34" s="219">
        <f t="shared" si="49"/>
        <v>0.63148960012376576</v>
      </c>
      <c r="S34" s="219">
        <f t="shared" si="49"/>
        <v>0.6309401234699763</v>
      </c>
      <c r="T34" s="219">
        <f t="shared" si="49"/>
        <v>0.68231206748014939</v>
      </c>
      <c r="U34" s="219">
        <f t="shared" si="49"/>
        <v>0.665334436282223</v>
      </c>
      <c r="V34" s="219">
        <f t="shared" si="49"/>
        <v>0.6447421339517212</v>
      </c>
      <c r="W34" s="219">
        <f t="shared" si="49"/>
        <v>0.66414987812816662</v>
      </c>
      <c r="X34" s="219">
        <f t="shared" si="49"/>
        <v>0.67693130506840749</v>
      </c>
      <c r="Y34" s="219">
        <f t="shared" si="49"/>
        <v>0.68913321058043175</v>
      </c>
      <c r="Z34" s="219">
        <f t="shared" si="49"/>
        <v>0.69111388024703313</v>
      </c>
      <c r="AA34" s="219">
        <f t="shared" si="49"/>
        <v>0.67767929411529582</v>
      </c>
      <c r="AB34" s="219">
        <f t="shared" si="49"/>
        <v>0.68284326481047797</v>
      </c>
      <c r="AC34" s="219">
        <f t="shared" si="49"/>
        <v>0.68950337974372589</v>
      </c>
      <c r="AD34" s="219">
        <f t="shared" si="49"/>
        <v>0.70586506874673116</v>
      </c>
      <c r="AE34" s="219">
        <f t="shared" si="49"/>
        <v>0.69390924946665855</v>
      </c>
      <c r="AF34" s="219">
        <f t="shared" ref="AF34:AG34" si="50">AF28/AF$31</f>
        <v>0.69667617810177296</v>
      </c>
      <c r="AG34" s="219">
        <f t="shared" si="50"/>
        <v>0.69179516898767979</v>
      </c>
    </row>
    <row r="35" spans="2:33">
      <c r="B35" s="89" t="s">
        <v>221</v>
      </c>
      <c r="C35" s="219">
        <f t="shared" ref="C35:J36" si="51">C29/C$31</f>
        <v>0.20122572016050147</v>
      </c>
      <c r="D35" s="219">
        <f t="shared" si="51"/>
        <v>0.24077819077423654</v>
      </c>
      <c r="E35" s="219">
        <f t="shared" si="51"/>
        <v>0.23012873040628057</v>
      </c>
      <c r="F35" s="219">
        <f t="shared" si="51"/>
        <v>0.21087091192617435</v>
      </c>
      <c r="G35" s="219">
        <f t="shared" si="51"/>
        <v>0.20270904986288085</v>
      </c>
      <c r="H35" s="219">
        <f t="shared" si="51"/>
        <v>0.18131155456081702</v>
      </c>
      <c r="I35" s="219">
        <f t="shared" si="51"/>
        <v>0.17485575772789494</v>
      </c>
      <c r="J35" s="219">
        <f t="shared" si="51"/>
        <v>0.17100122181474642</v>
      </c>
      <c r="K35" s="107"/>
      <c r="L35" s="219">
        <f t="shared" ref="L35:AE35" si="52">L29/L$31</f>
        <v>0.22256494905674667</v>
      </c>
      <c r="M35" s="219">
        <f t="shared" si="52"/>
        <v>0.23072218736882963</v>
      </c>
      <c r="N35" s="219">
        <f t="shared" si="52"/>
        <v>0.23364264191558776</v>
      </c>
      <c r="O35" s="219">
        <f t="shared" si="52"/>
        <v>0.23012873040628057</v>
      </c>
      <c r="P35" s="219">
        <f t="shared" si="52"/>
        <v>0.22837460923606823</v>
      </c>
      <c r="Q35" s="219">
        <f t="shared" si="52"/>
        <v>0.21090149723176477</v>
      </c>
      <c r="R35" s="219">
        <f t="shared" si="52"/>
        <v>0.21131327575717665</v>
      </c>
      <c r="S35" s="219">
        <f t="shared" si="52"/>
        <v>0.21087091192617435</v>
      </c>
      <c r="T35" s="219">
        <f t="shared" si="52"/>
        <v>0.19265565289474998</v>
      </c>
      <c r="U35" s="219">
        <f t="shared" si="52"/>
        <v>0.20526538209086739</v>
      </c>
      <c r="V35" s="219">
        <f t="shared" si="52"/>
        <v>0.21248384860905506</v>
      </c>
      <c r="W35" s="219">
        <f t="shared" si="52"/>
        <v>0.20025743713119815</v>
      </c>
      <c r="X35" s="219">
        <f t="shared" si="52"/>
        <v>0.19037391554345437</v>
      </c>
      <c r="Y35" s="219">
        <f t="shared" si="52"/>
        <v>0.17500182550536897</v>
      </c>
      <c r="Z35" s="219">
        <f t="shared" si="52"/>
        <v>0.18719662876411874</v>
      </c>
      <c r="AA35" s="219">
        <f t="shared" si="52"/>
        <v>0.17357329149720704</v>
      </c>
      <c r="AB35" s="219">
        <f t="shared" si="52"/>
        <v>0.20740451614768554</v>
      </c>
      <c r="AC35" s="219">
        <f t="shared" si="52"/>
        <v>0.16282995094815084</v>
      </c>
      <c r="AD35" s="219">
        <f t="shared" si="52"/>
        <v>0.16984037124606022</v>
      </c>
      <c r="AE35" s="219">
        <f t="shared" si="52"/>
        <v>0.16215620094046038</v>
      </c>
      <c r="AF35" s="219">
        <f t="shared" ref="AF35:AG35" si="53">AF29/AF$31</f>
        <v>0.17635068101032042</v>
      </c>
      <c r="AG35" s="219">
        <f t="shared" si="53"/>
        <v>0.17519838291306064</v>
      </c>
    </row>
    <row r="36" spans="2:33">
      <c r="B36" s="89" t="s">
        <v>234</v>
      </c>
      <c r="C36" s="219">
        <f t="shared" si="51"/>
        <v>1.7424732854034352E-2</v>
      </c>
      <c r="D36" s="219">
        <f t="shared" si="51"/>
        <v>5.4576728842090992E-2</v>
      </c>
      <c r="E36" s="219">
        <f t="shared" si="51"/>
        <v>0.13455295200424855</v>
      </c>
      <c r="F36" s="219">
        <f t="shared" si="51"/>
        <v>0.15818896460384935</v>
      </c>
      <c r="G36" s="219">
        <f t="shared" si="51"/>
        <v>0.13333997103939985</v>
      </c>
      <c r="H36" s="219">
        <f t="shared" si="51"/>
        <v>0.13495460255240449</v>
      </c>
      <c r="I36" s="219">
        <f t="shared" si="51"/>
        <v>0.1318968594211482</v>
      </c>
      <c r="J36" s="219">
        <f t="shared" si="51"/>
        <v>0.13213795524546346</v>
      </c>
      <c r="K36" s="107"/>
      <c r="L36" s="219">
        <f t="shared" ref="L36:AE36" si="54">L30/L$31</f>
        <v>6.1168469247303965E-2</v>
      </c>
      <c r="M36" s="219">
        <f t="shared" si="54"/>
        <v>0.15360868014966397</v>
      </c>
      <c r="N36" s="219">
        <f t="shared" si="54"/>
        <v>0.15473179805689327</v>
      </c>
      <c r="O36" s="219">
        <f t="shared" si="54"/>
        <v>0.13455295200424855</v>
      </c>
      <c r="P36" s="219">
        <f t="shared" si="54"/>
        <v>0.15289867280657418</v>
      </c>
      <c r="Q36" s="219">
        <f t="shared" si="54"/>
        <v>0.1658728266077141</v>
      </c>
      <c r="R36" s="219">
        <f t="shared" si="54"/>
        <v>0.15719712411905762</v>
      </c>
      <c r="S36" s="219">
        <f t="shared" si="54"/>
        <v>0.15818896460384935</v>
      </c>
      <c r="T36" s="219">
        <f t="shared" si="54"/>
        <v>0.12503227962510063</v>
      </c>
      <c r="U36" s="219">
        <f t="shared" si="54"/>
        <v>0.12940018162690956</v>
      </c>
      <c r="V36" s="219">
        <f t="shared" si="54"/>
        <v>0.14277401743922372</v>
      </c>
      <c r="W36" s="219">
        <f t="shared" si="54"/>
        <v>0.13559268474063524</v>
      </c>
      <c r="X36" s="219">
        <f t="shared" si="54"/>
        <v>0.1326947793881382</v>
      </c>
      <c r="Y36" s="219">
        <f t="shared" si="54"/>
        <v>0.13586496391419928</v>
      </c>
      <c r="Z36" s="219">
        <f t="shared" si="54"/>
        <v>0.12168949098884815</v>
      </c>
      <c r="AA36" s="219">
        <f t="shared" si="54"/>
        <v>0.14874741438749714</v>
      </c>
      <c r="AB36" s="219">
        <f t="shared" si="54"/>
        <v>0.10975221904183653</v>
      </c>
      <c r="AC36" s="219">
        <f t="shared" si="54"/>
        <v>0.14766666930812328</v>
      </c>
      <c r="AD36" s="219">
        <f t="shared" si="54"/>
        <v>0.12429456000720866</v>
      </c>
      <c r="AE36" s="219">
        <f t="shared" si="54"/>
        <v>0.14393454959288113</v>
      </c>
      <c r="AF36" s="219">
        <f t="shared" ref="AF36:AG36" si="55">AF30/AF$31</f>
        <v>0.12697314088790662</v>
      </c>
      <c r="AG36" s="219">
        <f t="shared" si="55"/>
        <v>0.13300644809925954</v>
      </c>
    </row>
    <row r="37" spans="2:33">
      <c r="B37" s="91" t="s">
        <v>228</v>
      </c>
      <c r="C37" s="220">
        <f>SUM(C34:C36)</f>
        <v>1</v>
      </c>
      <c r="D37" s="220">
        <f t="shared" ref="D37:J37" si="56">SUM(D34:D36)</f>
        <v>1</v>
      </c>
      <c r="E37" s="220">
        <f t="shared" si="56"/>
        <v>1</v>
      </c>
      <c r="F37" s="220">
        <f t="shared" si="56"/>
        <v>1</v>
      </c>
      <c r="G37" s="220">
        <f t="shared" si="56"/>
        <v>1</v>
      </c>
      <c r="H37" s="220">
        <f t="shared" si="56"/>
        <v>1</v>
      </c>
      <c r="I37" s="220">
        <f t="shared" si="56"/>
        <v>1</v>
      </c>
      <c r="J37" s="220">
        <f t="shared" si="56"/>
        <v>1</v>
      </c>
      <c r="K37" s="107"/>
      <c r="L37" s="220">
        <f t="shared" ref="L37" si="57">SUM(L34:L36)</f>
        <v>1</v>
      </c>
      <c r="M37" s="220">
        <f t="shared" ref="M37" si="58">SUM(M34:M36)</f>
        <v>1</v>
      </c>
      <c r="N37" s="220">
        <f t="shared" ref="N37" si="59">SUM(N34:N36)</f>
        <v>1</v>
      </c>
      <c r="O37" s="220">
        <f t="shared" ref="O37" si="60">SUM(O34:O36)</f>
        <v>1</v>
      </c>
      <c r="P37" s="220">
        <f t="shared" ref="P37" si="61">SUM(P34:P36)</f>
        <v>1</v>
      </c>
      <c r="Q37" s="220">
        <f t="shared" ref="Q37" si="62">SUM(Q34:Q36)</f>
        <v>1</v>
      </c>
      <c r="R37" s="220">
        <f t="shared" ref="R37" si="63">SUM(R34:R36)</f>
        <v>1</v>
      </c>
      <c r="S37" s="220">
        <f t="shared" ref="S37" si="64">SUM(S34:S36)</f>
        <v>1</v>
      </c>
      <c r="T37" s="220">
        <f t="shared" ref="T37" si="65">SUM(T34:T36)</f>
        <v>1</v>
      </c>
      <c r="U37" s="220">
        <f t="shared" ref="U37" si="66">SUM(U34:U36)</f>
        <v>1</v>
      </c>
      <c r="V37" s="220">
        <f t="shared" ref="V37" si="67">SUM(V34:V36)</f>
        <v>0.99999999999999989</v>
      </c>
      <c r="W37" s="220">
        <f t="shared" ref="W37" si="68">SUM(W34:W36)</f>
        <v>1</v>
      </c>
      <c r="X37" s="220">
        <f t="shared" ref="X37" si="69">SUM(X34:X36)</f>
        <v>1</v>
      </c>
      <c r="Y37" s="220">
        <f t="shared" ref="Y37" si="70">SUM(Y34:Y36)</f>
        <v>1</v>
      </c>
      <c r="Z37" s="220">
        <f t="shared" ref="Z37" si="71">SUM(Z34:Z36)</f>
        <v>1</v>
      </c>
      <c r="AA37" s="220">
        <f t="shared" ref="AA37" si="72">SUM(AA34:AA36)</f>
        <v>1</v>
      </c>
      <c r="AB37" s="220">
        <f t="shared" ref="AB37" si="73">SUM(AB34:AB36)</f>
        <v>1</v>
      </c>
      <c r="AC37" s="220">
        <f t="shared" ref="AC37" si="74">SUM(AC34:AC36)</f>
        <v>1</v>
      </c>
      <c r="AD37" s="220">
        <f t="shared" ref="AD37" si="75">SUM(AD34:AD36)</f>
        <v>1</v>
      </c>
      <c r="AE37" s="220">
        <f t="shared" ref="AE37:AG37" si="76">SUM(AE34:AE36)</f>
        <v>1</v>
      </c>
      <c r="AF37" s="220">
        <f t="shared" si="76"/>
        <v>1</v>
      </c>
      <c r="AG37" s="220">
        <f t="shared" si="76"/>
        <v>1</v>
      </c>
    </row>
    <row r="38" spans="2:33">
      <c r="K38" s="107"/>
    </row>
    <row r="39" spans="2:33">
      <c r="B39" s="104" t="s">
        <v>236</v>
      </c>
      <c r="K39" s="107"/>
    </row>
    <row r="40" spans="2:33">
      <c r="B40" s="89" t="s">
        <v>220</v>
      </c>
      <c r="C40" s="188"/>
      <c r="D40" s="219">
        <f>D28/C28-1</f>
        <v>-8.9422259207755261E-2</v>
      </c>
      <c r="E40" s="219">
        <f t="shared" ref="E40:I40" si="77">E28/D28-1</f>
        <v>5.9727995318280769E-2</v>
      </c>
      <c r="F40" s="219">
        <f t="shared" si="77"/>
        <v>0.11717893048694683</v>
      </c>
      <c r="G40" s="219">
        <f t="shared" si="77"/>
        <v>3.855607694964136E-2</v>
      </c>
      <c r="H40" s="219">
        <f t="shared" si="77"/>
        <v>8.9502852485737527E-2</v>
      </c>
      <c r="I40" s="219">
        <f t="shared" si="77"/>
        <v>5.7707095944106168E-2</v>
      </c>
      <c r="J40" s="188"/>
      <c r="K40" s="107"/>
      <c r="L40" s="188"/>
      <c r="M40" s="188"/>
      <c r="N40" s="188"/>
      <c r="O40" s="188"/>
      <c r="P40" s="219">
        <f>P28/L28-1</f>
        <v>-3.5800497370935158E-2</v>
      </c>
      <c r="Q40" s="219">
        <f t="shared" ref="Q40:AG43" si="78">Q28/M28-1</f>
        <v>6.3291046444712507E-2</v>
      </c>
      <c r="R40" s="219">
        <f t="shared" si="78"/>
        <v>0.18383695865177341</v>
      </c>
      <c r="S40" s="219">
        <f t="shared" si="78"/>
        <v>0.11717893048694683</v>
      </c>
      <c r="T40" s="219">
        <f t="shared" si="78"/>
        <v>0.18907890357910029</v>
      </c>
      <c r="U40" s="219">
        <f t="shared" si="78"/>
        <v>2.0338796081162069E-2</v>
      </c>
      <c r="V40" s="219">
        <f t="shared" si="78"/>
        <v>-2.218131737161344E-3</v>
      </c>
      <c r="W40" s="219">
        <f t="shared" si="78"/>
        <v>6.7361407357750869E-2</v>
      </c>
      <c r="X40" s="219">
        <f t="shared" si="78"/>
        <v>1.8446605029562191E-2</v>
      </c>
      <c r="Y40" s="219">
        <f t="shared" si="78"/>
        <v>0.17975174501496682</v>
      </c>
      <c r="Z40" s="219">
        <f t="shared" si="78"/>
        <v>8.9410257941642923E-2</v>
      </c>
      <c r="AA40" s="219">
        <f t="shared" si="78"/>
        <v>7.5585710751194357E-2</v>
      </c>
      <c r="AB40" s="219">
        <f t="shared" si="78"/>
        <v>3.2552518416968379E-2</v>
      </c>
      <c r="AC40" s="219">
        <f t="shared" si="78"/>
        <v>-3.2876084653054027E-3</v>
      </c>
      <c r="AD40" s="219">
        <f t="shared" si="78"/>
        <v>9.7489439075572726E-2</v>
      </c>
      <c r="AE40" s="219">
        <f t="shared" si="78"/>
        <v>0.10408243312188326</v>
      </c>
      <c r="AF40" s="219">
        <f t="shared" si="78"/>
        <v>0.16596047120022983</v>
      </c>
      <c r="AG40" s="219">
        <f t="shared" si="78"/>
        <v>0.1387045241666236</v>
      </c>
    </row>
    <row r="41" spans="2:33">
      <c r="B41" s="89" t="s">
        <v>221</v>
      </c>
      <c r="C41" s="188"/>
      <c r="D41" s="219">
        <f t="shared" ref="D41:I43" si="79">D29/C29-1</f>
        <v>0.2081632653061225</v>
      </c>
      <c r="E41" s="219">
        <f t="shared" si="79"/>
        <v>0.12338119369369371</v>
      </c>
      <c r="F41" s="219">
        <f t="shared" si="79"/>
        <v>3.0793809911659586E-2</v>
      </c>
      <c r="G41" s="219">
        <f t="shared" si="79"/>
        <v>-5.127893430582986E-2</v>
      </c>
      <c r="H41" s="219">
        <f t="shared" si="79"/>
        <v>-5.3698226431614593E-2</v>
      </c>
      <c r="I41" s="219">
        <f t="shared" si="79"/>
        <v>6.048023108864431E-3</v>
      </c>
      <c r="J41" s="188"/>
      <c r="K41" s="107"/>
      <c r="L41" s="188"/>
      <c r="M41" s="188"/>
      <c r="N41" s="188"/>
      <c r="O41" s="188"/>
      <c r="P41" s="219">
        <f t="shared" ref="P41:P43" si="80">P29/L29-1</f>
        <v>0.14533826204306743</v>
      </c>
      <c r="Q41" s="219">
        <f t="shared" si="78"/>
        <v>-3.9838026584767094E-2</v>
      </c>
      <c r="R41" s="219">
        <f t="shared" si="78"/>
        <v>3.7017277465424492E-2</v>
      </c>
      <c r="S41" s="219">
        <f t="shared" si="78"/>
        <v>3.0793809911659586E-2</v>
      </c>
      <c r="T41" s="219">
        <f t="shared" si="78"/>
        <v>-9.0379098360655719E-2</v>
      </c>
      <c r="U41" s="219">
        <f t="shared" si="78"/>
        <v>-6.9779760813316272E-2</v>
      </c>
      <c r="V41" s="219">
        <f t="shared" si="78"/>
        <v>-1.7313704539158703E-2</v>
      </c>
      <c r="W41" s="219">
        <f t="shared" si="78"/>
        <v>-3.7046041635009908E-2</v>
      </c>
      <c r="X41" s="219">
        <f t="shared" si="78"/>
        <v>1.4384032259881385E-2</v>
      </c>
      <c r="Y41" s="219">
        <f t="shared" si="78"/>
        <v>-2.8921547154934557E-2</v>
      </c>
      <c r="Z41" s="219">
        <f t="shared" si="78"/>
        <v>-0.10463524152789805</v>
      </c>
      <c r="AA41" s="219">
        <f t="shared" si="78"/>
        <v>-8.6347282711607631E-2</v>
      </c>
      <c r="AB41" s="219">
        <f t="shared" si="78"/>
        <v>0.11518388558230441</v>
      </c>
      <c r="AC41" s="219">
        <f t="shared" si="78"/>
        <v>-7.3109670143783445E-2</v>
      </c>
      <c r="AD41" s="219">
        <f t="shared" si="78"/>
        <v>-2.5075056503210291E-2</v>
      </c>
      <c r="AE41" s="219">
        <f t="shared" si="78"/>
        <v>7.3344847438112648E-3</v>
      </c>
      <c r="AF41" s="219">
        <f t="shared" si="78"/>
        <v>-2.8298599010246006E-2</v>
      </c>
      <c r="AG41" s="219">
        <f t="shared" si="78"/>
        <v>0.22114074362468372</v>
      </c>
    </row>
    <row r="42" spans="2:33">
      <c r="B42" s="89" t="s">
        <v>234</v>
      </c>
      <c r="C42" s="188"/>
      <c r="D42" s="219">
        <f t="shared" si="79"/>
        <v>2.1625204582651389</v>
      </c>
      <c r="E42" s="219">
        <f t="shared" si="79"/>
        <v>1.897738446411013</v>
      </c>
      <c r="F42" s="219">
        <f t="shared" si="79"/>
        <v>0.32254031753969237</v>
      </c>
      <c r="G42" s="219">
        <f t="shared" si="79"/>
        <v>-0.16810932710356097</v>
      </c>
      <c r="H42" s="219">
        <f t="shared" si="79"/>
        <v>7.0790857736510615E-2</v>
      </c>
      <c r="I42" s="219">
        <f t="shared" si="79"/>
        <v>1.9555825058743315E-2</v>
      </c>
      <c r="J42" s="188"/>
      <c r="K42" s="107"/>
      <c r="L42" s="188"/>
      <c r="M42" s="188"/>
      <c r="N42" s="188"/>
      <c r="O42" s="188"/>
      <c r="P42" s="219">
        <f t="shared" si="80"/>
        <v>1.7900939368061488</v>
      </c>
      <c r="Q42" s="219">
        <f t="shared" si="78"/>
        <v>0.13426279602750202</v>
      </c>
      <c r="R42" s="219">
        <f t="shared" si="78"/>
        <v>0.16486700026336587</v>
      </c>
      <c r="S42" s="219">
        <f t="shared" si="78"/>
        <v>0.32254031753969237</v>
      </c>
      <c r="T42" s="219">
        <f t="shared" si="78"/>
        <v>-0.11825110186092069</v>
      </c>
      <c r="U42" s="219">
        <f t="shared" si="78"/>
        <v>-0.25439403162925645</v>
      </c>
      <c r="V42" s="219">
        <f t="shared" si="78"/>
        <v>-0.1123937705310476</v>
      </c>
      <c r="W42" s="219">
        <f t="shared" si="78"/>
        <v>-0.13085222745871206</v>
      </c>
      <c r="X42" s="219">
        <f t="shared" si="78"/>
        <v>8.9452765676796719E-2</v>
      </c>
      <c r="Y42" s="219">
        <f t="shared" si="78"/>
        <v>0.19591425494215331</v>
      </c>
      <c r="Z42" s="219">
        <f t="shared" si="78"/>
        <v>-0.13377284986514837</v>
      </c>
      <c r="AA42" s="219">
        <f t="shared" si="78"/>
        <v>0.15637866476080986</v>
      </c>
      <c r="AB42" s="219">
        <f t="shared" si="78"/>
        <v>-0.15336700068502973</v>
      </c>
      <c r="AC42" s="219">
        <f t="shared" si="78"/>
        <v>8.2708732787170947E-2</v>
      </c>
      <c r="AD42" s="219">
        <f t="shared" si="78"/>
        <v>9.7557600498166419E-2</v>
      </c>
      <c r="AE42" s="219">
        <f t="shared" si="78"/>
        <v>4.3370774439726922E-2</v>
      </c>
      <c r="AF42" s="219">
        <f t="shared" si="78"/>
        <v>0.32212479301520403</v>
      </c>
      <c r="AG42" s="219">
        <f t="shared" si="78"/>
        <v>2.2257103759156349E-2</v>
      </c>
    </row>
    <row r="43" spans="2:33">
      <c r="B43" s="91" t="s">
        <v>228</v>
      </c>
      <c r="C43" s="188"/>
      <c r="D43" s="220">
        <f t="shared" si="79"/>
        <v>9.6991025264436814E-3</v>
      </c>
      <c r="E43" s="220">
        <f t="shared" si="79"/>
        <v>0.17536689525832361</v>
      </c>
      <c r="F43" s="220">
        <f t="shared" si="79"/>
        <v>0.12493121321859668</v>
      </c>
      <c r="G43" s="220">
        <f t="shared" si="79"/>
        <v>-1.3079700083310164E-2</v>
      </c>
      <c r="H43" s="220">
        <f t="shared" si="79"/>
        <v>5.7979641001110416E-2</v>
      </c>
      <c r="I43" s="220">
        <f t="shared" si="79"/>
        <v>4.3192019541974824E-2</v>
      </c>
      <c r="J43" s="188"/>
      <c r="K43" s="107"/>
      <c r="L43" s="188"/>
      <c r="M43" s="188"/>
      <c r="N43" s="188"/>
      <c r="O43" s="188"/>
      <c r="P43" s="220">
        <f t="shared" si="80"/>
        <v>0.11620180893602905</v>
      </c>
      <c r="Q43" s="220">
        <f t="shared" si="78"/>
        <v>5.0398757915355974E-2</v>
      </c>
      <c r="R43" s="220">
        <f t="shared" si="78"/>
        <v>0.14659836468368792</v>
      </c>
      <c r="S43" s="220">
        <f t="shared" si="78"/>
        <v>0.12493121321859668</v>
      </c>
      <c r="T43" s="220">
        <f t="shared" si="78"/>
        <v>7.8267441642799751E-2</v>
      </c>
      <c r="U43" s="220">
        <f t="shared" si="78"/>
        <v>-4.4238053190506554E-2</v>
      </c>
      <c r="V43" s="220">
        <f t="shared" si="78"/>
        <v>-2.2727320241761273E-2</v>
      </c>
      <c r="W43" s="220">
        <f t="shared" si="78"/>
        <v>1.3989703714780033E-2</v>
      </c>
      <c r="X43" s="220">
        <f t="shared" si="78"/>
        <v>2.6541989553336753E-2</v>
      </c>
      <c r="Y43" s="220">
        <f t="shared" si="78"/>
        <v>0.13900977368567746</v>
      </c>
      <c r="Z43" s="220">
        <f t="shared" si="78"/>
        <v>1.6313974482941473E-2</v>
      </c>
      <c r="AA43" s="220">
        <f t="shared" si="78"/>
        <v>5.4112358035640851E-2</v>
      </c>
      <c r="AB43" s="220">
        <f t="shared" si="78"/>
        <v>2.3612825759753875E-2</v>
      </c>
      <c r="AC43" s="220">
        <f t="shared" si="78"/>
        <v>-3.8227069185666762E-3</v>
      </c>
      <c r="AD43" s="220">
        <f t="shared" si="78"/>
        <v>7.4554073225870265E-2</v>
      </c>
      <c r="AE43" s="220">
        <f t="shared" si="78"/>
        <v>7.8258871024152299E-2</v>
      </c>
      <c r="AF43" s="220">
        <f t="shared" si="78"/>
        <v>0.1428096435902837</v>
      </c>
      <c r="AG43" s="220">
        <f t="shared" si="78"/>
        <v>0.13493220701623709</v>
      </c>
    </row>
    <row r="44" spans="2:33">
      <c r="K44" s="107"/>
    </row>
    <row r="45" spans="2:33">
      <c r="K45" s="107"/>
    </row>
    <row r="46" spans="2:33">
      <c r="B46" s="91" t="s">
        <v>237</v>
      </c>
      <c r="K46" s="107"/>
    </row>
    <row r="47" spans="2:33">
      <c r="B47" s="89" t="s">
        <v>238</v>
      </c>
      <c r="C47" s="102">
        <v>6.27</v>
      </c>
      <c r="D47" s="102">
        <v>6.27</v>
      </c>
      <c r="E47" s="102">
        <v>5.69</v>
      </c>
      <c r="F47" s="102">
        <v>6.27</v>
      </c>
      <c r="G47" s="102">
        <v>6</v>
      </c>
      <c r="H47" s="102">
        <v>5.87</v>
      </c>
      <c r="I47" s="102">
        <v>5.81</v>
      </c>
      <c r="J47" s="103">
        <f>AVERAGE(AD47:AG47)</f>
        <v>5.8274999999999997</v>
      </c>
      <c r="K47" s="107"/>
      <c r="L47" s="102">
        <v>5.61</v>
      </c>
      <c r="M47" s="102">
        <v>5.59</v>
      </c>
      <c r="N47" s="102">
        <v>5.76</v>
      </c>
      <c r="O47" s="130">
        <v>5.81</v>
      </c>
      <c r="P47" s="102">
        <v>6.07</v>
      </c>
      <c r="Q47" s="102">
        <v>6.1</v>
      </c>
      <c r="R47" s="102">
        <v>6.18</v>
      </c>
      <c r="S47" s="101">
        <v>6.27</v>
      </c>
      <c r="T47" s="102">
        <v>6.52</v>
      </c>
      <c r="U47" s="102">
        <v>5.87</v>
      </c>
      <c r="V47" s="102">
        <v>5.75</v>
      </c>
      <c r="W47" s="102">
        <v>5.86</v>
      </c>
      <c r="X47" s="102">
        <v>5.9</v>
      </c>
      <c r="Y47" s="102">
        <v>5.8</v>
      </c>
      <c r="Z47" s="102">
        <v>5.93</v>
      </c>
      <c r="AA47" s="102">
        <v>5.86</v>
      </c>
      <c r="AB47" s="102">
        <v>5.95</v>
      </c>
      <c r="AC47" s="102">
        <v>5.79</v>
      </c>
      <c r="AD47" s="102">
        <v>5.8</v>
      </c>
      <c r="AE47" s="102">
        <v>5.74</v>
      </c>
      <c r="AF47" s="102">
        <v>5.81</v>
      </c>
      <c r="AG47" s="102">
        <v>5.96</v>
      </c>
    </row>
    <row r="48" spans="2:33">
      <c r="B48" s="89" t="s">
        <v>239</v>
      </c>
      <c r="C48" s="102">
        <v>41.55</v>
      </c>
      <c r="D48" s="102">
        <v>41.55</v>
      </c>
      <c r="E48" s="102">
        <v>66.7</v>
      </c>
      <c r="F48" s="102">
        <v>94.89</v>
      </c>
      <c r="G48" s="102">
        <v>79.09</v>
      </c>
      <c r="H48" s="102">
        <v>77.2</v>
      </c>
      <c r="I48" s="102">
        <v>67.13</v>
      </c>
      <c r="J48" s="103">
        <f>AVERAGE(AD48:AG48)</f>
        <v>251.69749999999999</v>
      </c>
      <c r="L48" s="102">
        <v>56.59</v>
      </c>
      <c r="M48" s="102">
        <v>63.98</v>
      </c>
      <c r="N48" s="102">
        <v>69.16</v>
      </c>
      <c r="O48" s="130">
        <v>76.17</v>
      </c>
      <c r="P48" s="102">
        <v>91.19</v>
      </c>
      <c r="Q48" s="102">
        <v>105.47</v>
      </c>
      <c r="R48" s="102">
        <v>97.94</v>
      </c>
      <c r="S48" s="101">
        <v>94.89</v>
      </c>
      <c r="T48" s="102">
        <v>78.14</v>
      </c>
      <c r="U48" s="102">
        <v>73.66</v>
      </c>
      <c r="V48" s="102">
        <v>81.89</v>
      </c>
      <c r="W48" s="102">
        <v>81.95</v>
      </c>
      <c r="X48" s="102">
        <v>79.36</v>
      </c>
      <c r="Y48" s="102">
        <v>81.150000000000006</v>
      </c>
      <c r="Z48" s="102">
        <v>76.91</v>
      </c>
      <c r="AA48" s="102">
        <v>71.98</v>
      </c>
      <c r="AB48" s="102">
        <v>73.37</v>
      </c>
      <c r="AC48" s="102">
        <v>66.319999999999993</v>
      </c>
      <c r="AD48" s="102">
        <v>67.03</v>
      </c>
      <c r="AE48" s="102">
        <v>762.78</v>
      </c>
      <c r="AF48" s="102">
        <v>77.47</v>
      </c>
      <c r="AG48" s="102">
        <v>99.51</v>
      </c>
    </row>
    <row r="49" spans="2:33">
      <c r="B49" s="91" t="s">
        <v>240</v>
      </c>
      <c r="C49" s="91">
        <v>38.92</v>
      </c>
      <c r="D49" s="91">
        <v>38.92</v>
      </c>
      <c r="E49" s="146">
        <v>43.49</v>
      </c>
      <c r="F49" s="146">
        <v>53.39</v>
      </c>
      <c r="G49" s="146">
        <v>48.21</v>
      </c>
      <c r="H49" s="146">
        <v>46.78</v>
      </c>
      <c r="I49" s="146">
        <v>43.82</v>
      </c>
      <c r="J49" s="141">
        <f>AG49</f>
        <v>52.89</v>
      </c>
      <c r="L49" s="91">
        <v>40.380000000000003</v>
      </c>
      <c r="M49" s="91">
        <v>42.19</v>
      </c>
      <c r="N49" s="91">
        <v>44.25</v>
      </c>
      <c r="O49" s="100">
        <v>46.87</v>
      </c>
      <c r="P49" s="91">
        <v>51.35</v>
      </c>
      <c r="Q49" s="91">
        <v>55.61</v>
      </c>
      <c r="R49" s="91">
        <v>53.68</v>
      </c>
      <c r="S49" s="140">
        <v>46.87</v>
      </c>
      <c r="T49" s="140">
        <v>50.01</v>
      </c>
      <c r="U49" s="91">
        <v>55.61</v>
      </c>
      <c r="V49" s="146">
        <v>53.68</v>
      </c>
      <c r="W49" s="146">
        <v>48.41</v>
      </c>
      <c r="X49" s="146">
        <v>47.24</v>
      </c>
      <c r="Y49" s="146">
        <v>55.61</v>
      </c>
      <c r="Z49" s="146">
        <v>53.68</v>
      </c>
      <c r="AA49" s="146">
        <v>45.83</v>
      </c>
      <c r="AB49" s="146">
        <v>45.74</v>
      </c>
      <c r="AC49" s="146">
        <v>44.01</v>
      </c>
      <c r="AD49" s="146">
        <v>43.17</v>
      </c>
      <c r="AE49" s="146">
        <v>42.55</v>
      </c>
      <c r="AF49" s="146">
        <v>46.02</v>
      </c>
      <c r="AG49" s="146">
        <v>52.89</v>
      </c>
    </row>
    <row r="50" spans="2:33">
      <c r="B50" s="89" t="s">
        <v>241</v>
      </c>
      <c r="C50" s="102">
        <v>42.27</v>
      </c>
      <c r="D50" s="102">
        <v>42.27</v>
      </c>
      <c r="E50" s="102">
        <v>69.39</v>
      </c>
      <c r="F50" s="102">
        <v>96.38</v>
      </c>
      <c r="G50" s="102">
        <v>82.09</v>
      </c>
      <c r="H50" s="102">
        <v>79.58</v>
      </c>
      <c r="I50" s="102">
        <v>69.36</v>
      </c>
      <c r="J50" s="130">
        <f>AVERAGE(AD50:AG50)</f>
        <v>79.417500000000004</v>
      </c>
      <c r="L50" s="102">
        <v>60.01</v>
      </c>
      <c r="M50" s="102">
        <v>67.02</v>
      </c>
      <c r="N50" s="102">
        <v>71.680000000000007</v>
      </c>
      <c r="O50" s="130">
        <v>78.27</v>
      </c>
      <c r="P50" s="102">
        <v>96.21</v>
      </c>
      <c r="Q50" s="102">
        <v>108.22</v>
      </c>
      <c r="R50" s="102">
        <v>96.68</v>
      </c>
      <c r="S50" s="101">
        <v>96.38</v>
      </c>
      <c r="T50" s="102">
        <v>80.23</v>
      </c>
      <c r="U50" s="102">
        <v>77.59</v>
      </c>
      <c r="V50" s="102">
        <v>86.63</v>
      </c>
      <c r="W50" s="102">
        <v>83.75</v>
      </c>
      <c r="X50" s="102">
        <v>81.22</v>
      </c>
      <c r="Y50" s="102">
        <v>85.34</v>
      </c>
      <c r="Z50" s="102">
        <v>78.430000000000007</v>
      </c>
      <c r="AA50" s="102">
        <v>73.62</v>
      </c>
      <c r="AB50" s="102">
        <v>76.94</v>
      </c>
      <c r="AC50" s="102">
        <v>66.95</v>
      </c>
      <c r="AD50" s="102">
        <v>70.11</v>
      </c>
      <c r="AE50" s="102">
        <v>63.82</v>
      </c>
      <c r="AF50" s="102">
        <v>87.87</v>
      </c>
      <c r="AG50" s="102">
        <v>95.87</v>
      </c>
    </row>
    <row r="51" spans="2:33">
      <c r="B51" s="89" t="s">
        <v>242</v>
      </c>
      <c r="C51" s="102">
        <v>39.299999999999997</v>
      </c>
      <c r="D51" s="102">
        <v>39.299999999999997</v>
      </c>
      <c r="E51" s="102">
        <v>64.42</v>
      </c>
      <c r="F51" s="102">
        <v>82.38</v>
      </c>
      <c r="G51" s="102">
        <v>71.87</v>
      </c>
      <c r="H51" s="102">
        <v>74.02</v>
      </c>
      <c r="I51" s="190"/>
      <c r="J51" s="190"/>
      <c r="L51" s="102">
        <v>56.74</v>
      </c>
      <c r="M51" s="102">
        <v>61.21</v>
      </c>
      <c r="N51" s="102">
        <v>68.349999999999994</v>
      </c>
      <c r="O51" s="130">
        <v>71.38</v>
      </c>
      <c r="P51" s="102">
        <v>87.96</v>
      </c>
      <c r="Q51" s="102">
        <v>104.67</v>
      </c>
      <c r="R51" s="102">
        <v>74.44</v>
      </c>
      <c r="S51" s="101">
        <v>96.38</v>
      </c>
      <c r="T51" s="102">
        <v>64.22</v>
      </c>
      <c r="U51" s="102">
        <v>69.010000000000005</v>
      </c>
      <c r="V51" s="102">
        <v>81.41</v>
      </c>
      <c r="W51" s="102">
        <v>72.64</v>
      </c>
      <c r="X51" s="102">
        <v>71.53</v>
      </c>
      <c r="Y51" s="102">
        <v>80.150000000000006</v>
      </c>
      <c r="Z51" s="102">
        <v>76.91</v>
      </c>
      <c r="AA51" s="102">
        <v>71.349999999999994</v>
      </c>
      <c r="AB51" s="102">
        <v>74.94</v>
      </c>
      <c r="AC51" s="102">
        <v>68.66</v>
      </c>
      <c r="AD51" s="190"/>
      <c r="AE51" s="190"/>
      <c r="AF51" s="190"/>
      <c r="AG51" s="190"/>
    </row>
    <row r="53" spans="2:33">
      <c r="B53" s="91" t="s">
        <v>243</v>
      </c>
      <c r="AF53" s="105"/>
    </row>
    <row r="54" spans="2:33">
      <c r="B54" s="89" t="s">
        <v>231</v>
      </c>
      <c r="C54" s="133">
        <v>0.62</v>
      </c>
      <c r="D54" s="133">
        <v>0.64</v>
      </c>
      <c r="E54" s="133">
        <v>0.53</v>
      </c>
      <c r="F54" s="133">
        <v>0.53</v>
      </c>
      <c r="G54" s="133">
        <v>0.53</v>
      </c>
      <c r="H54" s="133">
        <v>0.55000000000000004</v>
      </c>
      <c r="I54" s="133">
        <v>0.57999999999999996</v>
      </c>
      <c r="J54" s="131">
        <f>AVERAGE(AD54:AG54)</f>
        <v>0.5575</v>
      </c>
      <c r="L54" s="133">
        <v>0.59</v>
      </c>
      <c r="M54" s="133">
        <v>0.56999999999999995</v>
      </c>
      <c r="N54" s="133">
        <v>0.56000000000000005</v>
      </c>
      <c r="O54" s="131">
        <v>0.53</v>
      </c>
      <c r="P54" s="133">
        <v>0.52</v>
      </c>
      <c r="Q54" s="133">
        <v>0.48</v>
      </c>
      <c r="R54" s="133">
        <v>0.5</v>
      </c>
      <c r="S54" s="131">
        <v>0.53</v>
      </c>
      <c r="T54" s="133">
        <v>0.56000000000000005</v>
      </c>
      <c r="U54" s="133">
        <v>0.44</v>
      </c>
      <c r="V54" s="147">
        <v>0.5</v>
      </c>
      <c r="W54" s="148">
        <v>0.53</v>
      </c>
      <c r="X54" s="147">
        <v>0.54</v>
      </c>
      <c r="Y54" s="147">
        <v>0.55000000000000004</v>
      </c>
      <c r="Z54" s="147">
        <v>0.45</v>
      </c>
      <c r="AA54" s="148">
        <v>0.55000000000000004</v>
      </c>
      <c r="AB54" s="147">
        <v>0.56999999999999995</v>
      </c>
      <c r="AC54" s="147">
        <v>0.56000000000000005</v>
      </c>
      <c r="AD54" s="147">
        <v>0.6</v>
      </c>
      <c r="AE54" s="148">
        <v>0.57999999999999996</v>
      </c>
      <c r="AF54" s="147">
        <v>0.56000000000000005</v>
      </c>
      <c r="AG54" s="147">
        <v>0.49</v>
      </c>
    </row>
    <row r="55" spans="2:33">
      <c r="B55" s="89" t="s">
        <v>232</v>
      </c>
      <c r="C55" s="133">
        <v>0.38</v>
      </c>
      <c r="D55" s="133">
        <v>0.36</v>
      </c>
      <c r="E55" s="133">
        <v>0.47</v>
      </c>
      <c r="F55" s="133">
        <v>0.47</v>
      </c>
      <c r="G55" s="133">
        <v>0.47</v>
      </c>
      <c r="H55" s="133">
        <v>0.45</v>
      </c>
      <c r="I55" s="133">
        <v>0.42</v>
      </c>
      <c r="J55" s="131">
        <f>AVERAGE(AD55:AG55)</f>
        <v>0.4425</v>
      </c>
      <c r="L55" s="133">
        <v>0.41</v>
      </c>
      <c r="M55" s="133">
        <v>0.43</v>
      </c>
      <c r="N55" s="133">
        <v>0.44</v>
      </c>
      <c r="O55" s="131">
        <v>0.47</v>
      </c>
      <c r="P55" s="133">
        <v>0.48</v>
      </c>
      <c r="Q55" s="133">
        <v>0.52</v>
      </c>
      <c r="R55" s="133">
        <v>0.5</v>
      </c>
      <c r="S55" s="131">
        <v>0.47</v>
      </c>
      <c r="T55" s="133">
        <v>0.44</v>
      </c>
      <c r="U55" s="133">
        <v>0.56000000000000005</v>
      </c>
      <c r="V55" s="147">
        <v>0.5</v>
      </c>
      <c r="W55" s="148">
        <v>0.47</v>
      </c>
      <c r="X55" s="147">
        <v>0.46</v>
      </c>
      <c r="Y55" s="147">
        <v>0.45</v>
      </c>
      <c r="Z55" s="147">
        <v>0.55000000000000004</v>
      </c>
      <c r="AA55" s="148">
        <v>0.45</v>
      </c>
      <c r="AB55" s="147">
        <v>0.43</v>
      </c>
      <c r="AC55" s="147">
        <v>0.44</v>
      </c>
      <c r="AD55" s="147">
        <v>0.4</v>
      </c>
      <c r="AE55" s="148">
        <v>0.42</v>
      </c>
      <c r="AF55" s="147">
        <v>0.44</v>
      </c>
      <c r="AG55" s="147">
        <v>0.51</v>
      </c>
    </row>
    <row r="56" spans="2:33" s="91" customFormat="1">
      <c r="B56" s="91" t="s">
        <v>228</v>
      </c>
      <c r="C56" s="132">
        <f>SUM(C54:C55)</f>
        <v>1</v>
      </c>
      <c r="D56" s="132">
        <f t="shared" ref="D56:E56" si="81">SUM(D54:D55)</f>
        <v>1</v>
      </c>
      <c r="E56" s="132">
        <f t="shared" si="81"/>
        <v>1</v>
      </c>
      <c r="F56" s="132">
        <f t="shared" ref="F56" si="82">SUM(F54:F55)</f>
        <v>1</v>
      </c>
      <c r="G56" s="132">
        <f t="shared" ref="G56:H56" si="83">SUM(G54:G55)</f>
        <v>1</v>
      </c>
      <c r="H56" s="132">
        <f t="shared" si="83"/>
        <v>1</v>
      </c>
      <c r="I56" s="132">
        <f t="shared" ref="I56" si="84">SUM(I54:I55)</f>
        <v>1</v>
      </c>
      <c r="J56" s="132">
        <f>SUM(J54:J55)</f>
        <v>1</v>
      </c>
      <c r="L56" s="132">
        <f t="shared" ref="L56:R56" si="85">SUM(L54:L55)</f>
        <v>1</v>
      </c>
      <c r="M56" s="132">
        <f t="shared" si="85"/>
        <v>1</v>
      </c>
      <c r="N56" s="132">
        <f t="shared" si="85"/>
        <v>1</v>
      </c>
      <c r="O56" s="132">
        <f t="shared" si="85"/>
        <v>1</v>
      </c>
      <c r="P56" s="132">
        <f t="shared" si="85"/>
        <v>1</v>
      </c>
      <c r="Q56" s="132">
        <f t="shared" si="85"/>
        <v>1</v>
      </c>
      <c r="R56" s="132">
        <f t="shared" si="85"/>
        <v>1</v>
      </c>
      <c r="S56" s="132">
        <f t="shared" ref="S56:V56" si="86">SUM(S54:S55)</f>
        <v>1</v>
      </c>
      <c r="T56" s="132">
        <f t="shared" si="86"/>
        <v>1</v>
      </c>
      <c r="U56" s="132">
        <f t="shared" si="86"/>
        <v>1</v>
      </c>
      <c r="V56" s="149">
        <f t="shared" si="86"/>
        <v>1</v>
      </c>
      <c r="W56" s="149">
        <f t="shared" ref="W56:Z56" si="87">SUM(W54:W55)</f>
        <v>1</v>
      </c>
      <c r="X56" s="149">
        <f t="shared" si="87"/>
        <v>1</v>
      </c>
      <c r="Y56" s="149">
        <f t="shared" si="87"/>
        <v>1</v>
      </c>
      <c r="Z56" s="149">
        <f t="shared" si="87"/>
        <v>1</v>
      </c>
      <c r="AA56" s="149">
        <f t="shared" ref="AA56:AD56" si="88">SUM(AA54:AA55)</f>
        <v>1</v>
      </c>
      <c r="AB56" s="149">
        <f t="shared" si="88"/>
        <v>1</v>
      </c>
      <c r="AC56" s="149">
        <f t="shared" si="88"/>
        <v>1</v>
      </c>
      <c r="AD56" s="149">
        <f t="shared" si="88"/>
        <v>1</v>
      </c>
      <c r="AE56" s="149">
        <f t="shared" ref="AE56:AG56" si="89">SUM(AE54:AE55)</f>
        <v>1</v>
      </c>
      <c r="AF56" s="149">
        <f t="shared" si="89"/>
        <v>1</v>
      </c>
      <c r="AG56" s="149">
        <f t="shared" si="89"/>
        <v>1</v>
      </c>
    </row>
    <row r="57" spans="2:33">
      <c r="J57" s="105"/>
    </row>
    <row r="58" spans="2:33">
      <c r="B58" s="91" t="s">
        <v>244</v>
      </c>
      <c r="J58" s="105"/>
    </row>
    <row r="59" spans="2:33">
      <c r="B59" s="89" t="s">
        <v>231</v>
      </c>
      <c r="C59" s="133">
        <v>0.71</v>
      </c>
      <c r="D59" s="133">
        <v>0.67</v>
      </c>
      <c r="E59" s="133">
        <v>0.71</v>
      </c>
      <c r="F59" s="133">
        <v>0.73</v>
      </c>
      <c r="G59" s="133">
        <v>0.72</v>
      </c>
      <c r="H59" s="133">
        <v>0.71</v>
      </c>
      <c r="I59" s="133">
        <v>0.72</v>
      </c>
      <c r="J59" s="131">
        <f t="shared" ref="J59:J60" si="90">AVERAGE(AD59:AG59)</f>
        <v>0.7350000000000001</v>
      </c>
      <c r="L59" s="133">
        <v>0.71</v>
      </c>
      <c r="M59" s="133">
        <v>0.72</v>
      </c>
      <c r="N59" s="133">
        <v>0.72</v>
      </c>
      <c r="O59" s="131">
        <v>0.71</v>
      </c>
      <c r="P59" s="133">
        <v>0.73</v>
      </c>
      <c r="Q59" s="133">
        <v>0.72</v>
      </c>
      <c r="R59" s="133">
        <v>0.73</v>
      </c>
      <c r="S59" s="131">
        <v>0.73</v>
      </c>
      <c r="T59" s="133">
        <v>0.72</v>
      </c>
      <c r="U59" s="133">
        <v>0.73</v>
      </c>
      <c r="V59" s="147">
        <v>0.7</v>
      </c>
      <c r="W59" s="148">
        <v>0.72</v>
      </c>
      <c r="X59" s="147">
        <v>0.73</v>
      </c>
      <c r="Y59" s="147">
        <v>0.74</v>
      </c>
      <c r="Z59" s="147">
        <v>0.72</v>
      </c>
      <c r="AA59" s="148">
        <v>0.71</v>
      </c>
      <c r="AB59" s="147">
        <v>0.73</v>
      </c>
      <c r="AC59" s="147">
        <v>0.71</v>
      </c>
      <c r="AD59" s="147">
        <v>0.74</v>
      </c>
      <c r="AE59" s="148">
        <v>0.71</v>
      </c>
      <c r="AF59" s="147">
        <v>0.75</v>
      </c>
      <c r="AG59" s="147">
        <v>0.74</v>
      </c>
    </row>
    <row r="60" spans="2:33">
      <c r="B60" s="89" t="s">
        <v>232</v>
      </c>
      <c r="C60" s="133">
        <v>0.28999999999999998</v>
      </c>
      <c r="D60" s="133">
        <v>0.33</v>
      </c>
      <c r="E60" s="133">
        <v>0.28999999999999998</v>
      </c>
      <c r="F60" s="133">
        <v>0.27</v>
      </c>
      <c r="G60" s="133">
        <v>0.28000000000000003</v>
      </c>
      <c r="H60" s="133">
        <v>0.28999999999999998</v>
      </c>
      <c r="I60" s="133">
        <v>0.28000000000000003</v>
      </c>
      <c r="J60" s="131">
        <f t="shared" si="90"/>
        <v>0.26500000000000001</v>
      </c>
      <c r="L60" s="133">
        <v>0.28999999999999998</v>
      </c>
      <c r="M60" s="133">
        <v>0.28000000000000003</v>
      </c>
      <c r="N60" s="133">
        <v>0.28000000000000003</v>
      </c>
      <c r="O60" s="131">
        <v>0.28999999999999998</v>
      </c>
      <c r="P60" s="133">
        <v>0.27</v>
      </c>
      <c r="Q60" s="133">
        <v>0.28000000000000003</v>
      </c>
      <c r="R60" s="133">
        <v>0.27</v>
      </c>
      <c r="S60" s="131">
        <v>0.27</v>
      </c>
      <c r="T60" s="133">
        <v>0.28000000000000003</v>
      </c>
      <c r="U60" s="133">
        <v>0.27</v>
      </c>
      <c r="V60" s="147">
        <v>0.3</v>
      </c>
      <c r="W60" s="148">
        <v>0.28000000000000003</v>
      </c>
      <c r="X60" s="147">
        <v>0.27</v>
      </c>
      <c r="Y60" s="147">
        <v>0.26</v>
      </c>
      <c r="Z60" s="147">
        <v>0.28000000000000003</v>
      </c>
      <c r="AA60" s="148">
        <v>0.28999999999999998</v>
      </c>
      <c r="AB60" s="147">
        <v>0.27</v>
      </c>
      <c r="AC60" s="147">
        <v>0.28999999999999998</v>
      </c>
      <c r="AD60" s="147">
        <v>0.26</v>
      </c>
      <c r="AE60" s="148">
        <v>0.28999999999999998</v>
      </c>
      <c r="AF60" s="147">
        <v>0.25</v>
      </c>
      <c r="AG60" s="147">
        <v>0.26</v>
      </c>
    </row>
    <row r="61" spans="2:33">
      <c r="B61" s="91" t="s">
        <v>228</v>
      </c>
      <c r="C61" s="132">
        <f>SUM(C59:C60)</f>
        <v>1</v>
      </c>
      <c r="D61" s="132">
        <f t="shared" ref="D61:E61" si="91">SUM(D59:D60)</f>
        <v>1</v>
      </c>
      <c r="E61" s="132">
        <f t="shared" si="91"/>
        <v>1</v>
      </c>
      <c r="F61" s="132">
        <f t="shared" ref="F61" si="92">SUM(F59:F60)</f>
        <v>1</v>
      </c>
      <c r="G61" s="132">
        <f t="shared" ref="G61:H61" si="93">SUM(G59:G60)</f>
        <v>1</v>
      </c>
      <c r="H61" s="132">
        <f t="shared" si="93"/>
        <v>1</v>
      </c>
      <c r="I61" s="132">
        <f t="shared" ref="I61" si="94">SUM(I59:I60)</f>
        <v>1</v>
      </c>
      <c r="J61" s="132">
        <f>SUM(J59:J60)</f>
        <v>1</v>
      </c>
      <c r="L61" s="132">
        <f t="shared" ref="L61:R61" si="95">SUM(L59:L60)</f>
        <v>1</v>
      </c>
      <c r="M61" s="132">
        <f t="shared" si="95"/>
        <v>1</v>
      </c>
      <c r="N61" s="132">
        <f t="shared" si="95"/>
        <v>1</v>
      </c>
      <c r="O61" s="132">
        <f t="shared" si="95"/>
        <v>1</v>
      </c>
      <c r="P61" s="132">
        <f t="shared" si="95"/>
        <v>1</v>
      </c>
      <c r="Q61" s="132">
        <f t="shared" si="95"/>
        <v>1</v>
      </c>
      <c r="R61" s="132">
        <f t="shared" si="95"/>
        <v>1</v>
      </c>
      <c r="S61" s="132">
        <f t="shared" ref="S61:V61" si="96">SUM(S59:S60)</f>
        <v>1</v>
      </c>
      <c r="T61" s="132">
        <f t="shared" si="96"/>
        <v>1</v>
      </c>
      <c r="U61" s="132">
        <f t="shared" si="96"/>
        <v>1</v>
      </c>
      <c r="V61" s="149">
        <f t="shared" si="96"/>
        <v>1</v>
      </c>
      <c r="W61" s="149">
        <f t="shared" ref="W61:Z61" si="97">SUM(W59:W60)</f>
        <v>1</v>
      </c>
      <c r="X61" s="149">
        <f t="shared" si="97"/>
        <v>1</v>
      </c>
      <c r="Y61" s="149">
        <f t="shared" si="97"/>
        <v>1</v>
      </c>
      <c r="Z61" s="149">
        <f t="shared" si="97"/>
        <v>1</v>
      </c>
      <c r="AA61" s="149">
        <f t="shared" ref="AA61:AD61" si="98">SUM(AA59:AA60)</f>
        <v>1</v>
      </c>
      <c r="AB61" s="149">
        <f t="shared" si="98"/>
        <v>1</v>
      </c>
      <c r="AC61" s="149">
        <f t="shared" si="98"/>
        <v>1</v>
      </c>
      <c r="AD61" s="149">
        <f t="shared" si="98"/>
        <v>1</v>
      </c>
      <c r="AE61" s="149">
        <f t="shared" ref="AE61:AG61" si="99">SUM(AE59:AE60)</f>
        <v>1</v>
      </c>
      <c r="AF61" s="149">
        <f t="shared" si="99"/>
        <v>1</v>
      </c>
      <c r="AG61" s="149">
        <f t="shared" si="99"/>
        <v>1</v>
      </c>
    </row>
    <row r="63" spans="2:33">
      <c r="B63" s="91" t="s">
        <v>245</v>
      </c>
    </row>
    <row r="64" spans="2:33">
      <c r="B64" s="89" t="s">
        <v>246</v>
      </c>
      <c r="C64" s="100">
        <v>1140</v>
      </c>
      <c r="D64" s="100">
        <v>1074</v>
      </c>
      <c r="E64" s="100">
        <v>1350</v>
      </c>
      <c r="F64" s="100">
        <v>1442</v>
      </c>
      <c r="G64" s="100">
        <v>1436</v>
      </c>
      <c r="H64" s="100">
        <v>1637</v>
      </c>
      <c r="I64" s="100">
        <v>1838</v>
      </c>
      <c r="J64" s="187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</row>
    <row r="65" spans="2:33">
      <c r="B65" s="134" t="s">
        <v>247</v>
      </c>
      <c r="C65" s="102">
        <f>C64*0.5</f>
        <v>570</v>
      </c>
      <c r="D65" s="102">
        <f>D64*0.5</f>
        <v>537</v>
      </c>
      <c r="E65" s="102">
        <f>E64*0.45</f>
        <v>607.5</v>
      </c>
      <c r="F65" s="102">
        <f>F64*0.49</f>
        <v>706.58</v>
      </c>
      <c r="G65" s="102">
        <f>G64*0.48</f>
        <v>689.28</v>
      </c>
      <c r="H65" s="102">
        <f>H64*0.46</f>
        <v>753.02</v>
      </c>
      <c r="I65" s="102">
        <f>I64*0.46</f>
        <v>845.48</v>
      </c>
      <c r="J65" s="187"/>
      <c r="L65" s="136"/>
      <c r="M65" s="136"/>
      <c r="N65" s="136"/>
      <c r="O65" s="137"/>
      <c r="P65" s="136"/>
      <c r="Q65" s="136"/>
      <c r="R65" s="136"/>
      <c r="S65" s="137"/>
      <c r="T65" s="136"/>
      <c r="U65" s="136"/>
      <c r="V65" s="188"/>
      <c r="W65" s="189"/>
      <c r="X65" s="188"/>
      <c r="Y65" s="188"/>
      <c r="Z65" s="188"/>
      <c r="AA65" s="189"/>
      <c r="AB65" s="188"/>
      <c r="AC65" s="188"/>
      <c r="AD65" s="188"/>
      <c r="AE65" s="189"/>
      <c r="AF65" s="188"/>
      <c r="AG65" s="188"/>
    </row>
    <row r="66" spans="2:33">
      <c r="B66" s="134" t="s">
        <v>248</v>
      </c>
      <c r="C66" s="102">
        <f>C64*0.5</f>
        <v>570</v>
      </c>
      <c r="D66" s="102">
        <f>D64*0.5</f>
        <v>537</v>
      </c>
      <c r="E66" s="102">
        <f>E64*0.55</f>
        <v>742.50000000000011</v>
      </c>
      <c r="F66" s="102">
        <f>F64*0.51</f>
        <v>735.42</v>
      </c>
      <c r="G66" s="102">
        <f>G64*0.52</f>
        <v>746.72</v>
      </c>
      <c r="H66" s="102">
        <f>H64*0.54</f>
        <v>883.98</v>
      </c>
      <c r="I66" s="102">
        <f>I64*0.54</f>
        <v>992.5200000000001</v>
      </c>
      <c r="J66" s="187"/>
      <c r="L66" s="136"/>
      <c r="M66" s="136"/>
      <c r="N66" s="136"/>
      <c r="O66" s="137"/>
      <c r="P66" s="136"/>
      <c r="Q66" s="136"/>
      <c r="R66" s="136"/>
      <c r="S66" s="137"/>
      <c r="T66" s="136"/>
      <c r="U66" s="136"/>
      <c r="V66" s="188"/>
      <c r="W66" s="189"/>
      <c r="X66" s="188"/>
      <c r="Y66" s="188"/>
      <c r="Z66" s="188"/>
      <c r="AA66" s="189"/>
      <c r="AB66" s="188"/>
      <c r="AC66" s="188"/>
      <c r="AD66" s="188"/>
      <c r="AE66" s="189"/>
      <c r="AF66" s="188"/>
      <c r="AG66" s="188"/>
    </row>
    <row r="67" spans="2:33">
      <c r="B67" s="89" t="s">
        <v>249</v>
      </c>
      <c r="C67" s="100">
        <v>507</v>
      </c>
      <c r="D67" s="100">
        <v>548</v>
      </c>
      <c r="E67" s="100">
        <v>772</v>
      </c>
      <c r="F67" s="100">
        <v>844</v>
      </c>
      <c r="G67" s="100">
        <v>844</v>
      </c>
      <c r="H67" s="100">
        <v>931</v>
      </c>
      <c r="I67" s="100">
        <v>888</v>
      </c>
      <c r="J67" s="187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</row>
    <row r="68" spans="2:33">
      <c r="B68" s="89" t="s">
        <v>250</v>
      </c>
      <c r="C68" s="100">
        <f t="shared" ref="C68:H68" si="100">C64+C67</f>
        <v>1647</v>
      </c>
      <c r="D68" s="100">
        <f t="shared" si="100"/>
        <v>1622</v>
      </c>
      <c r="E68" s="100">
        <f t="shared" si="100"/>
        <v>2122</v>
      </c>
      <c r="F68" s="100">
        <f t="shared" si="100"/>
        <v>2286</v>
      </c>
      <c r="G68" s="100">
        <f t="shared" si="100"/>
        <v>2280</v>
      </c>
      <c r="H68" s="100">
        <f t="shared" si="100"/>
        <v>2568</v>
      </c>
      <c r="I68" s="100">
        <f t="shared" ref="I68" si="101">I64+I67</f>
        <v>2726</v>
      </c>
      <c r="J68" s="187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</row>
    <row r="69" spans="2:33">
      <c r="B69" s="134" t="s">
        <v>247</v>
      </c>
      <c r="C69" s="102">
        <f>C68*0.51</f>
        <v>839.97</v>
      </c>
      <c r="D69" s="102">
        <f>D68*0.53</f>
        <v>859.66000000000008</v>
      </c>
      <c r="E69" s="102">
        <f>E68*0.46</f>
        <v>976.12</v>
      </c>
      <c r="F69" s="102">
        <f>F68*0.54</f>
        <v>1234.44</v>
      </c>
      <c r="G69" s="102">
        <f>G68*0.47</f>
        <v>1071.5999999999999</v>
      </c>
      <c r="H69" s="102">
        <f>H68*0.48</f>
        <v>1232.6399999999999</v>
      </c>
      <c r="I69" s="102">
        <f>I68*0.49</f>
        <v>1335.74</v>
      </c>
      <c r="J69" s="187"/>
      <c r="L69" s="138"/>
      <c r="M69" s="138"/>
      <c r="N69" s="138"/>
      <c r="O69" s="137"/>
      <c r="P69" s="136"/>
      <c r="Q69" s="136"/>
      <c r="R69" s="136"/>
      <c r="S69" s="137"/>
      <c r="T69" s="136"/>
      <c r="U69" s="136"/>
      <c r="V69" s="188"/>
      <c r="W69" s="189"/>
      <c r="X69" s="188"/>
      <c r="Y69" s="188"/>
      <c r="Z69" s="188"/>
      <c r="AA69" s="189"/>
      <c r="AB69" s="188"/>
      <c r="AC69" s="188"/>
      <c r="AD69" s="188"/>
      <c r="AE69" s="189"/>
      <c r="AF69" s="188"/>
      <c r="AG69" s="188"/>
    </row>
    <row r="70" spans="2:33">
      <c r="B70" s="134" t="s">
        <v>248</v>
      </c>
      <c r="C70" s="102">
        <f>C68*0.49</f>
        <v>807.03</v>
      </c>
      <c r="D70" s="102">
        <f>D68*0.47</f>
        <v>762.33999999999992</v>
      </c>
      <c r="E70" s="102">
        <f>E68*0.54</f>
        <v>1145.8800000000001</v>
      </c>
      <c r="F70" s="102">
        <f>F68*0.46</f>
        <v>1051.56</v>
      </c>
      <c r="G70" s="102">
        <f>G68*0.53</f>
        <v>1208.4000000000001</v>
      </c>
      <c r="H70" s="102">
        <f>H68*0.52</f>
        <v>1335.3600000000001</v>
      </c>
      <c r="I70" s="102">
        <f>I68*0.51</f>
        <v>1390.26</v>
      </c>
      <c r="J70" s="187"/>
      <c r="L70" s="138"/>
      <c r="M70" s="138"/>
      <c r="N70" s="138"/>
      <c r="O70" s="137"/>
      <c r="P70" s="136"/>
      <c r="Q70" s="136"/>
      <c r="R70" s="136"/>
      <c r="S70" s="137"/>
      <c r="T70" s="136"/>
      <c r="U70" s="136"/>
      <c r="V70" s="188"/>
      <c r="W70" s="189"/>
      <c r="X70" s="188"/>
      <c r="Y70" s="188"/>
      <c r="Z70" s="188"/>
      <c r="AA70" s="189"/>
      <c r="AB70" s="188"/>
      <c r="AC70" s="188"/>
      <c r="AD70" s="188"/>
      <c r="AE70" s="189"/>
      <c r="AF70" s="188"/>
      <c r="AG70" s="188"/>
    </row>
    <row r="71" spans="2:33">
      <c r="O71" s="89"/>
      <c r="S71" s="89"/>
    </row>
    <row r="72" spans="2:33">
      <c r="B72" s="91" t="s">
        <v>251</v>
      </c>
      <c r="O72" s="89"/>
      <c r="S72" s="89"/>
    </row>
    <row r="73" spans="2:33">
      <c r="B73" s="89" t="s">
        <v>246</v>
      </c>
      <c r="C73" s="100">
        <v>1140</v>
      </c>
      <c r="D73" s="100">
        <v>1074</v>
      </c>
      <c r="E73" s="100">
        <v>1350</v>
      </c>
      <c r="F73" s="100">
        <v>1442</v>
      </c>
      <c r="G73" s="100">
        <v>1436</v>
      </c>
      <c r="H73" s="100">
        <v>1637</v>
      </c>
      <c r="I73" s="100">
        <v>1838</v>
      </c>
      <c r="J73" s="187"/>
      <c r="L73" s="136"/>
      <c r="M73" s="136"/>
      <c r="N73" s="136"/>
      <c r="O73" s="137"/>
      <c r="P73" s="136"/>
      <c r="Q73" s="136"/>
      <c r="R73" s="136"/>
      <c r="S73" s="137"/>
      <c r="T73" s="136"/>
      <c r="U73" s="136"/>
      <c r="V73" s="188"/>
      <c r="W73" s="189"/>
      <c r="X73" s="188"/>
      <c r="Y73" s="188"/>
      <c r="Z73" s="188"/>
      <c r="AA73" s="189"/>
      <c r="AB73" s="188"/>
      <c r="AC73" s="188"/>
      <c r="AD73" s="188"/>
      <c r="AE73" s="189"/>
      <c r="AF73" s="188"/>
      <c r="AG73" s="188"/>
    </row>
    <row r="74" spans="2:33">
      <c r="B74" s="134" t="s">
        <v>252</v>
      </c>
      <c r="C74" s="102">
        <f>C73*0.73</f>
        <v>832.19999999999993</v>
      </c>
      <c r="D74" s="102">
        <f>D73*0.73</f>
        <v>784.02</v>
      </c>
      <c r="E74" s="102">
        <f>E73*0.74</f>
        <v>999</v>
      </c>
      <c r="F74" s="102">
        <f>F73*0.75</f>
        <v>1081.5</v>
      </c>
      <c r="G74" s="102">
        <f>G73*0.75</f>
        <v>1077</v>
      </c>
      <c r="H74" s="102">
        <f>H73*0.7</f>
        <v>1145.8999999999999</v>
      </c>
      <c r="I74" s="102">
        <f>I73*0.7</f>
        <v>1286.5999999999999</v>
      </c>
      <c r="J74" s="187"/>
      <c r="L74" s="136"/>
      <c r="M74" s="136"/>
      <c r="N74" s="136"/>
      <c r="O74" s="137"/>
      <c r="P74" s="136"/>
      <c r="Q74" s="136"/>
      <c r="R74" s="136"/>
      <c r="S74" s="137"/>
      <c r="T74" s="136"/>
      <c r="U74" s="136"/>
      <c r="V74" s="188"/>
      <c r="W74" s="189"/>
      <c r="X74" s="188"/>
      <c r="Y74" s="188"/>
      <c r="Z74" s="188"/>
      <c r="AA74" s="189"/>
      <c r="AB74" s="188"/>
      <c r="AC74" s="188"/>
      <c r="AD74" s="188"/>
      <c r="AE74" s="189"/>
      <c r="AF74" s="188"/>
      <c r="AG74" s="188"/>
    </row>
    <row r="75" spans="2:33">
      <c r="B75" s="134" t="s">
        <v>232</v>
      </c>
      <c r="C75" s="102">
        <f>C73*0.27</f>
        <v>307.8</v>
      </c>
      <c r="D75" s="102">
        <f>D73*0.27</f>
        <v>289.98</v>
      </c>
      <c r="E75" s="102">
        <f>E73*0.26</f>
        <v>351</v>
      </c>
      <c r="F75" s="102">
        <f>F73*0.25</f>
        <v>360.5</v>
      </c>
      <c r="G75" s="102">
        <f>G73*0.25</f>
        <v>359</v>
      </c>
      <c r="H75" s="102">
        <f>H73*0.3</f>
        <v>491.09999999999997</v>
      </c>
      <c r="I75" s="102">
        <f>I73*0.3</f>
        <v>551.4</v>
      </c>
      <c r="J75" s="187"/>
      <c r="L75" s="136"/>
      <c r="M75" s="136"/>
      <c r="N75" s="136"/>
      <c r="O75" s="137"/>
      <c r="P75" s="136"/>
      <c r="Q75" s="136"/>
      <c r="R75" s="136"/>
      <c r="S75" s="137"/>
      <c r="T75" s="136"/>
      <c r="U75" s="136"/>
      <c r="V75" s="188"/>
      <c r="W75" s="189"/>
      <c r="X75" s="188"/>
      <c r="Y75" s="188"/>
      <c r="Z75" s="188"/>
      <c r="AA75" s="189"/>
      <c r="AB75" s="188"/>
      <c r="AC75" s="188"/>
      <c r="AD75" s="188"/>
      <c r="AE75" s="189"/>
      <c r="AF75" s="188"/>
      <c r="AG75" s="188"/>
    </row>
    <row r="76" spans="2:33">
      <c r="B76" s="89" t="s">
        <v>249</v>
      </c>
      <c r="C76" s="100">
        <v>507</v>
      </c>
      <c r="D76" s="100">
        <v>548</v>
      </c>
      <c r="E76" s="100">
        <v>773</v>
      </c>
      <c r="F76" s="100">
        <v>844</v>
      </c>
      <c r="G76" s="100">
        <v>844</v>
      </c>
      <c r="H76" s="100">
        <v>931</v>
      </c>
      <c r="I76" s="100">
        <v>88</v>
      </c>
      <c r="J76" s="187"/>
      <c r="L76" s="136"/>
      <c r="M76" s="136"/>
      <c r="N76" s="136"/>
      <c r="O76" s="137"/>
      <c r="P76" s="136"/>
      <c r="Q76" s="136"/>
      <c r="R76" s="136"/>
      <c r="S76" s="137"/>
      <c r="T76" s="136"/>
      <c r="U76" s="136"/>
      <c r="V76" s="188"/>
      <c r="W76" s="189"/>
      <c r="X76" s="188"/>
      <c r="Y76" s="188"/>
      <c r="Z76" s="188"/>
      <c r="AA76" s="189"/>
      <c r="AB76" s="188"/>
      <c r="AC76" s="188"/>
      <c r="AD76" s="188"/>
      <c r="AE76" s="189"/>
      <c r="AF76" s="188"/>
      <c r="AG76" s="188"/>
    </row>
    <row r="77" spans="2:33">
      <c r="B77" s="89" t="s">
        <v>250</v>
      </c>
      <c r="C77" s="100">
        <f t="shared" ref="C77:H77" si="102">C73+C76</f>
        <v>1647</v>
      </c>
      <c r="D77" s="100">
        <f t="shared" si="102"/>
        <v>1622</v>
      </c>
      <c r="E77" s="100">
        <f t="shared" si="102"/>
        <v>2123</v>
      </c>
      <c r="F77" s="100">
        <f t="shared" si="102"/>
        <v>2286</v>
      </c>
      <c r="G77" s="100">
        <f t="shared" si="102"/>
        <v>2280</v>
      </c>
      <c r="H77" s="100">
        <f t="shared" si="102"/>
        <v>2568</v>
      </c>
      <c r="I77" s="100">
        <f t="shared" ref="I77" si="103">I73+I76</f>
        <v>1926</v>
      </c>
      <c r="J77" s="187"/>
      <c r="L77" s="136"/>
      <c r="M77" s="136"/>
      <c r="N77" s="136"/>
      <c r="O77" s="137"/>
      <c r="P77" s="136"/>
      <c r="Q77" s="136"/>
      <c r="R77" s="136"/>
      <c r="S77" s="137"/>
      <c r="T77" s="136"/>
      <c r="U77" s="136"/>
      <c r="V77" s="188"/>
      <c r="W77" s="189"/>
      <c r="X77" s="188"/>
      <c r="Y77" s="188"/>
      <c r="Z77" s="188"/>
      <c r="AA77" s="189"/>
      <c r="AB77" s="188"/>
      <c r="AC77" s="188"/>
      <c r="AD77" s="188"/>
      <c r="AE77" s="189"/>
      <c r="AF77" s="188"/>
      <c r="AG77" s="188"/>
    </row>
    <row r="78" spans="2:33">
      <c r="B78" s="134" t="s">
        <v>252</v>
      </c>
      <c r="C78" s="102">
        <f>C77*0.69</f>
        <v>1136.4299999999998</v>
      </c>
      <c r="D78" s="102">
        <f>D77*0.69</f>
        <v>1119.1799999999998</v>
      </c>
      <c r="E78" s="102">
        <f>E77*0.7</f>
        <v>1486.1</v>
      </c>
      <c r="F78" s="102">
        <f>F77*0.72</f>
        <v>1645.9199999999998</v>
      </c>
      <c r="G78" s="102">
        <f>G77*0.73</f>
        <v>1664.3999999999999</v>
      </c>
      <c r="H78" s="102">
        <f>H77*0.69</f>
        <v>1771.9199999999998</v>
      </c>
      <c r="I78" s="102">
        <f>I77*0.69</f>
        <v>1328.9399999999998</v>
      </c>
      <c r="J78" s="187"/>
      <c r="L78" s="136"/>
      <c r="M78" s="136"/>
      <c r="N78" s="136"/>
      <c r="O78" s="137"/>
      <c r="P78" s="136"/>
      <c r="Q78" s="136"/>
      <c r="R78" s="136"/>
      <c r="S78" s="137"/>
      <c r="T78" s="136"/>
      <c r="U78" s="136"/>
      <c r="V78" s="188"/>
      <c r="W78" s="189"/>
      <c r="X78" s="188"/>
      <c r="Y78" s="188"/>
      <c r="Z78" s="188"/>
      <c r="AA78" s="189"/>
      <c r="AB78" s="188"/>
      <c r="AC78" s="188"/>
      <c r="AD78" s="188"/>
      <c r="AE78" s="189"/>
      <c r="AF78" s="188"/>
      <c r="AG78" s="188"/>
    </row>
    <row r="79" spans="2:33">
      <c r="B79" s="134" t="s">
        <v>232</v>
      </c>
      <c r="C79" s="102">
        <f>C77*0.31</f>
        <v>510.57</v>
      </c>
      <c r="D79" s="102">
        <f>D77*0.31</f>
        <v>502.82</v>
      </c>
      <c r="E79" s="102">
        <f>E77*0.3</f>
        <v>636.9</v>
      </c>
      <c r="F79" s="102">
        <f>F77*0.28</f>
        <v>640.08000000000004</v>
      </c>
      <c r="G79" s="102">
        <f>G77*0.27</f>
        <v>615.6</v>
      </c>
      <c r="H79" s="102">
        <f>H77*0.31</f>
        <v>796.08</v>
      </c>
      <c r="I79" s="102">
        <f>I77*0.31</f>
        <v>597.05999999999995</v>
      </c>
      <c r="J79" s="187"/>
      <c r="L79" s="136"/>
      <c r="M79" s="136"/>
      <c r="N79" s="136"/>
      <c r="O79" s="137"/>
      <c r="P79" s="136"/>
      <c r="Q79" s="136"/>
      <c r="R79" s="136"/>
      <c r="S79" s="137"/>
      <c r="T79" s="136"/>
      <c r="U79" s="136"/>
      <c r="V79" s="188"/>
      <c r="W79" s="189"/>
      <c r="X79" s="188"/>
      <c r="Y79" s="188"/>
      <c r="Z79" s="188"/>
      <c r="AA79" s="189"/>
      <c r="AB79" s="188"/>
      <c r="AC79" s="188"/>
      <c r="AD79" s="188"/>
      <c r="AE79" s="189"/>
      <c r="AF79" s="188"/>
      <c r="AG79" s="188"/>
    </row>
    <row r="88" spans="27:27">
      <c r="AA88" s="252" t="s">
        <v>0</v>
      </c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5F94A5-6F7D-4563-BB61-C56FB22D2BD6}"/>
</file>

<file path=customXml/itemProps2.xml><?xml version="1.0" encoding="utf-8"?>
<ds:datastoreItem xmlns:ds="http://schemas.openxmlformats.org/officeDocument/2006/customXml" ds:itemID="{C1897F4B-7C09-4913-A662-2E2C29C0AFF9}"/>
</file>

<file path=customXml/itemProps3.xml><?xml version="1.0" encoding="utf-8"?>
<ds:datastoreItem xmlns:ds="http://schemas.openxmlformats.org/officeDocument/2006/customXml" ds:itemID="{8B16A616-FDEE-485A-B418-DBC4CC45C6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/>
  <cp:revision/>
  <dcterms:created xsi:type="dcterms:W3CDTF">2008-03-12T15:44:19Z</dcterms:created>
  <dcterms:modified xsi:type="dcterms:W3CDTF">2026-10-23T15:01:28Z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{7259EA4D-B0FF-4B67-B3B9-C4BFD77D0FED}</vt:lpwstr>
  </property>
  <property fmtid="{D5CDD505-2E9C-101B-9397-08002B2CF9AE}" pid="3" name="MSIP_Label_75c705d7-a0c7-4dfc-9e74-f70280a93ba5_Enabled">
    <vt:lpwstr>true</vt:lpwstr>
  </property>
  <property fmtid="{D5CDD505-2E9C-101B-9397-08002B2CF9AE}" pid="4" name="MSIP_Label_75c705d7-a0c7-4dfc-9e74-f70280a93ba5_SetDate">
    <vt:lpwstr>2023-01-17T12:54:17Z</vt:lpwstr>
  </property>
  <property fmtid="{D5CDD505-2E9C-101B-9397-08002B2CF9AE}" pid="5" name="MSIP_Label_75c705d7-a0c7-4dfc-9e74-f70280a93ba5_Method">
    <vt:lpwstr>Privileged</vt:lpwstr>
  </property>
  <property fmtid="{D5CDD505-2E9C-101B-9397-08002B2CF9AE}" pid="6" name="MSIP_Label_75c705d7-a0c7-4dfc-9e74-f70280a93ba5_Name">
    <vt:lpwstr>Internal-Confidential</vt:lpwstr>
  </property>
  <property fmtid="{D5CDD505-2E9C-101B-9397-08002B2CF9AE}" pid="7" name="MSIP_Label_75c705d7-a0c7-4dfc-9e74-f70280a93ba5_SiteId">
    <vt:lpwstr>4d8b04bf-7a7c-48a0-b6e3-38da5008297e</vt:lpwstr>
  </property>
  <property fmtid="{D5CDD505-2E9C-101B-9397-08002B2CF9AE}" pid="8" name="MSIP_Label_75c705d7-a0c7-4dfc-9e74-f70280a93ba5_ActionId">
    <vt:lpwstr>afa30e04-cf32-40ad-918c-9a33746ac3ee</vt:lpwstr>
  </property>
  <property fmtid="{D5CDD505-2E9C-101B-9397-08002B2CF9AE}" pid="9" name="MSIP_Label_75c705d7-a0c7-4dfc-9e74-f70280a93ba5_ContentBits">
    <vt:lpwstr>0</vt:lpwstr>
  </property>
  <property fmtid="{D5CDD505-2E9C-101B-9397-08002B2CF9AE}" pid="10" name="ContentTypeId">
    <vt:lpwstr>0x0101003A00EECCAA3DB94895FACE15614ECBE0</vt:lpwstr>
  </property>
  <property fmtid="{D5CDD505-2E9C-101B-9397-08002B2CF9AE}" pid="11" name="MSIP_Label_e23aaa83-1940-48a9-a4d6-4a193a1929ec_Enabled">
    <vt:lpwstr>true</vt:lpwstr>
  </property>
  <property fmtid="{D5CDD505-2E9C-101B-9397-08002B2CF9AE}" pid="12" name="MSIP_Label_e23aaa83-1940-48a9-a4d6-4a193a1929ec_SetDate">
    <vt:lpwstr>2026-10-23T14:54:22Z</vt:lpwstr>
  </property>
  <property fmtid="{D5CDD505-2E9C-101B-9397-08002B2CF9AE}" pid="13" name="MSIP_Label_e23aaa83-1940-48a9-a4d6-4a193a1929ec_Method">
    <vt:lpwstr>Standard</vt:lpwstr>
  </property>
  <property fmtid="{D5CDD505-2E9C-101B-9397-08002B2CF9AE}" pid="14" name="MSIP_Label_e23aaa83-1940-48a9-a4d6-4a193a1929ec_Name">
    <vt:lpwstr>Corporate</vt:lpwstr>
  </property>
  <property fmtid="{D5CDD505-2E9C-101B-9397-08002B2CF9AE}" pid="15" name="MSIP_Label_e23aaa83-1940-48a9-a4d6-4a193a1929ec_SiteId">
    <vt:lpwstr>ce78e7b0-e32a-4428-9390-1c2ec8a59c47</vt:lpwstr>
  </property>
  <property fmtid="{D5CDD505-2E9C-101B-9397-08002B2CF9AE}" pid="16" name="MSIP_Label_e23aaa83-1940-48a9-a4d6-4a193a1929ec_ActionId">
    <vt:lpwstr>37318d11-6974-403d-98df-92d311d2b50c</vt:lpwstr>
  </property>
  <property fmtid="{D5CDD505-2E9C-101B-9397-08002B2CF9AE}" pid="17" name="MSIP_Label_e23aaa83-1940-48a9-a4d6-4a193a1929ec_ContentBits">
    <vt:lpwstr>2</vt:lpwstr>
  </property>
  <property fmtid="{D5CDD505-2E9C-101B-9397-08002B2CF9AE}" pid="18" name="MSIP_Label_e23aaa83-1940-48a9-a4d6-4a193a1929ec_Tag">
    <vt:lpwstr>10, 3, 0, 2</vt:lpwstr>
  </property>
</Properties>
</file>