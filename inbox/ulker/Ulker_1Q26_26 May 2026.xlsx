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May 2026 - Ulker/1Q26/"/>
    </mc:Choice>
  </mc:AlternateContent>
  <xr:revisionPtr revIDLastSave="0" documentId="8_{A522CA11-4D63-42AB-B587-62B7F45FC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italisation" sheetId="3" r:id="rId1"/>
    <sheet name="Model" sheetId="2" r:id="rId2"/>
    <sheet name="KPIs" sheetId="1" r:id="rId3"/>
  </sheets>
  <definedNames>
    <definedName name="CIQWBGuid" hidden="1">"d7835d1a-57ef-4891-947e-b328087568cc"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44229.1709606481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2" i="3"/>
  <c r="BK18" i="1"/>
  <c r="BJ18" i="1"/>
  <c r="BH18" i="1"/>
  <c r="BG18" i="1"/>
  <c r="BE18" i="1"/>
  <c r="BD18" i="1"/>
  <c r="BC18" i="1"/>
  <c r="BB18" i="1"/>
  <c r="BA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BK17" i="1"/>
  <c r="BJ17" i="1"/>
  <c r="BH17" i="1"/>
  <c r="BG17" i="1"/>
  <c r="BE17" i="1"/>
  <c r="BD17" i="1"/>
  <c r="BC17" i="1"/>
  <c r="BB17" i="1"/>
  <c r="BA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K19" i="1" s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BK16" i="1"/>
  <c r="BK19" i="1" s="1"/>
  <c r="BJ16" i="1"/>
  <c r="BJ19" i="1" s="1"/>
  <c r="BH16" i="1"/>
  <c r="BH19" i="1" s="1"/>
  <c r="BG16" i="1"/>
  <c r="BG19" i="1" s="1"/>
  <c r="BE16" i="1"/>
  <c r="BE19" i="1" s="1"/>
  <c r="BD16" i="1"/>
  <c r="BD19" i="1" s="1"/>
  <c r="BC16" i="1"/>
  <c r="BC19" i="1" s="1"/>
  <c r="BB16" i="1"/>
  <c r="BB19" i="1" s="1"/>
  <c r="BA16" i="1"/>
  <c r="BA19" i="1" s="1"/>
  <c r="AY16" i="1"/>
  <c r="AY19" i="1" s="1"/>
  <c r="AX16" i="1"/>
  <c r="AX19" i="1" s="1"/>
  <c r="AW16" i="1"/>
  <c r="AW19" i="1" s="1"/>
  <c r="AV16" i="1"/>
  <c r="AV19" i="1" s="1"/>
  <c r="AU16" i="1"/>
  <c r="AU19" i="1" s="1"/>
  <c r="AT16" i="1"/>
  <c r="AT19" i="1" s="1"/>
  <c r="AS16" i="1"/>
  <c r="AS19" i="1" s="1"/>
  <c r="AR16" i="1"/>
  <c r="AR19" i="1" s="1"/>
  <c r="AQ16" i="1"/>
  <c r="AQ19" i="1" s="1"/>
  <c r="AP16" i="1"/>
  <c r="AP19" i="1" s="1"/>
  <c r="AO16" i="1"/>
  <c r="AO19" i="1" s="1"/>
  <c r="AN16" i="1"/>
  <c r="AN19" i="1" s="1"/>
  <c r="AM16" i="1"/>
  <c r="AM19" i="1" s="1"/>
  <c r="AL16" i="1"/>
  <c r="AL19" i="1" s="1"/>
  <c r="AK16" i="1"/>
  <c r="AJ16" i="1"/>
  <c r="AJ19" i="1" s="1"/>
  <c r="AI16" i="1"/>
  <c r="AI19" i="1" s="1"/>
  <c r="AH16" i="1"/>
  <c r="AH19" i="1" s="1"/>
  <c r="AG16" i="1"/>
  <c r="AG19" i="1" s="1"/>
  <c r="AF16" i="1"/>
  <c r="AF19" i="1" s="1"/>
  <c r="AE16" i="1"/>
  <c r="AE19" i="1" s="1"/>
  <c r="AD16" i="1"/>
  <c r="AD19" i="1" s="1"/>
  <c r="AC16" i="1"/>
  <c r="AC19" i="1" s="1"/>
  <c r="AB16" i="1"/>
  <c r="AB19" i="1" s="1"/>
  <c r="AA16" i="1"/>
  <c r="AA19" i="1" s="1"/>
  <c r="Z16" i="1"/>
  <c r="Z19" i="1" s="1"/>
  <c r="Y16" i="1"/>
  <c r="Y19" i="1" s="1"/>
  <c r="X16" i="1"/>
  <c r="X19" i="1" s="1"/>
  <c r="W16" i="1"/>
  <c r="W19" i="1" s="1"/>
  <c r="V16" i="1"/>
  <c r="V19" i="1" s="1"/>
  <c r="U16" i="1"/>
  <c r="U19" i="1" s="1"/>
  <c r="T16" i="1"/>
  <c r="T19" i="1" s="1"/>
  <c r="S16" i="1"/>
  <c r="S19" i="1" s="1"/>
  <c r="R16" i="1"/>
  <c r="R19" i="1" s="1"/>
  <c r="P18" i="1"/>
  <c r="O18" i="1"/>
  <c r="N18" i="1"/>
  <c r="M18" i="1"/>
  <c r="L18" i="1"/>
  <c r="K18" i="1"/>
  <c r="J18" i="1"/>
  <c r="I18" i="1"/>
  <c r="H18" i="1"/>
  <c r="G18" i="1"/>
  <c r="F18" i="1"/>
  <c r="E18" i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P19" i="1" s="1"/>
  <c r="O16" i="1"/>
  <c r="O19" i="1" s="1"/>
  <c r="N16" i="1"/>
  <c r="N19" i="1" s="1"/>
  <c r="M16" i="1"/>
  <c r="M19" i="1" s="1"/>
  <c r="L16" i="1"/>
  <c r="L19" i="1" s="1"/>
  <c r="K16" i="1"/>
  <c r="K19" i="1" s="1"/>
  <c r="J16" i="1"/>
  <c r="J19" i="1" s="1"/>
  <c r="I16" i="1"/>
  <c r="I19" i="1" s="1"/>
  <c r="H16" i="1"/>
  <c r="H19" i="1" s="1"/>
  <c r="G16" i="1"/>
  <c r="G19" i="1" s="1"/>
  <c r="F16" i="1"/>
  <c r="F19" i="1" s="1"/>
  <c r="E16" i="1"/>
  <c r="E19" i="1" s="1"/>
  <c r="D19" i="1"/>
  <c r="D18" i="1"/>
  <c r="BI277" i="2"/>
  <c r="BI276" i="2"/>
  <c r="BH277" i="2"/>
  <c r="BH276" i="2"/>
  <c r="BG277" i="2"/>
  <c r="BG276" i="2"/>
  <c r="BF277" i="2"/>
  <c r="BF276" i="2"/>
  <c r="BE277" i="2"/>
  <c r="BE276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BF270" i="2"/>
  <c r="BG270" i="2"/>
  <c r="BH270" i="2"/>
  <c r="BI270" i="2"/>
  <c r="BF271" i="2"/>
  <c r="BG271" i="2"/>
  <c r="BH271" i="2"/>
  <c r="BI271" i="2"/>
  <c r="BF273" i="2"/>
  <c r="BG273" i="2"/>
  <c r="BH273" i="2"/>
  <c r="BI273" i="2"/>
  <c r="BF274" i="2"/>
  <c r="BG274" i="2"/>
  <c r="BH274" i="2"/>
  <c r="BI274" i="2"/>
  <c r="BE274" i="2"/>
  <c r="BE273" i="2"/>
  <c r="BE271" i="2"/>
  <c r="BE270" i="2"/>
  <c r="BE268" i="2"/>
  <c r="BF268" i="2"/>
  <c r="BG268" i="2"/>
  <c r="BH268" i="2"/>
  <c r="BI268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7" i="2"/>
  <c r="U274" i="2"/>
  <c r="U273" i="2"/>
  <c r="U271" i="2"/>
  <c r="U270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7" i="2"/>
  <c r="C276" i="2"/>
  <c r="C274" i="2"/>
  <c r="C273" i="2"/>
  <c r="C271" i="2"/>
  <c r="C270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P125" i="2"/>
  <c r="U125" i="2"/>
  <c r="Y125" i="2"/>
  <c r="AA125" i="2"/>
  <c r="AC125" i="2"/>
  <c r="AG125" i="2"/>
  <c r="AK125" i="2"/>
  <c r="AL125" i="2"/>
  <c r="AS125" i="2"/>
  <c r="AT125" i="2"/>
  <c r="AX125" i="2"/>
  <c r="BB125" i="2"/>
  <c r="BE125" i="2"/>
  <c r="BF125" i="2"/>
  <c r="BG125" i="2"/>
  <c r="BH125" i="2"/>
  <c r="BI125" i="2"/>
  <c r="E37" i="3"/>
  <c r="C39" i="3"/>
  <c r="C38" i="3"/>
  <c r="C18" i="3"/>
  <c r="C16" i="3"/>
  <c r="C14" i="3"/>
  <c r="C11" i="3"/>
  <c r="C53" i="3"/>
  <c r="D44" i="3"/>
  <c r="C44" i="3"/>
  <c r="C34" i="3"/>
  <c r="D33" i="3"/>
  <c r="C33" i="3"/>
  <c r="C29" i="3"/>
  <c r="C30" i="3" s="1"/>
  <c r="BE56" i="1"/>
  <c r="BE50" i="1"/>
  <c r="AY56" i="1"/>
  <c r="AY50" i="1"/>
  <c r="P3" i="1"/>
  <c r="BE42" i="1"/>
  <c r="BE41" i="1"/>
  <c r="BE37" i="1"/>
  <c r="BE36" i="1"/>
  <c r="BE35" i="1"/>
  <c r="BE43" i="1"/>
  <c r="BE29" i="1"/>
  <c r="BE28" i="1"/>
  <c r="BE24" i="1"/>
  <c r="BE25" i="1" s="1"/>
  <c r="BE12" i="1"/>
  <c r="AY42" i="1"/>
  <c r="AY54" i="1" s="1"/>
  <c r="AY41" i="1"/>
  <c r="AY53" i="1" s="1"/>
  <c r="AY36" i="1"/>
  <c r="AY48" i="1" s="1"/>
  <c r="AY35" i="1"/>
  <c r="AY47" i="1" s="1"/>
  <c r="AY43" i="1"/>
  <c r="AY55" i="1" s="1"/>
  <c r="AY37" i="1"/>
  <c r="AY49" i="1" s="1"/>
  <c r="AY29" i="1"/>
  <c r="AY28" i="1"/>
  <c r="AY24" i="1"/>
  <c r="AY25" i="1" s="1"/>
  <c r="AY12" i="1"/>
  <c r="P133" i="2"/>
  <c r="P126" i="2"/>
  <c r="P117" i="2"/>
  <c r="P116" i="2"/>
  <c r="P112" i="2"/>
  <c r="P100" i="2"/>
  <c r="P99" i="2"/>
  <c r="P98" i="2"/>
  <c r="P3" i="2"/>
  <c r="BC58" i="2"/>
  <c r="BI58" i="2"/>
  <c r="BI8" i="2"/>
  <c r="BI75" i="2"/>
  <c r="BI189" i="2" s="1"/>
  <c r="BI74" i="2"/>
  <c r="BI71" i="2"/>
  <c r="BI67" i="2"/>
  <c r="BI63" i="2"/>
  <c r="BI51" i="2"/>
  <c r="BC8" i="2"/>
  <c r="BI230" i="2"/>
  <c r="BI219" i="2"/>
  <c r="BI214" i="2"/>
  <c r="BI251" i="2" s="1"/>
  <c r="BI192" i="2"/>
  <c r="BI187" i="2"/>
  <c r="BI186" i="2"/>
  <c r="BI183" i="2"/>
  <c r="BI182" i="2"/>
  <c r="BI179" i="2"/>
  <c r="BI178" i="2"/>
  <c r="BI172" i="2"/>
  <c r="BI169" i="2"/>
  <c r="BI166" i="2"/>
  <c r="BI154" i="2"/>
  <c r="BI137" i="2"/>
  <c r="BI133" i="2"/>
  <c r="BI126" i="2"/>
  <c r="BI117" i="2"/>
  <c r="BI116" i="2"/>
  <c r="BI118" i="2" s="1"/>
  <c r="BI100" i="2"/>
  <c r="BI106" i="2" s="1"/>
  <c r="BI99" i="2"/>
  <c r="BI98" i="2"/>
  <c r="BI96" i="2"/>
  <c r="BI86" i="2"/>
  <c r="BI62" i="2"/>
  <c r="BI61" i="2"/>
  <c r="BI59" i="2"/>
  <c r="BI174" i="2" s="1"/>
  <c r="BI49" i="2"/>
  <c r="BI41" i="2"/>
  <c r="BI40" i="2"/>
  <c r="BI39" i="2"/>
  <c r="BI38" i="2"/>
  <c r="BI10" i="2"/>
  <c r="BI11" i="2" s="1"/>
  <c r="BC214" i="2"/>
  <c r="BC215" i="2"/>
  <c r="BC111" i="2"/>
  <c r="BC102" i="2"/>
  <c r="BC101" i="2"/>
  <c r="BC103" i="2" s="1"/>
  <c r="BC75" i="2"/>
  <c r="BC253" i="2" s="1"/>
  <c r="BC74" i="2"/>
  <c r="BC71" i="2"/>
  <c r="BC249" i="2" s="1"/>
  <c r="BC67" i="2"/>
  <c r="BC63" i="2"/>
  <c r="BC51" i="2"/>
  <c r="BC256" i="2"/>
  <c r="BC251" i="2"/>
  <c r="BC230" i="2"/>
  <c r="BC219" i="2"/>
  <c r="BC192" i="2"/>
  <c r="BC187" i="2"/>
  <c r="BC186" i="2"/>
  <c r="BC183" i="2"/>
  <c r="BC182" i="2"/>
  <c r="BC179" i="2"/>
  <c r="BC178" i="2"/>
  <c r="BC172" i="2"/>
  <c r="BC169" i="2"/>
  <c r="BC166" i="2"/>
  <c r="BC154" i="2"/>
  <c r="BC137" i="2"/>
  <c r="BC127" i="2"/>
  <c r="BC159" i="2" s="1"/>
  <c r="BC118" i="2"/>
  <c r="BC122" i="2"/>
  <c r="BC106" i="2"/>
  <c r="BC96" i="2"/>
  <c r="BC86" i="2"/>
  <c r="BC62" i="2"/>
  <c r="BC61" i="2"/>
  <c r="BC59" i="2"/>
  <c r="BC174" i="2" s="1"/>
  <c r="BC49" i="2"/>
  <c r="BC41" i="2"/>
  <c r="BC40" i="2"/>
  <c r="BC39" i="2"/>
  <c r="BC38" i="2"/>
  <c r="BC10" i="2"/>
  <c r="BC19" i="2" s="1"/>
  <c r="J67" i="3"/>
  <c r="D91" i="3"/>
  <c r="C91" i="3"/>
  <c r="C111" i="3"/>
  <c r="D102" i="3"/>
  <c r="C102" i="3"/>
  <c r="C97" i="3"/>
  <c r="C96" i="3"/>
  <c r="C87" i="3"/>
  <c r="C92" i="3"/>
  <c r="AX56" i="1"/>
  <c r="AX50" i="1"/>
  <c r="BD43" i="1"/>
  <c r="BD42" i="1"/>
  <c r="BD41" i="1"/>
  <c r="AX43" i="1"/>
  <c r="AX42" i="1"/>
  <c r="AX41" i="1"/>
  <c r="AX53" i="1" s="1"/>
  <c r="BD35" i="1"/>
  <c r="BD37" i="1"/>
  <c r="BD36" i="1"/>
  <c r="AX37" i="1"/>
  <c r="AX36" i="1"/>
  <c r="AX35" i="1"/>
  <c r="AX47" i="1" s="1"/>
  <c r="BD11" i="1"/>
  <c r="BD10" i="1"/>
  <c r="BD9" i="1"/>
  <c r="AX11" i="1"/>
  <c r="P11" i="1" s="1"/>
  <c r="AX10" i="1"/>
  <c r="P10" i="1" s="1"/>
  <c r="AX9" i="1"/>
  <c r="P9" i="1" s="1"/>
  <c r="O29" i="1"/>
  <c r="O28" i="1"/>
  <c r="O24" i="1"/>
  <c r="O12" i="1"/>
  <c r="N29" i="1"/>
  <c r="N28" i="1"/>
  <c r="N24" i="1"/>
  <c r="N12" i="1"/>
  <c r="BB214" i="2"/>
  <c r="BB215" i="2"/>
  <c r="AT217" i="2"/>
  <c r="AS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K217" i="2"/>
  <c r="G217" i="2"/>
  <c r="F217" i="2"/>
  <c r="E217" i="2"/>
  <c r="D217" i="2"/>
  <c r="C217" i="2"/>
  <c r="BH133" i="2"/>
  <c r="BH126" i="2"/>
  <c r="BH117" i="2"/>
  <c r="BH116" i="2"/>
  <c r="BH100" i="2"/>
  <c r="BH99" i="2"/>
  <c r="BH98" i="2"/>
  <c r="BB133" i="2"/>
  <c r="BB126" i="2"/>
  <c r="C72" i="3"/>
  <c r="BB117" i="2"/>
  <c r="C12" i="3" s="1"/>
  <c r="BB116" i="2"/>
  <c r="O112" i="2"/>
  <c r="BB112" i="2" s="1"/>
  <c r="N112" i="2"/>
  <c r="N111" i="2"/>
  <c r="N121" i="2" s="1"/>
  <c r="O111" i="2"/>
  <c r="BB111" i="2" s="1"/>
  <c r="BB100" i="2"/>
  <c r="BB99" i="2"/>
  <c r="BB98" i="2"/>
  <c r="N102" i="2"/>
  <c r="BH102" i="2" s="1"/>
  <c r="O102" i="2"/>
  <c r="BB102" i="2" s="1"/>
  <c r="N101" i="2"/>
  <c r="N107" i="2" s="1"/>
  <c r="O101" i="2"/>
  <c r="BB101" i="2" s="1"/>
  <c r="N74" i="2"/>
  <c r="O75" i="2"/>
  <c r="O73" i="2"/>
  <c r="O187" i="2" s="1"/>
  <c r="O189" i="2"/>
  <c r="O74" i="2"/>
  <c r="N71" i="2"/>
  <c r="N185" i="2" s="1"/>
  <c r="N67" i="2"/>
  <c r="O71" i="2"/>
  <c r="O185" i="2" s="1"/>
  <c r="O67" i="2"/>
  <c r="O63" i="2"/>
  <c r="O46" i="2" s="1"/>
  <c r="N63" i="2"/>
  <c r="N51" i="2"/>
  <c r="O51" i="2"/>
  <c r="BH33" i="2"/>
  <c r="BH32" i="2"/>
  <c r="BH28" i="2"/>
  <c r="BH27" i="2"/>
  <c r="BH24" i="2"/>
  <c r="BH23" i="2"/>
  <c r="BH22" i="2"/>
  <c r="BH18" i="2"/>
  <c r="BH17" i="2"/>
  <c r="BH16" i="2"/>
  <c r="BH15" i="2"/>
  <c r="BH14" i="2"/>
  <c r="BH13" i="2"/>
  <c r="BH12" i="2"/>
  <c r="BH9" i="2"/>
  <c r="BH7" i="2"/>
  <c r="BI87" i="2" s="1"/>
  <c r="BI155" i="2" s="1"/>
  <c r="BB33" i="2"/>
  <c r="P33" i="2" s="1"/>
  <c r="BB32" i="2"/>
  <c r="P32" i="2" s="1"/>
  <c r="BB28" i="2"/>
  <c r="P28" i="2" s="1"/>
  <c r="BB27" i="2"/>
  <c r="P27" i="2" s="1"/>
  <c r="BB24" i="2"/>
  <c r="P24" i="2" s="1"/>
  <c r="BB23" i="2"/>
  <c r="P23" i="2" s="1"/>
  <c r="BB22" i="2"/>
  <c r="P22" i="2" s="1"/>
  <c r="BB18" i="2"/>
  <c r="P18" i="2" s="1"/>
  <c r="BB17" i="2"/>
  <c r="P17" i="2" s="1"/>
  <c r="BB16" i="2"/>
  <c r="P16" i="2" s="1"/>
  <c r="BB15" i="2"/>
  <c r="P15" i="2" s="1"/>
  <c r="BB14" i="2"/>
  <c r="P14" i="2" s="1"/>
  <c r="BB13" i="2"/>
  <c r="P13" i="2" s="1"/>
  <c r="BB12" i="2"/>
  <c r="P12" i="2" s="1"/>
  <c r="BB9" i="2"/>
  <c r="P9" i="2" s="1"/>
  <c r="BB7" i="2"/>
  <c r="P7" i="2" s="1"/>
  <c r="N8" i="2"/>
  <c r="BH230" i="2"/>
  <c r="BH219" i="2"/>
  <c r="BH166" i="2"/>
  <c r="BH154" i="2"/>
  <c r="BH137" i="2"/>
  <c r="BH96" i="2"/>
  <c r="BH86" i="2"/>
  <c r="BH61" i="2"/>
  <c r="BH49" i="2"/>
  <c r="BB230" i="2"/>
  <c r="BB219" i="2"/>
  <c r="BB166" i="2"/>
  <c r="BB154" i="2"/>
  <c r="BB137" i="2"/>
  <c r="BB96" i="2"/>
  <c r="BB86" i="2"/>
  <c r="BB61" i="2"/>
  <c r="BB49" i="2"/>
  <c r="O230" i="2"/>
  <c r="O219" i="2"/>
  <c r="O192" i="2"/>
  <c r="O186" i="2"/>
  <c r="O183" i="2"/>
  <c r="O182" i="2"/>
  <c r="O179" i="2"/>
  <c r="O178" i="2"/>
  <c r="O172" i="2"/>
  <c r="O169" i="2"/>
  <c r="O166" i="2"/>
  <c r="O154" i="2"/>
  <c r="O137" i="2"/>
  <c r="O127" i="2"/>
  <c r="O159" i="2" s="1"/>
  <c r="O118" i="2"/>
  <c r="O106" i="2"/>
  <c r="O96" i="2"/>
  <c r="O91" i="2"/>
  <c r="O90" i="2"/>
  <c r="O87" i="2"/>
  <c r="O155" i="2" s="1"/>
  <c r="O86" i="2"/>
  <c r="O62" i="2"/>
  <c r="O61" i="2"/>
  <c r="O59" i="2"/>
  <c r="O174" i="2" s="1"/>
  <c r="O58" i="2"/>
  <c r="O49" i="2"/>
  <c r="O41" i="2"/>
  <c r="O40" i="2"/>
  <c r="O39" i="2"/>
  <c r="O38" i="2"/>
  <c r="O10" i="2"/>
  <c r="O19" i="2" s="1"/>
  <c r="O8" i="2"/>
  <c r="N230" i="2"/>
  <c r="N219" i="2"/>
  <c r="N192" i="2"/>
  <c r="N189" i="2"/>
  <c r="N187" i="2"/>
  <c r="N186" i="2"/>
  <c r="N183" i="2"/>
  <c r="N182" i="2"/>
  <c r="N179" i="2"/>
  <c r="N178" i="2"/>
  <c r="N172" i="2"/>
  <c r="N169" i="2"/>
  <c r="N166" i="2"/>
  <c r="N154" i="2"/>
  <c r="N137" i="2"/>
  <c r="N127" i="2"/>
  <c r="N159" i="2" s="1"/>
  <c r="N118" i="2"/>
  <c r="N106" i="2"/>
  <c r="N96" i="2"/>
  <c r="N91" i="2"/>
  <c r="N90" i="2"/>
  <c r="N156" i="2" s="1"/>
  <c r="N87" i="2"/>
  <c r="N155" i="2" s="1"/>
  <c r="N86" i="2"/>
  <c r="N62" i="2"/>
  <c r="N61" i="2"/>
  <c r="N59" i="2"/>
  <c r="N174" i="2" s="1"/>
  <c r="N58" i="2"/>
  <c r="N49" i="2"/>
  <c r="N41" i="2"/>
  <c r="N40" i="2"/>
  <c r="N39" i="2"/>
  <c r="N38" i="2"/>
  <c r="N10" i="2"/>
  <c r="N19" i="2" s="1"/>
  <c r="C143" i="3"/>
  <c r="C142" i="3"/>
  <c r="C141" i="3" s="1"/>
  <c r="C132" i="3"/>
  <c r="C130" i="3"/>
  <c r="C128" i="3"/>
  <c r="C126" i="3"/>
  <c r="C123" i="3"/>
  <c r="C167" i="3"/>
  <c r="C162" i="3"/>
  <c r="C152" i="3"/>
  <c r="C138" i="3"/>
  <c r="AW56" i="1"/>
  <c r="AW50" i="1"/>
  <c r="BC43" i="1"/>
  <c r="BC55" i="1" s="1"/>
  <c r="BC42" i="1"/>
  <c r="BC54" i="1" s="1"/>
  <c r="BC41" i="1"/>
  <c r="BC53" i="1" s="1"/>
  <c r="AW42" i="1"/>
  <c r="AW41" i="1"/>
  <c r="AW53" i="1" s="1"/>
  <c r="AW43" i="1"/>
  <c r="BC36" i="1"/>
  <c r="BC35" i="1"/>
  <c r="BC47" i="1" s="1"/>
  <c r="BC37" i="1"/>
  <c r="BC49" i="1" s="1"/>
  <c r="AW36" i="1"/>
  <c r="AW35" i="1"/>
  <c r="AW37" i="1"/>
  <c r="BC32" i="1"/>
  <c r="BD32" i="1" s="1"/>
  <c r="AW32" i="1"/>
  <c r="BK29" i="1"/>
  <c r="BJ29" i="1"/>
  <c r="BJ28" i="1"/>
  <c r="BJ24" i="1"/>
  <c r="BK28" i="1"/>
  <c r="BK12" i="1"/>
  <c r="BK13" i="1" s="1"/>
  <c r="BJ12" i="1"/>
  <c r="BC12" i="1"/>
  <c r="BC13" i="1" s="1"/>
  <c r="BA214" i="2"/>
  <c r="BA215" i="2"/>
  <c r="BA112" i="2"/>
  <c r="BA111" i="2"/>
  <c r="AZ111" i="2"/>
  <c r="BA102" i="2"/>
  <c r="BA101" i="2"/>
  <c r="BA107" i="2" s="1"/>
  <c r="BN74" i="2"/>
  <c r="BN71" i="2"/>
  <c r="BN67" i="2"/>
  <c r="BN47" i="2" s="1"/>
  <c r="BN63" i="2"/>
  <c r="BN46" i="2" s="1"/>
  <c r="BO75" i="2"/>
  <c r="BO74" i="2"/>
  <c r="BO71" i="2"/>
  <c r="BO67" i="2"/>
  <c r="BO63" i="2"/>
  <c r="BO46" i="2" s="1"/>
  <c r="BE58" i="2"/>
  <c r="BN51" i="2"/>
  <c r="BO51" i="2"/>
  <c r="BG8" i="2"/>
  <c r="BA8" i="2"/>
  <c r="BG230" i="2"/>
  <c r="BG219" i="2"/>
  <c r="BG169" i="2"/>
  <c r="BG166" i="2"/>
  <c r="BG154" i="2"/>
  <c r="BG137" i="2"/>
  <c r="BG133" i="2"/>
  <c r="BG126" i="2"/>
  <c r="BG117" i="2"/>
  <c r="BG116" i="2"/>
  <c r="BG100" i="2"/>
  <c r="BG106" i="2" s="1"/>
  <c r="BG99" i="2"/>
  <c r="BG98" i="2"/>
  <c r="BG96" i="2"/>
  <c r="BG86" i="2"/>
  <c r="BG61" i="2"/>
  <c r="BG49" i="2"/>
  <c r="BG41" i="2"/>
  <c r="BG40" i="2"/>
  <c r="BG39" i="2"/>
  <c r="BG38" i="2"/>
  <c r="BG10" i="2"/>
  <c r="BG11" i="2" s="1"/>
  <c r="BO62" i="2"/>
  <c r="BN62" i="2"/>
  <c r="BO61" i="2"/>
  <c r="BN61" i="2"/>
  <c r="BO59" i="2"/>
  <c r="BN59" i="2"/>
  <c r="BO58" i="2"/>
  <c r="BO49" i="2"/>
  <c r="BN49" i="2"/>
  <c r="BO41" i="2"/>
  <c r="BN41" i="2"/>
  <c r="BO40" i="2"/>
  <c r="BN40" i="2"/>
  <c r="BO39" i="2"/>
  <c r="BN39" i="2"/>
  <c r="BO38" i="2"/>
  <c r="BN38" i="2"/>
  <c r="BO10" i="2"/>
  <c r="BO19" i="2" s="1"/>
  <c r="BN10" i="2"/>
  <c r="BN11" i="2" s="1"/>
  <c r="BO8" i="2"/>
  <c r="BA230" i="2"/>
  <c r="BA219" i="2"/>
  <c r="BA233" i="2"/>
  <c r="BA169" i="2"/>
  <c r="BA170" i="2" s="1"/>
  <c r="BA166" i="2"/>
  <c r="BA154" i="2"/>
  <c r="BA137" i="2"/>
  <c r="BA127" i="2"/>
  <c r="BA159" i="2" s="1"/>
  <c r="BA118" i="2"/>
  <c r="BA106" i="2"/>
  <c r="BA96" i="2"/>
  <c r="BA86" i="2"/>
  <c r="BA61" i="2"/>
  <c r="BA49" i="2"/>
  <c r="BA41" i="2"/>
  <c r="BA40" i="2"/>
  <c r="BA39" i="2"/>
  <c r="BA38" i="2"/>
  <c r="BA10" i="2"/>
  <c r="BA11" i="2" s="1"/>
  <c r="AX49" i="1" l="1"/>
  <c r="AX32" i="1"/>
  <c r="P32" i="1"/>
  <c r="BI127" i="2"/>
  <c r="BC250" i="2"/>
  <c r="BC247" i="2"/>
  <c r="BC246" i="2"/>
  <c r="BC243" i="2"/>
  <c r="BC242" i="2"/>
  <c r="BC236" i="2"/>
  <c r="BC233" i="2"/>
  <c r="BI42" i="2"/>
  <c r="BC173" i="2"/>
  <c r="BC66" i="2"/>
  <c r="BC70" i="2" s="1"/>
  <c r="BC245" i="2"/>
  <c r="BC47" i="2"/>
  <c r="BC241" i="2"/>
  <c r="BC46" i="2"/>
  <c r="BC170" i="2"/>
  <c r="BC224" i="2"/>
  <c r="BC264" i="2"/>
  <c r="BC240" i="2"/>
  <c r="BB266" i="2"/>
  <c r="P111" i="2"/>
  <c r="BC113" i="2"/>
  <c r="P102" i="2"/>
  <c r="BC108" i="2"/>
  <c r="O215" i="2"/>
  <c r="O217" i="2" s="1"/>
  <c r="BB217" i="2"/>
  <c r="BI249" i="2"/>
  <c r="BI241" i="2"/>
  <c r="D26" i="3"/>
  <c r="P215" i="2"/>
  <c r="P217" i="2" s="1"/>
  <c r="C66" i="3"/>
  <c r="C8" i="3"/>
  <c r="BH112" i="2"/>
  <c r="N122" i="2"/>
  <c r="N123" i="2" s="1"/>
  <c r="N195" i="2" s="1"/>
  <c r="D38" i="3"/>
  <c r="D16" i="3"/>
  <c r="C10" i="3"/>
  <c r="BI240" i="2"/>
  <c r="C65" i="3"/>
  <c r="O173" i="2"/>
  <c r="J60" i="3"/>
  <c r="D8" i="3"/>
  <c r="C7" i="3"/>
  <c r="BI252" i="2"/>
  <c r="BI188" i="2"/>
  <c r="BI47" i="2"/>
  <c r="BI181" i="2"/>
  <c r="BC107" i="2"/>
  <c r="P101" i="2"/>
  <c r="N46" i="2"/>
  <c r="N177" i="2"/>
  <c r="C37" i="3"/>
  <c r="C40" i="3" s="1"/>
  <c r="C54" i="3"/>
  <c r="D14" i="3"/>
  <c r="D25" i="3"/>
  <c r="D51" i="3"/>
  <c r="D11" i="3"/>
  <c r="D52" i="3"/>
  <c r="BE13" i="1"/>
  <c r="BE30" i="1"/>
  <c r="AX54" i="1"/>
  <c r="AX48" i="1"/>
  <c r="AX55" i="1"/>
  <c r="AY30" i="1"/>
  <c r="AY13" i="1"/>
  <c r="AX12" i="1"/>
  <c r="BI19" i="2"/>
  <c r="BI159" i="2"/>
  <c r="BI196" i="2"/>
  <c r="BI245" i="2"/>
  <c r="BI20" i="2"/>
  <c r="BI176" i="2"/>
  <c r="BI247" i="2"/>
  <c r="BI253" i="2"/>
  <c r="BI66" i="2"/>
  <c r="BI46" i="2"/>
  <c r="BI177" i="2"/>
  <c r="BI185" i="2"/>
  <c r="BI256" i="2"/>
  <c r="BI236" i="2"/>
  <c r="BI246" i="2"/>
  <c r="BI242" i="2"/>
  <c r="BI250" i="2"/>
  <c r="BI50" i="2"/>
  <c r="BI52" i="2" s="1"/>
  <c r="BI233" i="2"/>
  <c r="BI243" i="2"/>
  <c r="O170" i="2"/>
  <c r="BC42" i="2"/>
  <c r="O122" i="2"/>
  <c r="N108" i="2"/>
  <c r="BH101" i="2"/>
  <c r="BC87" i="2"/>
  <c r="BC155" i="2" s="1"/>
  <c r="BH111" i="2"/>
  <c r="BC177" i="2"/>
  <c r="BC238" i="2"/>
  <c r="BC252" i="2"/>
  <c r="BC196" i="2"/>
  <c r="BC260" i="2"/>
  <c r="BC26" i="2"/>
  <c r="BC20" i="2"/>
  <c r="BC50" i="2"/>
  <c r="BC52" i="2" s="1"/>
  <c r="BC266" i="2"/>
  <c r="BC121" i="2"/>
  <c r="BC123" i="2" s="1"/>
  <c r="BC176" i="2"/>
  <c r="BC217" i="2"/>
  <c r="BC185" i="2"/>
  <c r="BC11" i="2"/>
  <c r="BC188" i="2"/>
  <c r="BC181" i="2"/>
  <c r="BC189" i="2"/>
  <c r="C69" i="3"/>
  <c r="BB122" i="2"/>
  <c r="C70" i="3"/>
  <c r="C68" i="3" s="1"/>
  <c r="C74" i="3"/>
  <c r="C76" i="3"/>
  <c r="BA217" i="2"/>
  <c r="O113" i="2"/>
  <c r="C95" i="3"/>
  <c r="C98" i="3" s="1"/>
  <c r="E95" i="3" s="1"/>
  <c r="C88" i="3"/>
  <c r="BD12" i="1"/>
  <c r="N30" i="1"/>
  <c r="O30" i="1"/>
  <c r="AW48" i="1"/>
  <c r="O25" i="1"/>
  <c r="AW54" i="1"/>
  <c r="O13" i="1"/>
  <c r="N25" i="1"/>
  <c r="N13" i="1"/>
  <c r="BC48" i="1"/>
  <c r="AW49" i="1"/>
  <c r="AW55" i="1"/>
  <c r="AW47" i="1"/>
  <c r="N42" i="2"/>
  <c r="BB8" i="2"/>
  <c r="O103" i="2"/>
  <c r="O104" i="2" s="1"/>
  <c r="BB121" i="2"/>
  <c r="BB123" i="2" s="1"/>
  <c r="O108" i="2"/>
  <c r="BH39" i="2"/>
  <c r="BH40" i="2"/>
  <c r="BH169" i="2"/>
  <c r="BA266" i="2"/>
  <c r="BH41" i="2"/>
  <c r="BH87" i="2"/>
  <c r="O42" i="2"/>
  <c r="BH10" i="2"/>
  <c r="BH19" i="2" s="1"/>
  <c r="BH50" i="2" s="1"/>
  <c r="BH38" i="2"/>
  <c r="BB40" i="2"/>
  <c r="BB41" i="2"/>
  <c r="BB118" i="2"/>
  <c r="BB264" i="2" s="1"/>
  <c r="BB127" i="2"/>
  <c r="BB106" i="2"/>
  <c r="BB107" i="2"/>
  <c r="BB108" i="2"/>
  <c r="O107" i="2"/>
  <c r="BB39" i="2"/>
  <c r="BB38" i="2"/>
  <c r="BB103" i="2"/>
  <c r="O121" i="2"/>
  <c r="N113" i="2"/>
  <c r="BB10" i="2"/>
  <c r="BB87" i="2"/>
  <c r="BB155" i="2" s="1"/>
  <c r="BB169" i="2"/>
  <c r="BB233" i="2"/>
  <c r="BB113" i="2"/>
  <c r="N103" i="2"/>
  <c r="N104" i="2" s="1"/>
  <c r="O88" i="2"/>
  <c r="O50" i="2"/>
  <c r="O52" i="2" s="1"/>
  <c r="O20" i="2"/>
  <c r="O26" i="2"/>
  <c r="N149" i="2"/>
  <c r="N209" i="2" s="1"/>
  <c r="O149" i="2"/>
  <c r="O209" i="2" s="1"/>
  <c r="O66" i="2"/>
  <c r="O176" i="2"/>
  <c r="O177" i="2"/>
  <c r="O93" i="2"/>
  <c r="O148" i="2" s="1"/>
  <c r="O208" i="2" s="1"/>
  <c r="O156" i="2"/>
  <c r="O11" i="2"/>
  <c r="O47" i="2"/>
  <c r="O196" i="2"/>
  <c r="O188" i="2"/>
  <c r="O181" i="2"/>
  <c r="N88" i="2"/>
  <c r="N50" i="2"/>
  <c r="N52" i="2" s="1"/>
  <c r="N20" i="2"/>
  <c r="N26" i="2"/>
  <c r="C125" i="3"/>
  <c r="C124" i="3" s="1"/>
  <c r="N66" i="2"/>
  <c r="N176" i="2"/>
  <c r="N93" i="2"/>
  <c r="N148" i="2" s="1"/>
  <c r="N208" i="2" s="1"/>
  <c r="N11" i="2"/>
  <c r="N47" i="2"/>
  <c r="N157" i="2"/>
  <c r="N196" i="2"/>
  <c r="J117" i="3"/>
  <c r="D158" i="3" s="1"/>
  <c r="N188" i="2"/>
  <c r="C122" i="3"/>
  <c r="C121" i="3" s="1"/>
  <c r="N181" i="2"/>
  <c r="C153" i="3"/>
  <c r="C144" i="3"/>
  <c r="C168" i="3"/>
  <c r="BJ30" i="1"/>
  <c r="BG118" i="2"/>
  <c r="BK24" i="1"/>
  <c r="BK30" i="1" s="1"/>
  <c r="BJ25" i="1"/>
  <c r="BJ13" i="1"/>
  <c r="AW12" i="1"/>
  <c r="AW13" i="1" s="1"/>
  <c r="BO66" i="2"/>
  <c r="BO70" i="2" s="1"/>
  <c r="BO76" i="2" s="1"/>
  <c r="BO78" i="2" s="1"/>
  <c r="BA122" i="2"/>
  <c r="BO47" i="2"/>
  <c r="BA108" i="2"/>
  <c r="BG127" i="2"/>
  <c r="BG159" i="2" s="1"/>
  <c r="BN19" i="2"/>
  <c r="BN50" i="2" s="1"/>
  <c r="BN52" i="2" s="1"/>
  <c r="BN54" i="2" s="1"/>
  <c r="BG19" i="2"/>
  <c r="BN66" i="2"/>
  <c r="BO11" i="2"/>
  <c r="BO50" i="2"/>
  <c r="BO52" i="2" s="1"/>
  <c r="BO26" i="2"/>
  <c r="BO20" i="2"/>
  <c r="BA264" i="2"/>
  <c r="BA19" i="2"/>
  <c r="BA26" i="2" s="1"/>
  <c r="BA29" i="2" s="1"/>
  <c r="BA224" i="2"/>
  <c r="BA113" i="2"/>
  <c r="BA121" i="2"/>
  <c r="BA103" i="2"/>
  <c r="BA196" i="2"/>
  <c r="BA260" i="2"/>
  <c r="C188" i="3"/>
  <c r="C200" i="3"/>
  <c r="AZ121" i="2"/>
  <c r="C190" i="3"/>
  <c r="C186" i="3"/>
  <c r="C184" i="3"/>
  <c r="C183" i="3"/>
  <c r="C181" i="3"/>
  <c r="C225" i="3"/>
  <c r="C220" i="3"/>
  <c r="C210" i="3"/>
  <c r="C196" i="3"/>
  <c r="AV56" i="1"/>
  <c r="AV50" i="1"/>
  <c r="BB43" i="1"/>
  <c r="BB55" i="1" s="1"/>
  <c r="BB42" i="1"/>
  <c r="BB54" i="1" s="1"/>
  <c r="AV42" i="1"/>
  <c r="AV41" i="1"/>
  <c r="P41" i="1" s="1"/>
  <c r="BB37" i="1"/>
  <c r="BB49" i="1" s="1"/>
  <c r="BB36" i="1"/>
  <c r="BB48" i="1" s="1"/>
  <c r="BB35" i="1"/>
  <c r="BB47" i="1" s="1"/>
  <c r="AV36" i="1"/>
  <c r="P36" i="1" s="1"/>
  <c r="AV35" i="1"/>
  <c r="P35" i="1" s="1"/>
  <c r="BH29" i="1"/>
  <c r="BG29" i="1"/>
  <c r="BG28" i="1"/>
  <c r="AV23" i="1"/>
  <c r="BB23" i="1"/>
  <c r="BB22" i="1"/>
  <c r="BG24" i="1"/>
  <c r="BG25" i="1" s="1"/>
  <c r="BH22" i="1"/>
  <c r="BA43" i="1"/>
  <c r="BE55" i="1" s="1"/>
  <c r="BA42" i="1"/>
  <c r="BE54" i="1" s="1"/>
  <c r="BA41" i="1"/>
  <c r="BE53" i="1" s="1"/>
  <c r="BA37" i="1"/>
  <c r="BE49" i="1" s="1"/>
  <c r="BA36" i="1"/>
  <c r="BE48" i="1" s="1"/>
  <c r="BA35" i="1"/>
  <c r="BE47" i="1" s="1"/>
  <c r="BA29" i="1"/>
  <c r="BA28" i="1"/>
  <c r="BA24" i="1"/>
  <c r="BA25" i="1" s="1"/>
  <c r="BA12" i="1"/>
  <c r="BA13" i="1" s="1"/>
  <c r="BG12" i="1"/>
  <c r="BG13" i="1" s="1"/>
  <c r="BH12" i="1"/>
  <c r="BH13" i="1" s="1"/>
  <c r="AV43" i="1"/>
  <c r="P43" i="1" s="1"/>
  <c r="AV37" i="1"/>
  <c r="P37" i="1" s="1"/>
  <c r="AV12" i="1"/>
  <c r="AZ214" i="2"/>
  <c r="AZ215" i="2"/>
  <c r="AZ217" i="2" s="1"/>
  <c r="AZ102" i="2"/>
  <c r="AZ101" i="2"/>
  <c r="BE133" i="2"/>
  <c r="BE126" i="2"/>
  <c r="BE116" i="2"/>
  <c r="BE117" i="2"/>
  <c r="BE98" i="2"/>
  <c r="BE99" i="2"/>
  <c r="BE100" i="2"/>
  <c r="BF133" i="2"/>
  <c r="BF126" i="2"/>
  <c r="BF117" i="2"/>
  <c r="BF116" i="2"/>
  <c r="BF99" i="2"/>
  <c r="BF100" i="2"/>
  <c r="BF106" i="2" s="1"/>
  <c r="BF98" i="2"/>
  <c r="BF79" i="2"/>
  <c r="BG79" i="2" s="1"/>
  <c r="BH79" i="2" s="1"/>
  <c r="BF77" i="2"/>
  <c r="BG77" i="2" s="1"/>
  <c r="BH77" i="2" s="1"/>
  <c r="BF73" i="2"/>
  <c r="BG73" i="2" s="1"/>
  <c r="BH73" i="2" s="1"/>
  <c r="BF72" i="2"/>
  <c r="BG72" i="2" s="1"/>
  <c r="BH72" i="2" s="1"/>
  <c r="BF69" i="2"/>
  <c r="BG69" i="2" s="1"/>
  <c r="BH69" i="2" s="1"/>
  <c r="BF68" i="2"/>
  <c r="BG68" i="2" s="1"/>
  <c r="BH68" i="2" s="1"/>
  <c r="BF65" i="2"/>
  <c r="BG65" i="2" s="1"/>
  <c r="BF64" i="2"/>
  <c r="BG64" i="2" s="1"/>
  <c r="BH64" i="2" s="1"/>
  <c r="AZ79" i="2"/>
  <c r="AZ77" i="2"/>
  <c r="AZ73" i="2"/>
  <c r="AZ72" i="2"/>
  <c r="AZ69" i="2"/>
  <c r="AZ68" i="2"/>
  <c r="AZ65" i="2"/>
  <c r="AZ64" i="2"/>
  <c r="BK75" i="2"/>
  <c r="BK74" i="2"/>
  <c r="BL75" i="2"/>
  <c r="BL74" i="2"/>
  <c r="BK71" i="2"/>
  <c r="BL71" i="2"/>
  <c r="BK67" i="2"/>
  <c r="BL67" i="2"/>
  <c r="BK63" i="2"/>
  <c r="BL63" i="2"/>
  <c r="BF57" i="2"/>
  <c r="AZ57" i="2"/>
  <c r="BK51" i="2"/>
  <c r="BL51" i="2"/>
  <c r="BL58" i="2"/>
  <c r="BL8" i="2"/>
  <c r="BE8" i="2"/>
  <c r="BF8" i="2"/>
  <c r="AZ8" i="2"/>
  <c r="BL62" i="2"/>
  <c r="BK62" i="2"/>
  <c r="BL61" i="2"/>
  <c r="BK61" i="2"/>
  <c r="BL59" i="2"/>
  <c r="BK59" i="2"/>
  <c r="BL49" i="2"/>
  <c r="BK49" i="2"/>
  <c r="BL41" i="2"/>
  <c r="BK41" i="2"/>
  <c r="BL40" i="2"/>
  <c r="BK40" i="2"/>
  <c r="BL39" i="2"/>
  <c r="BK39" i="2"/>
  <c r="BL38" i="2"/>
  <c r="BK38" i="2"/>
  <c r="BL10" i="2"/>
  <c r="BL19" i="2" s="1"/>
  <c r="BK10" i="2"/>
  <c r="BK19" i="2" s="1"/>
  <c r="BF230" i="2"/>
  <c r="BF219" i="2"/>
  <c r="BF169" i="2"/>
  <c r="BF166" i="2"/>
  <c r="BF154" i="2"/>
  <c r="BF137" i="2"/>
  <c r="BF96" i="2"/>
  <c r="BF86" i="2"/>
  <c r="BF61" i="2"/>
  <c r="BF49" i="2"/>
  <c r="BF41" i="2"/>
  <c r="BF40" i="2"/>
  <c r="BF39" i="2"/>
  <c r="BF38" i="2"/>
  <c r="BF10" i="2"/>
  <c r="BF19" i="2" s="1"/>
  <c r="AZ230" i="2"/>
  <c r="AZ219" i="2"/>
  <c r="AZ169" i="2"/>
  <c r="AZ166" i="2"/>
  <c r="AZ154" i="2"/>
  <c r="AZ137" i="2"/>
  <c r="AZ127" i="2"/>
  <c r="AZ159" i="2" s="1"/>
  <c r="AZ118" i="2"/>
  <c r="AZ122" i="2"/>
  <c r="AZ106" i="2"/>
  <c r="AZ96" i="2"/>
  <c r="AZ86" i="2"/>
  <c r="AZ61" i="2"/>
  <c r="AZ49" i="2"/>
  <c r="AZ41" i="2"/>
  <c r="AZ40" i="2"/>
  <c r="AZ39" i="2"/>
  <c r="AZ38" i="2"/>
  <c r="AZ10" i="2"/>
  <c r="AZ19" i="2" s="1"/>
  <c r="AV54" i="1" l="1"/>
  <c r="P42" i="1"/>
  <c r="D85" i="3"/>
  <c r="D108" i="3"/>
  <c r="D93" i="3"/>
  <c r="D86" i="3"/>
  <c r="D74" i="3"/>
  <c r="D76" i="3"/>
  <c r="BC244" i="2"/>
  <c r="BC180" i="2"/>
  <c r="D18" i="3"/>
  <c r="D27" i="3"/>
  <c r="D28" i="3"/>
  <c r="D65" i="3"/>
  <c r="C64" i="3"/>
  <c r="C71" i="3" s="1"/>
  <c r="C79" i="3" s="1"/>
  <c r="D103" i="3"/>
  <c r="D109" i="3"/>
  <c r="D97" i="3"/>
  <c r="D66" i="3"/>
  <c r="D72" i="3"/>
  <c r="D105" i="3"/>
  <c r="D96" i="3"/>
  <c r="D95" i="3" s="1"/>
  <c r="D83" i="3"/>
  <c r="D106" i="3"/>
  <c r="D84" i="3"/>
  <c r="D107" i="3"/>
  <c r="C6" i="3"/>
  <c r="C13" i="3" s="1"/>
  <c r="D7" i="3"/>
  <c r="D6" i="3" s="1"/>
  <c r="D69" i="3"/>
  <c r="D94" i="3"/>
  <c r="D110" i="3"/>
  <c r="D111" i="3" s="1"/>
  <c r="D12" i="3"/>
  <c r="D10" i="3" s="1"/>
  <c r="D45" i="3"/>
  <c r="D35" i="3"/>
  <c r="D36" i="3"/>
  <c r="D39" i="3"/>
  <c r="D37" i="3" s="1"/>
  <c r="D47" i="3"/>
  <c r="D48" i="3"/>
  <c r="D49" i="3"/>
  <c r="D50" i="3"/>
  <c r="BI88" i="2"/>
  <c r="O123" i="2"/>
  <c r="BB170" i="2"/>
  <c r="BC53" i="2"/>
  <c r="BC237" i="2"/>
  <c r="BC234" i="2"/>
  <c r="BC216" i="2"/>
  <c r="P214" i="2"/>
  <c r="D53" i="3"/>
  <c r="D29" i="3"/>
  <c r="E34" i="3"/>
  <c r="E40" i="3" s="1"/>
  <c r="AX13" i="1"/>
  <c r="BA54" i="1"/>
  <c r="N42" i="1"/>
  <c r="BA53" i="1"/>
  <c r="BA55" i="1"/>
  <c r="N43" i="1"/>
  <c r="D92" i="3"/>
  <c r="BI26" i="2"/>
  <c r="BI29" i="2" s="1"/>
  <c r="BI44" i="2"/>
  <c r="BI244" i="2"/>
  <c r="BI180" i="2"/>
  <c r="BI70" i="2"/>
  <c r="BI238" i="2"/>
  <c r="BI56" i="2"/>
  <c r="BI54" i="2"/>
  <c r="AZ170" i="2"/>
  <c r="D70" i="3"/>
  <c r="BC104" i="2"/>
  <c r="BC76" i="2"/>
  <c r="BC78" i="2" s="1"/>
  <c r="BC83" i="2" s="1"/>
  <c r="BC248" i="2"/>
  <c r="BC184" i="2"/>
  <c r="BC44" i="2"/>
  <c r="BC29" i="2"/>
  <c r="BC134" i="2"/>
  <c r="BC158" i="2"/>
  <c r="BC130" i="2"/>
  <c r="BC129" i="2"/>
  <c r="BC259" i="2"/>
  <c r="BC195" i="2"/>
  <c r="BC43" i="2"/>
  <c r="BC56" i="2"/>
  <c r="BC54" i="2"/>
  <c r="BB158" i="2"/>
  <c r="BB223" i="2" s="1"/>
  <c r="BB134" i="2"/>
  <c r="BB216" i="2"/>
  <c r="BB220" i="2" s="1"/>
  <c r="O214" i="2"/>
  <c r="BB130" i="2"/>
  <c r="BB151" i="2" s="1"/>
  <c r="BB211" i="2" s="1"/>
  <c r="C112" i="3"/>
  <c r="E92" i="3"/>
  <c r="E98" i="3" s="1"/>
  <c r="C163" i="3"/>
  <c r="BD13" i="1"/>
  <c r="BA49" i="1"/>
  <c r="N37" i="1"/>
  <c r="BA47" i="1"/>
  <c r="N35" i="1"/>
  <c r="BC22" i="1"/>
  <c r="BC28" i="1" s="1"/>
  <c r="BA48" i="1"/>
  <c r="N36" i="1"/>
  <c r="AV48" i="1"/>
  <c r="AV49" i="1"/>
  <c r="AV55" i="1"/>
  <c r="BC23" i="1"/>
  <c r="BD23" i="1" s="1"/>
  <c r="AW23" i="1"/>
  <c r="BH65" i="2"/>
  <c r="BH26" i="2"/>
  <c r="BB260" i="2"/>
  <c r="BB42" i="2"/>
  <c r="BB43" i="2"/>
  <c r="BB195" i="2"/>
  <c r="BB129" i="2"/>
  <c r="BB259" i="2"/>
  <c r="N134" i="2"/>
  <c r="N43" i="2"/>
  <c r="N129" i="2"/>
  <c r="N130" i="2"/>
  <c r="N142" i="2" s="1"/>
  <c r="N158" i="2"/>
  <c r="N160" i="2" s="1"/>
  <c r="N139" i="2"/>
  <c r="N140" i="2"/>
  <c r="N200" i="2" s="1"/>
  <c r="BH11" i="2"/>
  <c r="BH20" i="2"/>
  <c r="BH182" i="2"/>
  <c r="D123" i="3"/>
  <c r="BH183" i="2"/>
  <c r="BB159" i="2"/>
  <c r="BB224" i="2" s="1"/>
  <c r="BH186" i="2"/>
  <c r="BA123" i="2"/>
  <c r="BB104" i="2"/>
  <c r="BH187" i="2"/>
  <c r="BH192" i="2"/>
  <c r="BH178" i="2"/>
  <c r="BB196" i="2"/>
  <c r="BA57" i="2"/>
  <c r="BA236" i="2" s="1"/>
  <c r="BA73" i="2"/>
  <c r="BA77" i="2"/>
  <c r="BA79" i="2"/>
  <c r="D122" i="3"/>
  <c r="BA64" i="2"/>
  <c r="BA72" i="2"/>
  <c r="BA65" i="2"/>
  <c r="D142" i="3"/>
  <c r="BB19" i="2"/>
  <c r="BC88" i="2" s="1"/>
  <c r="BB11" i="2"/>
  <c r="BA68" i="2"/>
  <c r="D143" i="3"/>
  <c r="BA69" i="2"/>
  <c r="D149" i="3"/>
  <c r="O180" i="2"/>
  <c r="O70" i="2"/>
  <c r="D156" i="3"/>
  <c r="D128" i="3"/>
  <c r="O56" i="2"/>
  <c r="O54" i="2"/>
  <c r="O53" i="2"/>
  <c r="O89" i="2"/>
  <c r="D126" i="3"/>
  <c r="O157" i="2"/>
  <c r="AZ266" i="2"/>
  <c r="D166" i="3"/>
  <c r="D167" i="3" s="1"/>
  <c r="D160" i="3"/>
  <c r="C127" i="3"/>
  <c r="O29" i="2"/>
  <c r="O44" i="2"/>
  <c r="D139" i="3"/>
  <c r="D151" i="3"/>
  <c r="N180" i="2"/>
  <c r="N70" i="2"/>
  <c r="N56" i="2"/>
  <c r="N54" i="2"/>
  <c r="N89" i="2"/>
  <c r="D159" i="3"/>
  <c r="D125" i="3"/>
  <c r="D140" i="3"/>
  <c r="D161" i="3"/>
  <c r="D132" i="3"/>
  <c r="D157" i="3"/>
  <c r="D130" i="3"/>
  <c r="D148" i="3"/>
  <c r="D150" i="3"/>
  <c r="N44" i="2"/>
  <c r="N29" i="2"/>
  <c r="E138" i="3"/>
  <c r="E141" i="3"/>
  <c r="BK25" i="1"/>
  <c r="BF127" i="2"/>
  <c r="BF196" i="2" s="1"/>
  <c r="BG196" i="2"/>
  <c r="AV29" i="1"/>
  <c r="AV22" i="1"/>
  <c r="BH24" i="1"/>
  <c r="BH28" i="1"/>
  <c r="AV47" i="1"/>
  <c r="BG30" i="1"/>
  <c r="AZ264" i="2"/>
  <c r="BF192" i="2"/>
  <c r="BO83" i="2"/>
  <c r="BN70" i="2"/>
  <c r="BN76" i="2" s="1"/>
  <c r="BN78" i="2" s="1"/>
  <c r="BN83" i="2" s="1"/>
  <c r="BG57" i="2"/>
  <c r="BA20" i="2"/>
  <c r="BN26" i="2"/>
  <c r="BN44" i="2" s="1"/>
  <c r="BN20" i="2"/>
  <c r="BN56" i="2"/>
  <c r="BG192" i="2"/>
  <c r="BG26" i="2"/>
  <c r="BG20" i="2"/>
  <c r="BG50" i="2"/>
  <c r="BF179" i="2"/>
  <c r="BF182" i="2"/>
  <c r="BA50" i="2"/>
  <c r="BF183" i="2"/>
  <c r="BF186" i="2"/>
  <c r="BF178" i="2"/>
  <c r="BF187" i="2"/>
  <c r="BA44" i="2"/>
  <c r="AZ236" i="2"/>
  <c r="AZ58" i="2"/>
  <c r="AZ178" i="2"/>
  <c r="BO56" i="2"/>
  <c r="BO54" i="2"/>
  <c r="BO53" i="2"/>
  <c r="BO44" i="2"/>
  <c r="BO29" i="2"/>
  <c r="AZ251" i="2"/>
  <c r="AZ192" i="2"/>
  <c r="BF118" i="2"/>
  <c r="AZ107" i="2"/>
  <c r="BK47" i="2"/>
  <c r="AZ186" i="2"/>
  <c r="AZ182" i="2"/>
  <c r="BA242" i="2"/>
  <c r="BA178" i="2"/>
  <c r="J175" i="3"/>
  <c r="D188" i="3" s="1"/>
  <c r="BA256" i="2"/>
  <c r="BA192" i="2"/>
  <c r="C180" i="3"/>
  <c r="C179" i="3" s="1"/>
  <c r="BA243" i="2"/>
  <c r="BA179" i="2"/>
  <c r="AZ243" i="2"/>
  <c r="AZ183" i="2"/>
  <c r="AZ108" i="2"/>
  <c r="BA35" i="2"/>
  <c r="BA30" i="2"/>
  <c r="C211" i="3"/>
  <c r="C226" i="3"/>
  <c r="C199" i="3"/>
  <c r="C182" i="3"/>
  <c r="BA30" i="1"/>
  <c r="AV13" i="1"/>
  <c r="AZ123" i="2"/>
  <c r="AZ130" i="2" s="1"/>
  <c r="BL46" i="2"/>
  <c r="BF59" i="2"/>
  <c r="BF174" i="2" s="1"/>
  <c r="BF62" i="2"/>
  <c r="BF176" i="2" s="1"/>
  <c r="BF172" i="2"/>
  <c r="BK66" i="2"/>
  <c r="BL66" i="2"/>
  <c r="BL26" i="2"/>
  <c r="BL44" i="2" s="1"/>
  <c r="BL20" i="2"/>
  <c r="BK11" i="2"/>
  <c r="BL11" i="2"/>
  <c r="BK26" i="2"/>
  <c r="BK20" i="2"/>
  <c r="BK50" i="2"/>
  <c r="BK52" i="2" s="1"/>
  <c r="BL50" i="2"/>
  <c r="BL52" i="2" s="1"/>
  <c r="BK46" i="2"/>
  <c r="BL47" i="2"/>
  <c r="BF26" i="2"/>
  <c r="BF20" i="2"/>
  <c r="BF50" i="2"/>
  <c r="AZ103" i="2"/>
  <c r="AZ224" i="2"/>
  <c r="AZ256" i="2"/>
  <c r="BF11" i="2"/>
  <c r="AZ113" i="2"/>
  <c r="AZ20" i="2"/>
  <c r="AZ26" i="2"/>
  <c r="AZ50" i="2"/>
  <c r="AZ11" i="2"/>
  <c r="AZ246" i="2"/>
  <c r="AZ242" i="2"/>
  <c r="AZ247" i="2"/>
  <c r="AZ59" i="2"/>
  <c r="AZ174" i="2" s="1"/>
  <c r="AZ179" i="2"/>
  <c r="AZ187" i="2"/>
  <c r="AZ196" i="2"/>
  <c r="AZ233" i="2"/>
  <c r="AZ260" i="2"/>
  <c r="AZ250" i="2"/>
  <c r="AZ62" i="2"/>
  <c r="AZ172" i="2"/>
  <c r="C254" i="3"/>
  <c r="AY112" i="2"/>
  <c r="BI112" i="2" s="1"/>
  <c r="BI122" i="2" s="1"/>
  <c r="C253" i="3"/>
  <c r="AY111" i="2"/>
  <c r="C243" i="3"/>
  <c r="C241" i="3"/>
  <c r="C239" i="3"/>
  <c r="C237" i="3"/>
  <c r="C234" i="3"/>
  <c r="C281" i="3"/>
  <c r="C273" i="3"/>
  <c r="C263" i="3"/>
  <c r="C249" i="3"/>
  <c r="J243" i="3"/>
  <c r="BB41" i="1"/>
  <c r="BB53" i="1" s="1"/>
  <c r="BB29" i="1"/>
  <c r="BB28" i="1"/>
  <c r="BB24" i="1"/>
  <c r="BB25" i="1" s="1"/>
  <c r="BB12" i="1"/>
  <c r="BB13" i="1" s="1"/>
  <c r="AN49" i="1"/>
  <c r="AN48" i="1"/>
  <c r="AN47" i="1"/>
  <c r="AO49" i="1"/>
  <c r="AO48" i="1"/>
  <c r="AO47" i="1"/>
  <c r="AN55" i="1"/>
  <c r="AN54" i="1"/>
  <c r="AN53" i="1"/>
  <c r="AO53" i="1"/>
  <c r="AO55" i="1"/>
  <c r="AO54" i="1"/>
  <c r="AU56" i="1"/>
  <c r="AU50" i="1"/>
  <c r="AU42" i="1"/>
  <c r="AU41" i="1"/>
  <c r="AU35" i="1"/>
  <c r="AU37" i="1"/>
  <c r="AU36" i="1"/>
  <c r="AU43" i="1"/>
  <c r="AU29" i="1"/>
  <c r="AU28" i="1"/>
  <c r="AU24" i="1"/>
  <c r="AU25" i="1" s="1"/>
  <c r="AU12" i="1"/>
  <c r="AW8" i="2"/>
  <c r="AU8" i="2"/>
  <c r="AX33" i="2"/>
  <c r="AX28" i="2"/>
  <c r="AX27" i="2"/>
  <c r="AX24" i="2"/>
  <c r="AX23" i="2"/>
  <c r="AX22" i="2"/>
  <c r="AX18" i="2"/>
  <c r="AX17" i="2"/>
  <c r="AX16" i="2"/>
  <c r="AX15" i="2"/>
  <c r="AX14" i="2"/>
  <c r="AX13" i="2"/>
  <c r="AX12" i="2"/>
  <c r="AX9" i="2"/>
  <c r="AX7" i="2"/>
  <c r="AY58" i="2"/>
  <c r="AY8" i="2"/>
  <c r="BE75" i="2"/>
  <c r="BF75" i="2" s="1"/>
  <c r="BG75" i="2" s="1"/>
  <c r="BH75" i="2" s="1"/>
  <c r="BE74" i="2"/>
  <c r="BF74" i="2" s="1"/>
  <c r="BE71" i="2"/>
  <c r="BF71" i="2" s="1"/>
  <c r="BG71" i="2" s="1"/>
  <c r="BH71" i="2" s="1"/>
  <c r="BE67" i="2"/>
  <c r="BE181" i="2" s="1"/>
  <c r="BE63" i="2"/>
  <c r="BE46" i="2" s="1"/>
  <c r="BE51" i="2"/>
  <c r="BE230" i="2"/>
  <c r="BE219" i="2"/>
  <c r="BE192" i="2"/>
  <c r="BE187" i="2"/>
  <c r="BE186" i="2"/>
  <c r="BE183" i="2"/>
  <c r="BE182" i="2"/>
  <c r="BE179" i="2"/>
  <c r="BE178" i="2"/>
  <c r="BE172" i="2"/>
  <c r="BI173" i="2" s="1"/>
  <c r="BE169" i="2"/>
  <c r="BI170" i="2" s="1"/>
  <c r="BE166" i="2"/>
  <c r="BE154" i="2"/>
  <c r="BE137" i="2"/>
  <c r="BE127" i="2"/>
  <c r="BE118" i="2"/>
  <c r="BE106" i="2"/>
  <c r="BE96" i="2"/>
  <c r="BE86" i="2"/>
  <c r="BE62" i="2"/>
  <c r="BE176" i="2" s="1"/>
  <c r="BE61" i="2"/>
  <c r="BE59" i="2"/>
  <c r="BE174" i="2" s="1"/>
  <c r="BE49" i="2"/>
  <c r="BE41" i="2"/>
  <c r="BE40" i="2"/>
  <c r="BE39" i="2"/>
  <c r="BE38" i="2"/>
  <c r="BE10" i="2"/>
  <c r="BE19" i="2" s="1"/>
  <c r="BH88" i="2" s="1"/>
  <c r="AY215" i="2"/>
  <c r="AY102" i="2"/>
  <c r="AY101" i="2"/>
  <c r="AY127" i="2"/>
  <c r="AY118" i="2"/>
  <c r="AY106" i="2"/>
  <c r="AY75" i="2"/>
  <c r="AY74" i="2"/>
  <c r="AY71" i="2"/>
  <c r="AY67" i="2"/>
  <c r="AY63" i="2"/>
  <c r="AY51" i="2"/>
  <c r="AY256" i="2"/>
  <c r="AY250" i="2"/>
  <c r="AY247" i="2"/>
  <c r="AY242" i="2"/>
  <c r="AY230" i="2"/>
  <c r="AY219" i="2"/>
  <c r="AY246" i="2"/>
  <c r="AY192" i="2"/>
  <c r="AY187" i="2"/>
  <c r="AY186" i="2"/>
  <c r="AY183" i="2"/>
  <c r="AY182" i="2"/>
  <c r="AY179" i="2"/>
  <c r="AY178" i="2"/>
  <c r="AY172" i="2"/>
  <c r="AY169" i="2"/>
  <c r="AY166" i="2"/>
  <c r="AY154" i="2"/>
  <c r="AY137" i="2"/>
  <c r="AY96" i="2"/>
  <c r="AY86" i="2"/>
  <c r="AY245" i="2"/>
  <c r="AY62" i="2"/>
  <c r="AY176" i="2" s="1"/>
  <c r="AY61" i="2"/>
  <c r="AY59" i="2"/>
  <c r="AY174" i="2" s="1"/>
  <c r="AY49" i="2"/>
  <c r="AY41" i="2"/>
  <c r="AY40" i="2"/>
  <c r="AY39" i="2"/>
  <c r="AY38" i="2"/>
  <c r="AY10" i="2"/>
  <c r="AY19" i="2" s="1"/>
  <c r="AT32" i="1"/>
  <c r="J299" i="3"/>
  <c r="J290" i="3" s="1"/>
  <c r="AB122" i="2"/>
  <c r="AA122" i="2"/>
  <c r="X122" i="2"/>
  <c r="W122" i="2"/>
  <c r="V122" i="2"/>
  <c r="T122" i="2"/>
  <c r="S122" i="2"/>
  <c r="R122" i="2"/>
  <c r="C122" i="2"/>
  <c r="D122" i="2"/>
  <c r="E122" i="2"/>
  <c r="F122" i="2"/>
  <c r="L122" i="2"/>
  <c r="M122" i="2"/>
  <c r="M111" i="2"/>
  <c r="AX111" i="2" s="1"/>
  <c r="L111" i="2"/>
  <c r="L121" i="2" s="1"/>
  <c r="K111" i="2"/>
  <c r="K121" i="2" s="1"/>
  <c r="J111" i="2"/>
  <c r="J121" i="2" s="1"/>
  <c r="I111" i="2"/>
  <c r="I121" i="2" s="1"/>
  <c r="C111" i="2"/>
  <c r="C121" i="2" s="1"/>
  <c r="D111" i="2"/>
  <c r="D121" i="2" s="1"/>
  <c r="E111" i="2"/>
  <c r="E121" i="2" s="1"/>
  <c r="F111" i="2"/>
  <c r="F121" i="2" s="1"/>
  <c r="G111" i="2"/>
  <c r="G121" i="2" s="1"/>
  <c r="H111" i="2"/>
  <c r="H121" i="2" s="1"/>
  <c r="C309" i="3"/>
  <c r="C310" i="3"/>
  <c r="C337" i="3"/>
  <c r="C329" i="3"/>
  <c r="C319" i="3"/>
  <c r="C305" i="3"/>
  <c r="AQ12" i="1"/>
  <c r="AM12" i="1"/>
  <c r="AL12" i="1"/>
  <c r="AH12" i="1"/>
  <c r="AD12" i="1"/>
  <c r="L12" i="1"/>
  <c r="K12" i="1"/>
  <c r="I12" i="1"/>
  <c r="H12" i="1"/>
  <c r="G12" i="1"/>
  <c r="F12" i="1"/>
  <c r="E12" i="1"/>
  <c r="D12" i="1"/>
  <c r="P12" i="1"/>
  <c r="M12" i="1"/>
  <c r="M44" i="1"/>
  <c r="M38" i="1"/>
  <c r="M29" i="1"/>
  <c r="M28" i="1"/>
  <c r="M24" i="1"/>
  <c r="L44" i="1"/>
  <c r="L38" i="1"/>
  <c r="L29" i="1"/>
  <c r="L28" i="1"/>
  <c r="L24" i="1"/>
  <c r="AX133" i="2"/>
  <c r="AX126" i="2"/>
  <c r="BH127" i="2"/>
  <c r="BH42" i="2" s="1"/>
  <c r="AX117" i="2"/>
  <c r="AX116" i="2"/>
  <c r="AX112" i="2"/>
  <c r="AX100" i="2"/>
  <c r="AX99" i="2"/>
  <c r="AX98" i="2"/>
  <c r="AW29" i="1" l="1"/>
  <c r="D87" i="3"/>
  <c r="D68" i="3"/>
  <c r="D64" i="3"/>
  <c r="O43" i="2"/>
  <c r="O134" i="2"/>
  <c r="O140" i="2"/>
  <c r="O200" i="2" s="1"/>
  <c r="O195" i="2"/>
  <c r="O130" i="2"/>
  <c r="D13" i="3"/>
  <c r="D15" i="3" s="1"/>
  <c r="O158" i="2"/>
  <c r="O160" i="2" s="1"/>
  <c r="O129" i="2"/>
  <c r="O139" i="2"/>
  <c r="BH44" i="2"/>
  <c r="BH29" i="2"/>
  <c r="C21" i="3"/>
  <c r="C15" i="3"/>
  <c r="C17" i="3" s="1"/>
  <c r="C19" i="3" s="1"/>
  <c r="C41" i="3"/>
  <c r="D34" i="3"/>
  <c r="D40" i="3" s="1"/>
  <c r="BC220" i="2"/>
  <c r="O199" i="2"/>
  <c r="O161" i="2"/>
  <c r="BH91" i="2"/>
  <c r="BI91" i="2"/>
  <c r="N146" i="2"/>
  <c r="N206" i="2" s="1"/>
  <c r="N145" i="2"/>
  <c r="N205" i="2" s="1"/>
  <c r="N161" i="2"/>
  <c r="N199" i="2"/>
  <c r="O146" i="2"/>
  <c r="O206" i="2" s="1"/>
  <c r="O145" i="2"/>
  <c r="BA158" i="2"/>
  <c r="BA134" i="2"/>
  <c r="BB77" i="2"/>
  <c r="P77" i="2" s="1"/>
  <c r="BB79" i="2"/>
  <c r="P79" i="2" s="1"/>
  <c r="BB64" i="2"/>
  <c r="P64" i="2" s="1"/>
  <c r="BA250" i="2"/>
  <c r="BB65" i="2"/>
  <c r="BB68" i="2"/>
  <c r="P68" i="2" s="1"/>
  <c r="BB69" i="2"/>
  <c r="P69" i="2" s="1"/>
  <c r="AY121" i="2"/>
  <c r="BI111" i="2"/>
  <c r="AY217" i="2"/>
  <c r="BI215" i="2"/>
  <c r="AY108" i="2"/>
  <c r="BI102" i="2"/>
  <c r="BI108" i="2" s="1"/>
  <c r="AY107" i="2"/>
  <c r="BI101" i="2"/>
  <c r="D98" i="3"/>
  <c r="O43" i="1"/>
  <c r="N41" i="1"/>
  <c r="N44" i="1" s="1"/>
  <c r="O41" i="1"/>
  <c r="O42" i="1"/>
  <c r="BD22" i="1"/>
  <c r="BD28" i="1" s="1"/>
  <c r="D71" i="3"/>
  <c r="D73" i="3" s="1"/>
  <c r="D75" i="3" s="1"/>
  <c r="BI35" i="2"/>
  <c r="BI30" i="2"/>
  <c r="BI76" i="2"/>
  <c r="BI78" i="2" s="1"/>
  <c r="BI83" i="2" s="1"/>
  <c r="BI248" i="2"/>
  <c r="BI184" i="2"/>
  <c r="BA182" i="2"/>
  <c r="BB197" i="2"/>
  <c r="BA246" i="2"/>
  <c r="AY170" i="2"/>
  <c r="AY173" i="2"/>
  <c r="BC254" i="2"/>
  <c r="BC190" i="2"/>
  <c r="BC223" i="2"/>
  <c r="BC160" i="2"/>
  <c r="BC225" i="2" s="1"/>
  <c r="BC35" i="2"/>
  <c r="BC30" i="2"/>
  <c r="BC261" i="2"/>
  <c r="BC197" i="2"/>
  <c r="BC151" i="2"/>
  <c r="BC211" i="2" s="1"/>
  <c r="BA59" i="2"/>
  <c r="BA174" i="2" s="1"/>
  <c r="BA62" i="2"/>
  <c r="AZ173" i="2"/>
  <c r="BA172" i="2"/>
  <c r="N143" i="2"/>
  <c r="N203" i="2" s="1"/>
  <c r="BB261" i="2"/>
  <c r="BB279" i="2" s="1"/>
  <c r="C99" i="3"/>
  <c r="C73" i="3"/>
  <c r="BC24" i="1"/>
  <c r="AV24" i="1"/>
  <c r="AV30" i="1" s="1"/>
  <c r="N38" i="1"/>
  <c r="O36" i="1"/>
  <c r="O37" i="1"/>
  <c r="AX23" i="1"/>
  <c r="P23" i="1" s="1"/>
  <c r="P29" i="1" s="1"/>
  <c r="O35" i="1"/>
  <c r="P13" i="1"/>
  <c r="BC29" i="1"/>
  <c r="AX29" i="1"/>
  <c r="AW22" i="1"/>
  <c r="BA187" i="2"/>
  <c r="BB73" i="2"/>
  <c r="P73" i="2" s="1"/>
  <c r="BA251" i="2"/>
  <c r="BB72" i="2"/>
  <c r="P72" i="2" s="1"/>
  <c r="BF51" i="2"/>
  <c r="BH179" i="2"/>
  <c r="BB57" i="2"/>
  <c r="BH57" i="2"/>
  <c r="N197" i="2"/>
  <c r="N151" i="2"/>
  <c r="N211" i="2" s="1"/>
  <c r="D121" i="3"/>
  <c r="D141" i="3"/>
  <c r="BB88" i="2"/>
  <c r="BH159" i="2"/>
  <c r="BH196" i="2"/>
  <c r="BF159" i="2"/>
  <c r="BA186" i="2"/>
  <c r="BA130" i="2"/>
  <c r="BA151" i="2" s="1"/>
  <c r="BA211" i="2" s="1"/>
  <c r="BA195" i="2"/>
  <c r="BB160" i="2"/>
  <c r="BB225" i="2" s="1"/>
  <c r="BH35" i="2"/>
  <c r="BH30" i="2"/>
  <c r="C293" i="3"/>
  <c r="BH185" i="2"/>
  <c r="BH189" i="2"/>
  <c r="BA129" i="2"/>
  <c r="BA183" i="2"/>
  <c r="BH106" i="2"/>
  <c r="AX121" i="2"/>
  <c r="BA247" i="2"/>
  <c r="BA259" i="2"/>
  <c r="BA261" i="2" s="1"/>
  <c r="BA279" i="2" s="1"/>
  <c r="AX122" i="2"/>
  <c r="BH122" i="2"/>
  <c r="C290" i="3"/>
  <c r="C289" i="3" s="1"/>
  <c r="C288" i="3" s="1"/>
  <c r="BA58" i="2"/>
  <c r="C135" i="3"/>
  <c r="BB20" i="2"/>
  <c r="BB50" i="2"/>
  <c r="BB26" i="2"/>
  <c r="AZ63" i="2"/>
  <c r="D138" i="3"/>
  <c r="AZ71" i="2"/>
  <c r="C129" i="3"/>
  <c r="C131" i="3" s="1"/>
  <c r="C145" i="3"/>
  <c r="D152" i="3"/>
  <c r="O266" i="2"/>
  <c r="O264" i="2"/>
  <c r="O260" i="2"/>
  <c r="O224" i="2"/>
  <c r="O259" i="2"/>
  <c r="O76" i="2"/>
  <c r="O78" i="2" s="1"/>
  <c r="O94" i="2"/>
  <c r="O184" i="2"/>
  <c r="O92" i="2"/>
  <c r="O35" i="2"/>
  <c r="O30" i="2"/>
  <c r="O225" i="2"/>
  <c r="D162" i="3"/>
  <c r="O223" i="2"/>
  <c r="BG62" i="2"/>
  <c r="BG176" i="2" s="1"/>
  <c r="D124" i="3"/>
  <c r="O205" i="2"/>
  <c r="O163" i="2"/>
  <c r="AY266" i="2"/>
  <c r="N162" i="2"/>
  <c r="N202" i="2"/>
  <c r="N92" i="2"/>
  <c r="N35" i="2"/>
  <c r="N30" i="2"/>
  <c r="N163" i="2"/>
  <c r="N76" i="2"/>
  <c r="N78" i="2" s="1"/>
  <c r="N94" i="2"/>
  <c r="N184" i="2"/>
  <c r="BG172" i="2"/>
  <c r="BG59" i="2"/>
  <c r="BG174" i="2" s="1"/>
  <c r="AV28" i="1"/>
  <c r="BH25" i="1"/>
  <c r="BH30" i="1"/>
  <c r="AV53" i="1"/>
  <c r="BF188" i="2"/>
  <c r="BG74" i="2"/>
  <c r="BH74" i="2" s="1"/>
  <c r="BA87" i="2"/>
  <c r="P87" i="2"/>
  <c r="AZ42" i="2"/>
  <c r="BN80" i="2"/>
  <c r="BN81" i="2" s="1"/>
  <c r="BN29" i="2"/>
  <c r="BN35" i="2" s="1"/>
  <c r="BG185" i="2"/>
  <c r="BG189" i="2"/>
  <c r="BG187" i="2"/>
  <c r="BG183" i="2"/>
  <c r="BG178" i="2"/>
  <c r="BG186" i="2"/>
  <c r="BG182" i="2"/>
  <c r="BG44" i="2"/>
  <c r="BG29" i="2"/>
  <c r="AZ259" i="2"/>
  <c r="AZ261" i="2" s="1"/>
  <c r="BG179" i="2"/>
  <c r="D201" i="3"/>
  <c r="D217" i="3"/>
  <c r="D219" i="3"/>
  <c r="D208" i="3"/>
  <c r="D216" i="3"/>
  <c r="D224" i="3"/>
  <c r="D225" i="3" s="1"/>
  <c r="D181" i="3"/>
  <c r="D197" i="3"/>
  <c r="D184" i="3"/>
  <c r="D200" i="3"/>
  <c r="D186" i="3"/>
  <c r="BO80" i="2"/>
  <c r="BO81" i="2" s="1"/>
  <c r="D215" i="3"/>
  <c r="D214" i="3"/>
  <c r="BO35" i="2"/>
  <c r="BO30" i="2"/>
  <c r="D207" i="3"/>
  <c r="D190" i="3"/>
  <c r="AZ43" i="2"/>
  <c r="BF63" i="2"/>
  <c r="BG63" i="2" s="1"/>
  <c r="BH63" i="2" s="1"/>
  <c r="BF185" i="2"/>
  <c r="BF189" i="2"/>
  <c r="AZ87" i="2"/>
  <c r="AZ155" i="2" s="1"/>
  <c r="BA43" i="2"/>
  <c r="D218" i="3"/>
  <c r="D206" i="3"/>
  <c r="D183" i="3"/>
  <c r="AZ134" i="2"/>
  <c r="AZ51" i="2"/>
  <c r="BA42" i="2"/>
  <c r="D209" i="3"/>
  <c r="D198" i="3"/>
  <c r="BF67" i="2"/>
  <c r="BG67" i="2" s="1"/>
  <c r="BA238" i="2"/>
  <c r="AY159" i="2"/>
  <c r="AY224" i="2" s="1"/>
  <c r="AY42" i="2"/>
  <c r="D180" i="3"/>
  <c r="AZ67" i="2"/>
  <c r="AZ195" i="2"/>
  <c r="AZ75" i="2"/>
  <c r="C185" i="3"/>
  <c r="C187" i="3" s="1"/>
  <c r="AZ238" i="2"/>
  <c r="AZ74" i="2"/>
  <c r="C202" i="3"/>
  <c r="AZ129" i="2"/>
  <c r="AZ158" i="2"/>
  <c r="AZ223" i="2" s="1"/>
  <c r="C252" i="3"/>
  <c r="C255" i="3" s="1"/>
  <c r="J249" i="3" s="1"/>
  <c r="BL70" i="2"/>
  <c r="BK70" i="2"/>
  <c r="BK76" i="2" s="1"/>
  <c r="BK78" i="2" s="1"/>
  <c r="BK83" i="2" s="1"/>
  <c r="BL53" i="2"/>
  <c r="BL29" i="2"/>
  <c r="BL35" i="2" s="1"/>
  <c r="BL56" i="2"/>
  <c r="BL54" i="2"/>
  <c r="BK56" i="2"/>
  <c r="BK54" i="2"/>
  <c r="BK44" i="2"/>
  <c r="BK29" i="2"/>
  <c r="BF29" i="2"/>
  <c r="BF44" i="2"/>
  <c r="AY249" i="2"/>
  <c r="AY241" i="2"/>
  <c r="AY252" i="2"/>
  <c r="AZ240" i="2"/>
  <c r="AZ176" i="2"/>
  <c r="AZ29" i="2"/>
  <c r="AZ44" i="2"/>
  <c r="AZ197" i="2"/>
  <c r="AZ151" i="2"/>
  <c r="AZ211" i="2" s="1"/>
  <c r="AY189" i="2"/>
  <c r="AY87" i="2"/>
  <c r="C233" i="3"/>
  <c r="C236" i="3"/>
  <c r="C235" i="3" s="1"/>
  <c r="P122" i="2"/>
  <c r="AY122" i="2"/>
  <c r="AY264" i="2"/>
  <c r="C264" i="3"/>
  <c r="J229" i="3"/>
  <c r="D272" i="3" s="1"/>
  <c r="AX87" i="2"/>
  <c r="AY103" i="2"/>
  <c r="BE159" i="2"/>
  <c r="C282" i="3"/>
  <c r="BB30" i="1"/>
  <c r="AU13" i="1"/>
  <c r="AU30" i="1"/>
  <c r="BE47" i="2"/>
  <c r="BE189" i="2"/>
  <c r="BE66" i="2"/>
  <c r="BE26" i="2"/>
  <c r="BE20" i="2"/>
  <c r="BE50" i="2"/>
  <c r="BE52" i="2" s="1"/>
  <c r="BI53" i="2" s="1"/>
  <c r="BE185" i="2"/>
  <c r="BE11" i="2"/>
  <c r="BE177" i="2"/>
  <c r="C292" i="3"/>
  <c r="AY177" i="2"/>
  <c r="BE196" i="2"/>
  <c r="C295" i="3"/>
  <c r="C320" i="3" s="1"/>
  <c r="AY113" i="2"/>
  <c r="BE188" i="2"/>
  <c r="AY46" i="2"/>
  <c r="AY240" i="2"/>
  <c r="AY66" i="2"/>
  <c r="BH155" i="2" s="1"/>
  <c r="AY26" i="2"/>
  <c r="AY20" i="2"/>
  <c r="AY50" i="2"/>
  <c r="AY52" i="2" s="1"/>
  <c r="C297" i="3"/>
  <c r="AY185" i="2"/>
  <c r="AY11" i="2"/>
  <c r="M121" i="2"/>
  <c r="AY196" i="2"/>
  <c r="AY233" i="2"/>
  <c r="AY243" i="2"/>
  <c r="AY251" i="2"/>
  <c r="AY260" i="2"/>
  <c r="AY188" i="2"/>
  <c r="C299" i="3"/>
  <c r="AY47" i="2"/>
  <c r="AY181" i="2"/>
  <c r="AY236" i="2"/>
  <c r="AY253" i="2"/>
  <c r="P121" i="2"/>
  <c r="C308" i="3"/>
  <c r="C311" i="3" s="1"/>
  <c r="AT12" i="1"/>
  <c r="M30" i="1"/>
  <c r="M25" i="1"/>
  <c r="M13" i="1"/>
  <c r="L30" i="1"/>
  <c r="L25" i="1"/>
  <c r="L13" i="1"/>
  <c r="BC25" i="1" l="1"/>
  <c r="BC30" i="1"/>
  <c r="AW28" i="1"/>
  <c r="O197" i="2"/>
  <c r="O151" i="2"/>
  <c r="O211" i="2" s="1"/>
  <c r="O142" i="2"/>
  <c r="O143" i="2"/>
  <c r="O203" i="2" s="1"/>
  <c r="BA223" i="2"/>
  <c r="BA160" i="2"/>
  <c r="BA225" i="2" s="1"/>
  <c r="BC91" i="2"/>
  <c r="BC149" i="2" s="1"/>
  <c r="BC209" i="2" s="1"/>
  <c r="P65" i="2"/>
  <c r="BI92" i="2"/>
  <c r="AY123" i="2"/>
  <c r="BA240" i="2"/>
  <c r="BA176" i="2"/>
  <c r="BB256" i="2"/>
  <c r="BB192" i="2"/>
  <c r="BB242" i="2"/>
  <c r="BB178" i="2"/>
  <c r="BB91" i="2"/>
  <c r="BB243" i="2"/>
  <c r="BB179" i="2"/>
  <c r="BB246" i="2"/>
  <c r="BB182" i="2"/>
  <c r="BB183" i="2"/>
  <c r="BB247" i="2"/>
  <c r="BI113" i="2"/>
  <c r="BI121" i="2"/>
  <c r="BI123" i="2" s="1"/>
  <c r="BI260" i="2"/>
  <c r="BI224" i="2"/>
  <c r="BI264" i="2"/>
  <c r="BI266" i="2"/>
  <c r="BI217" i="2"/>
  <c r="BI103" i="2"/>
  <c r="BI104" i="2" s="1"/>
  <c r="BI107" i="2"/>
  <c r="BG51" i="2"/>
  <c r="BF52" i="2"/>
  <c r="BC90" i="2"/>
  <c r="P57" i="2"/>
  <c r="BH90" i="2"/>
  <c r="BI90" i="2"/>
  <c r="BA63" i="2"/>
  <c r="BA71" i="2"/>
  <c r="BB71" i="2" s="1"/>
  <c r="P71" i="2" s="1"/>
  <c r="BA75" i="2"/>
  <c r="BB75" i="2" s="1"/>
  <c r="P75" i="2" s="1"/>
  <c r="BA74" i="2"/>
  <c r="BB74" i="2" s="1"/>
  <c r="P74" i="2" s="1"/>
  <c r="D17" i="3"/>
  <c r="O44" i="1"/>
  <c r="AV25" i="1"/>
  <c r="BI254" i="2"/>
  <c r="BI190" i="2"/>
  <c r="BI80" i="2"/>
  <c r="BI81" i="2" s="1"/>
  <c r="AZ66" i="2"/>
  <c r="BB59" i="2"/>
  <c r="BB174" i="2" s="1"/>
  <c r="BB187" i="2"/>
  <c r="BA67" i="2"/>
  <c r="BB67" i="2" s="1"/>
  <c r="BA197" i="2"/>
  <c r="BB62" i="2"/>
  <c r="BB251" i="2"/>
  <c r="BB90" i="2"/>
  <c r="BB172" i="2"/>
  <c r="BB236" i="2"/>
  <c r="BB238" i="2" s="1"/>
  <c r="BC255" i="2"/>
  <c r="BC191" i="2"/>
  <c r="BC279" i="2"/>
  <c r="BC80" i="2"/>
  <c r="BC81" i="2" s="1"/>
  <c r="P81" i="2" s="1"/>
  <c r="BA173" i="2"/>
  <c r="BB186" i="2"/>
  <c r="C75" i="3"/>
  <c r="BB250" i="2"/>
  <c r="D77" i="3"/>
  <c r="O38" i="1"/>
  <c r="AX22" i="1"/>
  <c r="P22" i="1" s="1"/>
  <c r="P28" i="1" s="1"/>
  <c r="BD29" i="1"/>
  <c r="BD24" i="1"/>
  <c r="AW24" i="1"/>
  <c r="AW25" i="1" s="1"/>
  <c r="D127" i="3"/>
  <c r="D129" i="3" s="1"/>
  <c r="D131" i="3" s="1"/>
  <c r="BH67" i="2"/>
  <c r="BH47" i="2" s="1"/>
  <c r="N83" i="2"/>
  <c r="O83" i="2"/>
  <c r="D144" i="3"/>
  <c r="C291" i="3"/>
  <c r="C294" i="3" s="1"/>
  <c r="C296" i="3" s="1"/>
  <c r="C298" i="3" s="1"/>
  <c r="C338" i="3"/>
  <c r="C330" i="3"/>
  <c r="BH188" i="2"/>
  <c r="BH177" i="2"/>
  <c r="BH46" i="2"/>
  <c r="BH118" i="2"/>
  <c r="BH172" i="2"/>
  <c r="BH62" i="2"/>
  <c r="BH59" i="2"/>
  <c r="BH174" i="2" s="1"/>
  <c r="BH121" i="2"/>
  <c r="BH123" i="2" s="1"/>
  <c r="BH43" i="2" s="1"/>
  <c r="BH113" i="2"/>
  <c r="BB29" i="2"/>
  <c r="BC92" i="2" s="1"/>
  <c r="BB44" i="2"/>
  <c r="O190" i="2"/>
  <c r="O261" i="2"/>
  <c r="N190" i="2"/>
  <c r="N80" i="2"/>
  <c r="N81" i="2" s="1"/>
  <c r="E196" i="3"/>
  <c r="C133" i="3"/>
  <c r="E199" i="3"/>
  <c r="BA51" i="2"/>
  <c r="BB51" i="2" s="1"/>
  <c r="P51" i="2" s="1"/>
  <c r="D199" i="3"/>
  <c r="D182" i="3"/>
  <c r="BN30" i="2"/>
  <c r="BF66" i="2"/>
  <c r="BF180" i="2" s="1"/>
  <c r="BG35" i="2"/>
  <c r="BG30" i="2"/>
  <c r="AZ160" i="2"/>
  <c r="AZ225" i="2" s="1"/>
  <c r="BG181" i="2"/>
  <c r="BG47" i="2"/>
  <c r="D196" i="3"/>
  <c r="BG188" i="2"/>
  <c r="AZ52" i="2"/>
  <c r="D179" i="3"/>
  <c r="D220" i="3"/>
  <c r="D210" i="3"/>
  <c r="C193" i="3"/>
  <c r="BF46" i="2"/>
  <c r="BF177" i="2"/>
  <c r="BF47" i="2"/>
  <c r="BF181" i="2"/>
  <c r="BA155" i="2"/>
  <c r="BA104" i="2"/>
  <c r="AZ279" i="2"/>
  <c r="C203" i="3"/>
  <c r="C221" i="3"/>
  <c r="C189" i="3"/>
  <c r="C274" i="3"/>
  <c r="J250" i="3"/>
  <c r="J251" i="3" s="1"/>
  <c r="BL76" i="2"/>
  <c r="BL30" i="2"/>
  <c r="BK80" i="2"/>
  <c r="BK81" i="2" s="1"/>
  <c r="BK35" i="2"/>
  <c r="BK30" i="2"/>
  <c r="BF35" i="2"/>
  <c r="BF30" i="2"/>
  <c r="AZ104" i="2"/>
  <c r="AZ253" i="2"/>
  <c r="AZ189" i="2"/>
  <c r="AZ30" i="2"/>
  <c r="AZ35" i="2"/>
  <c r="AZ245" i="2"/>
  <c r="AZ181" i="2"/>
  <c r="AZ47" i="2"/>
  <c r="AZ252" i="2"/>
  <c r="AZ188" i="2"/>
  <c r="AZ249" i="2"/>
  <c r="AZ185" i="2"/>
  <c r="AY53" i="2"/>
  <c r="AZ46" i="2"/>
  <c r="AZ241" i="2"/>
  <c r="AZ177" i="2"/>
  <c r="D251" i="3"/>
  <c r="D236" i="3"/>
  <c r="D280" i="3"/>
  <c r="D260" i="3"/>
  <c r="D277" i="3"/>
  <c r="D233" i="3"/>
  <c r="D271" i="3"/>
  <c r="D239" i="3"/>
  <c r="D269" i="3"/>
  <c r="C232" i="3"/>
  <c r="C238" i="3" s="1"/>
  <c r="C240" i="3" s="1"/>
  <c r="D250" i="3"/>
  <c r="D278" i="3"/>
  <c r="D253" i="3"/>
  <c r="D262" i="3"/>
  <c r="D237" i="3"/>
  <c r="D279" i="3"/>
  <c r="D268" i="3"/>
  <c r="D267" i="3"/>
  <c r="D270" i="3"/>
  <c r="D241" i="3"/>
  <c r="D259" i="3"/>
  <c r="D261" i="3"/>
  <c r="D234" i="3"/>
  <c r="D254" i="3"/>
  <c r="BE70" i="2"/>
  <c r="BE184" i="2" s="1"/>
  <c r="BE180" i="2"/>
  <c r="AY180" i="2"/>
  <c r="BE54" i="2"/>
  <c r="BE56" i="2"/>
  <c r="BE44" i="2"/>
  <c r="BE29" i="2"/>
  <c r="BH92" i="2" s="1"/>
  <c r="AY244" i="2"/>
  <c r="AY70" i="2"/>
  <c r="AY238" i="2"/>
  <c r="AY54" i="2"/>
  <c r="AY56" i="2"/>
  <c r="AY44" i="2"/>
  <c r="AY29" i="2"/>
  <c r="J305" i="3"/>
  <c r="J306" i="3"/>
  <c r="O202" i="2" l="1"/>
  <c r="O162" i="2"/>
  <c r="BC139" i="2"/>
  <c r="BC156" i="2"/>
  <c r="BC140" i="2"/>
  <c r="BC200" i="2" s="1"/>
  <c r="BC143" i="2"/>
  <c r="BC203" i="2" s="1"/>
  <c r="BC146" i="2"/>
  <c r="BC206" i="2" s="1"/>
  <c r="BB63" i="2"/>
  <c r="BA241" i="2"/>
  <c r="AY129" i="2"/>
  <c r="AY134" i="2"/>
  <c r="AY43" i="2"/>
  <c r="AY158" i="2"/>
  <c r="AY130" i="2"/>
  <c r="AY259" i="2"/>
  <c r="AY261" i="2" s="1"/>
  <c r="AY279" i="2" s="1"/>
  <c r="AY195" i="2"/>
  <c r="P67" i="2"/>
  <c r="BB92" i="2"/>
  <c r="BF56" i="2"/>
  <c r="BF54" i="2"/>
  <c r="BA66" i="2"/>
  <c r="BA46" i="2"/>
  <c r="BA177" i="2"/>
  <c r="BA249" i="2"/>
  <c r="BA185" i="2"/>
  <c r="BA253" i="2"/>
  <c r="BA189" i="2"/>
  <c r="BA252" i="2"/>
  <c r="BA188" i="2"/>
  <c r="BA245" i="2"/>
  <c r="BA181" i="2"/>
  <c r="BA47" i="2"/>
  <c r="BI140" i="2"/>
  <c r="BI200" i="2" s="1"/>
  <c r="BI129" i="2"/>
  <c r="BI195" i="2"/>
  <c r="BI139" i="2"/>
  <c r="BI130" i="2"/>
  <c r="BI259" i="2"/>
  <c r="BI158" i="2"/>
  <c r="BI134" i="2"/>
  <c r="BI43" i="2"/>
  <c r="BG52" i="2"/>
  <c r="BH51" i="2"/>
  <c r="BH52" i="2" s="1"/>
  <c r="C20" i="3"/>
  <c r="BC145" i="2"/>
  <c r="BC142" i="2"/>
  <c r="BI156" i="2"/>
  <c r="BI149" i="2"/>
  <c r="BI209" i="2" s="1"/>
  <c r="BB66" i="2"/>
  <c r="BB180" i="2" s="1"/>
  <c r="BB173" i="2"/>
  <c r="AZ70" i="2"/>
  <c r="AZ244" i="2"/>
  <c r="AZ180" i="2"/>
  <c r="BB176" i="2"/>
  <c r="BB240" i="2"/>
  <c r="BH93" i="2"/>
  <c r="BH148" i="2" s="1"/>
  <c r="BH208" i="2" s="1"/>
  <c r="BI93" i="2"/>
  <c r="BI148" i="2" s="1"/>
  <c r="BI208" i="2" s="1"/>
  <c r="BB46" i="2"/>
  <c r="P63" i="2"/>
  <c r="D19" i="3"/>
  <c r="AX24" i="1"/>
  <c r="BI257" i="2"/>
  <c r="BI193" i="2"/>
  <c r="BI191" i="2"/>
  <c r="BI255" i="2"/>
  <c r="BB156" i="2"/>
  <c r="BB143" i="2"/>
  <c r="BB203" i="2" s="1"/>
  <c r="C78" i="3"/>
  <c r="BB177" i="2"/>
  <c r="BB140" i="2"/>
  <c r="BB200" i="2" s="1"/>
  <c r="BB142" i="2"/>
  <c r="BC221" i="2"/>
  <c r="BC157" i="2"/>
  <c r="AZ56" i="2"/>
  <c r="BB241" i="2"/>
  <c r="BB146" i="2"/>
  <c r="BB206" i="2" s="1"/>
  <c r="C77" i="3"/>
  <c r="BC93" i="2"/>
  <c r="BC148" i="2" s="1"/>
  <c r="BC208" i="2" s="1"/>
  <c r="BC161" i="2"/>
  <c r="BC199" i="2"/>
  <c r="BB149" i="2"/>
  <c r="BB209" i="2" s="1"/>
  <c r="BB145" i="2"/>
  <c r="BB205" i="2" s="1"/>
  <c r="BB139" i="2"/>
  <c r="BC257" i="2"/>
  <c r="BC193" i="2"/>
  <c r="BC84" i="2"/>
  <c r="BH181" i="2"/>
  <c r="AX28" i="1"/>
  <c r="BD25" i="1"/>
  <c r="BD30" i="1"/>
  <c r="AW30" i="1"/>
  <c r="AX25" i="1"/>
  <c r="AX30" i="1"/>
  <c r="BB249" i="2"/>
  <c r="BH66" i="2"/>
  <c r="BH176" i="2"/>
  <c r="BH134" i="2"/>
  <c r="BH139" i="2"/>
  <c r="BH158" i="2"/>
  <c r="BH130" i="2"/>
  <c r="BH195" i="2"/>
  <c r="BH129" i="2"/>
  <c r="BH140" i="2"/>
  <c r="BH200" i="2" s="1"/>
  <c r="BB185" i="2"/>
  <c r="BH156" i="2"/>
  <c r="BH149" i="2"/>
  <c r="BH209" i="2" s="1"/>
  <c r="BB245" i="2"/>
  <c r="BB181" i="2"/>
  <c r="BB47" i="2"/>
  <c r="BB253" i="2"/>
  <c r="BB189" i="2"/>
  <c r="BB30" i="2"/>
  <c r="BB35" i="2"/>
  <c r="BA52" i="2"/>
  <c r="BB52" i="2"/>
  <c r="BB93" i="2"/>
  <c r="BB148" i="2" s="1"/>
  <c r="BB208" i="2" s="1"/>
  <c r="BB252" i="2"/>
  <c r="BB188" i="2"/>
  <c r="O279" i="2"/>
  <c r="O191" i="2"/>
  <c r="O80" i="2"/>
  <c r="N193" i="2"/>
  <c r="N191" i="2"/>
  <c r="E202" i="3"/>
  <c r="D133" i="3"/>
  <c r="E144" i="3"/>
  <c r="AZ54" i="2"/>
  <c r="AZ53" i="2"/>
  <c r="BF70" i="2"/>
  <c r="BF76" i="2" s="1"/>
  <c r="BF190" i="2" s="1"/>
  <c r="D185" i="3"/>
  <c r="D187" i="3" s="1"/>
  <c r="D189" i="3" s="1"/>
  <c r="D191" i="3" s="1"/>
  <c r="D202" i="3"/>
  <c r="BG46" i="2"/>
  <c r="BG177" i="2"/>
  <c r="BG66" i="2"/>
  <c r="BL78" i="2"/>
  <c r="BL83" i="2" s="1"/>
  <c r="C191" i="3"/>
  <c r="D252" i="3"/>
  <c r="D249" i="3"/>
  <c r="D235" i="3"/>
  <c r="D273" i="3"/>
  <c r="C246" i="3"/>
  <c r="C256" i="3"/>
  <c r="D232" i="3"/>
  <c r="D281" i="3"/>
  <c r="D263" i="3"/>
  <c r="C242" i="3"/>
  <c r="BE76" i="2"/>
  <c r="BE30" i="2"/>
  <c r="BE35" i="2"/>
  <c r="AY248" i="2"/>
  <c r="AY76" i="2"/>
  <c r="AY78" i="2" s="1"/>
  <c r="AY184" i="2"/>
  <c r="AY30" i="2"/>
  <c r="AY35" i="2"/>
  <c r="C312" i="3"/>
  <c r="C300" i="3"/>
  <c r="J307" i="3"/>
  <c r="BB199" i="2" l="1"/>
  <c r="BB161" i="2"/>
  <c r="BB70" i="2"/>
  <c r="BB244" i="2"/>
  <c r="AY160" i="2"/>
  <c r="AY225" i="2" s="1"/>
  <c r="AY223" i="2"/>
  <c r="AY151" i="2"/>
  <c r="AY211" i="2" s="1"/>
  <c r="AY197" i="2"/>
  <c r="AZ76" i="2"/>
  <c r="AZ78" i="2" s="1"/>
  <c r="AZ184" i="2"/>
  <c r="AZ248" i="2"/>
  <c r="BA180" i="2"/>
  <c r="BA244" i="2"/>
  <c r="BA70" i="2"/>
  <c r="BB94" i="2" s="1"/>
  <c r="BC89" i="2"/>
  <c r="BH54" i="2"/>
  <c r="BH56" i="2"/>
  <c r="BI145" i="2"/>
  <c r="BI146" i="2"/>
  <c r="BI206" i="2" s="1"/>
  <c r="BI161" i="2"/>
  <c r="BI199" i="2"/>
  <c r="BI151" i="2"/>
  <c r="BI211" i="2" s="1"/>
  <c r="BI142" i="2"/>
  <c r="BI143" i="2"/>
  <c r="BI203" i="2" s="1"/>
  <c r="BI197" i="2"/>
  <c r="BI261" i="2"/>
  <c r="BI160" i="2"/>
  <c r="BI225" i="2" s="1"/>
  <c r="BI223" i="2"/>
  <c r="BH89" i="2"/>
  <c r="BG54" i="2"/>
  <c r="BG56" i="2"/>
  <c r="BI89" i="2"/>
  <c r="E17" i="3"/>
  <c r="E15" i="3"/>
  <c r="D20" i="3"/>
  <c r="E13" i="3"/>
  <c r="BC205" i="2"/>
  <c r="BC163" i="2"/>
  <c r="BC162" i="2"/>
  <c r="BC202" i="2"/>
  <c r="BI157" i="2"/>
  <c r="E75" i="3"/>
  <c r="J68" i="3"/>
  <c r="E73" i="3"/>
  <c r="BB221" i="2"/>
  <c r="BB157" i="2"/>
  <c r="BB202" i="2"/>
  <c r="BB162" i="2"/>
  <c r="BB163" i="2"/>
  <c r="E71" i="3"/>
  <c r="BC222" i="2"/>
  <c r="BC226" i="2"/>
  <c r="BC227" i="2"/>
  <c r="BB89" i="2"/>
  <c r="BH160" i="2"/>
  <c r="BH157" i="2"/>
  <c r="BH199" i="2"/>
  <c r="BH161" i="2"/>
  <c r="BH146" i="2"/>
  <c r="BH206" i="2" s="1"/>
  <c r="BH145" i="2"/>
  <c r="BH197" i="2"/>
  <c r="BH143" i="2"/>
  <c r="BH203" i="2" s="1"/>
  <c r="BH142" i="2"/>
  <c r="BH151" i="2"/>
  <c r="BH211" i="2" s="1"/>
  <c r="BH70" i="2"/>
  <c r="BH180" i="2"/>
  <c r="AY83" i="2"/>
  <c r="BA56" i="2"/>
  <c r="BA53" i="2"/>
  <c r="BA54" i="2"/>
  <c r="BB54" i="2"/>
  <c r="BB56" i="2"/>
  <c r="O193" i="2"/>
  <c r="BF184" i="2"/>
  <c r="BG70" i="2"/>
  <c r="BG180" i="2"/>
  <c r="BL80" i="2"/>
  <c r="BL81" i="2" s="1"/>
  <c r="D255" i="3"/>
  <c r="D238" i="3"/>
  <c r="D240" i="3" s="1"/>
  <c r="D242" i="3" s="1"/>
  <c r="BE190" i="2"/>
  <c r="BE78" i="2"/>
  <c r="BE83" i="2" s="1"/>
  <c r="C244" i="3"/>
  <c r="AY190" i="2"/>
  <c r="AY254" i="2"/>
  <c r="BB248" i="2" l="1"/>
  <c r="BB184" i="2"/>
  <c r="BB76" i="2"/>
  <c r="AZ254" i="2"/>
  <c r="AZ190" i="2"/>
  <c r="BA248" i="2"/>
  <c r="BA184" i="2"/>
  <c r="BC94" i="2"/>
  <c r="BA76" i="2"/>
  <c r="BI94" i="2"/>
  <c r="BI163" i="2"/>
  <c r="BI205" i="2"/>
  <c r="BI162" i="2"/>
  <c r="BI202" i="2"/>
  <c r="BI279" i="2"/>
  <c r="F17" i="3"/>
  <c r="F15" i="3"/>
  <c r="F13" i="3"/>
  <c r="BB222" i="2"/>
  <c r="BB227" i="2"/>
  <c r="BB226" i="2"/>
  <c r="BH94" i="2"/>
  <c r="BH205" i="2"/>
  <c r="BH163" i="2"/>
  <c r="BH76" i="2"/>
  <c r="BH184" i="2"/>
  <c r="BH202" i="2"/>
  <c r="BH162" i="2"/>
  <c r="BB254" i="2"/>
  <c r="BB190" i="2"/>
  <c r="AZ83" i="2"/>
  <c r="BA78" i="2"/>
  <c r="BG76" i="2"/>
  <c r="BG184" i="2"/>
  <c r="BF78" i="2"/>
  <c r="BG78" i="2" s="1"/>
  <c r="BH78" i="2" s="1"/>
  <c r="BH83" i="2" s="1"/>
  <c r="AZ80" i="2"/>
  <c r="AZ257" i="2" s="1"/>
  <c r="AZ255" i="2"/>
  <c r="AZ191" i="2"/>
  <c r="BE80" i="2"/>
  <c r="BE81" i="2" s="1"/>
  <c r="BE191" i="2"/>
  <c r="AY80" i="2"/>
  <c r="AY81" i="2" s="1"/>
  <c r="AY255" i="2"/>
  <c r="AY191" i="2"/>
  <c r="AT33" i="2"/>
  <c r="AT28" i="2"/>
  <c r="AT27" i="2"/>
  <c r="AT24" i="2"/>
  <c r="AT23" i="2"/>
  <c r="AT22" i="2"/>
  <c r="AT18" i="2"/>
  <c r="AT17" i="2"/>
  <c r="AT16" i="2"/>
  <c r="AT15" i="2"/>
  <c r="AT14" i="2"/>
  <c r="AT13" i="2"/>
  <c r="AT12" i="2"/>
  <c r="AT9" i="2"/>
  <c r="AT7" i="2"/>
  <c r="AS9" i="2"/>
  <c r="AS7" i="2"/>
  <c r="AF266" i="2"/>
  <c r="AE266" i="2"/>
  <c r="AD266" i="2"/>
  <c r="AB266" i="2"/>
  <c r="AA266" i="2"/>
  <c r="Z266" i="2"/>
  <c r="X266" i="2"/>
  <c r="W266" i="2"/>
  <c r="V266" i="2"/>
  <c r="T266" i="2"/>
  <c r="S266" i="2"/>
  <c r="R266" i="2"/>
  <c r="K266" i="2"/>
  <c r="G266" i="2"/>
  <c r="F266" i="2"/>
  <c r="E266" i="2"/>
  <c r="D266" i="2"/>
  <c r="C266" i="2"/>
  <c r="AX214" i="2"/>
  <c r="AX215" i="2"/>
  <c r="AW214" i="2"/>
  <c r="AW215" i="2"/>
  <c r="AV214" i="2"/>
  <c r="AV215" i="2"/>
  <c r="AU214" i="2"/>
  <c r="AU215" i="2"/>
  <c r="L214" i="2"/>
  <c r="L251" i="2" s="1"/>
  <c r="L215" i="2"/>
  <c r="L217" i="2" s="1"/>
  <c r="L102" i="2"/>
  <c r="L108" i="2" s="1"/>
  <c r="M102" i="2"/>
  <c r="L101" i="2"/>
  <c r="L107" i="2" s="1"/>
  <c r="M101" i="2"/>
  <c r="L75" i="2"/>
  <c r="L189" i="2" s="1"/>
  <c r="L74" i="2"/>
  <c r="L188" i="2" s="1"/>
  <c r="L71" i="2"/>
  <c r="L185" i="2" s="1"/>
  <c r="L67" i="2"/>
  <c r="L93" i="2" s="1"/>
  <c r="L63" i="2"/>
  <c r="L177" i="2" s="1"/>
  <c r="M74" i="2"/>
  <c r="M71" i="2"/>
  <c r="M67" i="2"/>
  <c r="M63" i="2"/>
  <c r="L51" i="2"/>
  <c r="M51" i="2"/>
  <c r="M230" i="2"/>
  <c r="M219" i="2"/>
  <c r="M192" i="2"/>
  <c r="M187" i="2"/>
  <c r="M186" i="2"/>
  <c r="M183" i="2"/>
  <c r="M182" i="2"/>
  <c r="M179" i="2"/>
  <c r="M178" i="2"/>
  <c r="M172" i="2"/>
  <c r="M169" i="2"/>
  <c r="M166" i="2"/>
  <c r="M154" i="2"/>
  <c r="M137" i="2"/>
  <c r="M127" i="2"/>
  <c r="M42" i="2" s="1"/>
  <c r="M118" i="2"/>
  <c r="M106" i="2"/>
  <c r="M96" i="2"/>
  <c r="M91" i="2"/>
  <c r="M90" i="2"/>
  <c r="M156" i="2" s="1"/>
  <c r="M87" i="2"/>
  <c r="M155" i="2" s="1"/>
  <c r="M86" i="2"/>
  <c r="M62" i="2"/>
  <c r="M176" i="2" s="1"/>
  <c r="M61" i="2"/>
  <c r="M59" i="2"/>
  <c r="M174" i="2" s="1"/>
  <c r="M58" i="2"/>
  <c r="M173" i="2" s="1"/>
  <c r="M49" i="2"/>
  <c r="M41" i="2"/>
  <c r="M40" i="2"/>
  <c r="M39" i="2"/>
  <c r="M38" i="2"/>
  <c r="M10" i="2"/>
  <c r="M19" i="2" s="1"/>
  <c r="M20" i="2" s="1"/>
  <c r="M8" i="2"/>
  <c r="M170" i="2" s="1"/>
  <c r="L230" i="2"/>
  <c r="L219" i="2"/>
  <c r="L192" i="2"/>
  <c r="L187" i="2"/>
  <c r="L186" i="2"/>
  <c r="L183" i="2"/>
  <c r="L182" i="2"/>
  <c r="L179" i="2"/>
  <c r="L178" i="2"/>
  <c r="L172" i="2"/>
  <c r="N173" i="2" s="1"/>
  <c r="L169" i="2"/>
  <c r="N170" i="2" s="1"/>
  <c r="L166" i="2"/>
  <c r="L154" i="2"/>
  <c r="L137" i="2"/>
  <c r="L127" i="2"/>
  <c r="L42" i="2" s="1"/>
  <c r="L118" i="2"/>
  <c r="L106" i="2"/>
  <c r="L96" i="2"/>
  <c r="L91" i="2"/>
  <c r="L90" i="2"/>
  <c r="L156" i="2" s="1"/>
  <c r="L87" i="2"/>
  <c r="L155" i="2" s="1"/>
  <c r="L86" i="2"/>
  <c r="L62" i="2"/>
  <c r="L176" i="2" s="1"/>
  <c r="L61" i="2"/>
  <c r="L59" i="2"/>
  <c r="L174" i="2" s="1"/>
  <c r="L58" i="2"/>
  <c r="L173" i="2" s="1"/>
  <c r="L49" i="2"/>
  <c r="L41" i="2"/>
  <c r="L40" i="2"/>
  <c r="L39" i="2"/>
  <c r="L38" i="2"/>
  <c r="L10" i="2"/>
  <c r="L19" i="2" s="1"/>
  <c r="L50" i="2" s="1"/>
  <c r="L8" i="2"/>
  <c r="L170" i="2" s="1"/>
  <c r="AX230" i="2"/>
  <c r="AX219" i="2"/>
  <c r="AX166" i="2"/>
  <c r="AX154" i="2"/>
  <c r="AX137" i="2"/>
  <c r="AX96" i="2"/>
  <c r="AX86" i="2"/>
  <c r="AX61" i="2"/>
  <c r="AX49" i="2"/>
  <c r="C364" i="3"/>
  <c r="C363" i="3"/>
  <c r="C353" i="3"/>
  <c r="C351" i="3"/>
  <c r="C349" i="3"/>
  <c r="C347" i="3"/>
  <c r="C344" i="3"/>
  <c r="C391" i="3"/>
  <c r="C383" i="3"/>
  <c r="D382" i="3"/>
  <c r="C373" i="3"/>
  <c r="C359" i="3"/>
  <c r="C407" i="3"/>
  <c r="C405" i="3"/>
  <c r="C403" i="3"/>
  <c r="C401" i="3"/>
  <c r="C398" i="3"/>
  <c r="AS44" i="1"/>
  <c r="AS38" i="1"/>
  <c r="AR8" i="2"/>
  <c r="AU58" i="2"/>
  <c r="AV8" i="2"/>
  <c r="AW112" i="2"/>
  <c r="BG112" i="2" s="1"/>
  <c r="BG122" i="2" s="1"/>
  <c r="AW111" i="2"/>
  <c r="BG111" i="2" s="1"/>
  <c r="AW102" i="2"/>
  <c r="BG102" i="2" s="1"/>
  <c r="BG108" i="2" s="1"/>
  <c r="AW101" i="2"/>
  <c r="BG101" i="2" s="1"/>
  <c r="AR230" i="2"/>
  <c r="AR219" i="2"/>
  <c r="AR215" i="2"/>
  <c r="AR217" i="2" s="1"/>
  <c r="AR169" i="2"/>
  <c r="AR166" i="2"/>
  <c r="AR154" i="2"/>
  <c r="AR137" i="2"/>
  <c r="AR127" i="2"/>
  <c r="AR118" i="2"/>
  <c r="AR112" i="2"/>
  <c r="AR122" i="2" s="1"/>
  <c r="AR111" i="2"/>
  <c r="AR121" i="2" s="1"/>
  <c r="AR106" i="2"/>
  <c r="AR102" i="2"/>
  <c r="AR108" i="2" s="1"/>
  <c r="AR101" i="2"/>
  <c r="AR107" i="2" s="1"/>
  <c r="AR96" i="2"/>
  <c r="AR86" i="2"/>
  <c r="AR72" i="2"/>
  <c r="AT72" i="2" s="1"/>
  <c r="AR61" i="2"/>
  <c r="AR49" i="2"/>
  <c r="AR41" i="2"/>
  <c r="AR40" i="2"/>
  <c r="AR39" i="2"/>
  <c r="AR38" i="2"/>
  <c r="AR10" i="2"/>
  <c r="AR11" i="2" s="1"/>
  <c r="AW230" i="2"/>
  <c r="AW219" i="2"/>
  <c r="AW169" i="2"/>
  <c r="AW166" i="2"/>
  <c r="AW154" i="2"/>
  <c r="AW137" i="2"/>
  <c r="AW127" i="2"/>
  <c r="AW118" i="2"/>
  <c r="AW106" i="2"/>
  <c r="AW96" i="2"/>
  <c r="AW86" i="2"/>
  <c r="AW61" i="2"/>
  <c r="AW49" i="2"/>
  <c r="AW41" i="2"/>
  <c r="AW40" i="2"/>
  <c r="AW39" i="2"/>
  <c r="AW38" i="2"/>
  <c r="AW10" i="2"/>
  <c r="AW11" i="2" s="1"/>
  <c r="BA190" i="2" l="1"/>
  <c r="BA254" i="2"/>
  <c r="L264" i="2"/>
  <c r="AW170" i="2"/>
  <c r="BE214" i="2"/>
  <c r="N214" i="2"/>
  <c r="BG215" i="2"/>
  <c r="AW217" i="2"/>
  <c r="BG170" i="2"/>
  <c r="N215" i="2"/>
  <c r="BH215" i="2"/>
  <c r="BH217" i="2" s="1"/>
  <c r="AX217" i="2"/>
  <c r="BF215" i="2"/>
  <c r="AV217" i="2"/>
  <c r="BH214" i="2"/>
  <c r="BE215" i="2"/>
  <c r="AU217" i="2"/>
  <c r="BB78" i="2"/>
  <c r="P78" i="2" s="1"/>
  <c r="BF87" i="2"/>
  <c r="BF155" i="2" s="1"/>
  <c r="BG87" i="2"/>
  <c r="BH8" i="2"/>
  <c r="BG83" i="2"/>
  <c r="BH243" i="2"/>
  <c r="BH190" i="2"/>
  <c r="BA83" i="2"/>
  <c r="BG214" i="2"/>
  <c r="BG253" i="2" s="1"/>
  <c r="BA191" i="2"/>
  <c r="BA255" i="2"/>
  <c r="BA216" i="2"/>
  <c r="P216" i="2"/>
  <c r="J61" i="3" s="1"/>
  <c r="D78" i="3" s="1"/>
  <c r="BA80" i="2"/>
  <c r="BA193" i="2" s="1"/>
  <c r="BG107" i="2"/>
  <c r="BG103" i="2"/>
  <c r="AW42" i="2"/>
  <c r="BG121" i="2"/>
  <c r="BG123" i="2" s="1"/>
  <c r="BG113" i="2"/>
  <c r="BG80" i="2"/>
  <c r="BG190" i="2"/>
  <c r="AZ216" i="2"/>
  <c r="J176" i="3" s="1"/>
  <c r="AZ81" i="2"/>
  <c r="AY216" i="2"/>
  <c r="BF214" i="2"/>
  <c r="AZ193" i="2"/>
  <c r="BF83" i="2"/>
  <c r="BF80" i="2"/>
  <c r="BF191" i="2"/>
  <c r="BE193" i="2"/>
  <c r="J340" i="3"/>
  <c r="D381" i="3" s="1"/>
  <c r="AV87" i="2"/>
  <c r="BE87" i="2"/>
  <c r="AT87" i="2"/>
  <c r="AW87" i="2"/>
  <c r="AW155" i="2" s="1"/>
  <c r="AX8" i="2"/>
  <c r="AR264" i="2"/>
  <c r="AW264" i="2"/>
  <c r="M177" i="2"/>
  <c r="AX216" i="2"/>
  <c r="M47" i="2"/>
  <c r="AU87" i="2"/>
  <c r="AS87" i="2"/>
  <c r="M188" i="2"/>
  <c r="M185" i="2"/>
  <c r="J394" i="3"/>
  <c r="AY84" i="2"/>
  <c r="AY257" i="2"/>
  <c r="AY193" i="2"/>
  <c r="L266" i="2"/>
  <c r="AU266" i="2"/>
  <c r="AX266" i="2"/>
  <c r="M107" i="2"/>
  <c r="AX101" i="2"/>
  <c r="J393" i="3"/>
  <c r="D403" i="3" s="1"/>
  <c r="AV266" i="2"/>
  <c r="M108" i="2"/>
  <c r="AX102" i="2"/>
  <c r="BH108" i="2" s="1"/>
  <c r="AY104" i="2"/>
  <c r="AW266" i="2"/>
  <c r="AR266" i="2"/>
  <c r="C343" i="3"/>
  <c r="C342" i="3" s="1"/>
  <c r="AW121" i="2"/>
  <c r="C346" i="3"/>
  <c r="C345" i="3" s="1"/>
  <c r="AW122" i="2"/>
  <c r="J285" i="3"/>
  <c r="J339" i="3"/>
  <c r="D378" i="3" s="1"/>
  <c r="AW260" i="2"/>
  <c r="L260" i="2"/>
  <c r="M215" i="2"/>
  <c r="M50" i="2"/>
  <c r="M52" i="2" s="1"/>
  <c r="N53" i="2" s="1"/>
  <c r="M214" i="2"/>
  <c r="M251" i="2" s="1"/>
  <c r="L181" i="2"/>
  <c r="M93" i="2"/>
  <c r="M148" i="2" s="1"/>
  <c r="M208" i="2" s="1"/>
  <c r="M113" i="2"/>
  <c r="L148" i="2"/>
  <c r="L208" i="2" s="1"/>
  <c r="M189" i="2"/>
  <c r="AR113" i="2"/>
  <c r="M181" i="2"/>
  <c r="L123" i="2"/>
  <c r="M159" i="2"/>
  <c r="M11" i="2"/>
  <c r="M157" i="2"/>
  <c r="M123" i="2"/>
  <c r="M139" i="2" s="1"/>
  <c r="M196" i="2"/>
  <c r="AX127" i="2"/>
  <c r="AX42" i="2" s="1"/>
  <c r="M26" i="2"/>
  <c r="M88" i="2"/>
  <c r="M66" i="2"/>
  <c r="M103" i="2"/>
  <c r="M104" i="2" s="1"/>
  <c r="M149" i="2"/>
  <c r="M209" i="2" s="1"/>
  <c r="L159" i="2"/>
  <c r="L224" i="2" s="1"/>
  <c r="M46" i="2"/>
  <c r="L240" i="2"/>
  <c r="L216" i="2"/>
  <c r="L220" i="2"/>
  <c r="L113" i="2"/>
  <c r="L246" i="2"/>
  <c r="L252" i="2"/>
  <c r="L196" i="2"/>
  <c r="L256" i="2"/>
  <c r="L20" i="2"/>
  <c r="L88" i="2"/>
  <c r="L26" i="2"/>
  <c r="L52" i="2"/>
  <c r="L221" i="2"/>
  <c r="L157" i="2"/>
  <c r="AX118" i="2"/>
  <c r="AX264" i="2" s="1"/>
  <c r="L236" i="2"/>
  <c r="L245" i="2"/>
  <c r="L253" i="2"/>
  <c r="L66" i="2"/>
  <c r="L103" i="2"/>
  <c r="L104" i="2" s="1"/>
  <c r="L149" i="2"/>
  <c r="L209" i="2" s="1"/>
  <c r="L247" i="2"/>
  <c r="L11" i="2"/>
  <c r="L46" i="2"/>
  <c r="L241" i="2"/>
  <c r="L249" i="2"/>
  <c r="L47" i="2"/>
  <c r="L242" i="2"/>
  <c r="L250" i="2"/>
  <c r="L233" i="2"/>
  <c r="L243" i="2"/>
  <c r="AX106" i="2"/>
  <c r="AW107" i="2"/>
  <c r="AW108" i="2"/>
  <c r="AX41" i="2"/>
  <c r="AR123" i="2"/>
  <c r="AR129" i="2" s="1"/>
  <c r="AT10" i="2"/>
  <c r="AR103" i="2"/>
  <c r="AR260" i="2"/>
  <c r="C374" i="3"/>
  <c r="C392" i="3"/>
  <c r="C362" i="3"/>
  <c r="AR19" i="2"/>
  <c r="AW113" i="2"/>
  <c r="AR159" i="2"/>
  <c r="AR224" i="2" s="1"/>
  <c r="AW159" i="2"/>
  <c r="AW224" i="2" s="1"/>
  <c r="AR186" i="2"/>
  <c r="AR196" i="2"/>
  <c r="AW19" i="2"/>
  <c r="AW103" i="2"/>
  <c r="AW196" i="2"/>
  <c r="AR43" i="1"/>
  <c r="AR42" i="1"/>
  <c r="AR41" i="1"/>
  <c r="AR37" i="1"/>
  <c r="AR36" i="1"/>
  <c r="AR35" i="1"/>
  <c r="BE247" i="2" l="1"/>
  <c r="BE257" i="2"/>
  <c r="BE236" i="2"/>
  <c r="BI237" i="2" s="1"/>
  <c r="BE241" i="2"/>
  <c r="BE253" i="2"/>
  <c r="BE249" i="2"/>
  <c r="BE256" i="2"/>
  <c r="BE246" i="2"/>
  <c r="BE252" i="2"/>
  <c r="BE245" i="2"/>
  <c r="BE242" i="2"/>
  <c r="BE243" i="2"/>
  <c r="BE240" i="2"/>
  <c r="BE250" i="2"/>
  <c r="BE251" i="2"/>
  <c r="BE233" i="2"/>
  <c r="BI234" i="2" s="1"/>
  <c r="BE244" i="2"/>
  <c r="BE248" i="2"/>
  <c r="BE254" i="2"/>
  <c r="BG217" i="2"/>
  <c r="BG266" i="2"/>
  <c r="BG260" i="2"/>
  <c r="BG264" i="2"/>
  <c r="BG224" i="2"/>
  <c r="BE266" i="2"/>
  <c r="BE264" i="2"/>
  <c r="BH251" i="2"/>
  <c r="BH246" i="2"/>
  <c r="BH247" i="2"/>
  <c r="BH249" i="2"/>
  <c r="BH253" i="2"/>
  <c r="BH245" i="2"/>
  <c r="BH241" i="2"/>
  <c r="BH236" i="2"/>
  <c r="BB237" i="2" s="1"/>
  <c r="BF217" i="2"/>
  <c r="BF260" i="2"/>
  <c r="BF266" i="2"/>
  <c r="BF264" i="2"/>
  <c r="BF224" i="2"/>
  <c r="BE217" i="2"/>
  <c r="BE224" i="2"/>
  <c r="J230" i="3"/>
  <c r="BI216" i="2"/>
  <c r="BH224" i="2"/>
  <c r="BH260" i="2"/>
  <c r="BH266" i="2"/>
  <c r="BH225" i="2"/>
  <c r="BE260" i="2"/>
  <c r="BH254" i="2"/>
  <c r="BH242" i="2"/>
  <c r="M266" i="2"/>
  <c r="M217" i="2"/>
  <c r="N217" i="2"/>
  <c r="N225" i="2"/>
  <c r="N259" i="2"/>
  <c r="N223" i="2"/>
  <c r="N260" i="2"/>
  <c r="N266" i="2"/>
  <c r="N264" i="2"/>
  <c r="N224" i="2"/>
  <c r="F73" i="3"/>
  <c r="F71" i="3"/>
  <c r="F75" i="3"/>
  <c r="BH233" i="2"/>
  <c r="BH248" i="2"/>
  <c r="BG245" i="2"/>
  <c r="BH244" i="2"/>
  <c r="BH250" i="2"/>
  <c r="BH223" i="2"/>
  <c r="BG246" i="2"/>
  <c r="BH240" i="2"/>
  <c r="BH256" i="2"/>
  <c r="BH259" i="2"/>
  <c r="AY234" i="2"/>
  <c r="AY237" i="2"/>
  <c r="BH252" i="2"/>
  <c r="BH264" i="2"/>
  <c r="BE255" i="2"/>
  <c r="BH216" i="2"/>
  <c r="BH107" i="2"/>
  <c r="BH103" i="2"/>
  <c r="BH104" i="2" s="1"/>
  <c r="BG252" i="2"/>
  <c r="BG242" i="2"/>
  <c r="BG248" i="2"/>
  <c r="BG243" i="2"/>
  <c r="BG249" i="2"/>
  <c r="BG250" i="2"/>
  <c r="BG247" i="2"/>
  <c r="BG256" i="2"/>
  <c r="BG240" i="2"/>
  <c r="BG233" i="2"/>
  <c r="BG236" i="2"/>
  <c r="BG238" i="2" s="1"/>
  <c r="J286" i="3"/>
  <c r="BG254" i="2"/>
  <c r="BG244" i="2"/>
  <c r="BG251" i="2"/>
  <c r="BH255" i="2"/>
  <c r="BH191" i="2"/>
  <c r="BG241" i="2"/>
  <c r="BH80" i="2"/>
  <c r="BH81" i="2" s="1"/>
  <c r="BB255" i="2"/>
  <c r="BB191" i="2"/>
  <c r="BB80" i="2"/>
  <c r="BB81" i="2" s="1"/>
  <c r="O253" i="2"/>
  <c r="O236" i="2"/>
  <c r="O251" i="2"/>
  <c r="O243" i="2"/>
  <c r="O233" i="2"/>
  <c r="O250" i="2"/>
  <c r="O242" i="2"/>
  <c r="O247" i="2"/>
  <c r="O256" i="2"/>
  <c r="O216" i="2"/>
  <c r="O246" i="2"/>
  <c r="O241" i="2"/>
  <c r="O220" i="2"/>
  <c r="O245" i="2"/>
  <c r="O240" i="2"/>
  <c r="O252" i="2"/>
  <c r="O249" i="2"/>
  <c r="O221" i="2"/>
  <c r="O244" i="2"/>
  <c r="O248" i="2"/>
  <c r="O254" i="2"/>
  <c r="O255" i="2"/>
  <c r="O257" i="2"/>
  <c r="BA257" i="2"/>
  <c r="BA81" i="2"/>
  <c r="N253" i="2"/>
  <c r="N236" i="2"/>
  <c r="N237" i="2" s="1"/>
  <c r="N241" i="2"/>
  <c r="N251" i="2"/>
  <c r="N243" i="2"/>
  <c r="N233" i="2"/>
  <c r="N234" i="2" s="1"/>
  <c r="N249" i="2"/>
  <c r="N250" i="2"/>
  <c r="N242" i="2"/>
  <c r="N256" i="2"/>
  <c r="N216" i="2"/>
  <c r="N247" i="2"/>
  <c r="N246" i="2"/>
  <c r="N240" i="2"/>
  <c r="N252" i="2"/>
  <c r="N245" i="2"/>
  <c r="N221" i="2"/>
  <c r="N220" i="2"/>
  <c r="N244" i="2"/>
  <c r="N248" i="2"/>
  <c r="N254" i="2"/>
  <c r="N257" i="2"/>
  <c r="N255" i="2"/>
  <c r="BA220" i="2"/>
  <c r="J118" i="3"/>
  <c r="BG81" i="2"/>
  <c r="AZ220" i="2"/>
  <c r="BG257" i="2"/>
  <c r="BG193" i="2"/>
  <c r="BG255" i="2"/>
  <c r="BG191" i="2"/>
  <c r="BG134" i="2"/>
  <c r="BG158" i="2"/>
  <c r="BG130" i="2"/>
  <c r="BG259" i="2"/>
  <c r="BG195" i="2"/>
  <c r="BG129" i="2"/>
  <c r="BF81" i="2"/>
  <c r="BF257" i="2"/>
  <c r="BF193" i="2"/>
  <c r="AZ84" i="2"/>
  <c r="BE238" i="2"/>
  <c r="AR50" i="2"/>
  <c r="BF252" i="2"/>
  <c r="BF256" i="2"/>
  <c r="BF247" i="2"/>
  <c r="BF250" i="2"/>
  <c r="BF241" i="2"/>
  <c r="BF243" i="2"/>
  <c r="BF251" i="2"/>
  <c r="BF246" i="2"/>
  <c r="BF242" i="2"/>
  <c r="BF233" i="2"/>
  <c r="BF236" i="2"/>
  <c r="BF240" i="2"/>
  <c r="BF253" i="2"/>
  <c r="BF244" i="2"/>
  <c r="BF249" i="2"/>
  <c r="BF245" i="2"/>
  <c r="BF254" i="2"/>
  <c r="BF248" i="2"/>
  <c r="BF255" i="2"/>
  <c r="D389" i="3"/>
  <c r="M129" i="2"/>
  <c r="M259" i="2"/>
  <c r="D405" i="3"/>
  <c r="M264" i="2"/>
  <c r="AX260" i="2"/>
  <c r="AR47" i="1"/>
  <c r="AR48" i="1"/>
  <c r="AR49" i="1"/>
  <c r="AR53" i="1"/>
  <c r="AR54" i="1"/>
  <c r="AR55" i="1"/>
  <c r="BE155" i="2"/>
  <c r="D380" i="3"/>
  <c r="D361" i="3"/>
  <c r="D388" i="3"/>
  <c r="D351" i="3"/>
  <c r="D371" i="3"/>
  <c r="D379" i="3"/>
  <c r="D390" i="3"/>
  <c r="D370" i="3"/>
  <c r="D363" i="3"/>
  <c r="D364" i="3"/>
  <c r="D387" i="3"/>
  <c r="D372" i="3"/>
  <c r="D346" i="3"/>
  <c r="D347" i="3"/>
  <c r="D344" i="3"/>
  <c r="D360" i="3"/>
  <c r="D377" i="3"/>
  <c r="D369" i="3"/>
  <c r="D343" i="3"/>
  <c r="AW50" i="2"/>
  <c r="L140" i="2"/>
  <c r="L200" i="2" s="1"/>
  <c r="L129" i="2"/>
  <c r="D325" i="3"/>
  <c r="D295" i="3"/>
  <c r="D326" i="3"/>
  <c r="D315" i="3"/>
  <c r="D323" i="3"/>
  <c r="D335" i="3"/>
  <c r="D316" i="3"/>
  <c r="D333" i="3"/>
  <c r="D328" i="3"/>
  <c r="D317" i="3"/>
  <c r="D307" i="3"/>
  <c r="D327" i="3"/>
  <c r="D334" i="3"/>
  <c r="D290" i="3"/>
  <c r="D309" i="3"/>
  <c r="D306" i="3"/>
  <c r="D293" i="3"/>
  <c r="D318" i="3"/>
  <c r="D336" i="3"/>
  <c r="D310" i="3"/>
  <c r="D292" i="3"/>
  <c r="D324" i="3"/>
  <c r="D297" i="3"/>
  <c r="D289" i="3"/>
  <c r="P266" i="2"/>
  <c r="AY155" i="2"/>
  <c r="D349" i="3"/>
  <c r="M216" i="2"/>
  <c r="M260" i="2"/>
  <c r="M247" i="2"/>
  <c r="AX196" i="2"/>
  <c r="M233" i="2"/>
  <c r="M234" i="2" s="1"/>
  <c r="M250" i="2"/>
  <c r="M242" i="2"/>
  <c r="M252" i="2"/>
  <c r="M241" i="2"/>
  <c r="M246" i="2"/>
  <c r="M224" i="2"/>
  <c r="M245" i="2"/>
  <c r="M220" i="2"/>
  <c r="AX159" i="2"/>
  <c r="AX224" i="2" s="1"/>
  <c r="M256" i="2"/>
  <c r="M236" i="2"/>
  <c r="M237" i="2" s="1"/>
  <c r="M253" i="2"/>
  <c r="M243" i="2"/>
  <c r="M240" i="2"/>
  <c r="M221" i="2"/>
  <c r="M249" i="2"/>
  <c r="L259" i="2"/>
  <c r="L195" i="2"/>
  <c r="L139" i="2"/>
  <c r="L199" i="2" s="1"/>
  <c r="L130" i="2"/>
  <c r="L142" i="2" s="1"/>
  <c r="L43" i="2"/>
  <c r="L158" i="2"/>
  <c r="L160" i="2" s="1"/>
  <c r="L225" i="2" s="1"/>
  <c r="L227" i="2" s="1"/>
  <c r="L134" i="2"/>
  <c r="M44" i="2"/>
  <c r="M29" i="2"/>
  <c r="C348" i="3"/>
  <c r="C350" i="3" s="1"/>
  <c r="L222" i="2"/>
  <c r="M89" i="2"/>
  <c r="M56" i="2"/>
  <c r="M54" i="2"/>
  <c r="M53" i="2"/>
  <c r="AX38" i="2"/>
  <c r="M70" i="2"/>
  <c r="M180" i="2"/>
  <c r="M244" i="2"/>
  <c r="M195" i="2"/>
  <c r="M140" i="2"/>
  <c r="M200" i="2" s="1"/>
  <c r="M134" i="2"/>
  <c r="M43" i="2"/>
  <c r="M158" i="2"/>
  <c r="M130" i="2"/>
  <c r="AW123" i="2"/>
  <c r="AW134" i="2" s="1"/>
  <c r="AX40" i="2"/>
  <c r="AX155" i="2"/>
  <c r="L54" i="2"/>
  <c r="L56" i="2"/>
  <c r="L89" i="2"/>
  <c r="AX39" i="2"/>
  <c r="L238" i="2"/>
  <c r="L44" i="2"/>
  <c r="L29" i="2"/>
  <c r="L70" i="2"/>
  <c r="L180" i="2"/>
  <c r="L244" i="2"/>
  <c r="AX233" i="2"/>
  <c r="AX169" i="2"/>
  <c r="AX10" i="2"/>
  <c r="AR158" i="2"/>
  <c r="AR160" i="2" s="1"/>
  <c r="AR225" i="2" s="1"/>
  <c r="AR134" i="2"/>
  <c r="AR130" i="2"/>
  <c r="AR197" i="2" s="1"/>
  <c r="AR195" i="2"/>
  <c r="AR259" i="2"/>
  <c r="C365" i="3"/>
  <c r="AR26" i="2"/>
  <c r="AR44" i="2" s="1"/>
  <c r="AR20" i="2"/>
  <c r="AW26" i="2"/>
  <c r="AW20" i="2"/>
  <c r="AW104" i="2"/>
  <c r="AP77" i="2"/>
  <c r="AV79" i="2"/>
  <c r="AV77" i="2"/>
  <c r="AV75" i="2"/>
  <c r="AV72" i="2"/>
  <c r="BI221" i="2" l="1"/>
  <c r="BI220" i="2"/>
  <c r="BH261" i="2"/>
  <c r="O234" i="2"/>
  <c r="N261" i="2"/>
  <c r="BB234" i="2"/>
  <c r="BA234" i="2"/>
  <c r="BA237" i="2"/>
  <c r="O237" i="2"/>
  <c r="AZ237" i="2"/>
  <c r="BH238" i="2"/>
  <c r="AZ234" i="2"/>
  <c r="M143" i="2"/>
  <c r="M203" i="2" s="1"/>
  <c r="M142" i="2"/>
  <c r="BH257" i="2"/>
  <c r="BH193" i="2"/>
  <c r="BH220" i="2"/>
  <c r="BH221" i="2"/>
  <c r="BH279" i="2"/>
  <c r="BB84" i="2"/>
  <c r="BA84" i="2"/>
  <c r="BB257" i="2"/>
  <c r="BB193" i="2"/>
  <c r="O222" i="2"/>
  <c r="O227" i="2"/>
  <c r="O226" i="2"/>
  <c r="O238" i="2"/>
  <c r="N222" i="2"/>
  <c r="N227" i="2"/>
  <c r="N226" i="2"/>
  <c r="N238" i="2"/>
  <c r="BG197" i="2"/>
  <c r="BG151" i="2"/>
  <c r="BG211" i="2" s="1"/>
  <c r="BG223" i="2"/>
  <c r="BG160" i="2"/>
  <c r="BG225" i="2" s="1"/>
  <c r="BG261" i="2"/>
  <c r="D362" i="3"/>
  <c r="BF238" i="2"/>
  <c r="AR261" i="2"/>
  <c r="D383" i="3"/>
  <c r="D345" i="3"/>
  <c r="L145" i="2"/>
  <c r="L205" i="2" s="1"/>
  <c r="D359" i="3"/>
  <c r="D373" i="3"/>
  <c r="D342" i="3"/>
  <c r="D391" i="3"/>
  <c r="D288" i="3"/>
  <c r="D291" i="3"/>
  <c r="AW75" i="2"/>
  <c r="AW77" i="2"/>
  <c r="D308" i="3"/>
  <c r="AW79" i="2"/>
  <c r="D337" i="3"/>
  <c r="D319" i="3"/>
  <c r="D305" i="3"/>
  <c r="M222" i="2"/>
  <c r="D329" i="3"/>
  <c r="L261" i="2"/>
  <c r="AW158" i="2"/>
  <c r="AW223" i="2" s="1"/>
  <c r="M238" i="2"/>
  <c r="L161" i="2"/>
  <c r="L143" i="2"/>
  <c r="L203" i="2" s="1"/>
  <c r="L146" i="2"/>
  <c r="L206" i="2" s="1"/>
  <c r="L223" i="2"/>
  <c r="L226" i="2" s="1"/>
  <c r="L197" i="2"/>
  <c r="L151" i="2"/>
  <c r="L211" i="2" s="1"/>
  <c r="AW130" i="2"/>
  <c r="AW197" i="2" s="1"/>
  <c r="C356" i="3"/>
  <c r="AW195" i="2"/>
  <c r="AW43" i="2"/>
  <c r="AW129" i="2"/>
  <c r="M261" i="2"/>
  <c r="M146" i="2"/>
  <c r="M206" i="2" s="1"/>
  <c r="M145" i="2"/>
  <c r="M160" i="2"/>
  <c r="M225" i="2" s="1"/>
  <c r="M227" i="2" s="1"/>
  <c r="M223" i="2"/>
  <c r="M226" i="2" s="1"/>
  <c r="M94" i="2"/>
  <c r="M184" i="2"/>
  <c r="M248" i="2"/>
  <c r="M76" i="2"/>
  <c r="M78" i="2" s="1"/>
  <c r="AW259" i="2"/>
  <c r="M161" i="2"/>
  <c r="M199" i="2"/>
  <c r="M92" i="2"/>
  <c r="M32" i="2"/>
  <c r="AX32" i="2" s="1"/>
  <c r="M30" i="2"/>
  <c r="M151" i="2"/>
  <c r="M211" i="2" s="1"/>
  <c r="M197" i="2"/>
  <c r="L94" i="2"/>
  <c r="L184" i="2"/>
  <c r="L248" i="2"/>
  <c r="L76" i="2"/>
  <c r="L78" i="2" s="1"/>
  <c r="L92" i="2"/>
  <c r="L32" i="2"/>
  <c r="L30" i="2"/>
  <c r="L162" i="2"/>
  <c r="L202" i="2"/>
  <c r="AX19" i="2"/>
  <c r="AX11" i="2"/>
  <c r="AW72" i="2"/>
  <c r="AR151" i="2"/>
  <c r="AR211" i="2" s="1"/>
  <c r="AR223" i="2"/>
  <c r="AR77" i="2"/>
  <c r="AT77" i="2" s="1"/>
  <c r="J360" i="3"/>
  <c r="C384" i="3"/>
  <c r="C352" i="3"/>
  <c r="C366" i="3"/>
  <c r="J359" i="3"/>
  <c r="AR29" i="2"/>
  <c r="AW44" i="2"/>
  <c r="AW29" i="2"/>
  <c r="C418" i="3"/>
  <c r="C417" i="3"/>
  <c r="D435" i="3"/>
  <c r="C445" i="3"/>
  <c r="C437" i="3"/>
  <c r="D436" i="3"/>
  <c r="C427" i="3"/>
  <c r="C413" i="3"/>
  <c r="AR9" i="1"/>
  <c r="AR10" i="1"/>
  <c r="AS10" i="1" s="1"/>
  <c r="AP57" i="2"/>
  <c r="BF58" i="2" s="1"/>
  <c r="AR23" i="1"/>
  <c r="AR22" i="1"/>
  <c r="AP102" i="2"/>
  <c r="AP108" i="2" s="1"/>
  <c r="AP101" i="2"/>
  <c r="AP107" i="2" s="1"/>
  <c r="AP79" i="2"/>
  <c r="AP75" i="2"/>
  <c r="AP73" i="2"/>
  <c r="AP69" i="2"/>
  <c r="AP68" i="2"/>
  <c r="AP65" i="2"/>
  <c r="AP64" i="2"/>
  <c r="AP230" i="2"/>
  <c r="AP219" i="2"/>
  <c r="AP215" i="2"/>
  <c r="AP214" i="2"/>
  <c r="AP186" i="2"/>
  <c r="AP169" i="2"/>
  <c r="AP166" i="2"/>
  <c r="AP154" i="2"/>
  <c r="AP137" i="2"/>
  <c r="AP127" i="2"/>
  <c r="AP118" i="2"/>
  <c r="AP112" i="2"/>
  <c r="AP122" i="2" s="1"/>
  <c r="AP111" i="2"/>
  <c r="AP121" i="2" s="1"/>
  <c r="AP106" i="2"/>
  <c r="AP96" i="2"/>
  <c r="AP86" i="2"/>
  <c r="AP61" i="2"/>
  <c r="AP49" i="2"/>
  <c r="AP41" i="2"/>
  <c r="AP40" i="2"/>
  <c r="AP39" i="2"/>
  <c r="AP38" i="2"/>
  <c r="AP10" i="2"/>
  <c r="AP19" i="2" s="1"/>
  <c r="AP8" i="2"/>
  <c r="AV112" i="2"/>
  <c r="BF112" i="2" s="1"/>
  <c r="BF122" i="2" s="1"/>
  <c r="AV111" i="2"/>
  <c r="AV102" i="2"/>
  <c r="AV101" i="2"/>
  <c r="AV256" i="2"/>
  <c r="AV189" i="2"/>
  <c r="AV73" i="2"/>
  <c r="AV69" i="2"/>
  <c r="AV68" i="2"/>
  <c r="AV65" i="2"/>
  <c r="AV64" i="2"/>
  <c r="AV57" i="2"/>
  <c r="AV230" i="2"/>
  <c r="AV219" i="2"/>
  <c r="AV233" i="2"/>
  <c r="AV186" i="2"/>
  <c r="AV169" i="2"/>
  <c r="AV166" i="2"/>
  <c r="AV154" i="2"/>
  <c r="AV137" i="2"/>
  <c r="AV127" i="2"/>
  <c r="AV42" i="2" s="1"/>
  <c r="AV118" i="2"/>
  <c r="AV264" i="2" s="1"/>
  <c r="AV106" i="2"/>
  <c r="AV96" i="2"/>
  <c r="AV86" i="2"/>
  <c r="AV61" i="2"/>
  <c r="AV49" i="2"/>
  <c r="AV41" i="2"/>
  <c r="AV40" i="2"/>
  <c r="AV39" i="2"/>
  <c r="AV38" i="2"/>
  <c r="AV10" i="2"/>
  <c r="AV19" i="2" s="1"/>
  <c r="AU111" i="2"/>
  <c r="BI226" i="2" l="1"/>
  <c r="BI227" i="2"/>
  <c r="BI222" i="2"/>
  <c r="N279" i="2"/>
  <c r="BF170" i="2"/>
  <c r="AP266" i="2"/>
  <c r="AP217" i="2"/>
  <c r="AV170" i="2"/>
  <c r="J361" i="3"/>
  <c r="BH222" i="2"/>
  <c r="BH227" i="2"/>
  <c r="BH226" i="2"/>
  <c r="BA88" i="2"/>
  <c r="D365" i="3"/>
  <c r="BG279" i="2"/>
  <c r="AV107" i="2"/>
  <c r="BF101" i="2"/>
  <c r="AX75" i="2"/>
  <c r="AV108" i="2"/>
  <c r="BF102" i="2"/>
  <c r="BF108" i="2" s="1"/>
  <c r="AV121" i="2"/>
  <c r="BF111" i="2"/>
  <c r="AU121" i="2"/>
  <c r="BE111" i="2"/>
  <c r="AZ88" i="2"/>
  <c r="D348" i="3"/>
  <c r="D350" i="3" s="1"/>
  <c r="D352" i="3" s="1"/>
  <c r="AP264" i="2"/>
  <c r="AV50" i="2"/>
  <c r="AW30" i="2"/>
  <c r="AR279" i="2"/>
  <c r="L279" i="2"/>
  <c r="M279" i="2"/>
  <c r="L163" i="2"/>
  <c r="AX79" i="2"/>
  <c r="AX72" i="2"/>
  <c r="AP50" i="2"/>
  <c r="AX77" i="2"/>
  <c r="D294" i="3"/>
  <c r="D296" i="3" s="1"/>
  <c r="AX50" i="2"/>
  <c r="AY88" i="2"/>
  <c r="AW160" i="2"/>
  <c r="AW225" i="2" s="1"/>
  <c r="D311" i="3"/>
  <c r="AR75" i="2"/>
  <c r="AT75" i="2" s="1"/>
  <c r="M35" i="2"/>
  <c r="L83" i="2"/>
  <c r="C400" i="3"/>
  <c r="C399" i="3" s="1"/>
  <c r="AV122" i="2"/>
  <c r="L35" i="2"/>
  <c r="AT32" i="2"/>
  <c r="M83" i="2"/>
  <c r="AV62" i="2"/>
  <c r="AV240" i="2" s="1"/>
  <c r="AS23" i="1"/>
  <c r="AT23" i="1" s="1"/>
  <c r="AS22" i="1"/>
  <c r="AS9" i="1"/>
  <c r="AS12" i="1" s="1"/>
  <c r="AR12" i="1"/>
  <c r="AR13" i="1" s="1"/>
  <c r="AW261" i="2"/>
  <c r="AW151" i="2"/>
  <c r="AW211" i="2" s="1"/>
  <c r="M205" i="2"/>
  <c r="M163" i="2"/>
  <c r="M162" i="2"/>
  <c r="M202" i="2"/>
  <c r="M254" i="2"/>
  <c r="M190" i="2"/>
  <c r="L190" i="2"/>
  <c r="L254" i="2"/>
  <c r="AP123" i="2"/>
  <c r="AP158" i="2" s="1"/>
  <c r="AX20" i="2"/>
  <c r="AR35" i="2"/>
  <c r="AV251" i="2"/>
  <c r="AW73" i="2"/>
  <c r="AV260" i="2"/>
  <c r="AR65" i="2"/>
  <c r="AW57" i="2"/>
  <c r="AV58" i="2"/>
  <c r="AV59" i="2"/>
  <c r="AV174" i="2" s="1"/>
  <c r="AV242" i="2"/>
  <c r="AW64" i="2"/>
  <c r="AP242" i="2"/>
  <c r="AR73" i="2"/>
  <c r="AR187" i="2" s="1"/>
  <c r="AV243" i="2"/>
  <c r="AW65" i="2"/>
  <c r="C397" i="3"/>
  <c r="D397" i="3" s="1"/>
  <c r="AR69" i="2"/>
  <c r="AT69" i="2" s="1"/>
  <c r="AR57" i="2"/>
  <c r="BG58" i="2" s="1"/>
  <c r="AV246" i="2"/>
  <c r="AW68" i="2"/>
  <c r="AR79" i="2"/>
  <c r="AT79" i="2" s="1"/>
  <c r="AR68" i="2"/>
  <c r="AR182" i="2" s="1"/>
  <c r="AP159" i="2"/>
  <c r="AP224" i="2" s="1"/>
  <c r="AV247" i="2"/>
  <c r="AW69" i="2"/>
  <c r="AR64" i="2"/>
  <c r="AR178" i="2" s="1"/>
  <c r="AR30" i="2"/>
  <c r="AV236" i="2"/>
  <c r="AV172" i="2"/>
  <c r="AW35" i="2"/>
  <c r="AP182" i="2"/>
  <c r="AP62" i="2"/>
  <c r="AP176" i="2" s="1"/>
  <c r="AP233" i="2"/>
  <c r="C428" i="3"/>
  <c r="C446" i="3"/>
  <c r="D426" i="3"/>
  <c r="D431" i="3"/>
  <c r="D414" i="3"/>
  <c r="D398" i="3"/>
  <c r="D401" i="3"/>
  <c r="D415" i="3"/>
  <c r="D443" i="3"/>
  <c r="D444" i="3"/>
  <c r="D418" i="3"/>
  <c r="D423" i="3"/>
  <c r="D432" i="3"/>
  <c r="D441" i="3"/>
  <c r="C416" i="3"/>
  <c r="D424" i="3"/>
  <c r="D433" i="3"/>
  <c r="D442" i="3"/>
  <c r="D417" i="3"/>
  <c r="D425" i="3"/>
  <c r="D434" i="3"/>
  <c r="AP243" i="2"/>
  <c r="AP251" i="2"/>
  <c r="AP256" i="2"/>
  <c r="AP11" i="2"/>
  <c r="AP59" i="2"/>
  <c r="AP174" i="2" s="1"/>
  <c r="AP172" i="2"/>
  <c r="AP247" i="2"/>
  <c r="AP260" i="2"/>
  <c r="AP246" i="2"/>
  <c r="AP113" i="2"/>
  <c r="AP103" i="2"/>
  <c r="AP26" i="2"/>
  <c r="AP183" i="2"/>
  <c r="AP20" i="2"/>
  <c r="AP192" i="2"/>
  <c r="AP178" i="2"/>
  <c r="AP250" i="2"/>
  <c r="AP236" i="2"/>
  <c r="AP179" i="2"/>
  <c r="AP187" i="2"/>
  <c r="AP196" i="2"/>
  <c r="AV113" i="2"/>
  <c r="AV159" i="2"/>
  <c r="AV224" i="2" s="1"/>
  <c r="AV253" i="2"/>
  <c r="AV11" i="2"/>
  <c r="AV182" i="2"/>
  <c r="AV26" i="2"/>
  <c r="AV183" i="2"/>
  <c r="AV20" i="2"/>
  <c r="AV103" i="2"/>
  <c r="AV192" i="2"/>
  <c r="AV178" i="2"/>
  <c r="AV250" i="2"/>
  <c r="AV179" i="2"/>
  <c r="AV187" i="2"/>
  <c r="AV196" i="2"/>
  <c r="AS14" i="2"/>
  <c r="AV237" i="2" l="1"/>
  <c r="BF173" i="2"/>
  <c r="BF234" i="2"/>
  <c r="BF237" i="2"/>
  <c r="AV173" i="2"/>
  <c r="AV234" i="2"/>
  <c r="AT65" i="2"/>
  <c r="BE121" i="2"/>
  <c r="AX68" i="2"/>
  <c r="AX73" i="2"/>
  <c r="AX64" i="2"/>
  <c r="BF121" i="2"/>
  <c r="BF123" i="2" s="1"/>
  <c r="BF113" i="2"/>
  <c r="BF107" i="2"/>
  <c r="BF103" i="2"/>
  <c r="BF104" i="2" s="1"/>
  <c r="AT57" i="2"/>
  <c r="AR189" i="2"/>
  <c r="D400" i="3"/>
  <c r="D399" i="3" s="1"/>
  <c r="AW279" i="2"/>
  <c r="AX65" i="2"/>
  <c r="AX186" i="2"/>
  <c r="AX250" i="2"/>
  <c r="AX57" i="2"/>
  <c r="BB58" i="2" s="1"/>
  <c r="AX69" i="2"/>
  <c r="AV176" i="2"/>
  <c r="AT68" i="2"/>
  <c r="AT73" i="2"/>
  <c r="AR62" i="2"/>
  <c r="AR176" i="2" s="1"/>
  <c r="AT64" i="2"/>
  <c r="D298" i="3"/>
  <c r="AT22" i="1"/>
  <c r="AT24" i="1" s="1"/>
  <c r="AR183" i="2"/>
  <c r="M191" i="2"/>
  <c r="M255" i="2"/>
  <c r="M80" i="2"/>
  <c r="D396" i="3"/>
  <c r="AP134" i="2"/>
  <c r="AP129" i="2"/>
  <c r="AP130" i="2"/>
  <c r="AP151" i="2" s="1"/>
  <c r="AP211" i="2" s="1"/>
  <c r="L191" i="2"/>
  <c r="L255" i="2"/>
  <c r="AP195" i="2"/>
  <c r="AP259" i="2"/>
  <c r="L80" i="2"/>
  <c r="C396" i="3"/>
  <c r="C402" i="3" s="1"/>
  <c r="AR192" i="2"/>
  <c r="AR172" i="2"/>
  <c r="AR59" i="2"/>
  <c r="AR174" i="2" s="1"/>
  <c r="AV238" i="2"/>
  <c r="AR179" i="2"/>
  <c r="AW58" i="2"/>
  <c r="AP240" i="2"/>
  <c r="AV123" i="2"/>
  <c r="D416" i="3"/>
  <c r="D437" i="3"/>
  <c r="D413" i="3"/>
  <c r="D427" i="3"/>
  <c r="C419" i="3"/>
  <c r="D445" i="3"/>
  <c r="AP238" i="2"/>
  <c r="AP223" i="2"/>
  <c r="AP160" i="2"/>
  <c r="AP225" i="2" s="1"/>
  <c r="AP44" i="2"/>
  <c r="AP29" i="2"/>
  <c r="AV44" i="2"/>
  <c r="AV29" i="2"/>
  <c r="AS33" i="2"/>
  <c r="AS28" i="2"/>
  <c r="AS27" i="2"/>
  <c r="AS24" i="2"/>
  <c r="AS22" i="2"/>
  <c r="AS18" i="2"/>
  <c r="AS17" i="2"/>
  <c r="AS16" i="2"/>
  <c r="AS15" i="2"/>
  <c r="AS13" i="2"/>
  <c r="AS12" i="2"/>
  <c r="AT133" i="2"/>
  <c r="AT266" i="2" s="1"/>
  <c r="AT126" i="2"/>
  <c r="AT117" i="2"/>
  <c r="AT116" i="2"/>
  <c r="AT111" i="2"/>
  <c r="AT121" i="2" s="1"/>
  <c r="AT100" i="2"/>
  <c r="AT99" i="2"/>
  <c r="AL98" i="2"/>
  <c r="AT98" i="2"/>
  <c r="AT49" i="2"/>
  <c r="AT61" i="2"/>
  <c r="AT86" i="2"/>
  <c r="AT96" i="2"/>
  <c r="AT137" i="2"/>
  <c r="AT154" i="2"/>
  <c r="AT166" i="2"/>
  <c r="AT214" i="2"/>
  <c r="AT219" i="2"/>
  <c r="AT230" i="2"/>
  <c r="AL77" i="2"/>
  <c r="AL33" i="2"/>
  <c r="AL28" i="2"/>
  <c r="AL27" i="2"/>
  <c r="AL24" i="2"/>
  <c r="AL22" i="2"/>
  <c r="AL18" i="2"/>
  <c r="AL17" i="2"/>
  <c r="AL16" i="2"/>
  <c r="AL15" i="2"/>
  <c r="AL14" i="2"/>
  <c r="AL13" i="2"/>
  <c r="AL12" i="2"/>
  <c r="AL9" i="2"/>
  <c r="AL7" i="2"/>
  <c r="AR87" i="2" s="1"/>
  <c r="AL49" i="2"/>
  <c r="AL61" i="2"/>
  <c r="AL86" i="2"/>
  <c r="AL96" i="2"/>
  <c r="AL99" i="2"/>
  <c r="AL100" i="2"/>
  <c r="AL116" i="2"/>
  <c r="AL117" i="2"/>
  <c r="AL126" i="2"/>
  <c r="AL133" i="2"/>
  <c r="AL137" i="2"/>
  <c r="AL154" i="2"/>
  <c r="AL166" i="2"/>
  <c r="AL215" i="2"/>
  <c r="AL217" i="2" s="1"/>
  <c r="AL219" i="2"/>
  <c r="AL230" i="2"/>
  <c r="AM29" i="1"/>
  <c r="AM28" i="1"/>
  <c r="AM24" i="1"/>
  <c r="C472" i="3"/>
  <c r="C471" i="3"/>
  <c r="BG173" i="2" l="1"/>
  <c r="BF90" i="2"/>
  <c r="BF139" i="2" s="1"/>
  <c r="BG90" i="2"/>
  <c r="AW91" i="2"/>
  <c r="BG91" i="2"/>
  <c r="AV91" i="2"/>
  <c r="BE91" i="2"/>
  <c r="BA91" i="2"/>
  <c r="P90" i="2"/>
  <c r="BA90" i="2"/>
  <c r="BF91" i="2"/>
  <c r="BF134" i="2"/>
  <c r="BF129" i="2"/>
  <c r="BF195" i="2"/>
  <c r="BF158" i="2"/>
  <c r="BF259" i="2"/>
  <c r="BF130" i="2"/>
  <c r="AZ90" i="2"/>
  <c r="C192" i="3" s="1"/>
  <c r="AZ91" i="2"/>
  <c r="AW90" i="2"/>
  <c r="C355" i="3" s="1"/>
  <c r="BE90" i="2"/>
  <c r="AV90" i="2"/>
  <c r="C409" i="3" s="1"/>
  <c r="D409" i="3" s="1"/>
  <c r="AY90" i="2"/>
  <c r="AY139" i="2" s="1"/>
  <c r="AY199" i="2" s="1"/>
  <c r="AY91" i="2"/>
  <c r="AX90" i="2"/>
  <c r="C301" i="3" s="1"/>
  <c r="E298" i="3" s="1"/>
  <c r="AP261" i="2"/>
  <c r="AX91" i="2"/>
  <c r="AL266" i="2"/>
  <c r="AX58" i="2"/>
  <c r="AT25" i="1"/>
  <c r="P24" i="1"/>
  <c r="AM30" i="1"/>
  <c r="AP197" i="2"/>
  <c r="D402" i="3"/>
  <c r="D404" i="3" s="1"/>
  <c r="AX187" i="2"/>
  <c r="M193" i="2"/>
  <c r="M257" i="2"/>
  <c r="AT118" i="2"/>
  <c r="AT264" i="2" s="1"/>
  <c r="L193" i="2"/>
  <c r="L257" i="2"/>
  <c r="AV158" i="2"/>
  <c r="AV160" i="2" s="1"/>
  <c r="AV225" i="2" s="1"/>
  <c r="AV43" i="2"/>
  <c r="AL169" i="2"/>
  <c r="AV259" i="2"/>
  <c r="AR43" i="2"/>
  <c r="AP43" i="2"/>
  <c r="C410" i="3"/>
  <c r="AT90" i="2"/>
  <c r="AT91" i="2"/>
  <c r="J414" i="3"/>
  <c r="C438" i="3"/>
  <c r="AV134" i="2"/>
  <c r="D419" i="3"/>
  <c r="AL118" i="2"/>
  <c r="AL264" i="2" s="1"/>
  <c r="AV130" i="2"/>
  <c r="AV197" i="2" s="1"/>
  <c r="AV129" i="2"/>
  <c r="AV195" i="2"/>
  <c r="C404" i="3"/>
  <c r="C420" i="3"/>
  <c r="J413" i="3"/>
  <c r="AT127" i="2"/>
  <c r="AT42" i="2" s="1"/>
  <c r="AP35" i="2"/>
  <c r="AP30" i="2"/>
  <c r="AV30" i="2"/>
  <c r="AV35" i="2"/>
  <c r="AL87" i="2"/>
  <c r="AL155" i="2" s="1"/>
  <c r="AN87" i="2"/>
  <c r="AO87" i="2"/>
  <c r="AL10" i="2"/>
  <c r="AL11" i="2" s="1"/>
  <c r="AL39" i="2"/>
  <c r="AL40" i="2"/>
  <c r="AL41" i="2"/>
  <c r="AL127" i="2"/>
  <c r="AL38" i="2"/>
  <c r="AL106" i="2"/>
  <c r="AM25" i="1"/>
  <c r="AM13" i="1"/>
  <c r="P25" i="1" l="1"/>
  <c r="P30" i="1"/>
  <c r="BA149" i="2"/>
  <c r="BA209" i="2" s="1"/>
  <c r="C134" i="3"/>
  <c r="BA156" i="2"/>
  <c r="BA221" i="2" s="1"/>
  <c r="C245" i="3"/>
  <c r="E238" i="3" s="1"/>
  <c r="BA145" i="2"/>
  <c r="BA205" i="2" s="1"/>
  <c r="BA142" i="2"/>
  <c r="BA202" i="2" s="1"/>
  <c r="BA143" i="2"/>
  <c r="BA203" i="2" s="1"/>
  <c r="BA139" i="2"/>
  <c r="BA161" i="2" s="1"/>
  <c r="BA146" i="2"/>
  <c r="BA206" i="2" s="1"/>
  <c r="BA140" i="2"/>
  <c r="BA200" i="2" s="1"/>
  <c r="BF223" i="2"/>
  <c r="BF160" i="2"/>
  <c r="BF225" i="2" s="1"/>
  <c r="E185" i="3"/>
  <c r="E187" i="3"/>
  <c r="E189" i="3"/>
  <c r="D192" i="3"/>
  <c r="BF261" i="2"/>
  <c r="AL196" i="2"/>
  <c r="AY143" i="2"/>
  <c r="AY203" i="2" s="1"/>
  <c r="BF197" i="2"/>
  <c r="BF151" i="2"/>
  <c r="BF211" i="2" s="1"/>
  <c r="AZ156" i="2"/>
  <c r="AZ149" i="2"/>
  <c r="AZ209" i="2" s="1"/>
  <c r="AZ139" i="2"/>
  <c r="AZ140" i="2"/>
  <c r="AZ200" i="2" s="1"/>
  <c r="AZ143" i="2"/>
  <c r="AZ203" i="2" s="1"/>
  <c r="AZ142" i="2"/>
  <c r="AZ146" i="2"/>
  <c r="AZ206" i="2" s="1"/>
  <c r="AZ145" i="2"/>
  <c r="E294" i="3"/>
  <c r="J291" i="3"/>
  <c r="J292" i="3" s="1"/>
  <c r="D301" i="3"/>
  <c r="F298" i="3" s="1"/>
  <c r="E296" i="3"/>
  <c r="AP279" i="2"/>
  <c r="AY161" i="2"/>
  <c r="AY149" i="2"/>
  <c r="AY209" i="2" s="1"/>
  <c r="AY156" i="2"/>
  <c r="AY157" i="2" s="1"/>
  <c r="AY140" i="2"/>
  <c r="AY200" i="2" s="1"/>
  <c r="AY145" i="2"/>
  <c r="AY163" i="2" s="1"/>
  <c r="AY146" i="2"/>
  <c r="AY206" i="2" s="1"/>
  <c r="AY142" i="2"/>
  <c r="AY202" i="2" s="1"/>
  <c r="AV261" i="2"/>
  <c r="J415" i="3"/>
  <c r="AT196" i="2"/>
  <c r="AX251" i="2"/>
  <c r="AT159" i="2"/>
  <c r="AT224" i="2" s="1"/>
  <c r="AT260" i="2"/>
  <c r="AV223" i="2"/>
  <c r="AR155" i="2"/>
  <c r="AR104" i="2"/>
  <c r="D355" i="3"/>
  <c r="E348" i="3"/>
  <c r="E350" i="3"/>
  <c r="E352" i="3"/>
  <c r="C406" i="3"/>
  <c r="AV151" i="2"/>
  <c r="AV211" i="2" s="1"/>
  <c r="D406" i="3"/>
  <c r="AV155" i="2"/>
  <c r="AV104" i="2"/>
  <c r="AL19" i="2"/>
  <c r="AL50" i="2" s="1"/>
  <c r="AL260" i="2"/>
  <c r="AL159" i="2"/>
  <c r="AL224" i="2" s="1"/>
  <c r="AS77" i="2"/>
  <c r="BA199" i="2" l="1"/>
  <c r="BA157" i="2"/>
  <c r="BA163" i="2"/>
  <c r="BA162" i="2"/>
  <c r="D134" i="3"/>
  <c r="E127" i="3"/>
  <c r="E129" i="3"/>
  <c r="E131" i="3"/>
  <c r="E242" i="3"/>
  <c r="E240" i="3"/>
  <c r="D245" i="3"/>
  <c r="F242" i="3" s="1"/>
  <c r="J235" i="3"/>
  <c r="J236" i="3" s="1"/>
  <c r="BF279" i="2"/>
  <c r="F185" i="3"/>
  <c r="F187" i="3"/>
  <c r="F189" i="3"/>
  <c r="BA222" i="2"/>
  <c r="BA226" i="2"/>
  <c r="BA227" i="2"/>
  <c r="F296" i="3"/>
  <c r="AZ202" i="2"/>
  <c r="AZ162" i="2"/>
  <c r="AZ199" i="2"/>
  <c r="AZ161" i="2"/>
  <c r="F294" i="3"/>
  <c r="AZ221" i="2"/>
  <c r="AZ157" i="2"/>
  <c r="AZ205" i="2"/>
  <c r="AZ163" i="2"/>
  <c r="AV279" i="2"/>
  <c r="AY205" i="2"/>
  <c r="AY162" i="2"/>
  <c r="F348" i="3"/>
  <c r="F350" i="3"/>
  <c r="F352" i="3"/>
  <c r="AL20" i="2"/>
  <c r="AN127" i="2"/>
  <c r="AN118" i="2"/>
  <c r="AN112" i="2"/>
  <c r="AN122" i="2" s="1"/>
  <c r="AN111" i="2"/>
  <c r="AN121" i="2" s="1"/>
  <c r="AN106" i="2"/>
  <c r="AN102" i="2"/>
  <c r="AN101" i="2"/>
  <c r="AN107" i="2" s="1"/>
  <c r="F240" i="3" l="1"/>
  <c r="F238" i="3"/>
  <c r="F127" i="3"/>
  <c r="F129" i="3"/>
  <c r="F131" i="3"/>
  <c r="AZ222" i="2"/>
  <c r="AZ227" i="2"/>
  <c r="AZ226" i="2"/>
  <c r="AN113" i="2"/>
  <c r="AN103" i="2"/>
  <c r="AN108" i="2"/>
  <c r="AN123" i="2"/>
  <c r="AN129" i="2" s="1"/>
  <c r="D490" i="3"/>
  <c r="C457" i="3"/>
  <c r="C459" i="3"/>
  <c r="C461" i="3"/>
  <c r="C455" i="3"/>
  <c r="C452" i="3"/>
  <c r="C451" i="3"/>
  <c r="C499" i="3"/>
  <c r="C491" i="3"/>
  <c r="C481" i="3"/>
  <c r="C470" i="3"/>
  <c r="C467" i="3"/>
  <c r="AQ43" i="1"/>
  <c r="AQ42" i="1"/>
  <c r="AQ41" i="1"/>
  <c r="AQ37" i="1"/>
  <c r="AQ36" i="1"/>
  <c r="AQ35" i="1"/>
  <c r="AQ29" i="1"/>
  <c r="AQ28" i="1"/>
  <c r="AQ24" i="1"/>
  <c r="AQ25" i="1" s="1"/>
  <c r="AW233" i="2"/>
  <c r="AU112" i="2"/>
  <c r="AU102" i="2"/>
  <c r="BE102" i="2" s="1"/>
  <c r="BE108" i="2" s="1"/>
  <c r="AU101" i="2"/>
  <c r="AU74" i="2"/>
  <c r="AN74" i="2"/>
  <c r="AU71" i="2"/>
  <c r="AN71" i="2"/>
  <c r="AU67" i="2"/>
  <c r="AN67" i="2"/>
  <c r="AN63" i="2"/>
  <c r="AU63" i="2"/>
  <c r="AU51" i="2"/>
  <c r="AN51" i="2"/>
  <c r="AN230" i="2"/>
  <c r="AN219" i="2"/>
  <c r="AN215" i="2"/>
  <c r="AN214" i="2"/>
  <c r="AN192" i="2"/>
  <c r="AN189" i="2"/>
  <c r="AN187" i="2"/>
  <c r="AN186" i="2"/>
  <c r="AN183" i="2"/>
  <c r="AN182" i="2"/>
  <c r="AN179" i="2"/>
  <c r="AN178" i="2"/>
  <c r="AN172" i="2"/>
  <c r="AN169" i="2"/>
  <c r="AN166" i="2"/>
  <c r="AN154" i="2"/>
  <c r="AN137" i="2"/>
  <c r="AN196" i="2"/>
  <c r="AN96" i="2"/>
  <c r="AN86" i="2"/>
  <c r="AN62" i="2"/>
  <c r="AN61" i="2"/>
  <c r="AN59" i="2"/>
  <c r="AN174" i="2" s="1"/>
  <c r="AN49" i="2"/>
  <c r="AN41" i="2"/>
  <c r="AN40" i="2"/>
  <c r="AN39" i="2"/>
  <c r="AN38" i="2"/>
  <c r="AN10" i="2"/>
  <c r="AN19" i="2" s="1"/>
  <c r="AN8" i="2"/>
  <c r="P230" i="2"/>
  <c r="P219" i="2"/>
  <c r="P166" i="2"/>
  <c r="P154" i="2"/>
  <c r="P137" i="2"/>
  <c r="P96" i="2"/>
  <c r="P86" i="2"/>
  <c r="P61" i="2"/>
  <c r="P49" i="2"/>
  <c r="AU230" i="2"/>
  <c r="AU219" i="2"/>
  <c r="AU192" i="2"/>
  <c r="AU189" i="2"/>
  <c r="AU187" i="2"/>
  <c r="AU186" i="2"/>
  <c r="AU183" i="2"/>
  <c r="AU182" i="2"/>
  <c r="AU179" i="2"/>
  <c r="AU178" i="2"/>
  <c r="AU172" i="2"/>
  <c r="AU169" i="2"/>
  <c r="AU166" i="2"/>
  <c r="AU154" i="2"/>
  <c r="AU137" i="2"/>
  <c r="AU127" i="2"/>
  <c r="AU42" i="2" s="1"/>
  <c r="AU118" i="2"/>
  <c r="AU264" i="2" s="1"/>
  <c r="AU106" i="2"/>
  <c r="AU96" i="2"/>
  <c r="AU86" i="2"/>
  <c r="AU62" i="2"/>
  <c r="AU61" i="2"/>
  <c r="AU59" i="2"/>
  <c r="AU174" i="2" s="1"/>
  <c r="AU49" i="2"/>
  <c r="AU41" i="2"/>
  <c r="AU40" i="2"/>
  <c r="AU39" i="2"/>
  <c r="AU38" i="2"/>
  <c r="AU10" i="2"/>
  <c r="AU11" i="2" s="1"/>
  <c r="K58" i="2"/>
  <c r="K8" i="2"/>
  <c r="AK77" i="2"/>
  <c r="AK24" i="2"/>
  <c r="K23" i="2"/>
  <c r="J23" i="2"/>
  <c r="BE170" i="2" l="1"/>
  <c r="BE173" i="2"/>
  <c r="AU170" i="2"/>
  <c r="AN266" i="2"/>
  <c r="AN217" i="2"/>
  <c r="AU173" i="2"/>
  <c r="AL23" i="2"/>
  <c r="AU122" i="2"/>
  <c r="AU123" i="2" s="1"/>
  <c r="BE112" i="2"/>
  <c r="AU107" i="2"/>
  <c r="BE101" i="2"/>
  <c r="AN264" i="2"/>
  <c r="AQ47" i="1"/>
  <c r="AU47" i="1"/>
  <c r="AQ48" i="1"/>
  <c r="AU48" i="1"/>
  <c r="AQ49" i="1"/>
  <c r="AU49" i="1"/>
  <c r="AQ53" i="1"/>
  <c r="AU53" i="1"/>
  <c r="AQ54" i="1"/>
  <c r="AU54" i="1"/>
  <c r="AQ55" i="1"/>
  <c r="AU55" i="1"/>
  <c r="AP74" i="2"/>
  <c r="AR74" i="2" s="1"/>
  <c r="AR188" i="2" s="1"/>
  <c r="AV63" i="2"/>
  <c r="AV241" i="2" s="1"/>
  <c r="AP71" i="2"/>
  <c r="AR71" i="2" s="1"/>
  <c r="AR185" i="2" s="1"/>
  <c r="AT41" i="1"/>
  <c r="AT36" i="1"/>
  <c r="AT42" i="1"/>
  <c r="AT35" i="1"/>
  <c r="AT37" i="1"/>
  <c r="AT43" i="1"/>
  <c r="AR88" i="2"/>
  <c r="AN50" i="2"/>
  <c r="AN52" i="2" s="1"/>
  <c r="BE53" i="2" s="1"/>
  <c r="AX26" i="2"/>
  <c r="AU256" i="2"/>
  <c r="AW216" i="2"/>
  <c r="BG216" i="2" s="1"/>
  <c r="AP63" i="2"/>
  <c r="AR63" i="2" s="1"/>
  <c r="AV51" i="2"/>
  <c r="AV74" i="2"/>
  <c r="AP67" i="2"/>
  <c r="AV71" i="2"/>
  <c r="AQ13" i="1"/>
  <c r="AU47" i="2"/>
  <c r="AV67" i="2"/>
  <c r="AN241" i="2"/>
  <c r="AS23" i="2"/>
  <c r="AN250" i="2"/>
  <c r="AN47" i="2"/>
  <c r="AN249" i="2"/>
  <c r="P118" i="2"/>
  <c r="P264" i="2" s="1"/>
  <c r="C454" i="3"/>
  <c r="C453" i="3" s="1"/>
  <c r="AN130" i="2"/>
  <c r="J447" i="3"/>
  <c r="D468" i="3" s="1"/>
  <c r="J448" i="3"/>
  <c r="D489" i="3" s="1"/>
  <c r="C482" i="3"/>
  <c r="C500" i="3"/>
  <c r="C450" i="3"/>
  <c r="C473" i="3"/>
  <c r="AQ30" i="1"/>
  <c r="AN260" i="2"/>
  <c r="AN159" i="2"/>
  <c r="AN224" i="2" s="1"/>
  <c r="P123" i="2"/>
  <c r="AN181" i="2"/>
  <c r="AN252" i="2"/>
  <c r="AN245" i="2"/>
  <c r="AN259" i="2"/>
  <c r="AN236" i="2"/>
  <c r="AN11" i="2"/>
  <c r="AN246" i="2"/>
  <c r="AN240" i="2"/>
  <c r="AN253" i="2"/>
  <c r="AN20" i="2"/>
  <c r="AN26" i="2"/>
  <c r="AN233" i="2"/>
  <c r="AN243" i="2"/>
  <c r="AN251" i="2"/>
  <c r="AN188" i="2"/>
  <c r="AN66" i="2"/>
  <c r="AU108" i="2"/>
  <c r="AN176" i="2"/>
  <c r="AN256" i="2"/>
  <c r="AN46" i="2"/>
  <c r="AN177" i="2"/>
  <c r="AN185" i="2"/>
  <c r="AN247" i="2"/>
  <c r="P127" i="2"/>
  <c r="AN242" i="2"/>
  <c r="AU252" i="2"/>
  <c r="AU240" i="2"/>
  <c r="AU241" i="2"/>
  <c r="AU242" i="2"/>
  <c r="AU243" i="2"/>
  <c r="AU249" i="2"/>
  <c r="AU251" i="2"/>
  <c r="AU66" i="2"/>
  <c r="AU247" i="2"/>
  <c r="AU250" i="2"/>
  <c r="AU46" i="2"/>
  <c r="AU233" i="2"/>
  <c r="AU196" i="2"/>
  <c r="AU260" i="2"/>
  <c r="AU19" i="2"/>
  <c r="AU113" i="2"/>
  <c r="AU159" i="2"/>
  <c r="AU224" i="2" s="1"/>
  <c r="AU181" i="2"/>
  <c r="AU236" i="2"/>
  <c r="AU245" i="2"/>
  <c r="AU253" i="2"/>
  <c r="AU188" i="2"/>
  <c r="AU103" i="2"/>
  <c r="AU246" i="2"/>
  <c r="AU176" i="2"/>
  <c r="AU177" i="2"/>
  <c r="AU185" i="2"/>
  <c r="J9" i="1"/>
  <c r="J44" i="1"/>
  <c r="J38" i="1"/>
  <c r="J29" i="1"/>
  <c r="J24" i="1"/>
  <c r="AP43" i="1"/>
  <c r="BD55" i="1" s="1"/>
  <c r="AP42" i="1"/>
  <c r="BD54" i="1" s="1"/>
  <c r="AP41" i="1"/>
  <c r="BD53" i="1" s="1"/>
  <c r="AP37" i="1"/>
  <c r="BD49" i="1" s="1"/>
  <c r="AP36" i="1"/>
  <c r="BD48" i="1" s="1"/>
  <c r="AP35" i="1"/>
  <c r="BD47" i="1" s="1"/>
  <c r="K44" i="1"/>
  <c r="K38" i="1"/>
  <c r="K29" i="1"/>
  <c r="K28" i="1"/>
  <c r="K24" i="1"/>
  <c r="K25" i="1" s="1"/>
  <c r="J501" i="3"/>
  <c r="C515" i="3"/>
  <c r="C513" i="3"/>
  <c r="C511" i="3"/>
  <c r="C526" i="3"/>
  <c r="C525" i="3"/>
  <c r="C509" i="3"/>
  <c r="C506" i="3"/>
  <c r="C553" i="3"/>
  <c r="C545" i="3"/>
  <c r="C535" i="3"/>
  <c r="C521" i="3"/>
  <c r="K112" i="2"/>
  <c r="K122" i="2" s="1"/>
  <c r="J112" i="2"/>
  <c r="J122" i="2" s="1"/>
  <c r="J102" i="2"/>
  <c r="K102" i="2"/>
  <c r="AT102" i="2" s="1"/>
  <c r="J101" i="2"/>
  <c r="K101" i="2"/>
  <c r="J75" i="2"/>
  <c r="K75" i="2"/>
  <c r="J74" i="2"/>
  <c r="K74" i="2"/>
  <c r="J71" i="2"/>
  <c r="K71" i="2"/>
  <c r="K67" i="2"/>
  <c r="J67" i="2"/>
  <c r="J63" i="2"/>
  <c r="K63" i="2"/>
  <c r="J51" i="2"/>
  <c r="K51" i="2"/>
  <c r="J230" i="2"/>
  <c r="J219" i="2"/>
  <c r="J215" i="2"/>
  <c r="J192" i="2"/>
  <c r="J187" i="2"/>
  <c r="J186" i="2"/>
  <c r="J183" i="2"/>
  <c r="J182" i="2"/>
  <c r="J179" i="2"/>
  <c r="J178" i="2"/>
  <c r="J172" i="2"/>
  <c r="J169" i="2"/>
  <c r="J166" i="2"/>
  <c r="J154" i="2"/>
  <c r="J137" i="2"/>
  <c r="J127" i="2"/>
  <c r="J42" i="2" s="1"/>
  <c r="J118" i="2"/>
  <c r="J106" i="2"/>
  <c r="J96" i="2"/>
  <c r="J91" i="2"/>
  <c r="J90" i="2"/>
  <c r="J156" i="2" s="1"/>
  <c r="J87" i="2"/>
  <c r="J155" i="2" s="1"/>
  <c r="J86" i="2"/>
  <c r="J62" i="2"/>
  <c r="J61" i="2"/>
  <c r="J59" i="2"/>
  <c r="J174" i="2" s="1"/>
  <c r="J58" i="2"/>
  <c r="J173" i="2" s="1"/>
  <c r="J49" i="2"/>
  <c r="J41" i="2"/>
  <c r="J40" i="2"/>
  <c r="J39" i="2"/>
  <c r="J38" i="2"/>
  <c r="J10" i="2"/>
  <c r="J11" i="2" s="1"/>
  <c r="J8" i="2"/>
  <c r="J170" i="2" s="1"/>
  <c r="K230" i="2"/>
  <c r="K219" i="2"/>
  <c r="K192" i="2"/>
  <c r="K187" i="2"/>
  <c r="K186" i="2"/>
  <c r="K183" i="2"/>
  <c r="K182" i="2"/>
  <c r="K179" i="2"/>
  <c r="K178" i="2"/>
  <c r="K172" i="2"/>
  <c r="K169" i="2"/>
  <c r="K166" i="2"/>
  <c r="K154" i="2"/>
  <c r="K137" i="2"/>
  <c r="K127" i="2"/>
  <c r="K42" i="2" s="1"/>
  <c r="K118" i="2"/>
  <c r="K264" i="2" s="1"/>
  <c r="K106" i="2"/>
  <c r="K96" i="2"/>
  <c r="K91" i="2"/>
  <c r="K90" i="2"/>
  <c r="K156" i="2" s="1"/>
  <c r="C517" i="3" s="1"/>
  <c r="K87" i="2"/>
  <c r="K155" i="2" s="1"/>
  <c r="K86" i="2"/>
  <c r="K62" i="2"/>
  <c r="K61" i="2"/>
  <c r="K59" i="2"/>
  <c r="K174" i="2" s="1"/>
  <c r="K173" i="2"/>
  <c r="K49" i="2"/>
  <c r="K41" i="2"/>
  <c r="K40" i="2"/>
  <c r="K39" i="2"/>
  <c r="K38" i="2"/>
  <c r="K10" i="2"/>
  <c r="K170" i="2"/>
  <c r="AS230" i="2"/>
  <c r="AS219" i="2"/>
  <c r="AS166" i="2"/>
  <c r="AS154" i="2"/>
  <c r="AS137" i="2"/>
  <c r="AS133" i="2"/>
  <c r="AS266" i="2" s="1"/>
  <c r="AS126" i="2"/>
  <c r="AS117" i="2"/>
  <c r="AS116" i="2"/>
  <c r="AS100" i="2"/>
  <c r="AS99" i="2"/>
  <c r="AS98" i="2"/>
  <c r="AS96" i="2"/>
  <c r="AS86" i="2"/>
  <c r="AS61" i="2"/>
  <c r="AS49" i="2"/>
  <c r="AU237" i="2" l="1"/>
  <c r="BE234" i="2"/>
  <c r="J266" i="2"/>
  <c r="J217" i="2"/>
  <c r="AU234" i="2"/>
  <c r="BE237" i="2"/>
  <c r="AV46" i="2"/>
  <c r="BE107" i="2"/>
  <c r="BE103" i="2"/>
  <c r="BE104" i="2" s="1"/>
  <c r="AV177" i="2"/>
  <c r="BE122" i="2"/>
  <c r="BE123" i="2" s="1"/>
  <c r="BE113" i="2"/>
  <c r="AL26" i="2"/>
  <c r="AR42" i="2"/>
  <c r="AP42" i="2"/>
  <c r="AL42" i="2"/>
  <c r="P129" i="2"/>
  <c r="P139" i="2"/>
  <c r="P260" i="2"/>
  <c r="P42" i="2"/>
  <c r="AW74" i="2"/>
  <c r="AX88" i="2"/>
  <c r="AV52" i="2"/>
  <c r="AW67" i="2"/>
  <c r="J264" i="2"/>
  <c r="AV185" i="2"/>
  <c r="AR67" i="2"/>
  <c r="AW63" i="2"/>
  <c r="AT54" i="1"/>
  <c r="AT48" i="1"/>
  <c r="AT53" i="1"/>
  <c r="AT55" i="1"/>
  <c r="AT49" i="1"/>
  <c r="AT47" i="1"/>
  <c r="AT63" i="2"/>
  <c r="AT74" i="2"/>
  <c r="AU50" i="2"/>
  <c r="AU52" i="2" s="1"/>
  <c r="AV66" i="2"/>
  <c r="AV70" i="2" s="1"/>
  <c r="AT71" i="2"/>
  <c r="J28" i="1"/>
  <c r="J12" i="1"/>
  <c r="AV252" i="2"/>
  <c r="AV188" i="2"/>
  <c r="AX29" i="2"/>
  <c r="AX44" i="2"/>
  <c r="AU130" i="2"/>
  <c r="AU197" i="2" s="1"/>
  <c r="AU43" i="2"/>
  <c r="AW71" i="2"/>
  <c r="AW51" i="2"/>
  <c r="AR177" i="2"/>
  <c r="AR46" i="2"/>
  <c r="AR66" i="2"/>
  <c r="K19" i="2"/>
  <c r="AV249" i="2"/>
  <c r="K108" i="2"/>
  <c r="AV47" i="2"/>
  <c r="AV245" i="2"/>
  <c r="AV181" i="2"/>
  <c r="D451" i="3"/>
  <c r="C456" i="3"/>
  <c r="C458" i="3" s="1"/>
  <c r="AS112" i="2"/>
  <c r="AS122" i="2" s="1"/>
  <c r="AT112" i="2"/>
  <c r="K107" i="2"/>
  <c r="AT101" i="2"/>
  <c r="AT103" i="2" s="1"/>
  <c r="AL112" i="2"/>
  <c r="AL122" i="2" s="1"/>
  <c r="D452" i="3"/>
  <c r="D477" i="3"/>
  <c r="D496" i="3"/>
  <c r="J107" i="2"/>
  <c r="AL101" i="2"/>
  <c r="J108" i="2"/>
  <c r="AL102" i="2"/>
  <c r="AL108" i="2" s="1"/>
  <c r="D457" i="3"/>
  <c r="J93" i="2"/>
  <c r="J148" i="2" s="1"/>
  <c r="J208" i="2" s="1"/>
  <c r="D471" i="3"/>
  <c r="J188" i="2"/>
  <c r="AL111" i="2"/>
  <c r="AL121" i="2" s="1"/>
  <c r="D495" i="3"/>
  <c r="K188" i="2"/>
  <c r="D469" i="3"/>
  <c r="D467" i="3" s="1"/>
  <c r="D472" i="3"/>
  <c r="P196" i="2"/>
  <c r="D498" i="3"/>
  <c r="D486" i="3"/>
  <c r="K46" i="2"/>
  <c r="P159" i="2"/>
  <c r="P224" i="2" s="1"/>
  <c r="D485" i="3"/>
  <c r="D479" i="3"/>
  <c r="D480" i="3"/>
  <c r="D488" i="3"/>
  <c r="D459" i="3"/>
  <c r="K93" i="2"/>
  <c r="K148" i="2" s="1"/>
  <c r="K208" i="2" s="1"/>
  <c r="AU70" i="2"/>
  <c r="D454" i="3"/>
  <c r="D497" i="3"/>
  <c r="D455" i="3"/>
  <c r="D478" i="3"/>
  <c r="D487" i="3"/>
  <c r="C492" i="3"/>
  <c r="J467" i="3"/>
  <c r="J468" i="3"/>
  <c r="K13" i="1"/>
  <c r="P130" i="2"/>
  <c r="P151" i="2" s="1"/>
  <c r="P211" i="2" s="1"/>
  <c r="P158" i="2"/>
  <c r="P223" i="2" s="1"/>
  <c r="P134" i="2"/>
  <c r="P259" i="2"/>
  <c r="P195" i="2"/>
  <c r="AN197" i="2"/>
  <c r="AN134" i="2"/>
  <c r="AN158" i="2"/>
  <c r="AN160" i="2" s="1"/>
  <c r="AN225" i="2" s="1"/>
  <c r="AN195" i="2"/>
  <c r="P113" i="2"/>
  <c r="AN56" i="2"/>
  <c r="AN54" i="2"/>
  <c r="AN29" i="2"/>
  <c r="AN44" i="2"/>
  <c r="AN238" i="2"/>
  <c r="AN70" i="2"/>
  <c r="AN244" i="2"/>
  <c r="AN180" i="2"/>
  <c r="AN261" i="2"/>
  <c r="AU259" i="2"/>
  <c r="AU195" i="2"/>
  <c r="AU158" i="2"/>
  <c r="AU223" i="2" s="1"/>
  <c r="AU134" i="2"/>
  <c r="P103" i="2"/>
  <c r="AU129" i="2"/>
  <c r="AU244" i="2"/>
  <c r="AU180" i="2"/>
  <c r="AU238" i="2"/>
  <c r="AU26" i="2"/>
  <c r="AU20" i="2"/>
  <c r="J260" i="2"/>
  <c r="C505" i="3"/>
  <c r="D505" i="3" s="1"/>
  <c r="K214" i="2"/>
  <c r="J502" i="3" s="1"/>
  <c r="D517" i="3" s="1"/>
  <c r="C508" i="3"/>
  <c r="C507" i="3" s="1"/>
  <c r="D511" i="3"/>
  <c r="J25" i="1"/>
  <c r="K30" i="1"/>
  <c r="AP38" i="1"/>
  <c r="BD50" i="1" s="1"/>
  <c r="AP44" i="1"/>
  <c r="BD56" i="1" s="1"/>
  <c r="D525" i="3"/>
  <c r="D549" i="3"/>
  <c r="D526" i="3"/>
  <c r="D541" i="3"/>
  <c r="D550" i="3"/>
  <c r="D523" i="3"/>
  <c r="D552" i="3"/>
  <c r="D534" i="3"/>
  <c r="D532" i="3"/>
  <c r="D513" i="3"/>
  <c r="D506" i="3"/>
  <c r="D539" i="3"/>
  <c r="C536" i="3"/>
  <c r="J196" i="2"/>
  <c r="AS127" i="2"/>
  <c r="AS42" i="2" s="1"/>
  <c r="J159" i="2"/>
  <c r="J224" i="2" s="1"/>
  <c r="C524" i="3"/>
  <c r="C527" i="3" s="1"/>
  <c r="C546" i="3" s="1"/>
  <c r="C554" i="3"/>
  <c r="D531" i="3"/>
  <c r="D540" i="3"/>
  <c r="D551" i="3"/>
  <c r="D533" i="3"/>
  <c r="D542" i="3"/>
  <c r="D509" i="3"/>
  <c r="D522" i="3"/>
  <c r="J19" i="2"/>
  <c r="J50" i="2" s="1"/>
  <c r="J157" i="2"/>
  <c r="J181" i="2"/>
  <c r="J189" i="2"/>
  <c r="J66" i="2"/>
  <c r="J103" i="2"/>
  <c r="J104" i="2" s="1"/>
  <c r="J149" i="2"/>
  <c r="J209" i="2" s="1"/>
  <c r="J113" i="2"/>
  <c r="J46" i="2"/>
  <c r="J176" i="2"/>
  <c r="J47" i="2"/>
  <c r="J177" i="2"/>
  <c r="J185" i="2"/>
  <c r="K260" i="2"/>
  <c r="K149" i="2"/>
  <c r="K209" i="2" s="1"/>
  <c r="AS102" i="2"/>
  <c r="K11" i="2"/>
  <c r="K113" i="2"/>
  <c r="K159" i="2"/>
  <c r="K224" i="2" s="1"/>
  <c r="K181" i="2"/>
  <c r="K189" i="2"/>
  <c r="AS101" i="2"/>
  <c r="K66" i="2"/>
  <c r="K103" i="2"/>
  <c r="K104" i="2" s="1"/>
  <c r="K176" i="2"/>
  <c r="K47" i="2"/>
  <c r="K177" i="2"/>
  <c r="K185" i="2"/>
  <c r="K157" i="2"/>
  <c r="K196" i="2"/>
  <c r="AS106" i="2"/>
  <c r="AS111" i="2"/>
  <c r="AS121" i="2" s="1"/>
  <c r="AS118" i="2"/>
  <c r="AS264" i="2" s="1"/>
  <c r="AS38" i="2"/>
  <c r="AS39" i="2"/>
  <c r="AS40" i="2"/>
  <c r="AS41" i="2"/>
  <c r="AS10" i="2"/>
  <c r="AS155" i="2"/>
  <c r="AS169" i="2"/>
  <c r="AO44" i="1"/>
  <c r="BC56" i="1" s="1"/>
  <c r="AO38" i="1"/>
  <c r="BC50" i="1" s="1"/>
  <c r="C580" i="3"/>
  <c r="C579" i="3"/>
  <c r="C569" i="3"/>
  <c r="C567" i="3"/>
  <c r="C565" i="3"/>
  <c r="C562" i="3"/>
  <c r="C561" i="3" s="1"/>
  <c r="C559" i="3"/>
  <c r="C558" i="3" s="1"/>
  <c r="C607" i="3"/>
  <c r="C608" i="3" s="1"/>
  <c r="C599" i="3"/>
  <c r="C589" i="3"/>
  <c r="C575" i="3"/>
  <c r="AQ215" i="2"/>
  <c r="AQ111" i="2"/>
  <c r="AQ121" i="2" s="1"/>
  <c r="AQ112" i="2"/>
  <c r="AQ122" i="2" s="1"/>
  <c r="AQ102" i="2"/>
  <c r="AQ108" i="2" s="1"/>
  <c r="AQ101" i="2"/>
  <c r="AQ72" i="2"/>
  <c r="AQ230" i="2"/>
  <c r="AQ219" i="2"/>
  <c r="AQ169" i="2"/>
  <c r="AQ166" i="2"/>
  <c r="AQ154" i="2"/>
  <c r="AQ137" i="2"/>
  <c r="AQ127" i="2"/>
  <c r="AQ118" i="2"/>
  <c r="AQ106" i="2"/>
  <c r="AQ96" i="2"/>
  <c r="AQ86" i="2"/>
  <c r="AQ61" i="2"/>
  <c r="AQ49" i="2"/>
  <c r="AQ41" i="2"/>
  <c r="AQ40" i="2"/>
  <c r="AQ39" i="2"/>
  <c r="AQ38" i="2"/>
  <c r="AQ10" i="2"/>
  <c r="AQ11" i="2" s="1"/>
  <c r="AQ8" i="2"/>
  <c r="C635" i="3"/>
  <c r="C634" i="3"/>
  <c r="C624" i="3"/>
  <c r="C622" i="3"/>
  <c r="C620" i="3"/>
  <c r="C617" i="3"/>
  <c r="C614" i="3"/>
  <c r="C613" i="3" s="1"/>
  <c r="C662" i="3"/>
  <c r="C663" i="3" s="1"/>
  <c r="C654" i="3"/>
  <c r="C644" i="3"/>
  <c r="C630" i="3"/>
  <c r="AN32" i="1"/>
  <c r="AN23" i="1"/>
  <c r="AN22" i="1"/>
  <c r="AN10" i="1"/>
  <c r="AN9" i="1"/>
  <c r="AN44" i="1"/>
  <c r="BB56" i="1" s="1"/>
  <c r="AN38" i="1"/>
  <c r="BB50" i="1" s="1"/>
  <c r="AO79" i="2"/>
  <c r="AO214" i="2"/>
  <c r="AO215" i="2"/>
  <c r="AO112" i="2"/>
  <c r="AO122" i="2" s="1"/>
  <c r="AO111" i="2"/>
  <c r="AO121" i="2" s="1"/>
  <c r="AO101" i="2"/>
  <c r="AO107" i="2" s="1"/>
  <c r="AO102" i="2"/>
  <c r="AO108" i="2" s="1"/>
  <c r="AO75" i="2"/>
  <c r="AO73" i="2"/>
  <c r="AO69" i="2"/>
  <c r="AO68" i="2"/>
  <c r="AO65" i="2"/>
  <c r="AO64" i="2"/>
  <c r="AO57" i="2"/>
  <c r="AO230" i="2"/>
  <c r="AO219" i="2"/>
  <c r="AO186" i="2"/>
  <c r="AO169" i="2"/>
  <c r="AO166" i="2"/>
  <c r="AO154" i="2"/>
  <c r="AO137" i="2"/>
  <c r="AO127" i="2"/>
  <c r="AO118" i="2"/>
  <c r="AO106" i="2"/>
  <c r="AO96" i="2"/>
  <c r="AO86" i="2"/>
  <c r="AO61" i="2"/>
  <c r="AO49" i="2"/>
  <c r="AO41" i="2"/>
  <c r="AO40" i="2"/>
  <c r="AO39" i="2"/>
  <c r="AO38" i="2"/>
  <c r="AO10" i="2"/>
  <c r="AO11" i="2" s="1"/>
  <c r="AO8" i="2"/>
  <c r="C692" i="3"/>
  <c r="C691" i="3"/>
  <c r="C674" i="3"/>
  <c r="C673" i="3" s="1"/>
  <c r="C671" i="3"/>
  <c r="AM111" i="2"/>
  <c r="AM121" i="2" s="1"/>
  <c r="C681" i="3"/>
  <c r="C679" i="3"/>
  <c r="C677" i="3"/>
  <c r="C719" i="3"/>
  <c r="C720" i="3" s="1"/>
  <c r="C711" i="3"/>
  <c r="C701" i="3"/>
  <c r="C687" i="3"/>
  <c r="AO266" i="2" l="1"/>
  <c r="AO217" i="2"/>
  <c r="AQ266" i="2"/>
  <c r="AQ217" i="2"/>
  <c r="AN12" i="1"/>
  <c r="AN13" i="1" s="1"/>
  <c r="BA92" i="2"/>
  <c r="AX63" i="2"/>
  <c r="AX74" i="2"/>
  <c r="AL29" i="2"/>
  <c r="AL30" i="2" s="1"/>
  <c r="AL44" i="2"/>
  <c r="AT67" i="2"/>
  <c r="AX51" i="2"/>
  <c r="BE130" i="2"/>
  <c r="BE139" i="2"/>
  <c r="BE158" i="2"/>
  <c r="BE134" i="2"/>
  <c r="BE259" i="2"/>
  <c r="BE261" i="2" s="1"/>
  <c r="BE279" i="2" s="1"/>
  <c r="BE129" i="2"/>
  <c r="BE195" i="2"/>
  <c r="AX71" i="2"/>
  <c r="AZ92" i="2"/>
  <c r="AR181" i="2"/>
  <c r="AR47" i="2"/>
  <c r="AV56" i="2"/>
  <c r="AY92" i="2"/>
  <c r="AX67" i="2"/>
  <c r="AU261" i="2"/>
  <c r="AN279" i="2"/>
  <c r="AV54" i="2"/>
  <c r="AQ264" i="2"/>
  <c r="AU53" i="2"/>
  <c r="AO264" i="2"/>
  <c r="AV180" i="2"/>
  <c r="AV244" i="2"/>
  <c r="AR50" i="1"/>
  <c r="AR56" i="1"/>
  <c r="AU248" i="2"/>
  <c r="AT113" i="2"/>
  <c r="AT122" i="2"/>
  <c r="AT123" i="2" s="1"/>
  <c r="AT43" i="2" s="1"/>
  <c r="AT44" i="1"/>
  <c r="AT56" i="1" s="1"/>
  <c r="AT38" i="1"/>
  <c r="AT50" i="1" s="1"/>
  <c r="J610" i="3"/>
  <c r="D660" i="3" s="1"/>
  <c r="P261" i="2"/>
  <c r="K26" i="2"/>
  <c r="K44" i="2" s="1"/>
  <c r="K50" i="2"/>
  <c r="K52" i="2" s="1"/>
  <c r="K56" i="2" s="1"/>
  <c r="AU151" i="2"/>
  <c r="AU211" i="2" s="1"/>
  <c r="J123" i="2"/>
  <c r="J259" i="2" s="1"/>
  <c r="AX30" i="2"/>
  <c r="AR70" i="2"/>
  <c r="AR180" i="2"/>
  <c r="AS214" i="2"/>
  <c r="AR214" i="2"/>
  <c r="K20" i="2"/>
  <c r="K88" i="2"/>
  <c r="C578" i="3"/>
  <c r="C581" i="3" s="1"/>
  <c r="C600" i="3" s="1"/>
  <c r="AV76" i="2"/>
  <c r="AV78" i="2" s="1"/>
  <c r="AV248" i="2"/>
  <c r="AV184" i="2"/>
  <c r="AL123" i="2"/>
  <c r="AL129" i="2" s="1"/>
  <c r="D450" i="3"/>
  <c r="D453" i="3"/>
  <c r="C464" i="3"/>
  <c r="D499" i="3"/>
  <c r="AS123" i="2"/>
  <c r="AL113" i="2"/>
  <c r="AS72" i="2"/>
  <c r="C474" i="3"/>
  <c r="AU184" i="2"/>
  <c r="AU76" i="2"/>
  <c r="AU190" i="2" s="1"/>
  <c r="D470" i="3"/>
  <c r="D473" i="3" s="1"/>
  <c r="D481" i="3"/>
  <c r="D491" i="3"/>
  <c r="AL107" i="2"/>
  <c r="AL103" i="2"/>
  <c r="AL104" i="2" s="1"/>
  <c r="C460" i="3"/>
  <c r="J13" i="1"/>
  <c r="J469" i="3"/>
  <c r="P44" i="1"/>
  <c r="J30" i="1"/>
  <c r="P197" i="2"/>
  <c r="AU160" i="2"/>
  <c r="AU225" i="2" s="1"/>
  <c r="P160" i="2"/>
  <c r="P225" i="2" s="1"/>
  <c r="AN151" i="2"/>
  <c r="AN211" i="2" s="1"/>
  <c r="AN223" i="2"/>
  <c r="AN35" i="2"/>
  <c r="AN30" i="2"/>
  <c r="AN248" i="2"/>
  <c r="AN184" i="2"/>
  <c r="AN76" i="2"/>
  <c r="AN78" i="2" s="1"/>
  <c r="D508" i="3"/>
  <c r="D507" i="3" s="1"/>
  <c r="C504" i="3"/>
  <c r="C510" i="3" s="1"/>
  <c r="E510" i="3" s="1"/>
  <c r="AU56" i="2"/>
  <c r="AU54" i="2"/>
  <c r="AU29" i="2"/>
  <c r="AU44" i="2"/>
  <c r="D504" i="3"/>
  <c r="J20" i="2"/>
  <c r="J26" i="2"/>
  <c r="J44" i="2" s="1"/>
  <c r="AS196" i="2"/>
  <c r="K123" i="2"/>
  <c r="K140" i="2" s="1"/>
  <c r="AS107" i="2"/>
  <c r="D545" i="3"/>
  <c r="D524" i="3"/>
  <c r="AP32" i="1"/>
  <c r="AO10" i="1"/>
  <c r="AO22" i="1"/>
  <c r="AN24" i="1"/>
  <c r="AN25" i="1" s="1"/>
  <c r="AO9" i="1"/>
  <c r="AO23" i="1"/>
  <c r="D521" i="3"/>
  <c r="D553" i="3"/>
  <c r="AS260" i="2"/>
  <c r="AS159" i="2"/>
  <c r="AS224" i="2" s="1"/>
  <c r="J521" i="3"/>
  <c r="J522" i="3"/>
  <c r="D535" i="3"/>
  <c r="J88" i="2"/>
  <c r="J52" i="2"/>
  <c r="J54" i="2" s="1"/>
  <c r="J70" i="2"/>
  <c r="J180" i="2"/>
  <c r="AQ75" i="2"/>
  <c r="AS103" i="2"/>
  <c r="AS104" i="2" s="1"/>
  <c r="AS113" i="2"/>
  <c r="AS108" i="2"/>
  <c r="K70" i="2"/>
  <c r="K180" i="2"/>
  <c r="AO189" i="2"/>
  <c r="AQ65" i="2"/>
  <c r="AQ68" i="2"/>
  <c r="AO183" i="2"/>
  <c r="AO192" i="2"/>
  <c r="AS11" i="2"/>
  <c r="AS19" i="2"/>
  <c r="J555" i="3"/>
  <c r="D588" i="3" s="1"/>
  <c r="AQ73" i="2"/>
  <c r="AQ260" i="2"/>
  <c r="AO242" i="2"/>
  <c r="AQ57" i="2"/>
  <c r="AQ103" i="2"/>
  <c r="AO243" i="2"/>
  <c r="AQ64" i="2"/>
  <c r="AO233" i="2"/>
  <c r="AO251" i="2"/>
  <c r="AQ79" i="2"/>
  <c r="AO253" i="2"/>
  <c r="AQ69" i="2"/>
  <c r="C590" i="3"/>
  <c r="C564" i="3"/>
  <c r="AQ159" i="2"/>
  <c r="AQ224" i="2" s="1"/>
  <c r="AQ19" i="2"/>
  <c r="AQ113" i="2"/>
  <c r="AO59" i="2"/>
  <c r="AO174" i="2" s="1"/>
  <c r="AO236" i="2"/>
  <c r="AO246" i="2"/>
  <c r="AQ107" i="2"/>
  <c r="AQ214" i="2"/>
  <c r="AQ186" i="2"/>
  <c r="AO172" i="2"/>
  <c r="AQ196" i="2"/>
  <c r="C645" i="3"/>
  <c r="C616" i="3"/>
  <c r="C619" i="3" s="1"/>
  <c r="C633" i="3"/>
  <c r="C636" i="3" s="1"/>
  <c r="C655" i="3" s="1"/>
  <c r="AN29" i="1"/>
  <c r="AN28" i="1"/>
  <c r="AO260" i="2"/>
  <c r="AO159" i="2"/>
  <c r="AO224" i="2" s="1"/>
  <c r="AO247" i="2"/>
  <c r="AO19" i="2"/>
  <c r="AO50" i="2" s="1"/>
  <c r="AO123" i="2"/>
  <c r="AO113" i="2"/>
  <c r="AO62" i="2"/>
  <c r="AO103" i="2"/>
  <c r="AO182" i="2"/>
  <c r="AO256" i="2"/>
  <c r="AO178" i="2"/>
  <c r="AO250" i="2"/>
  <c r="AO179" i="2"/>
  <c r="AO187" i="2"/>
  <c r="AO196" i="2"/>
  <c r="C702" i="3"/>
  <c r="C690" i="3"/>
  <c r="C670" i="3"/>
  <c r="C676" i="3" s="1"/>
  <c r="BE93" i="2" l="1"/>
  <c r="BE148" i="2" s="1"/>
  <c r="BG93" i="2"/>
  <c r="AO12" i="1"/>
  <c r="AO13" i="1" s="1"/>
  <c r="AT93" i="2"/>
  <c r="BA93" i="2"/>
  <c r="BA148" i="2" s="1"/>
  <c r="BA208" i="2" s="1"/>
  <c r="BF93" i="2"/>
  <c r="BF148" i="2" s="1"/>
  <c r="AW93" i="2"/>
  <c r="AV93" i="2"/>
  <c r="BE160" i="2"/>
  <c r="BE225" i="2" s="1"/>
  <c r="BE223" i="2"/>
  <c r="AZ93" i="2"/>
  <c r="AZ148" i="2" s="1"/>
  <c r="AZ208" i="2" s="1"/>
  <c r="BE151" i="2"/>
  <c r="BE211" i="2" s="1"/>
  <c r="BE197" i="2"/>
  <c r="AR92" i="2"/>
  <c r="AS50" i="2"/>
  <c r="AY93" i="2"/>
  <c r="AY148" i="2" s="1"/>
  <c r="AY208" i="2" s="1"/>
  <c r="AX93" i="2"/>
  <c r="D651" i="3"/>
  <c r="D617" i="3"/>
  <c r="D618" i="3"/>
  <c r="D642" i="3"/>
  <c r="P279" i="2"/>
  <c r="D649" i="3"/>
  <c r="D622" i="3"/>
  <c r="AU279" i="2"/>
  <c r="D650" i="3"/>
  <c r="D635" i="3"/>
  <c r="K29" i="2"/>
  <c r="K32" i="2" s="1"/>
  <c r="AS32" i="2" s="1"/>
  <c r="D659" i="3"/>
  <c r="D634" i="3"/>
  <c r="D648" i="3"/>
  <c r="D615" i="3"/>
  <c r="D641" i="3"/>
  <c r="D643" i="3"/>
  <c r="D631" i="3"/>
  <c r="D614" i="3"/>
  <c r="D661" i="3"/>
  <c r="D658" i="3"/>
  <c r="D620" i="3"/>
  <c r="AX92" i="2"/>
  <c r="AQ50" i="2"/>
  <c r="AV83" i="2"/>
  <c r="K134" i="2"/>
  <c r="K129" i="2"/>
  <c r="J140" i="2"/>
  <c r="J200" i="2" s="1"/>
  <c r="J129" i="2"/>
  <c r="J146" i="2" s="1"/>
  <c r="J206" i="2" s="1"/>
  <c r="AN83" i="2"/>
  <c r="AY220" i="2"/>
  <c r="AY221" i="2"/>
  <c r="D632" i="3"/>
  <c r="D640" i="3"/>
  <c r="J43" i="2"/>
  <c r="J195" i="2"/>
  <c r="J139" i="2"/>
  <c r="J199" i="2" s="1"/>
  <c r="J158" i="2"/>
  <c r="J223" i="2" s="1"/>
  <c r="J134" i="2"/>
  <c r="J130" i="2"/>
  <c r="J142" i="2" s="1"/>
  <c r="K54" i="2"/>
  <c r="K89" i="2"/>
  <c r="AL130" i="2"/>
  <c r="AL151" i="2" s="1"/>
  <c r="AL211" i="2" s="1"/>
  <c r="L53" i="2"/>
  <c r="AX220" i="2"/>
  <c r="AX35" i="2"/>
  <c r="AL134" i="2"/>
  <c r="AS130" i="2"/>
  <c r="AS197" i="2" s="1"/>
  <c r="AS43" i="2"/>
  <c r="AS233" i="2"/>
  <c r="AV216" i="2"/>
  <c r="BF216" i="2" s="1"/>
  <c r="BF220" i="2" s="1"/>
  <c r="AR233" i="2"/>
  <c r="AR250" i="2"/>
  <c r="AR253" i="2"/>
  <c r="AR247" i="2"/>
  <c r="AR243" i="2"/>
  <c r="AR251" i="2"/>
  <c r="AR256" i="2"/>
  <c r="AR246" i="2"/>
  <c r="AR242" i="2"/>
  <c r="AR236" i="2"/>
  <c r="AR240" i="2"/>
  <c r="AR252" i="2"/>
  <c r="AR249" i="2"/>
  <c r="AR241" i="2"/>
  <c r="AR245" i="2"/>
  <c r="AR244" i="2"/>
  <c r="AL259" i="2"/>
  <c r="AR76" i="2"/>
  <c r="AR78" i="2" s="1"/>
  <c r="AR83" i="2" s="1"/>
  <c r="AR248" i="2"/>
  <c r="AR184" i="2"/>
  <c r="AQ192" i="2"/>
  <c r="AS68" i="2"/>
  <c r="AS182" i="2" s="1"/>
  <c r="AL158" i="2"/>
  <c r="AL160" i="2" s="1"/>
  <c r="AL225" i="2" s="1"/>
  <c r="AW250" i="2"/>
  <c r="AW186" i="2"/>
  <c r="AS64" i="2"/>
  <c r="AS242" i="2" s="1"/>
  <c r="AL43" i="2"/>
  <c r="AW220" i="2"/>
  <c r="AS73" i="2"/>
  <c r="AQ183" i="2"/>
  <c r="AS250" i="2"/>
  <c r="AL195" i="2"/>
  <c r="AP10" i="1"/>
  <c r="AP22" i="1"/>
  <c r="J576" i="3"/>
  <c r="C582" i="3"/>
  <c r="D456" i="3"/>
  <c r="D458" i="3" s="1"/>
  <c r="D460" i="3" s="1"/>
  <c r="AQ233" i="2"/>
  <c r="AV190" i="2"/>
  <c r="AV254" i="2"/>
  <c r="AS65" i="2"/>
  <c r="AS69" i="2"/>
  <c r="AT216" i="2"/>
  <c r="AS57" i="2"/>
  <c r="BH58" i="2" s="1"/>
  <c r="AU78" i="2"/>
  <c r="AU254" i="2"/>
  <c r="AT195" i="2"/>
  <c r="AT158" i="2"/>
  <c r="AT130" i="2"/>
  <c r="AT134" i="2"/>
  <c r="AT259" i="2"/>
  <c r="AT129" i="2"/>
  <c r="AS26" i="2"/>
  <c r="AS79" i="2"/>
  <c r="J575" i="3"/>
  <c r="C512" i="3"/>
  <c r="E512" i="3" s="1"/>
  <c r="D527" i="3"/>
  <c r="K130" i="2"/>
  <c r="K143" i="2" s="1"/>
  <c r="K203" i="2" s="1"/>
  <c r="K195" i="2"/>
  <c r="AN190" i="2"/>
  <c r="AN254" i="2"/>
  <c r="AU216" i="2"/>
  <c r="BE216" i="2" s="1"/>
  <c r="BE220" i="2" s="1"/>
  <c r="D510" i="3"/>
  <c r="D512" i="3" s="1"/>
  <c r="F512" i="3" s="1"/>
  <c r="AO26" i="2"/>
  <c r="AO44" i="2" s="1"/>
  <c r="K53" i="2"/>
  <c r="AQ20" i="2"/>
  <c r="AQ26" i="2"/>
  <c r="AU35" i="2"/>
  <c r="AU30" i="2"/>
  <c r="K43" i="2"/>
  <c r="K158" i="2"/>
  <c r="K160" i="2" s="1"/>
  <c r="K225" i="2" s="1"/>
  <c r="K259" i="2"/>
  <c r="K139" i="2"/>
  <c r="K199" i="2" s="1"/>
  <c r="C528" i="3"/>
  <c r="C518" i="3"/>
  <c r="K200" i="2"/>
  <c r="AS186" i="2"/>
  <c r="AO29" i="1"/>
  <c r="AP9" i="1"/>
  <c r="AP23" i="1"/>
  <c r="AO24" i="1"/>
  <c r="AO28" i="1"/>
  <c r="J523" i="3"/>
  <c r="AS259" i="2"/>
  <c r="AS158" i="2"/>
  <c r="AS160" i="2" s="1"/>
  <c r="AS225" i="2" s="1"/>
  <c r="AS134" i="2"/>
  <c r="AS129" i="2"/>
  <c r="AS195" i="2"/>
  <c r="J29" i="2"/>
  <c r="J89" i="2"/>
  <c r="J56" i="2"/>
  <c r="J94" i="2"/>
  <c r="J184" i="2"/>
  <c r="J76" i="2"/>
  <c r="J78" i="2" s="1"/>
  <c r="J261" i="2"/>
  <c r="K184" i="2"/>
  <c r="K76" i="2"/>
  <c r="K78" i="2" s="1"/>
  <c r="K94" i="2"/>
  <c r="AQ179" i="2"/>
  <c r="D562" i="3"/>
  <c r="AS20" i="2"/>
  <c r="AQ123" i="2"/>
  <c r="D559" i="3"/>
  <c r="D586" i="3"/>
  <c r="D577" i="3"/>
  <c r="D560" i="3"/>
  <c r="AO238" i="2"/>
  <c r="D579" i="3"/>
  <c r="D605" i="3"/>
  <c r="D593" i="3"/>
  <c r="D563" i="3"/>
  <c r="D594" i="3"/>
  <c r="D596" i="3"/>
  <c r="D585" i="3"/>
  <c r="D567" i="3"/>
  <c r="D576" i="3"/>
  <c r="D587" i="3"/>
  <c r="D580" i="3"/>
  <c r="D606" i="3"/>
  <c r="D604" i="3"/>
  <c r="D565" i="3"/>
  <c r="D595" i="3"/>
  <c r="D603" i="3"/>
  <c r="C566" i="3"/>
  <c r="C568" i="3" s="1"/>
  <c r="C627" i="3"/>
  <c r="AQ246" i="2"/>
  <c r="AQ182" i="2"/>
  <c r="AQ59" i="2"/>
  <c r="AQ174" i="2" s="1"/>
  <c r="AQ236" i="2"/>
  <c r="AQ62" i="2"/>
  <c r="AQ172" i="2"/>
  <c r="AQ250" i="2"/>
  <c r="AQ242" i="2"/>
  <c r="AQ178" i="2"/>
  <c r="AQ247" i="2"/>
  <c r="AQ243" i="2"/>
  <c r="AQ253" i="2"/>
  <c r="AQ189" i="2"/>
  <c r="AQ251" i="2"/>
  <c r="AQ187" i="2"/>
  <c r="AQ256" i="2"/>
  <c r="C637" i="3"/>
  <c r="J630" i="3"/>
  <c r="J631" i="3"/>
  <c r="C621" i="3"/>
  <c r="AN30" i="1"/>
  <c r="AO20" i="2"/>
  <c r="AO129" i="2"/>
  <c r="AO130" i="2"/>
  <c r="AO259" i="2"/>
  <c r="AO195" i="2"/>
  <c r="AO158" i="2"/>
  <c r="AO134" i="2"/>
  <c r="AO240" i="2"/>
  <c r="AO176" i="2"/>
  <c r="C693" i="3"/>
  <c r="C712" i="3" s="1"/>
  <c r="C678" i="3"/>
  <c r="BG237" i="2" l="1"/>
  <c r="BG234" i="2"/>
  <c r="AW234" i="2"/>
  <c r="AP12" i="1"/>
  <c r="BG156" i="2"/>
  <c r="BG149" i="2"/>
  <c r="BG209" i="2" s="1"/>
  <c r="BG139" i="2"/>
  <c r="BG140" i="2"/>
  <c r="BG200" i="2" s="1"/>
  <c r="BG146" i="2"/>
  <c r="BG206" i="2" s="1"/>
  <c r="BG145" i="2"/>
  <c r="BG143" i="2"/>
  <c r="BG203" i="2" s="1"/>
  <c r="BG142" i="2"/>
  <c r="AU91" i="2"/>
  <c r="BF142" i="2"/>
  <c r="BF146" i="2"/>
  <c r="BF206" i="2" s="1"/>
  <c r="BF143" i="2"/>
  <c r="BF203" i="2" s="1"/>
  <c r="D644" i="3"/>
  <c r="D616" i="3"/>
  <c r="K35" i="2"/>
  <c r="K30" i="2"/>
  <c r="K92" i="2"/>
  <c r="D630" i="3"/>
  <c r="D633" i="3"/>
  <c r="AS261" i="2"/>
  <c r="AT261" i="2"/>
  <c r="D613" i="3"/>
  <c r="J279" i="2"/>
  <c r="D662" i="3"/>
  <c r="D654" i="3"/>
  <c r="K261" i="2"/>
  <c r="AL261" i="2"/>
  <c r="J161" i="2"/>
  <c r="J145" i="2"/>
  <c r="J163" i="2" s="1"/>
  <c r="K145" i="2"/>
  <c r="K205" i="2" s="1"/>
  <c r="J577" i="3"/>
  <c r="BE156" i="2"/>
  <c r="BE140" i="2"/>
  <c r="BE200" i="2" s="1"/>
  <c r="BE146" i="2"/>
  <c r="BE206" i="2" s="1"/>
  <c r="BE143" i="2"/>
  <c r="BE203" i="2" s="1"/>
  <c r="BE142" i="2"/>
  <c r="BE145" i="2"/>
  <c r="BE149" i="2"/>
  <c r="BE209" i="2" s="1"/>
  <c r="AU83" i="2"/>
  <c r="AY222" i="2"/>
  <c r="AY226" i="2"/>
  <c r="AY227" i="2"/>
  <c r="J160" i="2"/>
  <c r="J225" i="2" s="1"/>
  <c r="AS151" i="2"/>
  <c r="AS211" i="2" s="1"/>
  <c r="J143" i="2"/>
  <c r="J203" i="2" s="1"/>
  <c r="AL197" i="2"/>
  <c r="J197" i="2"/>
  <c r="J151" i="2"/>
  <c r="J211" i="2" s="1"/>
  <c r="AS246" i="2"/>
  <c r="AS91" i="2"/>
  <c r="AS178" i="2"/>
  <c r="AU90" i="2"/>
  <c r="AU142" i="2" s="1"/>
  <c r="J345" i="3"/>
  <c r="J346" i="3" s="1"/>
  <c r="AQ158" i="2"/>
  <c r="AQ160" i="2" s="1"/>
  <c r="AQ225" i="2" s="1"/>
  <c r="AS90" i="2"/>
  <c r="AS28" i="1"/>
  <c r="AS29" i="1"/>
  <c r="AS13" i="1"/>
  <c r="AR190" i="2"/>
  <c r="AR254" i="2"/>
  <c r="AR238" i="2"/>
  <c r="E402" i="3"/>
  <c r="E404" i="3"/>
  <c r="E406" i="3"/>
  <c r="AL223" i="2"/>
  <c r="AW59" i="2"/>
  <c r="AW174" i="2" s="1"/>
  <c r="AW236" i="2"/>
  <c r="AW237" i="2" s="1"/>
  <c r="AW172" i="2"/>
  <c r="AW173" i="2" s="1"/>
  <c r="AW62" i="2"/>
  <c r="AS247" i="2"/>
  <c r="AW242" i="2"/>
  <c r="AW178" i="2"/>
  <c r="AW251" i="2"/>
  <c r="AW187" i="2"/>
  <c r="AS187" i="2"/>
  <c r="AW243" i="2"/>
  <c r="AW179" i="2"/>
  <c r="AW246" i="2"/>
  <c r="AW182" i="2"/>
  <c r="AS251" i="2"/>
  <c r="AW256" i="2"/>
  <c r="AW192" i="2"/>
  <c r="AV220" i="2"/>
  <c r="AP29" i="1"/>
  <c r="AP28" i="1"/>
  <c r="AV149" i="2"/>
  <c r="AV209" i="2" s="1"/>
  <c r="AU80" i="2"/>
  <c r="AV156" i="2"/>
  <c r="AV139" i="2"/>
  <c r="AV140" i="2"/>
  <c r="AV200" i="2" s="1"/>
  <c r="AV145" i="2"/>
  <c r="AV146" i="2"/>
  <c r="AV206" i="2" s="1"/>
  <c r="AV143" i="2"/>
  <c r="AV203" i="2" s="1"/>
  <c r="AV142" i="2"/>
  <c r="AT197" i="2"/>
  <c r="AT151" i="2"/>
  <c r="AT211" i="2" s="1"/>
  <c r="AT160" i="2"/>
  <c r="AT225" i="2" s="1"/>
  <c r="AT223" i="2"/>
  <c r="AU191" i="2"/>
  <c r="AU255" i="2"/>
  <c r="J83" i="2"/>
  <c r="K223" i="2"/>
  <c r="K142" i="2"/>
  <c r="K202" i="2" s="1"/>
  <c r="K83" i="2"/>
  <c r="K161" i="2"/>
  <c r="D514" i="3"/>
  <c r="F514" i="3" s="1"/>
  <c r="K197" i="2"/>
  <c r="K151" i="2"/>
  <c r="K211" i="2" s="1"/>
  <c r="C514" i="3"/>
  <c r="E514" i="3" s="1"/>
  <c r="AN191" i="2"/>
  <c r="AN255" i="2"/>
  <c r="AN80" i="2"/>
  <c r="AN81" i="2" s="1"/>
  <c r="K146" i="2"/>
  <c r="K206" i="2" s="1"/>
  <c r="AS223" i="2"/>
  <c r="F510" i="3"/>
  <c r="AS183" i="2"/>
  <c r="J92" i="2"/>
  <c r="J32" i="2"/>
  <c r="AQ134" i="2"/>
  <c r="D578" i="3"/>
  <c r="AO30" i="1"/>
  <c r="AP24" i="1"/>
  <c r="AP25" i="1" s="1"/>
  <c r="AO25" i="1"/>
  <c r="AS179" i="2"/>
  <c r="AS243" i="2"/>
  <c r="J30" i="2"/>
  <c r="J190" i="2"/>
  <c r="J202" i="2"/>
  <c r="J162" i="2"/>
  <c r="D558" i="3"/>
  <c r="K190" i="2"/>
  <c r="D561" i="3"/>
  <c r="AS172" i="2"/>
  <c r="AS62" i="2"/>
  <c r="AS59" i="2"/>
  <c r="AS174" i="2" s="1"/>
  <c r="AS236" i="2"/>
  <c r="D589" i="3"/>
  <c r="D575" i="3"/>
  <c r="AS256" i="2"/>
  <c r="AS192" i="2"/>
  <c r="AS44" i="2"/>
  <c r="AS29" i="2"/>
  <c r="C572" i="3"/>
  <c r="AQ130" i="2"/>
  <c r="AQ151" i="2" s="1"/>
  <c r="AQ211" i="2" s="1"/>
  <c r="AQ129" i="2"/>
  <c r="AQ259" i="2"/>
  <c r="AQ195" i="2"/>
  <c r="D607" i="3"/>
  <c r="D599" i="3"/>
  <c r="AQ29" i="2"/>
  <c r="AQ44" i="2"/>
  <c r="AQ240" i="2"/>
  <c r="AQ176" i="2"/>
  <c r="AQ238" i="2"/>
  <c r="J632" i="3"/>
  <c r="C625" i="3"/>
  <c r="C623" i="3"/>
  <c r="AO29" i="2"/>
  <c r="AO261" i="2"/>
  <c r="AO160" i="2"/>
  <c r="AO225" i="2" s="1"/>
  <c r="AO223" i="2"/>
  <c r="AO151" i="2"/>
  <c r="AO211" i="2" s="1"/>
  <c r="AO197" i="2"/>
  <c r="C682" i="3"/>
  <c r="C680" i="3"/>
  <c r="C694" i="3"/>
  <c r="J687" i="3"/>
  <c r="J688" i="3"/>
  <c r="BG205" i="2" l="1"/>
  <c r="BG163" i="2"/>
  <c r="BG199" i="2"/>
  <c r="BG161" i="2"/>
  <c r="BG221" i="2"/>
  <c r="BG162" i="2"/>
  <c r="BG202" i="2"/>
  <c r="D619" i="3"/>
  <c r="D621" i="3" s="1"/>
  <c r="D623" i="3" s="1"/>
  <c r="BF140" i="2"/>
  <c r="BF200" i="2" s="1"/>
  <c r="BF156" i="2"/>
  <c r="BF157" i="2" s="1"/>
  <c r="BF149" i="2"/>
  <c r="BF209" i="2" s="1"/>
  <c r="BF145" i="2"/>
  <c r="BF205" i="2" s="1"/>
  <c r="BF202" i="2"/>
  <c r="BF162" i="2"/>
  <c r="BF199" i="2"/>
  <c r="BF161" i="2"/>
  <c r="D636" i="3"/>
  <c r="J205" i="2"/>
  <c r="K279" i="2"/>
  <c r="K163" i="2"/>
  <c r="AQ261" i="2"/>
  <c r="AO279" i="2"/>
  <c r="AT279" i="2"/>
  <c r="AL279" i="2"/>
  <c r="AS279" i="2"/>
  <c r="BE202" i="2"/>
  <c r="BE162" i="2"/>
  <c r="BE205" i="2"/>
  <c r="BE163" i="2"/>
  <c r="BE161" i="2"/>
  <c r="BE199" i="2"/>
  <c r="BE221" i="2"/>
  <c r="BE157" i="2"/>
  <c r="AU81" i="2"/>
  <c r="AU193" i="2"/>
  <c r="AQ223" i="2"/>
  <c r="AS24" i="1"/>
  <c r="AS25" i="1" s="1"/>
  <c r="AW240" i="2"/>
  <c r="AW176" i="2"/>
  <c r="AW247" i="2"/>
  <c r="AW183" i="2"/>
  <c r="AW238" i="2"/>
  <c r="AU257" i="2"/>
  <c r="AW156" i="2"/>
  <c r="AW149" i="2"/>
  <c r="AW209" i="2" s="1"/>
  <c r="AW140" i="2"/>
  <c r="AW200" i="2" s="1"/>
  <c r="AW139" i="2"/>
  <c r="AW143" i="2"/>
  <c r="AW203" i="2" s="1"/>
  <c r="AW142" i="2"/>
  <c r="AW145" i="2"/>
  <c r="AW146" i="2"/>
  <c r="AW206" i="2" s="1"/>
  <c r="F402" i="3"/>
  <c r="F404" i="3"/>
  <c r="F406" i="3"/>
  <c r="AP13" i="1"/>
  <c r="AR28" i="1"/>
  <c r="AR29" i="1"/>
  <c r="AR24" i="1"/>
  <c r="AR25" i="1" s="1"/>
  <c r="AV162" i="2"/>
  <c r="AV202" i="2"/>
  <c r="AU143" i="2"/>
  <c r="C463" i="3"/>
  <c r="AV157" i="2"/>
  <c r="AV221" i="2"/>
  <c r="AU146" i="2"/>
  <c r="AV163" i="2"/>
  <c r="AV205" i="2"/>
  <c r="AV191" i="2"/>
  <c r="AV255" i="2"/>
  <c r="AV80" i="2"/>
  <c r="AV161" i="2"/>
  <c r="AV199" i="2"/>
  <c r="J35" i="2"/>
  <c r="AL32" i="2"/>
  <c r="AL35" i="2" s="1"/>
  <c r="K162" i="2"/>
  <c r="AN257" i="2"/>
  <c r="AN193" i="2"/>
  <c r="AN84" i="2"/>
  <c r="AO30" i="2"/>
  <c r="D564" i="3"/>
  <c r="D566" i="3" s="1"/>
  <c r="D568" i="3" s="1"/>
  <c r="D581" i="3"/>
  <c r="AP30" i="1"/>
  <c r="J191" i="2"/>
  <c r="J80" i="2"/>
  <c r="AQ197" i="2"/>
  <c r="AS156" i="2"/>
  <c r="AS149" i="2"/>
  <c r="AS209" i="2" s="1"/>
  <c r="AS146" i="2"/>
  <c r="AS206" i="2" s="1"/>
  <c r="AS140" i="2"/>
  <c r="AS200" i="2" s="1"/>
  <c r="AS139" i="2"/>
  <c r="AS143" i="2"/>
  <c r="AS203" i="2" s="1"/>
  <c r="AS142" i="2"/>
  <c r="AS145" i="2"/>
  <c r="AS238" i="2"/>
  <c r="AS176" i="2"/>
  <c r="AS240" i="2"/>
  <c r="AS35" i="2"/>
  <c r="AS30" i="2"/>
  <c r="AQ35" i="2"/>
  <c r="AQ30" i="2"/>
  <c r="AO35" i="2"/>
  <c r="J689" i="3"/>
  <c r="BG226" i="2" l="1"/>
  <c r="BG227" i="2"/>
  <c r="BF221" i="2"/>
  <c r="BF222" i="2" s="1"/>
  <c r="BF163" i="2"/>
  <c r="AQ279" i="2"/>
  <c r="BE222" i="2"/>
  <c r="BE227" i="2"/>
  <c r="BE226" i="2"/>
  <c r="AU84" i="2"/>
  <c r="AS30" i="1"/>
  <c r="AW221" i="2"/>
  <c r="AW157" i="2"/>
  <c r="AW205" i="2"/>
  <c r="AW163" i="2"/>
  <c r="AW162" i="2"/>
  <c r="AW202" i="2"/>
  <c r="AW161" i="2"/>
  <c r="AW199" i="2"/>
  <c r="AV81" i="2"/>
  <c r="AR30" i="1"/>
  <c r="AV257" i="2"/>
  <c r="AV193" i="2"/>
  <c r="AV222" i="2"/>
  <c r="AV227" i="2"/>
  <c r="AV226" i="2"/>
  <c r="J81" i="2"/>
  <c r="J193" i="2"/>
  <c r="AS162" i="2"/>
  <c r="AS202" i="2"/>
  <c r="AS161" i="2"/>
  <c r="AS199" i="2"/>
  <c r="AS205" i="2"/>
  <c r="AS163" i="2"/>
  <c r="AS157" i="2"/>
  <c r="AL44" i="1"/>
  <c r="BA56" i="1" s="1"/>
  <c r="AL38" i="1"/>
  <c r="BA50" i="1" s="1"/>
  <c r="AL29" i="1"/>
  <c r="AL28" i="1"/>
  <c r="AL24" i="1"/>
  <c r="AM214" i="2"/>
  <c r="AM215" i="2"/>
  <c r="AM112" i="2"/>
  <c r="AM122" i="2" s="1"/>
  <c r="AM102" i="2"/>
  <c r="AM108" i="2" s="1"/>
  <c r="AM101" i="2"/>
  <c r="AM107" i="2" s="1"/>
  <c r="AM74" i="2"/>
  <c r="AM71" i="2"/>
  <c r="AM67" i="2"/>
  <c r="AM63" i="2"/>
  <c r="AM51" i="2"/>
  <c r="AM230" i="2"/>
  <c r="AM219" i="2"/>
  <c r="AM192" i="2"/>
  <c r="AM187" i="2"/>
  <c r="AM186" i="2"/>
  <c r="AM183" i="2"/>
  <c r="AM182" i="2"/>
  <c r="AM179" i="2"/>
  <c r="AM178" i="2"/>
  <c r="AM172" i="2"/>
  <c r="AM169" i="2"/>
  <c r="AM166" i="2"/>
  <c r="AM154" i="2"/>
  <c r="AM137" i="2"/>
  <c r="AM127" i="2"/>
  <c r="AM118" i="2"/>
  <c r="AM106" i="2"/>
  <c r="AM96" i="2"/>
  <c r="AM86" i="2"/>
  <c r="AM62" i="2"/>
  <c r="AM61" i="2"/>
  <c r="AM59" i="2"/>
  <c r="AM174" i="2" s="1"/>
  <c r="AM58" i="2"/>
  <c r="AM49" i="2"/>
  <c r="AM41" i="2"/>
  <c r="AM40" i="2"/>
  <c r="AM39" i="2"/>
  <c r="AM38" i="2"/>
  <c r="AM10" i="2"/>
  <c r="AM19" i="2" s="1"/>
  <c r="AM8" i="2"/>
  <c r="AK43" i="1"/>
  <c r="AK42" i="1"/>
  <c r="AK41" i="1"/>
  <c r="AK36" i="1"/>
  <c r="AK37" i="1"/>
  <c r="AK35" i="1"/>
  <c r="AA106" i="2"/>
  <c r="AB106" i="2"/>
  <c r="Z106" i="2"/>
  <c r="AE106" i="2"/>
  <c r="AF106" i="2"/>
  <c r="AH106" i="2"/>
  <c r="AI106" i="2"/>
  <c r="AJ106" i="2"/>
  <c r="AD106" i="2"/>
  <c r="D106" i="2"/>
  <c r="E106" i="2"/>
  <c r="F106" i="2"/>
  <c r="G106" i="2"/>
  <c r="H106" i="2"/>
  <c r="I106" i="2"/>
  <c r="C106" i="2"/>
  <c r="AM264" i="2" l="1"/>
  <c r="AM266" i="2"/>
  <c r="AM217" i="2"/>
  <c r="BF226" i="2"/>
  <c r="BF227" i="2"/>
  <c r="AP47" i="1"/>
  <c r="AP48" i="1"/>
  <c r="AP49" i="1"/>
  <c r="AP53" i="1"/>
  <c r="AP54" i="1"/>
  <c r="AP55" i="1"/>
  <c r="AQ50" i="1"/>
  <c r="AQ56" i="1"/>
  <c r="AM50" i="2"/>
  <c r="AM52" i="2" s="1"/>
  <c r="J667" i="3"/>
  <c r="D671" i="3" s="1"/>
  <c r="AS88" i="2"/>
  <c r="AV84" i="2"/>
  <c r="AW222" i="2"/>
  <c r="AW226" i="2"/>
  <c r="AW227" i="2"/>
  <c r="AM26" i="2"/>
  <c r="AM29" i="2" s="1"/>
  <c r="AS216" i="2"/>
  <c r="AS221" i="2" s="1"/>
  <c r="AO71" i="2"/>
  <c r="AO74" i="2"/>
  <c r="AO51" i="2"/>
  <c r="AM253" i="2"/>
  <c r="AM47" i="2"/>
  <c r="AM240" i="2"/>
  <c r="AM103" i="2"/>
  <c r="AO63" i="2"/>
  <c r="AO67" i="2"/>
  <c r="AM251" i="2"/>
  <c r="AM245" i="2"/>
  <c r="AM123" i="2"/>
  <c r="AM259" i="2" s="1"/>
  <c r="AM113" i="2"/>
  <c r="AM188" i="2"/>
  <c r="AL13" i="1"/>
  <c r="AL30" i="1"/>
  <c r="AL25" i="1"/>
  <c r="AM249" i="2"/>
  <c r="AM241" i="2"/>
  <c r="AM260" i="2"/>
  <c r="AM252" i="2"/>
  <c r="AM46" i="2"/>
  <c r="AM11" i="2"/>
  <c r="AM20" i="2"/>
  <c r="AM159" i="2"/>
  <c r="AM224" i="2" s="1"/>
  <c r="AM181" i="2"/>
  <c r="AM189" i="2"/>
  <c r="AM236" i="2"/>
  <c r="AM66" i="2"/>
  <c r="AM246" i="2"/>
  <c r="AM247" i="2"/>
  <c r="AM176" i="2"/>
  <c r="AM256" i="2"/>
  <c r="AM177" i="2"/>
  <c r="AM185" i="2"/>
  <c r="AM242" i="2"/>
  <c r="AM250" i="2"/>
  <c r="AM196" i="2"/>
  <c r="AM233" i="2"/>
  <c r="AM243" i="2"/>
  <c r="I215" i="2"/>
  <c r="AK215" i="2"/>
  <c r="AK217" i="2" s="1"/>
  <c r="H63" i="2"/>
  <c r="C750" i="3"/>
  <c r="C749" i="3"/>
  <c r="C729" i="3"/>
  <c r="C728" i="3" s="1"/>
  <c r="C732" i="3"/>
  <c r="C731" i="3" s="1"/>
  <c r="I112" i="2"/>
  <c r="I102" i="2"/>
  <c r="I108" i="2" s="1"/>
  <c r="I101" i="2"/>
  <c r="I75" i="2"/>
  <c r="I74" i="2"/>
  <c r="I71" i="2"/>
  <c r="I67" i="2"/>
  <c r="I47" i="2" s="1"/>
  <c r="I63" i="2"/>
  <c r="I51" i="2"/>
  <c r="C777" i="3"/>
  <c r="C778" i="3" s="1"/>
  <c r="C769" i="3"/>
  <c r="C759" i="3"/>
  <c r="C745" i="3"/>
  <c r="I44" i="1"/>
  <c r="I38" i="1"/>
  <c r="I29" i="1"/>
  <c r="I28" i="1"/>
  <c r="I24" i="1"/>
  <c r="AK133" i="2"/>
  <c r="AK126" i="2"/>
  <c r="C735" i="3"/>
  <c r="AK117" i="2"/>
  <c r="AK116" i="2"/>
  <c r="AK99" i="2"/>
  <c r="AK100" i="2"/>
  <c r="AK98" i="2"/>
  <c r="AK33" i="2"/>
  <c r="AK32" i="2"/>
  <c r="AK28" i="2"/>
  <c r="AK27" i="2"/>
  <c r="AK23" i="2"/>
  <c r="AK22" i="2"/>
  <c r="AK15" i="2"/>
  <c r="AK16" i="2"/>
  <c r="AK17" i="2"/>
  <c r="AK18" i="2"/>
  <c r="AK14" i="2"/>
  <c r="AK13" i="2"/>
  <c r="AK12" i="2"/>
  <c r="AK9" i="2"/>
  <c r="AK7" i="2"/>
  <c r="AQ87" i="2" s="1"/>
  <c r="AK230" i="2"/>
  <c r="AK219" i="2"/>
  <c r="AK166" i="2"/>
  <c r="AK154" i="2"/>
  <c r="AK137" i="2"/>
  <c r="AK96" i="2"/>
  <c r="AK86" i="2"/>
  <c r="AK61" i="2"/>
  <c r="AK49" i="2"/>
  <c r="I230" i="2"/>
  <c r="I219" i="2"/>
  <c r="I192" i="2"/>
  <c r="I187" i="2"/>
  <c r="I186" i="2"/>
  <c r="I183" i="2"/>
  <c r="I182" i="2"/>
  <c r="I179" i="2"/>
  <c r="I178" i="2"/>
  <c r="I172" i="2"/>
  <c r="I169" i="2"/>
  <c r="I166" i="2"/>
  <c r="I154" i="2"/>
  <c r="I137" i="2"/>
  <c r="I127" i="2"/>
  <c r="I42" i="2" s="1"/>
  <c r="I118" i="2"/>
  <c r="I96" i="2"/>
  <c r="I91" i="2"/>
  <c r="I90" i="2"/>
  <c r="I156" i="2" s="1"/>
  <c r="I87" i="2"/>
  <c r="I155" i="2" s="1"/>
  <c r="I86" i="2"/>
  <c r="I62" i="2"/>
  <c r="I176" i="2" s="1"/>
  <c r="I61" i="2"/>
  <c r="I59" i="2"/>
  <c r="I174" i="2" s="1"/>
  <c r="I58" i="2"/>
  <c r="I173" i="2" s="1"/>
  <c r="I49" i="2"/>
  <c r="I41" i="2"/>
  <c r="I40" i="2"/>
  <c r="I39" i="2"/>
  <c r="I38" i="2"/>
  <c r="I10" i="2"/>
  <c r="I11" i="2" s="1"/>
  <c r="I8" i="2"/>
  <c r="I170" i="2" s="1"/>
  <c r="AJ44" i="1"/>
  <c r="AO56" i="1" s="1"/>
  <c r="AJ38" i="1"/>
  <c r="AO50" i="1" s="1"/>
  <c r="AJ111" i="2"/>
  <c r="AJ121" i="2" s="1"/>
  <c r="C787" i="3"/>
  <c r="C786" i="3" s="1"/>
  <c r="C808" i="3"/>
  <c r="C807" i="3"/>
  <c r="C797" i="3"/>
  <c r="C795" i="3"/>
  <c r="C793" i="3"/>
  <c r="C790" i="3"/>
  <c r="C789" i="3" s="1"/>
  <c r="C835" i="3"/>
  <c r="C836" i="3" s="1"/>
  <c r="D834" i="3"/>
  <c r="D833" i="3"/>
  <c r="C827" i="3"/>
  <c r="C817" i="3"/>
  <c r="C803" i="3"/>
  <c r="AJ215" i="2"/>
  <c r="AJ112" i="2"/>
  <c r="AJ122" i="2" s="1"/>
  <c r="AJ102" i="2"/>
  <c r="AJ108" i="2" s="1"/>
  <c r="AJ101" i="2"/>
  <c r="AJ107" i="2" s="1"/>
  <c r="AJ72" i="2"/>
  <c r="AL72" i="2" s="1"/>
  <c r="AJ230" i="2"/>
  <c r="AJ219" i="2"/>
  <c r="AJ169" i="2"/>
  <c r="AJ166" i="2"/>
  <c r="AJ154" i="2"/>
  <c r="AJ137" i="2"/>
  <c r="AJ127" i="2"/>
  <c r="AJ118" i="2"/>
  <c r="AJ96" i="2"/>
  <c r="AJ86" i="2"/>
  <c r="AJ61" i="2"/>
  <c r="AJ49" i="2"/>
  <c r="AJ41" i="2"/>
  <c r="AJ40" i="2"/>
  <c r="AJ39" i="2"/>
  <c r="AJ38" i="2"/>
  <c r="AJ10" i="2"/>
  <c r="AJ19" i="2" s="1"/>
  <c r="AJ8" i="2"/>
  <c r="AJ266" i="2" l="1"/>
  <c r="AJ217" i="2"/>
  <c r="AR170" i="2"/>
  <c r="AQ170" i="2"/>
  <c r="I266" i="2"/>
  <c r="I217" i="2"/>
  <c r="AN42" i="2"/>
  <c r="AO42" i="2"/>
  <c r="AQ42" i="2"/>
  <c r="AJ159" i="2"/>
  <c r="AJ224" i="2" s="1"/>
  <c r="AM42" i="2"/>
  <c r="I264" i="2"/>
  <c r="AJ264" i="2"/>
  <c r="D679" i="3"/>
  <c r="D674" i="3"/>
  <c r="D700" i="3"/>
  <c r="D708" i="3"/>
  <c r="D717" i="3"/>
  <c r="D706" i="3"/>
  <c r="D688" i="3"/>
  <c r="D707" i="3"/>
  <c r="D689" i="3"/>
  <c r="D675" i="3"/>
  <c r="D705" i="3"/>
  <c r="D699" i="3"/>
  <c r="D697" i="3"/>
  <c r="D692" i="3"/>
  <c r="D672" i="3"/>
  <c r="D670" i="3" s="1"/>
  <c r="D718" i="3"/>
  <c r="D677" i="3"/>
  <c r="D691" i="3"/>
  <c r="D716" i="3"/>
  <c r="D715" i="3"/>
  <c r="D698" i="3"/>
  <c r="C739" i="3"/>
  <c r="AK266" i="2"/>
  <c r="AK112" i="2"/>
  <c r="AK122" i="2" s="1"/>
  <c r="I122" i="2"/>
  <c r="J214" i="2"/>
  <c r="J251" i="2" s="1"/>
  <c r="AO88" i="2"/>
  <c r="AJ50" i="2"/>
  <c r="AS92" i="2"/>
  <c r="AO43" i="2"/>
  <c r="AQ43" i="2"/>
  <c r="AP87" i="2"/>
  <c r="AP155" i="2" s="1"/>
  <c r="AN104" i="2"/>
  <c r="AM87" i="2"/>
  <c r="AM155" i="2" s="1"/>
  <c r="J725" i="3"/>
  <c r="D775" i="3" s="1"/>
  <c r="AL214" i="2"/>
  <c r="AL186" i="2"/>
  <c r="AO177" i="2"/>
  <c r="AN155" i="2"/>
  <c r="AN43" i="2"/>
  <c r="AQ74" i="2"/>
  <c r="AQ71" i="2"/>
  <c r="AQ51" i="2"/>
  <c r="AQ63" i="2"/>
  <c r="AO249" i="2"/>
  <c r="AJ26" i="2"/>
  <c r="AQ67" i="2"/>
  <c r="AS8" i="2"/>
  <c r="AO241" i="2"/>
  <c r="AO66" i="2"/>
  <c r="AO70" i="2" s="1"/>
  <c r="AO46" i="2"/>
  <c r="K249" i="2"/>
  <c r="K250" i="2"/>
  <c r="K221" i="2"/>
  <c r="K242" i="2"/>
  <c r="K216" i="2"/>
  <c r="K253" i="2"/>
  <c r="K245" i="2"/>
  <c r="K241" i="2"/>
  <c r="K220" i="2"/>
  <c r="K246" i="2"/>
  <c r="K252" i="2"/>
  <c r="K233" i="2"/>
  <c r="K251" i="2"/>
  <c r="K236" i="2"/>
  <c r="K240" i="2"/>
  <c r="K243" i="2"/>
  <c r="K247" i="2"/>
  <c r="K256" i="2"/>
  <c r="K244" i="2"/>
  <c r="K248" i="2"/>
  <c r="K254" i="2"/>
  <c r="AS220" i="2"/>
  <c r="AS222" i="2" s="1"/>
  <c r="AO185" i="2"/>
  <c r="AO52" i="2"/>
  <c r="AS227" i="2"/>
  <c r="AS226" i="2"/>
  <c r="C806" i="3"/>
  <c r="C809" i="3" s="1"/>
  <c r="AO252" i="2"/>
  <c r="AO188" i="2"/>
  <c r="AO47" i="2"/>
  <c r="AO245" i="2"/>
  <c r="AO181" i="2"/>
  <c r="AK72" i="2"/>
  <c r="AM195" i="2"/>
  <c r="C684" i="3"/>
  <c r="C748" i="3"/>
  <c r="C751" i="3" s="1"/>
  <c r="C770" i="3" s="1"/>
  <c r="AM129" i="2"/>
  <c r="AM134" i="2"/>
  <c r="AM130" i="2"/>
  <c r="AM151" i="2" s="1"/>
  <c r="AM211" i="2" s="1"/>
  <c r="AM158" i="2"/>
  <c r="AM160" i="2" s="1"/>
  <c r="AM225" i="2" s="1"/>
  <c r="AM261" i="2"/>
  <c r="AK106" i="2"/>
  <c r="I260" i="2"/>
  <c r="AM44" i="2"/>
  <c r="AK102" i="2"/>
  <c r="AK108" i="2" s="1"/>
  <c r="AK101" i="2"/>
  <c r="AK107" i="2" s="1"/>
  <c r="I107" i="2"/>
  <c r="AM70" i="2"/>
  <c r="AM180" i="2"/>
  <c r="AM244" i="2"/>
  <c r="AM238" i="2"/>
  <c r="AM43" i="2"/>
  <c r="AM56" i="2"/>
  <c r="AM54" i="2"/>
  <c r="AJ186" i="2"/>
  <c r="AK111" i="2"/>
  <c r="AK121" i="2" s="1"/>
  <c r="I103" i="2"/>
  <c r="I104" i="2" s="1"/>
  <c r="AK118" i="2"/>
  <c r="AK264" i="2" s="1"/>
  <c r="C737" i="3"/>
  <c r="I46" i="2"/>
  <c r="C734" i="3"/>
  <c r="C760" i="3"/>
  <c r="AK38" i="1"/>
  <c r="I30" i="1"/>
  <c r="AK44" i="1"/>
  <c r="I25" i="1"/>
  <c r="I13" i="1"/>
  <c r="AK127" i="2"/>
  <c r="AK41" i="2"/>
  <c r="AK40" i="2"/>
  <c r="AK214" i="2"/>
  <c r="I177" i="2"/>
  <c r="I66" i="2"/>
  <c r="I149" i="2"/>
  <c r="I209" i="2" s="1"/>
  <c r="AK38" i="2"/>
  <c r="AK39" i="2"/>
  <c r="AK87" i="2"/>
  <c r="AK155" i="2" s="1"/>
  <c r="I113" i="2"/>
  <c r="AK10" i="2"/>
  <c r="AK169" i="2"/>
  <c r="AJ103" i="2"/>
  <c r="I188" i="2"/>
  <c r="I159" i="2"/>
  <c r="I224" i="2" s="1"/>
  <c r="I189" i="2"/>
  <c r="I181" i="2"/>
  <c r="I93" i="2"/>
  <c r="I148" i="2" s="1"/>
  <c r="I208" i="2" s="1"/>
  <c r="I157" i="2"/>
  <c r="I19" i="2"/>
  <c r="I185" i="2"/>
  <c r="I196" i="2"/>
  <c r="C818" i="3"/>
  <c r="AJ113" i="2"/>
  <c r="J783" i="3"/>
  <c r="C792" i="3"/>
  <c r="AJ260" i="2"/>
  <c r="AJ20" i="2"/>
  <c r="AJ11" i="2"/>
  <c r="AJ196" i="2"/>
  <c r="C867" i="3"/>
  <c r="C866" i="3"/>
  <c r="C856" i="3"/>
  <c r="C854" i="3"/>
  <c r="C852" i="3"/>
  <c r="C849" i="3"/>
  <c r="C848" i="3" s="1"/>
  <c r="C846" i="3"/>
  <c r="C894" i="3"/>
  <c r="D893" i="3"/>
  <c r="D892" i="3"/>
  <c r="C886" i="3"/>
  <c r="C876" i="3"/>
  <c r="C862" i="3"/>
  <c r="AI44" i="1"/>
  <c r="AN56" i="1" s="1"/>
  <c r="AI38" i="1"/>
  <c r="AN50" i="1" s="1"/>
  <c r="AI32" i="1"/>
  <c r="AK32" i="1" s="1"/>
  <c r="AI23" i="1"/>
  <c r="AI22" i="1"/>
  <c r="AI10" i="1"/>
  <c r="AI9" i="1"/>
  <c r="AE9" i="1"/>
  <c r="AI230" i="2"/>
  <c r="AI219" i="2"/>
  <c r="AI214" i="2"/>
  <c r="AI215" i="2"/>
  <c r="AI186" i="2"/>
  <c r="AI169" i="2"/>
  <c r="AI166" i="2"/>
  <c r="AI154" i="2"/>
  <c r="AI137" i="2"/>
  <c r="AI127" i="2"/>
  <c r="AI118" i="2"/>
  <c r="AI112" i="2"/>
  <c r="AI122" i="2" s="1"/>
  <c r="AI111" i="2"/>
  <c r="AI121" i="2" s="1"/>
  <c r="AI102" i="2"/>
  <c r="AI108" i="2" s="1"/>
  <c r="AI101" i="2"/>
  <c r="AI107" i="2" s="1"/>
  <c r="BS79" i="2"/>
  <c r="AI96" i="2"/>
  <c r="AI86" i="2"/>
  <c r="AI69" i="2"/>
  <c r="AI68" i="2"/>
  <c r="AI64" i="2"/>
  <c r="AI79" i="2"/>
  <c r="AI65" i="2"/>
  <c r="AE79" i="2"/>
  <c r="AI73" i="2"/>
  <c r="BS73" i="2"/>
  <c r="BS69" i="2"/>
  <c r="BS68" i="2"/>
  <c r="BS65" i="2"/>
  <c r="BS64" i="2"/>
  <c r="BS61" i="2"/>
  <c r="AI61" i="2"/>
  <c r="AH58" i="2"/>
  <c r="BS57" i="2"/>
  <c r="BS59" i="2" s="1"/>
  <c r="AI57" i="2"/>
  <c r="AP58" i="2" s="1"/>
  <c r="BS49" i="2"/>
  <c r="AI49" i="2"/>
  <c r="AI41" i="2"/>
  <c r="AI40" i="2"/>
  <c r="AI39" i="2"/>
  <c r="AI38" i="2"/>
  <c r="BS19" i="2"/>
  <c r="BS26" i="2" s="1"/>
  <c r="BS29" i="2" s="1"/>
  <c r="BS11" i="2"/>
  <c r="BS8" i="2"/>
  <c r="AI10" i="2"/>
  <c r="AI19" i="2" s="1"/>
  <c r="AI50" i="2" s="1"/>
  <c r="AI8" i="2"/>
  <c r="AI266" i="2" l="1"/>
  <c r="AI217" i="2"/>
  <c r="AS170" i="2"/>
  <c r="AP170" i="2"/>
  <c r="AN170" i="2"/>
  <c r="AO170" i="2"/>
  <c r="AK260" i="2"/>
  <c r="AK42" i="2"/>
  <c r="AP56" i="1"/>
  <c r="AP50" i="1"/>
  <c r="D673" i="3"/>
  <c r="D676" i="3" s="1"/>
  <c r="D678" i="3" s="1"/>
  <c r="J242" i="2"/>
  <c r="J252" i="2"/>
  <c r="J244" i="2"/>
  <c r="J245" i="2"/>
  <c r="J250" i="2"/>
  <c r="AM279" i="2"/>
  <c r="J241" i="2"/>
  <c r="D690" i="3"/>
  <c r="J254" i="2"/>
  <c r="D719" i="3"/>
  <c r="J256" i="2"/>
  <c r="J253" i="2"/>
  <c r="AI264" i="2"/>
  <c r="D711" i="3"/>
  <c r="D701" i="3"/>
  <c r="D687" i="3"/>
  <c r="J248" i="2"/>
  <c r="J247" i="2"/>
  <c r="AI12" i="1"/>
  <c r="J236" i="2"/>
  <c r="K237" i="2" s="1"/>
  <c r="J221" i="2"/>
  <c r="J257" i="2"/>
  <c r="J220" i="2"/>
  <c r="J240" i="2"/>
  <c r="J255" i="2"/>
  <c r="J246" i="2"/>
  <c r="J243" i="2"/>
  <c r="AQ181" i="2"/>
  <c r="J233" i="2"/>
  <c r="J216" i="2"/>
  <c r="J249" i="2"/>
  <c r="AJ214" i="2"/>
  <c r="AM216" i="2" s="1"/>
  <c r="I26" i="2"/>
  <c r="I50" i="2"/>
  <c r="I52" i="2" s="1"/>
  <c r="AP104" i="2"/>
  <c r="L234" i="2"/>
  <c r="L237" i="2"/>
  <c r="AL233" i="2"/>
  <c r="AR216" i="2"/>
  <c r="AQ188" i="2"/>
  <c r="AQ245" i="2"/>
  <c r="AQ52" i="2"/>
  <c r="AQ47" i="2"/>
  <c r="AP216" i="2"/>
  <c r="AP220" i="2" s="1"/>
  <c r="D773" i="3"/>
  <c r="D766" i="3"/>
  <c r="D732" i="3"/>
  <c r="AS67" i="2"/>
  <c r="BG148" i="2" s="1"/>
  <c r="BG208" i="2" s="1"/>
  <c r="D758" i="3"/>
  <c r="D749" i="3"/>
  <c r="D776" i="3"/>
  <c r="AS63" i="2"/>
  <c r="AS177" i="2" s="1"/>
  <c r="AS51" i="2"/>
  <c r="AW52" i="2" s="1"/>
  <c r="AI26" i="2"/>
  <c r="AN88" i="2"/>
  <c r="D756" i="3"/>
  <c r="D730" i="3"/>
  <c r="D747" i="3"/>
  <c r="D774" i="3"/>
  <c r="D746" i="3"/>
  <c r="D757" i="3"/>
  <c r="AN58" i="2"/>
  <c r="D755" i="3"/>
  <c r="D763" i="3"/>
  <c r="D765" i="3"/>
  <c r="D735" i="3"/>
  <c r="D729" i="3"/>
  <c r="D733" i="3"/>
  <c r="AL250" i="2"/>
  <c r="D764" i="3"/>
  <c r="D750" i="3"/>
  <c r="D737" i="3"/>
  <c r="AQ66" i="2"/>
  <c r="AQ70" i="2" s="1"/>
  <c r="AO244" i="2"/>
  <c r="AQ252" i="2"/>
  <c r="AQ185" i="2"/>
  <c r="AQ249" i="2"/>
  <c r="AO180" i="2"/>
  <c r="AQ46" i="2"/>
  <c r="AQ177" i="2"/>
  <c r="AQ241" i="2"/>
  <c r="AO56" i="2"/>
  <c r="K238" i="2"/>
  <c r="K222" i="2"/>
  <c r="K227" i="2"/>
  <c r="K226" i="2"/>
  <c r="AO54" i="2"/>
  <c r="AK186" i="2"/>
  <c r="J746" i="3"/>
  <c r="AQ155" i="2"/>
  <c r="AQ104" i="2"/>
  <c r="AK233" i="2"/>
  <c r="AQ216" i="2"/>
  <c r="AO58" i="2"/>
  <c r="AO76" i="2"/>
  <c r="AO248" i="2"/>
  <c r="AO184" i="2"/>
  <c r="AO155" i="2"/>
  <c r="AO104" i="2"/>
  <c r="AM197" i="2"/>
  <c r="AM223" i="2"/>
  <c r="AM104" i="2"/>
  <c r="AM248" i="2"/>
  <c r="AM184" i="2"/>
  <c r="AM76" i="2"/>
  <c r="AM78" i="2" s="1"/>
  <c r="AI250" i="2"/>
  <c r="AM35" i="2"/>
  <c r="AM30" i="2"/>
  <c r="I180" i="2"/>
  <c r="J745" i="3"/>
  <c r="AK159" i="2"/>
  <c r="AK224" i="2" s="1"/>
  <c r="I123" i="2"/>
  <c r="C736" i="3"/>
  <c r="D807" i="3"/>
  <c r="C752" i="3"/>
  <c r="AJ23" i="1"/>
  <c r="AK23" i="1" s="1"/>
  <c r="AJ22" i="1"/>
  <c r="AJ9" i="1"/>
  <c r="AK196" i="2"/>
  <c r="AJ68" i="2"/>
  <c r="AL68" i="2" s="1"/>
  <c r="AJ69" i="2"/>
  <c r="AL69" i="2" s="1"/>
  <c r="AJ73" i="2"/>
  <c r="AL73" i="2" s="1"/>
  <c r="AJ65" i="2"/>
  <c r="AJ57" i="2"/>
  <c r="AJ79" i="2"/>
  <c r="AL79" i="2" s="1"/>
  <c r="AJ64" i="2"/>
  <c r="I70" i="2"/>
  <c r="I184" i="2" s="1"/>
  <c r="AK250" i="2"/>
  <c r="AK11" i="2"/>
  <c r="AK19" i="2"/>
  <c r="AQ88" i="2" s="1"/>
  <c r="AI103" i="2"/>
  <c r="AI233" i="2"/>
  <c r="I88" i="2"/>
  <c r="I20" i="2"/>
  <c r="BS62" i="2"/>
  <c r="AI123" i="2"/>
  <c r="AI259" i="2" s="1"/>
  <c r="AI59" i="2"/>
  <c r="AI174" i="2" s="1"/>
  <c r="AI246" i="2"/>
  <c r="AI113" i="2"/>
  <c r="AI192" i="2"/>
  <c r="BS35" i="2"/>
  <c r="BS30" i="2"/>
  <c r="AI172" i="2"/>
  <c r="AI182" i="2"/>
  <c r="AI247" i="2"/>
  <c r="AI260" i="2"/>
  <c r="J842" i="3"/>
  <c r="D881" i="3" s="1"/>
  <c r="C865" i="3"/>
  <c r="C868" i="3" s="1"/>
  <c r="C887" i="3" s="1"/>
  <c r="BS50" i="2"/>
  <c r="AI159" i="2"/>
  <c r="AI224" i="2" s="1"/>
  <c r="AI183" i="2"/>
  <c r="AI196" i="2"/>
  <c r="AI236" i="2"/>
  <c r="AI24" i="1"/>
  <c r="AI251" i="2"/>
  <c r="D823" i="3"/>
  <c r="D805" i="3"/>
  <c r="D793" i="3"/>
  <c r="D824" i="3"/>
  <c r="D822" i="3"/>
  <c r="D804" i="3"/>
  <c r="D808" i="3"/>
  <c r="D821" i="3"/>
  <c r="D791" i="3"/>
  <c r="D813" i="3"/>
  <c r="D816" i="3"/>
  <c r="D815" i="3"/>
  <c r="D788" i="3"/>
  <c r="D831" i="3"/>
  <c r="D814" i="3"/>
  <c r="D795" i="3"/>
  <c r="AI187" i="2"/>
  <c r="AI242" i="2"/>
  <c r="AI28" i="1"/>
  <c r="D790" i="3"/>
  <c r="BS20" i="2"/>
  <c r="AI178" i="2"/>
  <c r="AI243" i="2"/>
  <c r="AJ10" i="1"/>
  <c r="AK10" i="1" s="1"/>
  <c r="AI29" i="1"/>
  <c r="C810" i="3"/>
  <c r="D787" i="3"/>
  <c r="AI62" i="2"/>
  <c r="AI179" i="2"/>
  <c r="AI256" i="2"/>
  <c r="C828" i="3"/>
  <c r="AJ123" i="2"/>
  <c r="C800" i="3" s="1"/>
  <c r="C794" i="3"/>
  <c r="C796" i="3" s="1"/>
  <c r="J804" i="3"/>
  <c r="J803" i="3"/>
  <c r="AI20" i="2"/>
  <c r="AJ29" i="2"/>
  <c r="AO92" i="2" s="1"/>
  <c r="AJ44" i="2"/>
  <c r="AI11" i="2"/>
  <c r="C845" i="3"/>
  <c r="C851" i="3" s="1"/>
  <c r="C877" i="3"/>
  <c r="C895" i="3"/>
  <c r="BR75" i="2"/>
  <c r="BS75" i="2" s="1"/>
  <c r="BR74" i="2"/>
  <c r="BS74" i="2" s="1"/>
  <c r="BR71" i="2"/>
  <c r="BS71" i="2" s="1"/>
  <c r="BR67" i="2"/>
  <c r="BS67" i="2" s="1"/>
  <c r="BR63" i="2"/>
  <c r="BS63" i="2" s="1"/>
  <c r="BR58" i="2"/>
  <c r="BR51" i="2"/>
  <c r="BS51" i="2" s="1"/>
  <c r="BR8" i="2"/>
  <c r="BQ8" i="2"/>
  <c r="BR61" i="2"/>
  <c r="BR49" i="2"/>
  <c r="BR19" i="2"/>
  <c r="BR26" i="2" s="1"/>
  <c r="BR29" i="2" s="1"/>
  <c r="BR11" i="2"/>
  <c r="D951" i="3"/>
  <c r="D952" i="3"/>
  <c r="C953" i="3"/>
  <c r="C926" i="3"/>
  <c r="C925" i="3"/>
  <c r="C921" i="3"/>
  <c r="C945" i="3"/>
  <c r="C935" i="3"/>
  <c r="AH111" i="2"/>
  <c r="AH121" i="2" s="1"/>
  <c r="C915" i="3"/>
  <c r="C913" i="3"/>
  <c r="C911" i="3"/>
  <c r="C908" i="3"/>
  <c r="C907" i="3" s="1"/>
  <c r="C906" i="3"/>
  <c r="C905" i="3"/>
  <c r="AH44" i="1"/>
  <c r="AH38" i="1"/>
  <c r="AH29" i="1"/>
  <c r="AH28" i="1"/>
  <c r="AH24" i="1"/>
  <c r="AH214" i="2"/>
  <c r="AH215" i="2"/>
  <c r="AH112" i="2"/>
  <c r="AH122" i="2" s="1"/>
  <c r="AH102" i="2"/>
  <c r="AH108" i="2" s="1"/>
  <c r="AH101" i="2"/>
  <c r="AH107" i="2" s="1"/>
  <c r="AH75" i="2"/>
  <c r="AH74" i="2"/>
  <c r="AS74" i="2" s="1"/>
  <c r="AH71" i="2"/>
  <c r="AS71" i="2" s="1"/>
  <c r="AH67" i="2"/>
  <c r="AH63" i="2"/>
  <c r="AH51" i="2"/>
  <c r="AP51" i="2" s="1"/>
  <c r="AH230" i="2"/>
  <c r="AH219" i="2"/>
  <c r="AH192" i="2"/>
  <c r="AH187" i="2"/>
  <c r="AH186" i="2"/>
  <c r="AH183" i="2"/>
  <c r="AH182" i="2"/>
  <c r="AH179" i="2"/>
  <c r="AH178" i="2"/>
  <c r="AH172" i="2"/>
  <c r="AH169" i="2"/>
  <c r="AH166" i="2"/>
  <c r="AH154" i="2"/>
  <c r="AH137" i="2"/>
  <c r="AH127" i="2"/>
  <c r="AH118" i="2"/>
  <c r="AH96" i="2"/>
  <c r="AH86" i="2"/>
  <c r="AH62" i="2"/>
  <c r="AH61" i="2"/>
  <c r="AH59" i="2"/>
  <c r="AH174" i="2" s="1"/>
  <c r="AH49" i="2"/>
  <c r="AH41" i="2"/>
  <c r="AH40" i="2"/>
  <c r="AH39" i="2"/>
  <c r="AH38" i="2"/>
  <c r="AH10" i="2"/>
  <c r="AH19" i="2" s="1"/>
  <c r="AH50" i="2" s="1"/>
  <c r="AH8" i="2"/>
  <c r="AM170" i="2" l="1"/>
  <c r="AP234" i="2"/>
  <c r="AN234" i="2"/>
  <c r="AO234" i="2"/>
  <c r="AS234" i="2"/>
  <c r="AM173" i="2"/>
  <c r="AP237" i="2"/>
  <c r="AN237" i="2"/>
  <c r="AO237" i="2"/>
  <c r="AH266" i="2"/>
  <c r="AH217" i="2"/>
  <c r="AP173" i="2"/>
  <c r="AN173" i="2"/>
  <c r="AO173" i="2"/>
  <c r="AJ242" i="2"/>
  <c r="AH159" i="2"/>
  <c r="AH224" i="2" s="1"/>
  <c r="D693" i="3"/>
  <c r="AU93" i="2"/>
  <c r="J238" i="2"/>
  <c r="AQ56" i="2"/>
  <c r="BF208" i="2"/>
  <c r="AH264" i="2"/>
  <c r="AJ250" i="2"/>
  <c r="AJ233" i="2"/>
  <c r="J227" i="2"/>
  <c r="J226" i="2"/>
  <c r="J222" i="2"/>
  <c r="K234" i="2"/>
  <c r="AL216" i="2"/>
  <c r="AL220" i="2" s="1"/>
  <c r="AO216" i="2"/>
  <c r="AO220" i="2" s="1"/>
  <c r="AN216" i="2"/>
  <c r="AN220" i="2" s="1"/>
  <c r="BE208" i="2"/>
  <c r="I130" i="2"/>
  <c r="I143" i="2" s="1"/>
  <c r="I203" i="2" s="1"/>
  <c r="I129" i="2"/>
  <c r="I145" i="2" s="1"/>
  <c r="AK9" i="1"/>
  <c r="AK12" i="1" s="1"/>
  <c r="AK13" i="1" s="1"/>
  <c r="AJ12" i="1"/>
  <c r="AJ13" i="1" s="1"/>
  <c r="AK50" i="2"/>
  <c r="AS66" i="2"/>
  <c r="AS70" i="2" s="1"/>
  <c r="AS52" i="2"/>
  <c r="BH53" i="2" s="1"/>
  <c r="AS46" i="2"/>
  <c r="AS241" i="2"/>
  <c r="AS93" i="2"/>
  <c r="AS148" i="2" s="1"/>
  <c r="AS208" i="2" s="1"/>
  <c r="AR51" i="2"/>
  <c r="AR52" i="2" s="1"/>
  <c r="BG53" i="2" s="1"/>
  <c r="AR58" i="2"/>
  <c r="AQ58" i="2"/>
  <c r="AV148" i="2"/>
  <c r="AV208" i="2" s="1"/>
  <c r="AR220" i="2"/>
  <c r="AP52" i="2"/>
  <c r="BF53" i="2" s="1"/>
  <c r="D748" i="3"/>
  <c r="AW54" i="2"/>
  <c r="AW56" i="2"/>
  <c r="AW241" i="2"/>
  <c r="AW177" i="2"/>
  <c r="AW46" i="2"/>
  <c r="AW66" i="2"/>
  <c r="AS249" i="2"/>
  <c r="AS188" i="2"/>
  <c r="AQ54" i="2"/>
  <c r="D777" i="3"/>
  <c r="D728" i="3"/>
  <c r="AS181" i="2"/>
  <c r="AP46" i="2"/>
  <c r="AP241" i="2"/>
  <c r="AP177" i="2"/>
  <c r="AP66" i="2"/>
  <c r="AQ244" i="2"/>
  <c r="AS47" i="2"/>
  <c r="AP47" i="2"/>
  <c r="AP181" i="2"/>
  <c r="AP245" i="2"/>
  <c r="AS245" i="2"/>
  <c r="AP249" i="2"/>
  <c r="AP185" i="2"/>
  <c r="AP252" i="2"/>
  <c r="AP188" i="2"/>
  <c r="AP189" i="2"/>
  <c r="AP253" i="2"/>
  <c r="AS75" i="2"/>
  <c r="AM88" i="2"/>
  <c r="AP88" i="2"/>
  <c r="D745" i="3"/>
  <c r="AL65" i="2"/>
  <c r="AO91" i="2" s="1"/>
  <c r="AL183" i="2"/>
  <c r="AL247" i="2"/>
  <c r="AL192" i="2"/>
  <c r="AL256" i="2"/>
  <c r="AL182" i="2"/>
  <c r="AL246" i="2"/>
  <c r="AH26" i="2"/>
  <c r="AL88" i="2"/>
  <c r="AS252" i="2"/>
  <c r="AL64" i="2"/>
  <c r="AL187" i="2"/>
  <c r="AL251" i="2"/>
  <c r="AQ180" i="2"/>
  <c r="AS185" i="2"/>
  <c r="AK26" i="2"/>
  <c r="J53" i="2"/>
  <c r="AJ24" i="1"/>
  <c r="AJ25" i="1" s="1"/>
  <c r="J747" i="3"/>
  <c r="I94" i="2"/>
  <c r="J556" i="3"/>
  <c r="AJ182" i="2"/>
  <c r="AK73" i="2"/>
  <c r="AO78" i="2"/>
  <c r="AQ76" i="2"/>
  <c r="AQ248" i="2"/>
  <c r="AQ184" i="2"/>
  <c r="AJ183" i="2"/>
  <c r="AJ178" i="2"/>
  <c r="I140" i="2"/>
  <c r="I200" i="2" s="1"/>
  <c r="AJ256" i="2"/>
  <c r="AQ220" i="2"/>
  <c r="AJ59" i="2"/>
  <c r="AJ174" i="2" s="1"/>
  <c r="D680" i="3"/>
  <c r="I195" i="2"/>
  <c r="I259" i="2"/>
  <c r="AO254" i="2"/>
  <c r="AO190" i="2"/>
  <c r="AK65" i="2"/>
  <c r="I158" i="2"/>
  <c r="I223" i="2" s="1"/>
  <c r="AM220" i="2"/>
  <c r="J668" i="3"/>
  <c r="AM83" i="2"/>
  <c r="AM254" i="2"/>
  <c r="AM190" i="2"/>
  <c r="AM80" i="2"/>
  <c r="AJ172" i="2"/>
  <c r="I43" i="2"/>
  <c r="AI238" i="2"/>
  <c r="I134" i="2"/>
  <c r="AJ187" i="2"/>
  <c r="AJ251" i="2"/>
  <c r="I139" i="2"/>
  <c r="I161" i="2" s="1"/>
  <c r="AK57" i="2"/>
  <c r="AQ90" i="2" s="1"/>
  <c r="AQ139" i="2" s="1"/>
  <c r="AK68" i="2"/>
  <c r="AJ236" i="2"/>
  <c r="AJ243" i="2"/>
  <c r="AK79" i="2"/>
  <c r="AK69" i="2"/>
  <c r="AJ62" i="2"/>
  <c r="AJ240" i="2" s="1"/>
  <c r="AK64" i="2"/>
  <c r="D769" i="3"/>
  <c r="D731" i="3"/>
  <c r="D759" i="3"/>
  <c r="C740" i="3"/>
  <c r="C738" i="3"/>
  <c r="AK22" i="1"/>
  <c r="AJ28" i="1"/>
  <c r="AK29" i="1"/>
  <c r="AJ29" i="1"/>
  <c r="C798" i="3"/>
  <c r="D867" i="3"/>
  <c r="AJ247" i="2"/>
  <c r="AJ246" i="2"/>
  <c r="AI51" i="2"/>
  <c r="AH256" i="2"/>
  <c r="AK216" i="2"/>
  <c r="J726" i="3" s="1"/>
  <c r="AJ192" i="2"/>
  <c r="D789" i="3"/>
  <c r="I76" i="2"/>
  <c r="I78" i="2" s="1"/>
  <c r="I83" i="2" s="1"/>
  <c r="AJ179" i="2"/>
  <c r="AK20" i="2"/>
  <c r="AK88" i="2"/>
  <c r="D849" i="3"/>
  <c r="AI130" i="2"/>
  <c r="AI197" i="2" s="1"/>
  <c r="AI134" i="2"/>
  <c r="AI129" i="2"/>
  <c r="AI158" i="2"/>
  <c r="AI160" i="2" s="1"/>
  <c r="AI225" i="2" s="1"/>
  <c r="BS66" i="2"/>
  <c r="BS70" i="2" s="1"/>
  <c r="BS76" i="2" s="1"/>
  <c r="C859" i="3"/>
  <c r="AI195" i="2"/>
  <c r="I44" i="2"/>
  <c r="I29" i="2"/>
  <c r="I56" i="2"/>
  <c r="I54" i="2"/>
  <c r="I89" i="2"/>
  <c r="AH240" i="2"/>
  <c r="AH236" i="2"/>
  <c r="AH243" i="2"/>
  <c r="D827" i="3"/>
  <c r="D854" i="3"/>
  <c r="D883" i="3"/>
  <c r="D874" i="3"/>
  <c r="AI176" i="2"/>
  <c r="AI240" i="2"/>
  <c r="AH177" i="2"/>
  <c r="AI63" i="2"/>
  <c r="D852" i="3"/>
  <c r="D847" i="3"/>
  <c r="D850" i="3"/>
  <c r="AH181" i="2"/>
  <c r="AI67" i="2"/>
  <c r="D863" i="3"/>
  <c r="D875" i="3"/>
  <c r="AH249" i="2"/>
  <c r="AI71" i="2"/>
  <c r="D873" i="3"/>
  <c r="D880" i="3"/>
  <c r="D846" i="3"/>
  <c r="AH188" i="2"/>
  <c r="AI74" i="2"/>
  <c r="D866" i="3"/>
  <c r="D872" i="3"/>
  <c r="AI25" i="1"/>
  <c r="AI30" i="1"/>
  <c r="BS52" i="2"/>
  <c r="AH189" i="2"/>
  <c r="AI75" i="2"/>
  <c r="D864" i="3"/>
  <c r="D890" i="3"/>
  <c r="AI13" i="1"/>
  <c r="D882" i="3"/>
  <c r="AI261" i="2"/>
  <c r="AJ259" i="2"/>
  <c r="AJ130" i="2"/>
  <c r="AJ197" i="2" s="1"/>
  <c r="AJ129" i="2"/>
  <c r="AJ158" i="2"/>
  <c r="AJ223" i="2" s="1"/>
  <c r="AJ195" i="2"/>
  <c r="AJ134" i="2"/>
  <c r="D806" i="3"/>
  <c r="D786" i="3"/>
  <c r="D817" i="3"/>
  <c r="D803" i="3"/>
  <c r="J805" i="3"/>
  <c r="AJ35" i="2"/>
  <c r="AJ30" i="2"/>
  <c r="AI29" i="2"/>
  <c r="AI44" i="2"/>
  <c r="C853" i="3"/>
  <c r="C855" i="3" s="1"/>
  <c r="C869" i="3"/>
  <c r="J862" i="3"/>
  <c r="J863" i="3"/>
  <c r="C904" i="3"/>
  <c r="C910" i="3" s="1"/>
  <c r="C912" i="3" s="1"/>
  <c r="C924" i="3"/>
  <c r="C927" i="3" s="1"/>
  <c r="C954" i="3"/>
  <c r="C936" i="3"/>
  <c r="J901" i="3"/>
  <c r="AH242" i="2"/>
  <c r="AH246" i="2"/>
  <c r="BR30" i="2"/>
  <c r="BR35" i="2"/>
  <c r="BR50" i="2"/>
  <c r="BR52" i="2" s="1"/>
  <c r="BR56" i="2" s="1"/>
  <c r="BR59" i="2"/>
  <c r="BR20" i="2"/>
  <c r="BR62" i="2"/>
  <c r="BR66" i="2" s="1"/>
  <c r="AH30" i="1"/>
  <c r="AH25" i="1"/>
  <c r="AH13" i="1"/>
  <c r="AH251" i="2"/>
  <c r="AH247" i="2"/>
  <c r="AH250" i="2"/>
  <c r="AH233" i="2"/>
  <c r="AH241" i="2"/>
  <c r="AH103" i="2"/>
  <c r="AH123" i="2"/>
  <c r="AH113" i="2"/>
  <c r="AH46" i="2"/>
  <c r="AH66" i="2"/>
  <c r="AH185" i="2"/>
  <c r="AH252" i="2"/>
  <c r="AH176" i="2"/>
  <c r="AH260" i="2"/>
  <c r="AH20" i="2"/>
  <c r="AH52" i="2"/>
  <c r="AH47" i="2"/>
  <c r="AH196" i="2"/>
  <c r="AH245" i="2"/>
  <c r="AH253" i="2"/>
  <c r="AH11" i="2"/>
  <c r="AF10" i="2"/>
  <c r="AM234" i="2" l="1"/>
  <c r="AM237" i="2"/>
  <c r="AR237" i="2"/>
  <c r="AQ237" i="2"/>
  <c r="AR173" i="2"/>
  <c r="AQ173" i="2"/>
  <c r="AQ234" i="2"/>
  <c r="AR234" i="2"/>
  <c r="AP54" i="2"/>
  <c r="AS56" i="2"/>
  <c r="AS184" i="2"/>
  <c r="AS180" i="2"/>
  <c r="AI279" i="2"/>
  <c r="AJ261" i="2"/>
  <c r="J611" i="3"/>
  <c r="I261" i="2"/>
  <c r="I197" i="2"/>
  <c r="I151" i="2"/>
  <c r="I211" i="2" s="1"/>
  <c r="I142" i="2"/>
  <c r="I162" i="2" s="1"/>
  <c r="AT51" i="2"/>
  <c r="AV53" i="2"/>
  <c r="AS244" i="2"/>
  <c r="AS89" i="2"/>
  <c r="AS54" i="2"/>
  <c r="AP56" i="2"/>
  <c r="AR54" i="2"/>
  <c r="AR56" i="2"/>
  <c r="AW53" i="2"/>
  <c r="AP91" i="2"/>
  <c r="AQ91" i="2"/>
  <c r="AS94" i="2"/>
  <c r="AL91" i="2"/>
  <c r="AR91" i="2"/>
  <c r="AN91" i="2"/>
  <c r="D751" i="3"/>
  <c r="D734" i="3"/>
  <c r="D736" i="3" s="1"/>
  <c r="AS248" i="2"/>
  <c r="AW189" i="2"/>
  <c r="AW253" i="2"/>
  <c r="AW70" i="2"/>
  <c r="AW244" i="2"/>
  <c r="AW180" i="2"/>
  <c r="AW47" i="2"/>
  <c r="AW245" i="2"/>
  <c r="AW181" i="2"/>
  <c r="AW148" i="2"/>
  <c r="AW208" i="2" s="1"/>
  <c r="AW252" i="2"/>
  <c r="AW188" i="2"/>
  <c r="AW249" i="2"/>
  <c r="AW185" i="2"/>
  <c r="AL179" i="2"/>
  <c r="AS76" i="2"/>
  <c r="AS190" i="2" s="1"/>
  <c r="AP180" i="2"/>
  <c r="AP70" i="2"/>
  <c r="AP244" i="2"/>
  <c r="AL57" i="2"/>
  <c r="AP90" i="2"/>
  <c r="AM91" i="2"/>
  <c r="AS189" i="2"/>
  <c r="AS253" i="2"/>
  <c r="AN92" i="2"/>
  <c r="AL243" i="2"/>
  <c r="AM90" i="2"/>
  <c r="C683" i="3" s="1"/>
  <c r="AM53" i="2"/>
  <c r="AL178" i="2"/>
  <c r="AL242" i="2"/>
  <c r="AO83" i="2"/>
  <c r="AK28" i="1"/>
  <c r="AS58" i="2"/>
  <c r="AQ78" i="2"/>
  <c r="AK251" i="2"/>
  <c r="I146" i="2"/>
  <c r="I206" i="2" s="1"/>
  <c r="AK247" i="2"/>
  <c r="AK187" i="2"/>
  <c r="AK59" i="2"/>
  <c r="AK174" i="2" s="1"/>
  <c r="I199" i="2"/>
  <c r="I160" i="2"/>
  <c r="I225" i="2" s="1"/>
  <c r="AJ238" i="2"/>
  <c r="AQ190" i="2"/>
  <c r="AQ254" i="2"/>
  <c r="AO80" i="2"/>
  <c r="AJ51" i="2"/>
  <c r="AK242" i="2"/>
  <c r="AK91" i="2"/>
  <c r="AO191" i="2"/>
  <c r="AO255" i="2"/>
  <c r="AM81" i="2"/>
  <c r="AM255" i="2"/>
  <c r="AM191" i="2"/>
  <c r="AI52" i="2"/>
  <c r="AP53" i="2" s="1"/>
  <c r="AM257" i="2"/>
  <c r="AM193" i="2"/>
  <c r="AJ67" i="2"/>
  <c r="AK90" i="2"/>
  <c r="AK156" i="2" s="1"/>
  <c r="AK157" i="2" s="1"/>
  <c r="AK236" i="2"/>
  <c r="AK62" i="2"/>
  <c r="AK240" i="2" s="1"/>
  <c r="AK183" i="2"/>
  <c r="AK172" i="2"/>
  <c r="AK178" i="2"/>
  <c r="AJ176" i="2"/>
  <c r="AH238" i="2"/>
  <c r="I80" i="2"/>
  <c r="AK24" i="1"/>
  <c r="AK30" i="1" s="1"/>
  <c r="AJ30" i="1"/>
  <c r="AK220" i="2"/>
  <c r="AI151" i="2"/>
  <c r="AI211" i="2" s="1"/>
  <c r="AK192" i="2"/>
  <c r="AI223" i="2"/>
  <c r="AK179" i="2"/>
  <c r="AK256" i="2"/>
  <c r="D792" i="3"/>
  <c r="D794" i="3" s="1"/>
  <c r="I190" i="2"/>
  <c r="AK243" i="2"/>
  <c r="AK182" i="2"/>
  <c r="AK246" i="2"/>
  <c r="AK29" i="2"/>
  <c r="AQ92" i="2" s="1"/>
  <c r="AK44" i="2"/>
  <c r="I205" i="2"/>
  <c r="I163" i="2"/>
  <c r="I191" i="2"/>
  <c r="I92" i="2"/>
  <c r="I35" i="2"/>
  <c r="I30" i="2"/>
  <c r="D809" i="3"/>
  <c r="AJ75" i="2"/>
  <c r="AL75" i="2" s="1"/>
  <c r="AI189" i="2"/>
  <c r="AI253" i="2"/>
  <c r="AJ74" i="2"/>
  <c r="AL74" i="2" s="1"/>
  <c r="AI188" i="2"/>
  <c r="AI252" i="2"/>
  <c r="BS56" i="2"/>
  <c r="BS54" i="2"/>
  <c r="AI177" i="2"/>
  <c r="AI241" i="2"/>
  <c r="AI46" i="2"/>
  <c r="AI245" i="2"/>
  <c r="AI47" i="2"/>
  <c r="AI181" i="2"/>
  <c r="AJ63" i="2"/>
  <c r="AL63" i="2" s="1"/>
  <c r="AI66" i="2"/>
  <c r="AJ71" i="2"/>
  <c r="AL71" i="2" s="1"/>
  <c r="AI185" i="2"/>
  <c r="AI249" i="2"/>
  <c r="AJ160" i="2"/>
  <c r="AJ225" i="2" s="1"/>
  <c r="AJ151" i="2"/>
  <c r="AJ211" i="2" s="1"/>
  <c r="C857" i="3"/>
  <c r="AI35" i="2"/>
  <c r="AI30" i="2"/>
  <c r="J864" i="3"/>
  <c r="D923" i="3"/>
  <c r="D862" i="3"/>
  <c r="D845" i="3"/>
  <c r="D848" i="3"/>
  <c r="C928" i="3"/>
  <c r="C946" i="3"/>
  <c r="D905" i="3"/>
  <c r="J922" i="3"/>
  <c r="J921" i="3"/>
  <c r="D941" i="3"/>
  <c r="D934" i="3"/>
  <c r="D942" i="3"/>
  <c r="D949" i="3"/>
  <c r="D925" i="3"/>
  <c r="D939" i="3"/>
  <c r="D913" i="3"/>
  <c r="D922" i="3"/>
  <c r="D940" i="3"/>
  <c r="D926" i="3"/>
  <c r="D933" i="3"/>
  <c r="D909" i="3"/>
  <c r="D932" i="3"/>
  <c r="D911" i="3"/>
  <c r="D908" i="3"/>
  <c r="D931" i="3"/>
  <c r="D906" i="3"/>
  <c r="C916" i="3"/>
  <c r="C914" i="3"/>
  <c r="BR54" i="2"/>
  <c r="BR70" i="2"/>
  <c r="BR76" i="2" s="1"/>
  <c r="BR78" i="2" s="1"/>
  <c r="BR83" i="2" s="1"/>
  <c r="AH129" i="2"/>
  <c r="C918" i="3"/>
  <c r="AH134" i="2"/>
  <c r="AH180" i="2"/>
  <c r="AH158" i="2"/>
  <c r="AH223" i="2" s="1"/>
  <c r="AH195" i="2"/>
  <c r="AH259" i="2"/>
  <c r="AH130" i="2"/>
  <c r="AH151" i="2" s="1"/>
  <c r="AH211" i="2" s="1"/>
  <c r="AH244" i="2"/>
  <c r="AH70" i="2"/>
  <c r="AH54" i="2"/>
  <c r="AH56" i="2"/>
  <c r="AH44" i="2"/>
  <c r="AH29" i="2"/>
  <c r="AL92" i="2" s="1"/>
  <c r="AS237" i="2" l="1"/>
  <c r="AS173" i="2"/>
  <c r="I202" i="2"/>
  <c r="AH261" i="2"/>
  <c r="AJ279" i="2"/>
  <c r="I279" i="2"/>
  <c r="AL59" i="2"/>
  <c r="AL174" i="2" s="1"/>
  <c r="AR90" i="2"/>
  <c r="AT58" i="2"/>
  <c r="AS254" i="2"/>
  <c r="AW76" i="2"/>
  <c r="AW78" i="2" s="1"/>
  <c r="AW248" i="2"/>
  <c r="AW184" i="2"/>
  <c r="AL90" i="2"/>
  <c r="AL145" i="2" s="1"/>
  <c r="AL236" i="2"/>
  <c r="AL58" i="2"/>
  <c r="AL62" i="2"/>
  <c r="AL176" i="2" s="1"/>
  <c r="AO90" i="2"/>
  <c r="C626" i="3" s="1"/>
  <c r="D626" i="3" s="1"/>
  <c r="AP156" i="2"/>
  <c r="AP149" i="2"/>
  <c r="AP209" i="2" s="1"/>
  <c r="AP139" i="2"/>
  <c r="AP140" i="2"/>
  <c r="AP200" i="2" s="1"/>
  <c r="AP146" i="2"/>
  <c r="AP206" i="2" s="1"/>
  <c r="AP143" i="2"/>
  <c r="AP203" i="2" s="1"/>
  <c r="AP145" i="2"/>
  <c r="AP142" i="2"/>
  <c r="C571" i="3"/>
  <c r="D571" i="3" s="1"/>
  <c r="AN90" i="2"/>
  <c r="AP184" i="2"/>
  <c r="AP248" i="2"/>
  <c r="AP76" i="2"/>
  <c r="AL172" i="2"/>
  <c r="AM92" i="2"/>
  <c r="AP92" i="2"/>
  <c r="AO81" i="2"/>
  <c r="AO84" i="2" s="1"/>
  <c r="AN53" i="2"/>
  <c r="AL67" i="2"/>
  <c r="AR93" i="2" s="1"/>
  <c r="AL188" i="2"/>
  <c r="AL252" i="2"/>
  <c r="AL189" i="2"/>
  <c r="AL253" i="2"/>
  <c r="AH248" i="2"/>
  <c r="AL46" i="2"/>
  <c r="AL177" i="2"/>
  <c r="AL241" i="2"/>
  <c r="AL185" i="2"/>
  <c r="AL249" i="2"/>
  <c r="AO257" i="2"/>
  <c r="AO53" i="2"/>
  <c r="AK25" i="1"/>
  <c r="AQ83" i="2"/>
  <c r="AQ80" i="2"/>
  <c r="AK238" i="2"/>
  <c r="AK149" i="2"/>
  <c r="AK209" i="2" s="1"/>
  <c r="AK75" i="2"/>
  <c r="AK74" i="2"/>
  <c r="AK221" i="2"/>
  <c r="AK222" i="2" s="1"/>
  <c r="AQ255" i="2"/>
  <c r="AQ191" i="2"/>
  <c r="AJ52" i="2"/>
  <c r="AK63" i="2"/>
  <c r="AO193" i="2"/>
  <c r="AQ156" i="2"/>
  <c r="AQ140" i="2"/>
  <c r="AQ200" i="2" s="1"/>
  <c r="AQ142" i="2"/>
  <c r="AQ145" i="2"/>
  <c r="AQ143" i="2"/>
  <c r="AQ203" i="2" s="1"/>
  <c r="AQ146" i="2"/>
  <c r="AQ206" i="2" s="1"/>
  <c r="AK71" i="2"/>
  <c r="AM84" i="2"/>
  <c r="AM140" i="2"/>
  <c r="AM200" i="2" s="1"/>
  <c r="AK67" i="2"/>
  <c r="AK51" i="2"/>
  <c r="AL51" i="2" s="1"/>
  <c r="AL52" i="2" s="1"/>
  <c r="AR89" i="2" s="1"/>
  <c r="AM139" i="2"/>
  <c r="AM161" i="2" s="1"/>
  <c r="AM145" i="2"/>
  <c r="AM205" i="2" s="1"/>
  <c r="AM149" i="2"/>
  <c r="AM209" i="2" s="1"/>
  <c r="D683" i="3"/>
  <c r="E676" i="3"/>
  <c r="E678" i="3"/>
  <c r="E680" i="3"/>
  <c r="AM156" i="2"/>
  <c r="AM157" i="2" s="1"/>
  <c r="AJ47" i="2"/>
  <c r="AJ181" i="2"/>
  <c r="AM142" i="2"/>
  <c r="AM162" i="2" s="1"/>
  <c r="AJ245" i="2"/>
  <c r="AI54" i="2"/>
  <c r="AM143" i="2"/>
  <c r="AM203" i="2" s="1"/>
  <c r="AM146" i="2"/>
  <c r="AM206" i="2" s="1"/>
  <c r="C741" i="3"/>
  <c r="E736" i="3" s="1"/>
  <c r="AI56" i="2"/>
  <c r="AK176" i="2"/>
  <c r="I193" i="2"/>
  <c r="D738" i="3"/>
  <c r="BS78" i="2"/>
  <c r="BS83" i="2" s="1"/>
  <c r="AK92" i="2"/>
  <c r="AK35" i="2"/>
  <c r="AK30" i="2"/>
  <c r="D904" i="3"/>
  <c r="AJ185" i="2"/>
  <c r="AJ249" i="2"/>
  <c r="AJ177" i="2"/>
  <c r="AJ46" i="2"/>
  <c r="AJ241" i="2"/>
  <c r="AJ66" i="2"/>
  <c r="AI70" i="2"/>
  <c r="AI180" i="2"/>
  <c r="AI244" i="2"/>
  <c r="AJ252" i="2"/>
  <c r="AJ188" i="2"/>
  <c r="AJ253" i="2"/>
  <c r="AJ189" i="2"/>
  <c r="D921" i="3"/>
  <c r="D796" i="3"/>
  <c r="D876" i="3"/>
  <c r="D886" i="3"/>
  <c r="D851" i="3"/>
  <c r="D865" i="3"/>
  <c r="D868" i="3" s="1"/>
  <c r="J923" i="3"/>
  <c r="D924" i="3"/>
  <c r="D945" i="3"/>
  <c r="D935" i="3"/>
  <c r="D907" i="3"/>
  <c r="AH160" i="2"/>
  <c r="AH225" i="2" s="1"/>
  <c r="AH197" i="2"/>
  <c r="AH184" i="2"/>
  <c r="AH76" i="2"/>
  <c r="AH35" i="2"/>
  <c r="AH30" i="2"/>
  <c r="AG7" i="2"/>
  <c r="AF233" i="2"/>
  <c r="AF230" i="2"/>
  <c r="AF219" i="2"/>
  <c r="AF169" i="2"/>
  <c r="AF166" i="2"/>
  <c r="AF154" i="2"/>
  <c r="AF137" i="2"/>
  <c r="AF127" i="2"/>
  <c r="AF118" i="2"/>
  <c r="AF264" i="2" s="1"/>
  <c r="AF112" i="2"/>
  <c r="AF122" i="2" s="1"/>
  <c r="AF111" i="2"/>
  <c r="AF121" i="2" s="1"/>
  <c r="AF102" i="2"/>
  <c r="AF108" i="2" s="1"/>
  <c r="AF101" i="2"/>
  <c r="AF107" i="2" s="1"/>
  <c r="AF96" i="2"/>
  <c r="AF86" i="2"/>
  <c r="AF61" i="2"/>
  <c r="AF49" i="2"/>
  <c r="AF41" i="2"/>
  <c r="AF40" i="2"/>
  <c r="AF39" i="2"/>
  <c r="AF38" i="2"/>
  <c r="AF19" i="2"/>
  <c r="AF50" i="2" s="1"/>
  <c r="AF11" i="2"/>
  <c r="AF8" i="2"/>
  <c r="AG215" i="2"/>
  <c r="AG217" i="2" s="1"/>
  <c r="H215" i="2"/>
  <c r="C990" i="3"/>
  <c r="C989" i="3"/>
  <c r="H112" i="2"/>
  <c r="H122" i="2" s="1"/>
  <c r="H102" i="2"/>
  <c r="H108" i="2" s="1"/>
  <c r="H101" i="2"/>
  <c r="H107" i="2" s="1"/>
  <c r="G102" i="2"/>
  <c r="G108" i="2" s="1"/>
  <c r="G101" i="2"/>
  <c r="G107" i="2" s="1"/>
  <c r="G98" i="2"/>
  <c r="G112" i="2"/>
  <c r="G122" i="2" s="1"/>
  <c r="AJ234" i="2" l="1"/>
  <c r="H266" i="2"/>
  <c r="H217" i="2"/>
  <c r="AJ170" i="2"/>
  <c r="AF260" i="2"/>
  <c r="AH279" i="2"/>
  <c r="AX78" i="2"/>
  <c r="I214" i="2"/>
  <c r="I251" i="2" s="1"/>
  <c r="AL143" i="2"/>
  <c r="AL203" i="2" s="1"/>
  <c r="AO149" i="2"/>
  <c r="AO209" i="2" s="1"/>
  <c r="AL142" i="2"/>
  <c r="AL202" i="2" s="1"/>
  <c r="AL139" i="2"/>
  <c r="AL161" i="2" s="1"/>
  <c r="AL146" i="2"/>
  <c r="AL206" i="2" s="1"/>
  <c r="AL140" i="2"/>
  <c r="AL200" i="2" s="1"/>
  <c r="AN93" i="2"/>
  <c r="AN148" i="2" s="1"/>
  <c r="AN208" i="2" s="1"/>
  <c r="AW83" i="2"/>
  <c r="AL149" i="2"/>
  <c r="AL209" i="2" s="1"/>
  <c r="AQ53" i="2"/>
  <c r="AR53" i="2"/>
  <c r="AR142" i="2"/>
  <c r="AR146" i="2"/>
  <c r="AR206" i="2" s="1"/>
  <c r="AR143" i="2"/>
  <c r="AR203" i="2" s="1"/>
  <c r="AR156" i="2"/>
  <c r="AR139" i="2"/>
  <c r="AR145" i="2"/>
  <c r="AR149" i="2"/>
  <c r="AR209" i="2" s="1"/>
  <c r="AR140" i="2"/>
  <c r="AR200" i="2" s="1"/>
  <c r="AR148" i="2"/>
  <c r="AR208" i="2" s="1"/>
  <c r="AO142" i="2"/>
  <c r="AO202" i="2" s="1"/>
  <c r="AP93" i="2"/>
  <c r="AP148" i="2" s="1"/>
  <c r="AP208" i="2" s="1"/>
  <c r="AQ93" i="2"/>
  <c r="AQ148" i="2" s="1"/>
  <c r="AQ208" i="2" s="1"/>
  <c r="AO140" i="2"/>
  <c r="AO200" i="2" s="1"/>
  <c r="AO93" i="2"/>
  <c r="AO148" i="2" s="1"/>
  <c r="AO208" i="2" s="1"/>
  <c r="E623" i="3"/>
  <c r="AO139" i="2"/>
  <c r="AO161" i="2" s="1"/>
  <c r="E619" i="3"/>
  <c r="AO156" i="2"/>
  <c r="AO221" i="2" s="1"/>
  <c r="AL238" i="2"/>
  <c r="AP78" i="2"/>
  <c r="AT78" i="2" s="1"/>
  <c r="AO146" i="2"/>
  <c r="AO206" i="2" s="1"/>
  <c r="AL156" i="2"/>
  <c r="AL221" i="2" s="1"/>
  <c r="AL240" i="2"/>
  <c r="AL66" i="2"/>
  <c r="AL70" i="2" s="1"/>
  <c r="AR94" i="2" s="1"/>
  <c r="AO145" i="2"/>
  <c r="AO163" i="2" s="1"/>
  <c r="AO143" i="2"/>
  <c r="AO203" i="2" s="1"/>
  <c r="AW254" i="2"/>
  <c r="AW190" i="2"/>
  <c r="E621" i="3"/>
  <c r="E566" i="3"/>
  <c r="AQ149" i="2"/>
  <c r="AQ209" i="2" s="1"/>
  <c r="E568" i="3"/>
  <c r="E564" i="3"/>
  <c r="AP190" i="2"/>
  <c r="AP254" i="2"/>
  <c r="AP205" i="2"/>
  <c r="AP163" i="2"/>
  <c r="AP199" i="2"/>
  <c r="AP161" i="2"/>
  <c r="AN139" i="2"/>
  <c r="AN140" i="2"/>
  <c r="AN200" i="2" s="1"/>
  <c r="AN145" i="2"/>
  <c r="AN146" i="2"/>
  <c r="AN206" i="2" s="1"/>
  <c r="AN143" i="2"/>
  <c r="AN203" i="2" s="1"/>
  <c r="AN149" i="2"/>
  <c r="AN209" i="2" s="1"/>
  <c r="AN142" i="2"/>
  <c r="AN156" i="2"/>
  <c r="AL181" i="2"/>
  <c r="AP162" i="2"/>
  <c r="AP202" i="2"/>
  <c r="AP221" i="2"/>
  <c r="AP157" i="2"/>
  <c r="AO89" i="2"/>
  <c r="AL93" i="2"/>
  <c r="AL148" i="2" s="1"/>
  <c r="AL208" i="2" s="1"/>
  <c r="AN89" i="2"/>
  <c r="AL245" i="2"/>
  <c r="AL47" i="2"/>
  <c r="AM93" i="2"/>
  <c r="AM148" i="2" s="1"/>
  <c r="AM208" i="2" s="1"/>
  <c r="AL53" i="2"/>
  <c r="AL54" i="2"/>
  <c r="AL56" i="2"/>
  <c r="AL89" i="2"/>
  <c r="AL205" i="2"/>
  <c r="AL163" i="2"/>
  <c r="AK8" i="2"/>
  <c r="AL8" i="2"/>
  <c r="AF26" i="2"/>
  <c r="AJ54" i="2"/>
  <c r="AQ81" i="2"/>
  <c r="AQ193" i="2"/>
  <c r="AQ257" i="2"/>
  <c r="E738" i="3"/>
  <c r="F564" i="3"/>
  <c r="F566" i="3"/>
  <c r="F568" i="3"/>
  <c r="E734" i="3"/>
  <c r="AQ199" i="2"/>
  <c r="AQ161" i="2"/>
  <c r="AQ205" i="2"/>
  <c r="AQ163" i="2"/>
  <c r="AQ162" i="2"/>
  <c r="AQ202" i="2"/>
  <c r="AM221" i="2"/>
  <c r="AM227" i="2" s="1"/>
  <c r="AM202" i="2"/>
  <c r="AM199" i="2"/>
  <c r="F619" i="3"/>
  <c r="F621" i="3"/>
  <c r="F623" i="3"/>
  <c r="AQ221" i="2"/>
  <c r="AQ157" i="2"/>
  <c r="AJ56" i="2"/>
  <c r="D741" i="3"/>
  <c r="F734" i="3" s="1"/>
  <c r="F676" i="3"/>
  <c r="F678" i="3"/>
  <c r="F680" i="3"/>
  <c r="AM163" i="2"/>
  <c r="BS80" i="2"/>
  <c r="D910" i="3"/>
  <c r="D912" i="3" s="1"/>
  <c r="D914" i="3" s="1"/>
  <c r="D927" i="3"/>
  <c r="AJ87" i="2"/>
  <c r="AI87" i="2"/>
  <c r="AI76" i="2"/>
  <c r="AI184" i="2"/>
  <c r="AI248" i="2"/>
  <c r="AJ70" i="2"/>
  <c r="AJ180" i="2"/>
  <c r="AJ244" i="2"/>
  <c r="AH78" i="2"/>
  <c r="D853" i="3"/>
  <c r="AF103" i="2"/>
  <c r="BR80" i="2"/>
  <c r="BR81" i="2" s="1"/>
  <c r="AF20" i="2"/>
  <c r="AF123" i="2"/>
  <c r="AF134" i="2" s="1"/>
  <c r="AH254" i="2"/>
  <c r="AH190" i="2"/>
  <c r="AF113" i="2"/>
  <c r="AH87" i="2"/>
  <c r="AF159" i="2"/>
  <c r="AF224" i="2" s="1"/>
  <c r="AF196" i="2"/>
  <c r="C972" i="3"/>
  <c r="C971" i="3" s="1"/>
  <c r="C969" i="3"/>
  <c r="J963" i="3"/>
  <c r="D1017" i="3" s="1"/>
  <c r="C1018" i="3"/>
  <c r="C1019" i="3" s="1"/>
  <c r="C1009" i="3"/>
  <c r="C999" i="3"/>
  <c r="C985" i="3"/>
  <c r="AG43" i="1"/>
  <c r="AG42" i="1"/>
  <c r="AG41" i="1"/>
  <c r="AG37" i="1"/>
  <c r="AG36" i="1"/>
  <c r="AG35" i="1"/>
  <c r="AG32" i="1"/>
  <c r="H44" i="1"/>
  <c r="H38" i="1"/>
  <c r="H29" i="1"/>
  <c r="H28" i="1"/>
  <c r="H24" i="1"/>
  <c r="H25" i="1" s="1"/>
  <c r="AG126" i="2"/>
  <c r="C977" i="3" s="1"/>
  <c r="C975" i="3"/>
  <c r="AG112" i="2"/>
  <c r="AG122" i="2" s="1"/>
  <c r="AG98" i="2"/>
  <c r="H71" i="2"/>
  <c r="H67" i="2"/>
  <c r="H181" i="2" s="1"/>
  <c r="H74" i="2"/>
  <c r="H75" i="2"/>
  <c r="H51" i="2"/>
  <c r="AG133" i="2"/>
  <c r="AG266" i="2" s="1"/>
  <c r="AG117" i="2"/>
  <c r="AG116" i="2"/>
  <c r="AG111" i="2"/>
  <c r="AG121" i="2" s="1"/>
  <c r="AG102" i="2"/>
  <c r="AG101" i="2"/>
  <c r="AG107" i="2" s="1"/>
  <c r="AG100" i="2"/>
  <c r="AG99" i="2"/>
  <c r="AG33" i="2"/>
  <c r="AG32" i="2"/>
  <c r="AG28" i="2"/>
  <c r="AG27" i="2"/>
  <c r="AG23" i="2"/>
  <c r="AG22" i="2"/>
  <c r="AG18" i="2"/>
  <c r="AG17" i="2"/>
  <c r="AG16" i="2"/>
  <c r="AG15" i="2"/>
  <c r="AG14" i="2"/>
  <c r="AG13" i="2"/>
  <c r="AG12" i="2"/>
  <c r="AG9" i="2"/>
  <c r="AG230" i="2"/>
  <c r="AG219" i="2"/>
  <c r="AG214" i="2"/>
  <c r="AG166" i="2"/>
  <c r="AG154" i="2"/>
  <c r="AG137" i="2"/>
  <c r="AG96" i="2"/>
  <c r="AG86" i="2"/>
  <c r="AG61" i="2"/>
  <c r="AG49" i="2"/>
  <c r="AG25" i="2"/>
  <c r="H230" i="2"/>
  <c r="H219" i="2"/>
  <c r="H214" i="2"/>
  <c r="H251" i="2" s="1"/>
  <c r="H192" i="2"/>
  <c r="H187" i="2"/>
  <c r="H186" i="2"/>
  <c r="H183" i="2"/>
  <c r="H182" i="2"/>
  <c r="H179" i="2"/>
  <c r="H178" i="2"/>
  <c r="H172" i="2"/>
  <c r="H169" i="2"/>
  <c r="H166" i="2"/>
  <c r="H154" i="2"/>
  <c r="H137" i="2"/>
  <c r="H127" i="2"/>
  <c r="H118" i="2"/>
  <c r="H264" i="2" s="1"/>
  <c r="H96" i="2"/>
  <c r="H91" i="2"/>
  <c r="H90" i="2"/>
  <c r="H156" i="2" s="1"/>
  <c r="H87" i="2"/>
  <c r="H155" i="2" s="1"/>
  <c r="H86" i="2"/>
  <c r="H62" i="2"/>
  <c r="H176" i="2" s="1"/>
  <c r="H61" i="2"/>
  <c r="H59" i="2"/>
  <c r="H174" i="2" s="1"/>
  <c r="H58" i="2"/>
  <c r="H173" i="2" s="1"/>
  <c r="H49" i="2"/>
  <c r="H41" i="2"/>
  <c r="H40" i="2"/>
  <c r="H39" i="2"/>
  <c r="H38" i="2"/>
  <c r="H10" i="2"/>
  <c r="H19" i="2" s="1"/>
  <c r="H8" i="2"/>
  <c r="H170" i="2" s="1"/>
  <c r="C1028" i="3"/>
  <c r="C1049" i="3"/>
  <c r="C1048" i="3"/>
  <c r="C1031" i="3"/>
  <c r="C1038" i="3"/>
  <c r="C1036" i="3"/>
  <c r="C1034" i="3"/>
  <c r="J1022" i="3"/>
  <c r="D1065" i="3" s="1"/>
  <c r="I245" i="2" l="1"/>
  <c r="I254" i="2"/>
  <c r="I221" i="2"/>
  <c r="I227" i="2" s="1"/>
  <c r="AJ42" i="2"/>
  <c r="AI42" i="2"/>
  <c r="AH42" i="2"/>
  <c r="H260" i="2"/>
  <c r="H42" i="2"/>
  <c r="I220" i="2"/>
  <c r="AL157" i="2"/>
  <c r="I243" i="2"/>
  <c r="I253" i="2"/>
  <c r="I236" i="2"/>
  <c r="J237" i="2" s="1"/>
  <c r="I233" i="2"/>
  <c r="J234" i="2" s="1"/>
  <c r="I240" i="2"/>
  <c r="I216" i="2"/>
  <c r="I257" i="2"/>
  <c r="I249" i="2"/>
  <c r="I255" i="2"/>
  <c r="I246" i="2"/>
  <c r="I248" i="2"/>
  <c r="I242" i="2"/>
  <c r="I252" i="2"/>
  <c r="I250" i="2"/>
  <c r="I247" i="2"/>
  <c r="I244" i="2"/>
  <c r="I256" i="2"/>
  <c r="I241" i="2"/>
  <c r="AL162" i="2"/>
  <c r="AL199" i="2"/>
  <c r="H26" i="2"/>
  <c r="H50" i="2"/>
  <c r="H52" i="2" s="1"/>
  <c r="I53" i="2" s="1"/>
  <c r="AO162" i="2"/>
  <c r="AO205" i="2"/>
  <c r="AO157" i="2"/>
  <c r="AR163" i="2"/>
  <c r="AR205" i="2"/>
  <c r="AR162" i="2"/>
  <c r="AR202" i="2"/>
  <c r="AR161" i="2"/>
  <c r="AR199" i="2"/>
  <c r="AP83" i="2"/>
  <c r="AR157" i="2"/>
  <c r="AR221" i="2"/>
  <c r="AO199" i="2"/>
  <c r="AR255" i="2"/>
  <c r="AR191" i="2"/>
  <c r="AR80" i="2"/>
  <c r="AR81" i="2" s="1"/>
  <c r="AL244" i="2"/>
  <c r="AL180" i="2"/>
  <c r="AP255" i="2"/>
  <c r="AP191" i="2"/>
  <c r="AS78" i="2"/>
  <c r="AP80" i="2"/>
  <c r="AP81" i="2" s="1"/>
  <c r="AN221" i="2"/>
  <c r="AN157" i="2"/>
  <c r="AN162" i="2"/>
  <c r="AN202" i="2"/>
  <c r="AP222" i="2"/>
  <c r="AP227" i="2"/>
  <c r="AP226" i="2"/>
  <c r="AN205" i="2"/>
  <c r="AN163" i="2"/>
  <c r="AN161" i="2"/>
  <c r="AN199" i="2"/>
  <c r="AL94" i="2"/>
  <c r="AO94" i="2"/>
  <c r="AN94" i="2"/>
  <c r="AL222" i="2"/>
  <c r="AL226" i="2"/>
  <c r="AL227" i="2"/>
  <c r="AL184" i="2"/>
  <c r="AL248" i="2"/>
  <c r="AL76" i="2"/>
  <c r="AQ84" i="2"/>
  <c r="AM222" i="2"/>
  <c r="AM226" i="2"/>
  <c r="F736" i="3"/>
  <c r="AG108" i="2"/>
  <c r="F738" i="3"/>
  <c r="AQ222" i="2"/>
  <c r="AQ227" i="2"/>
  <c r="AQ226" i="2"/>
  <c r="AO222" i="2"/>
  <c r="AO227" i="2"/>
  <c r="AO226" i="2"/>
  <c r="AG106" i="2"/>
  <c r="AH83" i="2"/>
  <c r="AI43" i="2"/>
  <c r="AJ43" i="2"/>
  <c r="AJ184" i="2"/>
  <c r="AJ248" i="2"/>
  <c r="AJ76" i="2"/>
  <c r="AI155" i="2"/>
  <c r="AI104" i="2"/>
  <c r="AI190" i="2"/>
  <c r="AI254" i="2"/>
  <c r="AJ216" i="2"/>
  <c r="AH216" i="2"/>
  <c r="AI216" i="2"/>
  <c r="J843" i="3" s="1"/>
  <c r="D891" i="3" s="1"/>
  <c r="D894" i="3" s="1"/>
  <c r="AH191" i="2"/>
  <c r="AJ155" i="2"/>
  <c r="AJ104" i="2"/>
  <c r="AH80" i="2"/>
  <c r="AH255" i="2"/>
  <c r="AI78" i="2"/>
  <c r="D855" i="3"/>
  <c r="AF195" i="2"/>
  <c r="D1014" i="3"/>
  <c r="D1007" i="3"/>
  <c r="D969" i="3"/>
  <c r="D989" i="3"/>
  <c r="D995" i="3"/>
  <c r="AF259" i="2"/>
  <c r="AF130" i="2"/>
  <c r="AF197" i="2" s="1"/>
  <c r="AF129" i="2"/>
  <c r="D973" i="3"/>
  <c r="AG44" i="1"/>
  <c r="AG38" i="1"/>
  <c r="AF158" i="2"/>
  <c r="AF223" i="2" s="1"/>
  <c r="D970" i="3"/>
  <c r="C979" i="3"/>
  <c r="C1000" i="3"/>
  <c r="H123" i="2"/>
  <c r="AH43" i="2"/>
  <c r="D986" i="3"/>
  <c r="AH155" i="2"/>
  <c r="AH104" i="2"/>
  <c r="D998" i="3"/>
  <c r="AG118" i="2"/>
  <c r="AG264" i="2" s="1"/>
  <c r="AG127" i="2"/>
  <c r="D1005" i="3"/>
  <c r="D1006" i="3"/>
  <c r="AG216" i="2"/>
  <c r="AF29" i="2"/>
  <c r="AF44" i="2"/>
  <c r="D987" i="3"/>
  <c r="D1015" i="3"/>
  <c r="D997" i="3"/>
  <c r="D990" i="3"/>
  <c r="D996" i="3"/>
  <c r="D1008" i="3"/>
  <c r="D975" i="3"/>
  <c r="D1003" i="3"/>
  <c r="D1016" i="3"/>
  <c r="D977" i="3"/>
  <c r="D1004" i="3"/>
  <c r="H220" i="2"/>
  <c r="C988" i="3"/>
  <c r="D972" i="3"/>
  <c r="C968" i="3"/>
  <c r="C974" i="3" s="1"/>
  <c r="D1034" i="3"/>
  <c r="D1054" i="3"/>
  <c r="D1055" i="3"/>
  <c r="D1067" i="3"/>
  <c r="H13" i="1"/>
  <c r="H30" i="1"/>
  <c r="H185" i="2"/>
  <c r="H189" i="2"/>
  <c r="H188" i="2"/>
  <c r="H47" i="2"/>
  <c r="H46" i="2"/>
  <c r="AG41" i="2"/>
  <c r="AG233" i="2"/>
  <c r="AG38" i="2"/>
  <c r="AG39" i="2"/>
  <c r="AG40" i="2"/>
  <c r="AG169" i="2"/>
  <c r="D1056" i="3"/>
  <c r="D1028" i="3"/>
  <c r="AG10" i="2"/>
  <c r="AG87" i="2"/>
  <c r="AG155" i="2" s="1"/>
  <c r="D1066" i="3"/>
  <c r="H93" i="2"/>
  <c r="H148" i="2" s="1"/>
  <c r="H208" i="2" s="1"/>
  <c r="H196" i="2"/>
  <c r="D1073" i="3"/>
  <c r="H149" i="2"/>
  <c r="H209" i="2" s="1"/>
  <c r="D1036" i="3"/>
  <c r="H103" i="2"/>
  <c r="H104" i="2" s="1"/>
  <c r="H221" i="2"/>
  <c r="H157" i="2"/>
  <c r="H88" i="2"/>
  <c r="H20" i="2"/>
  <c r="H252" i="2"/>
  <c r="H11" i="2"/>
  <c r="H236" i="2"/>
  <c r="H245" i="2"/>
  <c r="H253" i="2"/>
  <c r="H113" i="2"/>
  <c r="H159" i="2"/>
  <c r="H224" i="2" s="1"/>
  <c r="H246" i="2"/>
  <c r="H216" i="2"/>
  <c r="H240" i="2"/>
  <c r="H66" i="2"/>
  <c r="H241" i="2"/>
  <c r="H249" i="2"/>
  <c r="H177" i="2"/>
  <c r="H242" i="2"/>
  <c r="H250" i="2"/>
  <c r="H247" i="2"/>
  <c r="H256" i="2"/>
  <c r="H233" i="2"/>
  <c r="H243" i="2"/>
  <c r="D1057" i="3"/>
  <c r="D1074" i="3"/>
  <c r="D1062" i="3"/>
  <c r="D1075" i="3"/>
  <c r="D1029" i="3"/>
  <c r="D1063" i="3"/>
  <c r="D1076" i="3"/>
  <c r="D1031" i="3"/>
  <c r="D1045" i="3"/>
  <c r="D1064" i="3"/>
  <c r="D1032" i="3"/>
  <c r="D1046" i="3"/>
  <c r="I234" i="2" l="1"/>
  <c r="AL234" i="2"/>
  <c r="AK234" i="2"/>
  <c r="AL170" i="2"/>
  <c r="AK170" i="2"/>
  <c r="I226" i="2"/>
  <c r="I222" i="2"/>
  <c r="I237" i="2"/>
  <c r="I238" i="2"/>
  <c r="AG159" i="2"/>
  <c r="AG224" i="2" s="1"/>
  <c r="AG42" i="2"/>
  <c r="AF261" i="2"/>
  <c r="H158" i="2"/>
  <c r="H223" i="2" s="1"/>
  <c r="H226" i="2" s="1"/>
  <c r="H129" i="2"/>
  <c r="H145" i="2" s="1"/>
  <c r="AR226" i="2"/>
  <c r="AR227" i="2"/>
  <c r="AR222" i="2"/>
  <c r="AR257" i="2"/>
  <c r="AR193" i="2"/>
  <c r="AW255" i="2"/>
  <c r="AW191" i="2"/>
  <c r="AW80" i="2"/>
  <c r="AN222" i="2"/>
  <c r="AN226" i="2"/>
  <c r="AN227" i="2"/>
  <c r="AP257" i="2"/>
  <c r="AP193" i="2"/>
  <c r="AL254" i="2"/>
  <c r="AL190" i="2"/>
  <c r="AI220" i="2"/>
  <c r="AH81" i="2"/>
  <c r="AH193" i="2"/>
  <c r="AH257" i="2"/>
  <c r="AJ220" i="2"/>
  <c r="AG260" i="2"/>
  <c r="AJ78" i="2"/>
  <c r="AL78" i="2" s="1"/>
  <c r="AJ254" i="2"/>
  <c r="AJ190" i="2"/>
  <c r="J784" i="3"/>
  <c r="D832" i="3" s="1"/>
  <c r="D835" i="3" s="1"/>
  <c r="AI255" i="2"/>
  <c r="AI191" i="2"/>
  <c r="AI83" i="2"/>
  <c r="AI80" i="2"/>
  <c r="D988" i="3"/>
  <c r="D968" i="3"/>
  <c r="H222" i="2"/>
  <c r="AF151" i="2"/>
  <c r="AF211" i="2" s="1"/>
  <c r="AF160" i="2"/>
  <c r="AF225" i="2" s="1"/>
  <c r="J902" i="3"/>
  <c r="D950" i="3" s="1"/>
  <c r="D953" i="3" s="1"/>
  <c r="H134" i="2"/>
  <c r="H259" i="2"/>
  <c r="AH220" i="2"/>
  <c r="H139" i="2"/>
  <c r="H199" i="2" s="1"/>
  <c r="H43" i="2"/>
  <c r="AG196" i="2"/>
  <c r="H140" i="2"/>
  <c r="H200" i="2" s="1"/>
  <c r="H130" i="2"/>
  <c r="H143" i="2" s="1"/>
  <c r="H203" i="2" s="1"/>
  <c r="D999" i="3"/>
  <c r="H195" i="2"/>
  <c r="AF35" i="2"/>
  <c r="AF30" i="2"/>
  <c r="C991" i="3"/>
  <c r="D1009" i="3"/>
  <c r="C976" i="3"/>
  <c r="D971" i="3"/>
  <c r="D985" i="3"/>
  <c r="D1018" i="3"/>
  <c r="AG19" i="2"/>
  <c r="AG11" i="2"/>
  <c r="H70" i="2"/>
  <c r="H180" i="2"/>
  <c r="H244" i="2"/>
  <c r="H56" i="2"/>
  <c r="H54" i="2"/>
  <c r="H89" i="2"/>
  <c r="H44" i="2"/>
  <c r="H29" i="2"/>
  <c r="H238" i="2"/>
  <c r="BQ61" i="2"/>
  <c r="BQ49" i="2"/>
  <c r="BQ19" i="2"/>
  <c r="C1077" i="3"/>
  <c r="C1078" i="3" s="1"/>
  <c r="C1068" i="3"/>
  <c r="C1058" i="3"/>
  <c r="D1049" i="3"/>
  <c r="C1044" i="3"/>
  <c r="C1030" i="3"/>
  <c r="C1027" i="3"/>
  <c r="AF44" i="1"/>
  <c r="AF38" i="1"/>
  <c r="C1108" i="3"/>
  <c r="C1107" i="3"/>
  <c r="AE111" i="2"/>
  <c r="AE121" i="2" s="1"/>
  <c r="C1097" i="3"/>
  <c r="C1095" i="3"/>
  <c r="C1093" i="3"/>
  <c r="C1090" i="3"/>
  <c r="C1089" i="3" s="1"/>
  <c r="C1087" i="3"/>
  <c r="C1086" i="3" s="1"/>
  <c r="J1081" i="3"/>
  <c r="C1136" i="3"/>
  <c r="C1137" i="3" s="1"/>
  <c r="C1127" i="3"/>
  <c r="C1117" i="3"/>
  <c r="C1103" i="3"/>
  <c r="AE23" i="1"/>
  <c r="AE22" i="1"/>
  <c r="AE10" i="1"/>
  <c r="AE12" i="1" s="1"/>
  <c r="AE44" i="1"/>
  <c r="AE38" i="1"/>
  <c r="AE112" i="2"/>
  <c r="AE122" i="2" s="1"/>
  <c r="AE102" i="2"/>
  <c r="AE108" i="2" s="1"/>
  <c r="AE101" i="2"/>
  <c r="AE107" i="2" s="1"/>
  <c r="AE98" i="2"/>
  <c r="AE69" i="2"/>
  <c r="AE65" i="2"/>
  <c r="H261" i="2" l="1"/>
  <c r="AF279" i="2"/>
  <c r="H160" i="2"/>
  <c r="H225" i="2" s="1"/>
  <c r="H227" i="2" s="1"/>
  <c r="AG26" i="2"/>
  <c r="AG50" i="2"/>
  <c r="AW81" i="2"/>
  <c r="AW84" i="2" s="1"/>
  <c r="AW257" i="2"/>
  <c r="AW193" i="2"/>
  <c r="AL191" i="2"/>
  <c r="AL255" i="2"/>
  <c r="AJ83" i="2"/>
  <c r="AK78" i="2"/>
  <c r="AI81" i="2"/>
  <c r="AI193" i="2"/>
  <c r="AI257" i="2"/>
  <c r="D991" i="3"/>
  <c r="AJ191" i="2"/>
  <c r="AJ255" i="2"/>
  <c r="AJ80" i="2"/>
  <c r="AL80" i="2" s="1"/>
  <c r="AJ88" i="2"/>
  <c r="AI88" i="2"/>
  <c r="D974" i="3"/>
  <c r="D976" i="3" s="1"/>
  <c r="H197" i="2"/>
  <c r="H146" i="2"/>
  <c r="H206" i="2" s="1"/>
  <c r="H161" i="2"/>
  <c r="C992" i="3"/>
  <c r="C1010" i="3"/>
  <c r="H151" i="2"/>
  <c r="H211" i="2" s="1"/>
  <c r="H142" i="2"/>
  <c r="H202" i="2" s="1"/>
  <c r="AF65" i="2"/>
  <c r="AF69" i="2"/>
  <c r="J985" i="3"/>
  <c r="J986" i="3"/>
  <c r="C978" i="3"/>
  <c r="C980" i="3"/>
  <c r="C1106" i="3"/>
  <c r="C1109" i="3" s="1"/>
  <c r="C1128" i="3" s="1"/>
  <c r="C1092" i="3"/>
  <c r="C1094" i="3" s="1"/>
  <c r="AF10" i="1"/>
  <c r="AG10" i="1" s="1"/>
  <c r="AF9" i="1"/>
  <c r="AF22" i="1"/>
  <c r="AF23" i="1"/>
  <c r="AG23" i="1" s="1"/>
  <c r="AG20" i="2"/>
  <c r="H205" i="2"/>
  <c r="H163" i="2"/>
  <c r="H184" i="2"/>
  <c r="H248" i="2"/>
  <c r="H94" i="2"/>
  <c r="H76" i="2"/>
  <c r="H92" i="2"/>
  <c r="H35" i="2"/>
  <c r="H30" i="2"/>
  <c r="C1047" i="3"/>
  <c r="C1050" i="3" s="1"/>
  <c r="J1045" i="3" s="1"/>
  <c r="D1048" i="3"/>
  <c r="AE24" i="1"/>
  <c r="AE103" i="2"/>
  <c r="AE29" i="1"/>
  <c r="D1095" i="3"/>
  <c r="D1093" i="3"/>
  <c r="AE13" i="1"/>
  <c r="BQ20" i="2"/>
  <c r="BQ26" i="2"/>
  <c r="BQ50" i="2"/>
  <c r="BQ11" i="2"/>
  <c r="D1087" i="3"/>
  <c r="D1113" i="3"/>
  <c r="D1123" i="3"/>
  <c r="D1088" i="3"/>
  <c r="D1116" i="3"/>
  <c r="D1132" i="3"/>
  <c r="D1104" i="3"/>
  <c r="D1121" i="3"/>
  <c r="D1135" i="3"/>
  <c r="D1108" i="3"/>
  <c r="D1124" i="3"/>
  <c r="D1134" i="3"/>
  <c r="C1033" i="3"/>
  <c r="D1090" i="3"/>
  <c r="D1105" i="3"/>
  <c r="D1114" i="3"/>
  <c r="D1126" i="3"/>
  <c r="D1122" i="3"/>
  <c r="D1091" i="3"/>
  <c r="D1107" i="3"/>
  <c r="D1115" i="3"/>
  <c r="D1125" i="3"/>
  <c r="D1133" i="3"/>
  <c r="C1118" i="3"/>
  <c r="AE28" i="1"/>
  <c r="AE68" i="2"/>
  <c r="H279" i="2" l="1"/>
  <c r="AG9" i="1"/>
  <c r="AG12" i="1" s="1"/>
  <c r="AG13" i="1" s="1"/>
  <c r="AF12" i="1"/>
  <c r="AF13" i="1" s="1"/>
  <c r="AL193" i="2"/>
  <c r="AL257" i="2"/>
  <c r="AK80" i="2"/>
  <c r="AJ193" i="2"/>
  <c r="AJ257" i="2"/>
  <c r="AJ81" i="2"/>
  <c r="AI84" i="2"/>
  <c r="H162" i="2"/>
  <c r="AG69" i="2"/>
  <c r="AF28" i="1"/>
  <c r="AG22" i="1"/>
  <c r="AF24" i="1"/>
  <c r="AF243" i="2"/>
  <c r="AF179" i="2"/>
  <c r="AF68" i="2"/>
  <c r="AG68" i="2" s="1"/>
  <c r="AF79" i="2"/>
  <c r="AG79" i="2" s="1"/>
  <c r="AF247" i="2"/>
  <c r="AF183" i="2"/>
  <c r="AG65" i="2"/>
  <c r="J987" i="3"/>
  <c r="C1069" i="3"/>
  <c r="D978" i="3"/>
  <c r="AG29" i="1"/>
  <c r="AF29" i="1"/>
  <c r="H78" i="2"/>
  <c r="H83" i="2" s="1"/>
  <c r="AG29" i="2"/>
  <c r="AG44" i="2"/>
  <c r="C1041" i="3"/>
  <c r="H190" i="2"/>
  <c r="H254" i="2"/>
  <c r="D1068" i="3"/>
  <c r="D1047" i="3"/>
  <c r="AE30" i="1"/>
  <c r="D1058" i="3"/>
  <c r="D1044" i="3"/>
  <c r="BQ29" i="2"/>
  <c r="D1127" i="3"/>
  <c r="D1086" i="3"/>
  <c r="D1077" i="3"/>
  <c r="D1030" i="3"/>
  <c r="C1051" i="3"/>
  <c r="D1027" i="3"/>
  <c r="J1044" i="3"/>
  <c r="J1046" i="3" s="1"/>
  <c r="J1104" i="3"/>
  <c r="C1110" i="3"/>
  <c r="C1098" i="3"/>
  <c r="C1096" i="3"/>
  <c r="J1103" i="3"/>
  <c r="AE73" i="2"/>
  <c r="AE64" i="2"/>
  <c r="AE57" i="2"/>
  <c r="AI58" i="2" s="1"/>
  <c r="AE38" i="2"/>
  <c r="AE8" i="2"/>
  <c r="AE256" i="2"/>
  <c r="AE246" i="2"/>
  <c r="AE233" i="2"/>
  <c r="AE230" i="2"/>
  <c r="AE219" i="2"/>
  <c r="AE169" i="2"/>
  <c r="AE166" i="2"/>
  <c r="AE154" i="2"/>
  <c r="AE137" i="2"/>
  <c r="AE127" i="2"/>
  <c r="AE118" i="2"/>
  <c r="AE264" i="2" s="1"/>
  <c r="AE113" i="2"/>
  <c r="AE96" i="2"/>
  <c r="AE86" i="2"/>
  <c r="AE192" i="2"/>
  <c r="AE72" i="2"/>
  <c r="AE183" i="2"/>
  <c r="AE182" i="2"/>
  <c r="AE243" i="2"/>
  <c r="AE61" i="2"/>
  <c r="AE49" i="2"/>
  <c r="AE41" i="2"/>
  <c r="AE40" i="2"/>
  <c r="AE39" i="2"/>
  <c r="AE10" i="2"/>
  <c r="AE19" i="2" s="1"/>
  <c r="AE50" i="2" s="1"/>
  <c r="C1166" i="3"/>
  <c r="C1165" i="3"/>
  <c r="C1155" i="3"/>
  <c r="C1153" i="3"/>
  <c r="C1151" i="3"/>
  <c r="C1148" i="3"/>
  <c r="C1147" i="3" s="1"/>
  <c r="C1145" i="3"/>
  <c r="J1139" i="3"/>
  <c r="C1194" i="3"/>
  <c r="C1195" i="3" s="1"/>
  <c r="C1185" i="3"/>
  <c r="C1175" i="3"/>
  <c r="C1161" i="3"/>
  <c r="AD44" i="1"/>
  <c r="AD38" i="1"/>
  <c r="AD29" i="1"/>
  <c r="AD28" i="1"/>
  <c r="AD24" i="1"/>
  <c r="AD25" i="1" s="1"/>
  <c r="AI234" i="2" l="1"/>
  <c r="AI170" i="2"/>
  <c r="AH88" i="2"/>
  <c r="AE26" i="2"/>
  <c r="AJ91" i="2"/>
  <c r="AG28" i="1"/>
  <c r="AG183" i="2"/>
  <c r="AI91" i="2"/>
  <c r="AJ92" i="2"/>
  <c r="AI92" i="2"/>
  <c r="AG247" i="2"/>
  <c r="AG24" i="1"/>
  <c r="AG30" i="1" s="1"/>
  <c r="AD13" i="1"/>
  <c r="AF30" i="1"/>
  <c r="AF57" i="2"/>
  <c r="AF73" i="2"/>
  <c r="AG73" i="2" s="1"/>
  <c r="AF256" i="2"/>
  <c r="AF192" i="2"/>
  <c r="AF64" i="2"/>
  <c r="AG64" i="2" s="1"/>
  <c r="AF72" i="2"/>
  <c r="AF182" i="2"/>
  <c r="AF246" i="2"/>
  <c r="AH91" i="2"/>
  <c r="H80" i="2"/>
  <c r="H81" i="2" s="1"/>
  <c r="I81" i="2" s="1"/>
  <c r="AE242" i="2"/>
  <c r="AG243" i="2"/>
  <c r="AG179" i="2"/>
  <c r="AG182" i="2"/>
  <c r="AG246" i="2"/>
  <c r="AG192" i="2"/>
  <c r="AG256" i="2"/>
  <c r="AG30" i="2"/>
  <c r="AG35" i="2"/>
  <c r="AE250" i="2"/>
  <c r="AG91" i="2"/>
  <c r="H191" i="2"/>
  <c r="H255" i="2"/>
  <c r="AE187" i="2"/>
  <c r="D1050" i="3"/>
  <c r="AE178" i="2"/>
  <c r="AE25" i="1"/>
  <c r="AE186" i="2"/>
  <c r="J1105" i="3"/>
  <c r="BQ35" i="2"/>
  <c r="BQ30" i="2"/>
  <c r="D1033" i="3"/>
  <c r="D1172" i="3"/>
  <c r="D1136" i="3"/>
  <c r="D1103" i="3"/>
  <c r="D1145" i="3"/>
  <c r="D1183" i="3"/>
  <c r="D1165" i="3"/>
  <c r="D1166" i="3"/>
  <c r="AE123" i="2"/>
  <c r="AE130" i="2" s="1"/>
  <c r="AE159" i="2"/>
  <c r="AE224" i="2" s="1"/>
  <c r="AE196" i="2"/>
  <c r="AE260" i="2"/>
  <c r="AE20" i="2"/>
  <c r="AE247" i="2"/>
  <c r="AE59" i="2"/>
  <c r="AE174" i="2" s="1"/>
  <c r="AE172" i="2"/>
  <c r="AE251" i="2"/>
  <c r="AE236" i="2"/>
  <c r="AE11" i="2"/>
  <c r="AE62" i="2"/>
  <c r="AE179" i="2"/>
  <c r="D1146" i="3"/>
  <c r="D1192" i="3"/>
  <c r="D1148" i="3"/>
  <c r="D1149" i="3"/>
  <c r="D1171" i="3"/>
  <c r="C1164" i="3"/>
  <c r="C1167" i="3" s="1"/>
  <c r="C1176" i="3"/>
  <c r="D1179" i="3"/>
  <c r="D1173" i="3"/>
  <c r="D1182" i="3"/>
  <c r="D1151" i="3"/>
  <c r="D1181" i="3"/>
  <c r="D1153" i="3"/>
  <c r="D1180" i="3"/>
  <c r="D1190" i="3"/>
  <c r="C1144" i="3"/>
  <c r="C1150" i="3" s="1"/>
  <c r="C1152" i="3" s="1"/>
  <c r="D1193" i="3"/>
  <c r="D1162" i="3"/>
  <c r="D1163" i="3"/>
  <c r="D1191" i="3"/>
  <c r="D1174" i="3"/>
  <c r="D1184" i="3"/>
  <c r="AD30" i="1"/>
  <c r="AI237" i="2" l="1"/>
  <c r="AI173" i="2"/>
  <c r="AJ58" i="2"/>
  <c r="AF178" i="2"/>
  <c r="AF242" i="2"/>
  <c r="AF186" i="2"/>
  <c r="AF250" i="2"/>
  <c r="AF172" i="2"/>
  <c r="AF59" i="2"/>
  <c r="AF174" i="2" s="1"/>
  <c r="AF62" i="2"/>
  <c r="AF236" i="2"/>
  <c r="AF251" i="2"/>
  <c r="AF187" i="2"/>
  <c r="AG72" i="2"/>
  <c r="AG57" i="2"/>
  <c r="AK58" i="2" s="1"/>
  <c r="AG178" i="2"/>
  <c r="AG242" i="2"/>
  <c r="AE158" i="2"/>
  <c r="AE160" i="2" s="1"/>
  <c r="AE225" i="2" s="1"/>
  <c r="AG251" i="2"/>
  <c r="AG187" i="2"/>
  <c r="H193" i="2"/>
  <c r="H257" i="2"/>
  <c r="AE259" i="2"/>
  <c r="C1168" i="3"/>
  <c r="AF25" i="1"/>
  <c r="C1100" i="3"/>
  <c r="AE134" i="2"/>
  <c r="AE195" i="2"/>
  <c r="AE129" i="2"/>
  <c r="D1106" i="3"/>
  <c r="D1109" i="3" s="1"/>
  <c r="D1117" i="3"/>
  <c r="D1089" i="3"/>
  <c r="D1092" i="3" s="1"/>
  <c r="AE176" i="2"/>
  <c r="AE240" i="2"/>
  <c r="AE238" i="2"/>
  <c r="AE151" i="2"/>
  <c r="AE211" i="2" s="1"/>
  <c r="AE197" i="2"/>
  <c r="AE29" i="2"/>
  <c r="AH92" i="2" s="1"/>
  <c r="AE44" i="2"/>
  <c r="J1161" i="3"/>
  <c r="C1186" i="3"/>
  <c r="J1162" i="3"/>
  <c r="C1154" i="3"/>
  <c r="C1156" i="3"/>
  <c r="AD112" i="2"/>
  <c r="AD122" i="2" s="1"/>
  <c r="AD111" i="2"/>
  <c r="AD121" i="2" s="1"/>
  <c r="AD102" i="2"/>
  <c r="AD108" i="2" s="1"/>
  <c r="AD101" i="2"/>
  <c r="AD107" i="2" s="1"/>
  <c r="AD98" i="2"/>
  <c r="AD75" i="2"/>
  <c r="AD189" i="2" s="1"/>
  <c r="AD74" i="2"/>
  <c r="AD71" i="2"/>
  <c r="AD67" i="2"/>
  <c r="AD63" i="2"/>
  <c r="AD51" i="2"/>
  <c r="AD256" i="2"/>
  <c r="AD251" i="2"/>
  <c r="AD250" i="2"/>
  <c r="AD247" i="2"/>
  <c r="AD246" i="2"/>
  <c r="AD243" i="2"/>
  <c r="AD242" i="2"/>
  <c r="AD236" i="2"/>
  <c r="AD233" i="2"/>
  <c r="AD230" i="2"/>
  <c r="AD219" i="2"/>
  <c r="AD192" i="2"/>
  <c r="AD187" i="2"/>
  <c r="AD186" i="2"/>
  <c r="AD183" i="2"/>
  <c r="AD182" i="2"/>
  <c r="AD179" i="2"/>
  <c r="AD178" i="2"/>
  <c r="AD172" i="2"/>
  <c r="AD169" i="2"/>
  <c r="AD166" i="2"/>
  <c r="AD154" i="2"/>
  <c r="AD137" i="2"/>
  <c r="AD127" i="2"/>
  <c r="AD118" i="2"/>
  <c r="AD264" i="2" s="1"/>
  <c r="AD96" i="2"/>
  <c r="AD86" i="2"/>
  <c r="AD62" i="2"/>
  <c r="AD240" i="2" s="1"/>
  <c r="AD61" i="2"/>
  <c r="AD59" i="2"/>
  <c r="AD174" i="2" s="1"/>
  <c r="AD58" i="2"/>
  <c r="AD49" i="2"/>
  <c r="AD41" i="2"/>
  <c r="AD40" i="2"/>
  <c r="AD39" i="2"/>
  <c r="AD38" i="2"/>
  <c r="AD10" i="2"/>
  <c r="AD11" i="2" s="1"/>
  <c r="AD8" i="2"/>
  <c r="AJ237" i="2" l="1"/>
  <c r="AH234" i="2"/>
  <c r="AH237" i="2"/>
  <c r="AJ173" i="2"/>
  <c r="AH170" i="2"/>
  <c r="AH173" i="2"/>
  <c r="AD196" i="2"/>
  <c r="AE261" i="2"/>
  <c r="J84" i="2"/>
  <c r="AJ90" i="2"/>
  <c r="AG186" i="2"/>
  <c r="AI90" i="2"/>
  <c r="AE223" i="2"/>
  <c r="AG250" i="2"/>
  <c r="AH90" i="2"/>
  <c r="C917" i="3" s="1"/>
  <c r="D917" i="3" s="1"/>
  <c r="AG25" i="1"/>
  <c r="AD177" i="2"/>
  <c r="AF240" i="2"/>
  <c r="AF176" i="2"/>
  <c r="AE75" i="2"/>
  <c r="AG90" i="2"/>
  <c r="C981" i="3" s="1"/>
  <c r="E974" i="3" s="1"/>
  <c r="AF238" i="2"/>
  <c r="AD252" i="2"/>
  <c r="AE51" i="2"/>
  <c r="AG62" i="2"/>
  <c r="AG59" i="2"/>
  <c r="AG174" i="2" s="1"/>
  <c r="AG172" i="2"/>
  <c r="AG236" i="2"/>
  <c r="AD46" i="2"/>
  <c r="AD260" i="2"/>
  <c r="AD188" i="2"/>
  <c r="AE74" i="2"/>
  <c r="AD185" i="2"/>
  <c r="AE71" i="2"/>
  <c r="AE63" i="2"/>
  <c r="AF63" i="2" s="1"/>
  <c r="AF66" i="2" s="1"/>
  <c r="AE35" i="2"/>
  <c r="AE30" i="2"/>
  <c r="AD176" i="2"/>
  <c r="AE67" i="2"/>
  <c r="AF67" i="2" s="1"/>
  <c r="D1094" i="3"/>
  <c r="AD113" i="2"/>
  <c r="AD103" i="2"/>
  <c r="J1163" i="3"/>
  <c r="AD238" i="2"/>
  <c r="AD66" i="2"/>
  <c r="AD180" i="2" s="1"/>
  <c r="AD19" i="2"/>
  <c r="AD50" i="2" s="1"/>
  <c r="AD159" i="2"/>
  <c r="AD224" i="2" s="1"/>
  <c r="AD249" i="2"/>
  <c r="AD181" i="2"/>
  <c r="AD253" i="2"/>
  <c r="AD47" i="2"/>
  <c r="AD245" i="2"/>
  <c r="AD241" i="2"/>
  <c r="J1198" i="3"/>
  <c r="D1249" i="3" s="1"/>
  <c r="C1225" i="3"/>
  <c r="C1224" i="3"/>
  <c r="C1207" i="3"/>
  <c r="C1206" i="3" s="1"/>
  <c r="C1204" i="3"/>
  <c r="C1253" i="3"/>
  <c r="C1254" i="3" s="1"/>
  <c r="C1244" i="3"/>
  <c r="C1234" i="3"/>
  <c r="C1220" i="3"/>
  <c r="AC214" i="2"/>
  <c r="G214" i="2"/>
  <c r="G251" i="2" s="1"/>
  <c r="F71" i="2"/>
  <c r="F185" i="2" s="1"/>
  <c r="F63" i="2"/>
  <c r="F241" i="2" s="1"/>
  <c r="AC43" i="1"/>
  <c r="AC42" i="1"/>
  <c r="AC41" i="1"/>
  <c r="AC37" i="1"/>
  <c r="AC36" i="1"/>
  <c r="AC35" i="1"/>
  <c r="AC32" i="1"/>
  <c r="G44" i="1"/>
  <c r="G38" i="1"/>
  <c r="G29" i="1"/>
  <c r="G28" i="1"/>
  <c r="G24" i="1"/>
  <c r="G25" i="1" s="1"/>
  <c r="AC133" i="2"/>
  <c r="AC126" i="2"/>
  <c r="C1210" i="3"/>
  <c r="AC117" i="2"/>
  <c r="AC116" i="2"/>
  <c r="AC100" i="2"/>
  <c r="AC99" i="2"/>
  <c r="AC33" i="2"/>
  <c r="AC32" i="2"/>
  <c r="AC28" i="2"/>
  <c r="AC27" i="2"/>
  <c r="AC23" i="2"/>
  <c r="AC22" i="2"/>
  <c r="AC18" i="2"/>
  <c r="AC17" i="2"/>
  <c r="AC16" i="2"/>
  <c r="AC15" i="2"/>
  <c r="AC14" i="2"/>
  <c r="AC13" i="2"/>
  <c r="AC12" i="2"/>
  <c r="AC9" i="2"/>
  <c r="AC7" i="2"/>
  <c r="AF87" i="2" s="1"/>
  <c r="AC230" i="2"/>
  <c r="AC219" i="2"/>
  <c r="AC166" i="2"/>
  <c r="AC154" i="2"/>
  <c r="AC137" i="2"/>
  <c r="AC96" i="2"/>
  <c r="AC86" i="2"/>
  <c r="AC61" i="2"/>
  <c r="AC49" i="2"/>
  <c r="AC25" i="2"/>
  <c r="AC111" i="2"/>
  <c r="AC121" i="2" s="1"/>
  <c r="AC112" i="2"/>
  <c r="AC122" i="2" s="1"/>
  <c r="AC102" i="2"/>
  <c r="AC101" i="2"/>
  <c r="AC98" i="2"/>
  <c r="G75" i="2"/>
  <c r="G189" i="2" s="1"/>
  <c r="G74" i="2"/>
  <c r="G71" i="2"/>
  <c r="G185" i="2" s="1"/>
  <c r="G67" i="2"/>
  <c r="G181" i="2" s="1"/>
  <c r="G63" i="2"/>
  <c r="G51" i="2"/>
  <c r="G230" i="2"/>
  <c r="G219" i="2"/>
  <c r="G192" i="2"/>
  <c r="G187" i="2"/>
  <c r="G186" i="2"/>
  <c r="G183" i="2"/>
  <c r="G182" i="2"/>
  <c r="G179" i="2"/>
  <c r="G178" i="2"/>
  <c r="G172" i="2"/>
  <c r="G169" i="2"/>
  <c r="G166" i="2"/>
  <c r="G154" i="2"/>
  <c r="G137" i="2"/>
  <c r="G127" i="2"/>
  <c r="G118" i="2"/>
  <c r="G264" i="2" s="1"/>
  <c r="G96" i="2"/>
  <c r="G91" i="2"/>
  <c r="G90" i="2"/>
  <c r="G156" i="2" s="1"/>
  <c r="G87" i="2"/>
  <c r="G155" i="2" s="1"/>
  <c r="G86" i="2"/>
  <c r="G62" i="2"/>
  <c r="G61" i="2"/>
  <c r="G59" i="2"/>
  <c r="G174" i="2" s="1"/>
  <c r="G58" i="2"/>
  <c r="G173" i="2" s="1"/>
  <c r="G49" i="2"/>
  <c r="G41" i="2"/>
  <c r="G40" i="2"/>
  <c r="G39" i="2"/>
  <c r="G38" i="2"/>
  <c r="G10" i="2"/>
  <c r="G11" i="2" s="1"/>
  <c r="G8" i="2"/>
  <c r="G170" i="2" s="1"/>
  <c r="S9" i="1"/>
  <c r="W9" i="1"/>
  <c r="X9" i="1" s="1"/>
  <c r="AA9" i="1"/>
  <c r="S10" i="1"/>
  <c r="T10" i="1" s="1"/>
  <c r="W10" i="1"/>
  <c r="AA10" i="1"/>
  <c r="E13" i="1"/>
  <c r="F13" i="1"/>
  <c r="R12" i="1"/>
  <c r="R13" i="1" s="1"/>
  <c r="V12" i="1"/>
  <c r="Z12" i="1"/>
  <c r="B16" i="1"/>
  <c r="B22" i="1" s="1"/>
  <c r="B28" i="1" s="1"/>
  <c r="B17" i="1"/>
  <c r="B23" i="1" s="1"/>
  <c r="B29" i="1" s="1"/>
  <c r="S22" i="1"/>
  <c r="W22" i="1"/>
  <c r="AA22" i="1"/>
  <c r="S23" i="1"/>
  <c r="T23" i="1" s="1"/>
  <c r="W23" i="1"/>
  <c r="X23" i="1" s="1"/>
  <c r="AA23" i="1"/>
  <c r="D24" i="1"/>
  <c r="E24" i="1"/>
  <c r="E25" i="1" s="1"/>
  <c r="F24" i="1"/>
  <c r="R24" i="1"/>
  <c r="V24" i="1"/>
  <c r="Z24" i="1"/>
  <c r="Z25" i="1" s="1"/>
  <c r="D28" i="1"/>
  <c r="E28" i="1"/>
  <c r="F28" i="1"/>
  <c r="R28" i="1"/>
  <c r="V28" i="1"/>
  <c r="Z28" i="1"/>
  <c r="D29" i="1"/>
  <c r="E29" i="1"/>
  <c r="F29" i="1"/>
  <c r="R29" i="1"/>
  <c r="V29" i="1"/>
  <c r="Z29" i="1"/>
  <c r="Y32" i="1"/>
  <c r="U35" i="1"/>
  <c r="Y35" i="1"/>
  <c r="U36" i="1"/>
  <c r="Y36" i="1"/>
  <c r="U37" i="1"/>
  <c r="Y37" i="1"/>
  <c r="D38" i="1"/>
  <c r="E38" i="1"/>
  <c r="F38" i="1"/>
  <c r="R38" i="1"/>
  <c r="S38" i="1"/>
  <c r="T38" i="1"/>
  <c r="V38" i="1"/>
  <c r="W38" i="1"/>
  <c r="X38" i="1"/>
  <c r="Z38" i="1"/>
  <c r="AA38" i="1"/>
  <c r="AB38" i="1"/>
  <c r="U41" i="1"/>
  <c r="Y41" i="1"/>
  <c r="U42" i="1"/>
  <c r="Y42" i="1"/>
  <c r="U43" i="1"/>
  <c r="Y43" i="1"/>
  <c r="D44" i="1"/>
  <c r="E44" i="1"/>
  <c r="F44" i="1"/>
  <c r="R44" i="1"/>
  <c r="S44" i="1"/>
  <c r="T44" i="1"/>
  <c r="V44" i="1"/>
  <c r="W44" i="1"/>
  <c r="X44" i="1"/>
  <c r="Z44" i="1"/>
  <c r="AA44" i="1"/>
  <c r="AB44" i="1"/>
  <c r="U7" i="2"/>
  <c r="U87" i="2" s="1"/>
  <c r="U155" i="2" s="1"/>
  <c r="Y7" i="2"/>
  <c r="Y87" i="2" s="1"/>
  <c r="Y155" i="2" s="1"/>
  <c r="D8" i="2"/>
  <c r="D170" i="2" s="1"/>
  <c r="E8" i="2"/>
  <c r="E170" i="2" s="1"/>
  <c r="F8" i="2"/>
  <c r="F170" i="2" s="1"/>
  <c r="V8" i="2"/>
  <c r="W8" i="2"/>
  <c r="X8" i="2"/>
  <c r="Z8" i="2"/>
  <c r="AA8" i="2"/>
  <c r="AB8" i="2"/>
  <c r="U9" i="2"/>
  <c r="Y9" i="2"/>
  <c r="C10" i="2"/>
  <c r="C19" i="2" s="1"/>
  <c r="D10" i="2"/>
  <c r="D11" i="2" s="1"/>
  <c r="E10" i="2"/>
  <c r="F10" i="2"/>
  <c r="F19" i="2" s="1"/>
  <c r="F50" i="2" s="1"/>
  <c r="R10" i="2"/>
  <c r="S10" i="2"/>
  <c r="S19" i="2" s="1"/>
  <c r="S50" i="2" s="1"/>
  <c r="T10" i="2"/>
  <c r="T19" i="2" s="1"/>
  <c r="T50" i="2" s="1"/>
  <c r="V10" i="2"/>
  <c r="V11" i="2" s="1"/>
  <c r="W10" i="2"/>
  <c r="W19" i="2" s="1"/>
  <c r="W50" i="2" s="1"/>
  <c r="X10" i="2"/>
  <c r="X19" i="2" s="1"/>
  <c r="X50" i="2" s="1"/>
  <c r="Z10" i="2"/>
  <c r="Z19" i="2" s="1"/>
  <c r="AA10" i="2"/>
  <c r="AB10" i="2"/>
  <c r="AB19" i="2" s="1"/>
  <c r="U12" i="2"/>
  <c r="Y12" i="2"/>
  <c r="U13" i="2"/>
  <c r="Y13" i="2"/>
  <c r="U14" i="2"/>
  <c r="Y14" i="2"/>
  <c r="U15" i="2"/>
  <c r="Y15" i="2"/>
  <c r="U16" i="2"/>
  <c r="Y16" i="2"/>
  <c r="U17" i="2"/>
  <c r="Y17" i="2"/>
  <c r="U18" i="2"/>
  <c r="Y18" i="2"/>
  <c r="U22" i="2"/>
  <c r="Y22" i="2"/>
  <c r="U23" i="2"/>
  <c r="Y23" i="2"/>
  <c r="U25" i="2"/>
  <c r="Y25" i="2"/>
  <c r="U27" i="2"/>
  <c r="Y27" i="2"/>
  <c r="U28" i="2"/>
  <c r="Y28" i="2"/>
  <c r="U32" i="2"/>
  <c r="Y32" i="2"/>
  <c r="U33" i="2"/>
  <c r="Y33" i="2"/>
  <c r="B38" i="2"/>
  <c r="C38" i="2"/>
  <c r="D38" i="2"/>
  <c r="E38" i="2"/>
  <c r="F38" i="2"/>
  <c r="R38" i="2"/>
  <c r="S38" i="2"/>
  <c r="T38" i="2"/>
  <c r="V38" i="2"/>
  <c r="W38" i="2"/>
  <c r="X38" i="2"/>
  <c r="Z38" i="2"/>
  <c r="AA38" i="2"/>
  <c r="AB38" i="2"/>
  <c r="B39" i="2"/>
  <c r="C39" i="2"/>
  <c r="D39" i="2"/>
  <c r="E39" i="2"/>
  <c r="F39" i="2"/>
  <c r="R39" i="2"/>
  <c r="S39" i="2"/>
  <c r="T39" i="2"/>
  <c r="V39" i="2"/>
  <c r="W39" i="2"/>
  <c r="X39" i="2"/>
  <c r="Z39" i="2"/>
  <c r="AA39" i="2"/>
  <c r="AB39" i="2"/>
  <c r="B40" i="2"/>
  <c r="C40" i="2"/>
  <c r="D40" i="2"/>
  <c r="E40" i="2"/>
  <c r="F40" i="2"/>
  <c r="R40" i="2"/>
  <c r="S40" i="2"/>
  <c r="T40" i="2"/>
  <c r="V40" i="2"/>
  <c r="W40" i="2"/>
  <c r="X40" i="2"/>
  <c r="Z40" i="2"/>
  <c r="AA40" i="2"/>
  <c r="AB40" i="2"/>
  <c r="B41" i="2"/>
  <c r="C41" i="2"/>
  <c r="D41" i="2"/>
  <c r="E41" i="2"/>
  <c r="F41" i="2"/>
  <c r="R41" i="2"/>
  <c r="S41" i="2"/>
  <c r="T41" i="2"/>
  <c r="V41" i="2"/>
  <c r="W41" i="2"/>
  <c r="X41" i="2"/>
  <c r="Z41" i="2"/>
  <c r="AA41" i="2"/>
  <c r="AB41" i="2"/>
  <c r="C49" i="2"/>
  <c r="D49" i="2"/>
  <c r="E49" i="2"/>
  <c r="F49" i="2"/>
  <c r="R49" i="2"/>
  <c r="S49" i="2"/>
  <c r="T49" i="2"/>
  <c r="U49" i="2"/>
  <c r="V49" i="2"/>
  <c r="W49" i="2"/>
  <c r="X49" i="2"/>
  <c r="Y49" i="2"/>
  <c r="Z49" i="2"/>
  <c r="AA49" i="2"/>
  <c r="AB49" i="2"/>
  <c r="C51" i="2"/>
  <c r="D51" i="2"/>
  <c r="E51" i="2"/>
  <c r="F51" i="2"/>
  <c r="R51" i="2"/>
  <c r="V51" i="2"/>
  <c r="W51" i="2" s="1"/>
  <c r="Z51" i="2"/>
  <c r="S57" i="2"/>
  <c r="W57" i="2"/>
  <c r="W172" i="2" s="1"/>
  <c r="AA57" i="2"/>
  <c r="BS58" i="2" s="1"/>
  <c r="D58" i="2"/>
  <c r="D173" i="2" s="1"/>
  <c r="E58" i="2"/>
  <c r="E173" i="2" s="1"/>
  <c r="F58" i="2"/>
  <c r="F173" i="2" s="1"/>
  <c r="V58" i="2"/>
  <c r="Z58" i="2"/>
  <c r="C59" i="2"/>
  <c r="C174" i="2" s="1"/>
  <c r="D59" i="2"/>
  <c r="D174" i="2" s="1"/>
  <c r="E59" i="2"/>
  <c r="E174" i="2" s="1"/>
  <c r="F59" i="2"/>
  <c r="F174" i="2" s="1"/>
  <c r="R59" i="2"/>
  <c r="R174" i="2" s="1"/>
  <c r="V59" i="2"/>
  <c r="V174" i="2" s="1"/>
  <c r="Z59" i="2"/>
  <c r="Z174" i="2" s="1"/>
  <c r="C61" i="2"/>
  <c r="D61" i="2"/>
  <c r="E61" i="2"/>
  <c r="F61" i="2"/>
  <c r="R61" i="2"/>
  <c r="S61" i="2"/>
  <c r="T61" i="2"/>
  <c r="U61" i="2"/>
  <c r="V61" i="2"/>
  <c r="W61" i="2"/>
  <c r="X61" i="2"/>
  <c r="Y61" i="2"/>
  <c r="Z61" i="2"/>
  <c r="AA61" i="2"/>
  <c r="AB61" i="2"/>
  <c r="C62" i="2"/>
  <c r="D62" i="2"/>
  <c r="D240" i="2" s="1"/>
  <c r="E62" i="2"/>
  <c r="E240" i="2" s="1"/>
  <c r="F62" i="2"/>
  <c r="F176" i="2" s="1"/>
  <c r="R62" i="2"/>
  <c r="V62" i="2"/>
  <c r="V176" i="2" s="1"/>
  <c r="Z62" i="2"/>
  <c r="Z176" i="2" s="1"/>
  <c r="C63" i="2"/>
  <c r="C46" i="2" s="1"/>
  <c r="D63" i="2"/>
  <c r="D46" i="2" s="1"/>
  <c r="E63" i="2"/>
  <c r="R63" i="2"/>
  <c r="V63" i="2"/>
  <c r="V241" i="2" s="1"/>
  <c r="Z63" i="2"/>
  <c r="Z177" i="2" s="1"/>
  <c r="S64" i="2"/>
  <c r="W64" i="2"/>
  <c r="X64" i="2" s="1"/>
  <c r="X242" i="2" s="1"/>
  <c r="AA64" i="2"/>
  <c r="AA242" i="2" s="1"/>
  <c r="S65" i="2"/>
  <c r="W65" i="2"/>
  <c r="W179" i="2" s="1"/>
  <c r="AA65" i="2"/>
  <c r="AB65" i="2" s="1"/>
  <c r="AB243" i="2" s="1"/>
  <c r="C67" i="2"/>
  <c r="C47" i="2" s="1"/>
  <c r="D67" i="2"/>
  <c r="D93" i="2" s="1"/>
  <c r="E67" i="2"/>
  <c r="E245" i="2" s="1"/>
  <c r="F67" i="2"/>
  <c r="F245" i="2" s="1"/>
  <c r="R67" i="2"/>
  <c r="V67" i="2"/>
  <c r="V47" i="2" s="1"/>
  <c r="Z67" i="2"/>
  <c r="Z47" i="2" s="1"/>
  <c r="S68" i="2"/>
  <c r="W68" i="2"/>
  <c r="W182" i="2" s="1"/>
  <c r="AA68" i="2"/>
  <c r="BQ68" i="2" s="1"/>
  <c r="S69" i="2"/>
  <c r="Y69" i="2"/>
  <c r="Y247" i="2" s="1"/>
  <c r="AA69" i="2"/>
  <c r="BQ69" i="2" s="1"/>
  <c r="C71" i="2"/>
  <c r="C185" i="2" s="1"/>
  <c r="D71" i="2"/>
  <c r="D249" i="2" s="1"/>
  <c r="E71" i="2"/>
  <c r="E185" i="2" s="1"/>
  <c r="R71" i="2"/>
  <c r="V71" i="2"/>
  <c r="W71" i="2" s="1"/>
  <c r="Z71" i="2"/>
  <c r="AA71" i="2" s="1"/>
  <c r="BQ71" i="2" s="1"/>
  <c r="U72" i="2"/>
  <c r="U186" i="2" s="1"/>
  <c r="Y72" i="2"/>
  <c r="Y250" i="2" s="1"/>
  <c r="AA72" i="2"/>
  <c r="BQ72" i="2" s="1"/>
  <c r="U73" i="2"/>
  <c r="U187" i="2" s="1"/>
  <c r="Y73" i="2"/>
  <c r="Y251" i="2" s="1"/>
  <c r="AA73" i="2"/>
  <c r="AA251" i="2" s="1"/>
  <c r="C74" i="2"/>
  <c r="C188" i="2" s="1"/>
  <c r="D74" i="2"/>
  <c r="D188" i="2" s="1"/>
  <c r="E74" i="2"/>
  <c r="E252" i="2" s="1"/>
  <c r="F74" i="2"/>
  <c r="F188" i="2" s="1"/>
  <c r="R74" i="2"/>
  <c r="V74" i="2"/>
  <c r="V252" i="2" s="1"/>
  <c r="Z74" i="2"/>
  <c r="C75" i="2"/>
  <c r="C189" i="2" s="1"/>
  <c r="D75" i="2"/>
  <c r="D189" i="2" s="1"/>
  <c r="E75" i="2"/>
  <c r="E253" i="2" s="1"/>
  <c r="F75" i="2"/>
  <c r="F189" i="2" s="1"/>
  <c r="R75" i="2"/>
  <c r="V75" i="2"/>
  <c r="V253" i="2" s="1"/>
  <c r="Z75" i="2"/>
  <c r="AA75" i="2" s="1"/>
  <c r="BQ75" i="2" s="1"/>
  <c r="S79" i="2"/>
  <c r="W79" i="2"/>
  <c r="AA79" i="2"/>
  <c r="BQ79" i="2" s="1"/>
  <c r="C86" i="2"/>
  <c r="D86" i="2"/>
  <c r="E86" i="2"/>
  <c r="F86" i="2"/>
  <c r="R86" i="2"/>
  <c r="S86" i="2"/>
  <c r="T86" i="2"/>
  <c r="U86" i="2"/>
  <c r="V86" i="2"/>
  <c r="W86" i="2"/>
  <c r="X86" i="2"/>
  <c r="Y86" i="2"/>
  <c r="Z86" i="2"/>
  <c r="AA86" i="2"/>
  <c r="AB86" i="2"/>
  <c r="B87" i="2"/>
  <c r="C87" i="2"/>
  <c r="D87" i="2"/>
  <c r="D155" i="2" s="1"/>
  <c r="E87" i="2"/>
  <c r="E155" i="2" s="1"/>
  <c r="F87" i="2"/>
  <c r="F155" i="2" s="1"/>
  <c r="F220" i="2" s="1"/>
  <c r="C90" i="2"/>
  <c r="D90" i="2"/>
  <c r="E90" i="2"/>
  <c r="E156" i="2" s="1"/>
  <c r="E221" i="2" s="1"/>
  <c r="F90" i="2"/>
  <c r="F156" i="2" s="1"/>
  <c r="F221" i="2" s="1"/>
  <c r="C91" i="2"/>
  <c r="D91" i="2"/>
  <c r="E91" i="2"/>
  <c r="F91" i="2"/>
  <c r="C96" i="2"/>
  <c r="D96" i="2"/>
  <c r="E96" i="2"/>
  <c r="F96" i="2"/>
  <c r="R96" i="2"/>
  <c r="S96" i="2"/>
  <c r="T96" i="2"/>
  <c r="U96" i="2"/>
  <c r="V96" i="2"/>
  <c r="W96" i="2"/>
  <c r="X96" i="2"/>
  <c r="Y96" i="2"/>
  <c r="Z96" i="2"/>
  <c r="AA96" i="2"/>
  <c r="AB96" i="2"/>
  <c r="F98" i="2"/>
  <c r="Y98" i="2" s="1"/>
  <c r="R98" i="2"/>
  <c r="S98" i="2"/>
  <c r="T98" i="2"/>
  <c r="U98" i="2"/>
  <c r="V98" i="2"/>
  <c r="W98" i="2"/>
  <c r="X98" i="2"/>
  <c r="Z98" i="2"/>
  <c r="AA98" i="2"/>
  <c r="AB98" i="2"/>
  <c r="U99" i="2"/>
  <c r="Y99" i="2"/>
  <c r="U100" i="2"/>
  <c r="Y100" i="2"/>
  <c r="C101" i="2"/>
  <c r="C107" i="2" s="1"/>
  <c r="D101" i="2"/>
  <c r="D107" i="2" s="1"/>
  <c r="E101" i="2"/>
  <c r="E107" i="2" s="1"/>
  <c r="F101" i="2"/>
  <c r="F107" i="2" s="1"/>
  <c r="R101" i="2"/>
  <c r="S101" i="2"/>
  <c r="T101" i="2"/>
  <c r="V101" i="2"/>
  <c r="W101" i="2"/>
  <c r="X101" i="2"/>
  <c r="Z101" i="2"/>
  <c r="Z107" i="2" s="1"/>
  <c r="AA101" i="2"/>
  <c r="AA107" i="2" s="1"/>
  <c r="AB101" i="2"/>
  <c r="AB107" i="2" s="1"/>
  <c r="C102" i="2"/>
  <c r="C108" i="2" s="1"/>
  <c r="D102" i="2"/>
  <c r="D108" i="2" s="1"/>
  <c r="E102" i="2"/>
  <c r="F102" i="2"/>
  <c r="R102" i="2"/>
  <c r="S102" i="2"/>
  <c r="AX108" i="2" s="1"/>
  <c r="T102" i="2"/>
  <c r="V102" i="2"/>
  <c r="W102" i="2"/>
  <c r="X102" i="2"/>
  <c r="Z102" i="2"/>
  <c r="Z108" i="2" s="1"/>
  <c r="AA102" i="2"/>
  <c r="AA108" i="2" s="1"/>
  <c r="AB102" i="2"/>
  <c r="AB108" i="2" s="1"/>
  <c r="R111" i="2"/>
  <c r="R121" i="2" s="1"/>
  <c r="S111" i="2"/>
  <c r="T111" i="2"/>
  <c r="T121" i="2" s="1"/>
  <c r="V111" i="2"/>
  <c r="W111" i="2"/>
  <c r="W121" i="2" s="1"/>
  <c r="X111" i="2"/>
  <c r="X121" i="2" s="1"/>
  <c r="Z111" i="2"/>
  <c r="Z121" i="2" s="1"/>
  <c r="AA111" i="2"/>
  <c r="AA121" i="2" s="1"/>
  <c r="AB111" i="2"/>
  <c r="AB121" i="2" s="1"/>
  <c r="U112" i="2"/>
  <c r="U122" i="2" s="1"/>
  <c r="Y112" i="2"/>
  <c r="Y122" i="2" s="1"/>
  <c r="Z112" i="2"/>
  <c r="Z122" i="2" s="1"/>
  <c r="U116" i="2"/>
  <c r="Y116" i="2"/>
  <c r="C117" i="2"/>
  <c r="U117" i="2"/>
  <c r="Y117" i="2"/>
  <c r="D118" i="2"/>
  <c r="D264" i="2" s="1"/>
  <c r="E118" i="2"/>
  <c r="E264" i="2" s="1"/>
  <c r="F118" i="2"/>
  <c r="F264" i="2" s="1"/>
  <c r="R118" i="2"/>
  <c r="R264" i="2" s="1"/>
  <c r="S118" i="2"/>
  <c r="S264" i="2" s="1"/>
  <c r="T118" i="2"/>
  <c r="T264" i="2" s="1"/>
  <c r="V118" i="2"/>
  <c r="V264" i="2" s="1"/>
  <c r="W118" i="2"/>
  <c r="W264" i="2" s="1"/>
  <c r="X118" i="2"/>
  <c r="X264" i="2" s="1"/>
  <c r="Z118" i="2"/>
  <c r="Z264" i="2" s="1"/>
  <c r="AA118" i="2"/>
  <c r="AA264" i="2" s="1"/>
  <c r="AB118" i="2"/>
  <c r="AB264" i="2" s="1"/>
  <c r="AA127" i="2"/>
  <c r="U126" i="2"/>
  <c r="Y126" i="2"/>
  <c r="C127" i="2"/>
  <c r="C42" i="2" s="1"/>
  <c r="D127" i="2"/>
  <c r="D42" i="2" s="1"/>
  <c r="E127" i="2"/>
  <c r="E42" i="2" s="1"/>
  <c r="F127" i="2"/>
  <c r="F42" i="2" s="1"/>
  <c r="R127" i="2"/>
  <c r="S127" i="2"/>
  <c r="S42" i="2" s="1"/>
  <c r="T127" i="2"/>
  <c r="V127" i="2"/>
  <c r="W127" i="2"/>
  <c r="X127" i="2"/>
  <c r="Z127" i="2"/>
  <c r="AB127" i="2"/>
  <c r="U133" i="2"/>
  <c r="U266" i="2" s="1"/>
  <c r="Y133" i="2"/>
  <c r="Y266" i="2" s="1"/>
  <c r="C137" i="2"/>
  <c r="D137" i="2"/>
  <c r="E137" i="2"/>
  <c r="F137" i="2"/>
  <c r="R137" i="2"/>
  <c r="S137" i="2"/>
  <c r="T137" i="2"/>
  <c r="U137" i="2"/>
  <c r="V137" i="2"/>
  <c r="W137" i="2"/>
  <c r="X137" i="2"/>
  <c r="Y137" i="2"/>
  <c r="Z137" i="2"/>
  <c r="AA137" i="2"/>
  <c r="AB137" i="2"/>
  <c r="C154" i="2"/>
  <c r="D154" i="2"/>
  <c r="E154" i="2"/>
  <c r="F154" i="2"/>
  <c r="R154" i="2"/>
  <c r="S154" i="2"/>
  <c r="T154" i="2"/>
  <c r="U154" i="2"/>
  <c r="V154" i="2"/>
  <c r="W154" i="2"/>
  <c r="X154" i="2"/>
  <c r="Y154" i="2"/>
  <c r="Z154" i="2"/>
  <c r="AA154" i="2"/>
  <c r="AB154" i="2"/>
  <c r="C166" i="2"/>
  <c r="D166" i="2"/>
  <c r="E166" i="2"/>
  <c r="F166" i="2"/>
  <c r="R166" i="2"/>
  <c r="S166" i="2"/>
  <c r="T166" i="2"/>
  <c r="U166" i="2"/>
  <c r="V166" i="2"/>
  <c r="W166" i="2"/>
  <c r="X166" i="2"/>
  <c r="Y166" i="2"/>
  <c r="Z166" i="2"/>
  <c r="AA166" i="2"/>
  <c r="AB166" i="2"/>
  <c r="B169" i="2"/>
  <c r="C169" i="2"/>
  <c r="D169" i="2"/>
  <c r="E169" i="2"/>
  <c r="F169" i="2"/>
  <c r="R169" i="2"/>
  <c r="S169" i="2"/>
  <c r="T169" i="2"/>
  <c r="V169" i="2"/>
  <c r="V170" i="2" s="1"/>
  <c r="W169" i="2"/>
  <c r="X169" i="2"/>
  <c r="Z169" i="2"/>
  <c r="AA169" i="2"/>
  <c r="AB169" i="2"/>
  <c r="B170" i="2"/>
  <c r="B172" i="2"/>
  <c r="C172" i="2"/>
  <c r="D172" i="2"/>
  <c r="E172" i="2"/>
  <c r="F172" i="2"/>
  <c r="R172" i="2"/>
  <c r="V172" i="2"/>
  <c r="Z172" i="2"/>
  <c r="B173" i="2"/>
  <c r="B174" i="2"/>
  <c r="B176" i="2"/>
  <c r="B177" i="2"/>
  <c r="B178" i="2"/>
  <c r="C178" i="2"/>
  <c r="D178" i="2"/>
  <c r="E178" i="2"/>
  <c r="F178" i="2"/>
  <c r="R178" i="2"/>
  <c r="V178" i="2"/>
  <c r="Z178" i="2"/>
  <c r="B179" i="2"/>
  <c r="C179" i="2"/>
  <c r="D179" i="2"/>
  <c r="E179" i="2"/>
  <c r="F179" i="2"/>
  <c r="R179" i="2"/>
  <c r="V179" i="2"/>
  <c r="Z179" i="2"/>
  <c r="B180" i="2"/>
  <c r="B181" i="2"/>
  <c r="B182" i="2"/>
  <c r="C182" i="2"/>
  <c r="D182" i="2"/>
  <c r="E182" i="2"/>
  <c r="F182" i="2"/>
  <c r="R182" i="2"/>
  <c r="V182" i="2"/>
  <c r="Z182" i="2"/>
  <c r="B183" i="2"/>
  <c r="C183" i="2"/>
  <c r="D183" i="2"/>
  <c r="E183" i="2"/>
  <c r="F183" i="2"/>
  <c r="R183" i="2"/>
  <c r="V183" i="2"/>
  <c r="W183" i="2"/>
  <c r="X183" i="2"/>
  <c r="Z183" i="2"/>
  <c r="B184" i="2"/>
  <c r="B185" i="2"/>
  <c r="B186" i="2"/>
  <c r="C186" i="2"/>
  <c r="D186" i="2"/>
  <c r="E186" i="2"/>
  <c r="F186" i="2"/>
  <c r="R186" i="2"/>
  <c r="S186" i="2"/>
  <c r="T186" i="2"/>
  <c r="V186" i="2"/>
  <c r="W186" i="2"/>
  <c r="X186" i="2"/>
  <c r="Z186" i="2"/>
  <c r="B187" i="2"/>
  <c r="C187" i="2"/>
  <c r="D187" i="2"/>
  <c r="E187" i="2"/>
  <c r="F187" i="2"/>
  <c r="R187" i="2"/>
  <c r="S187" i="2"/>
  <c r="T187" i="2"/>
  <c r="V187" i="2"/>
  <c r="W187" i="2"/>
  <c r="X187" i="2"/>
  <c r="Z187" i="2"/>
  <c r="B188" i="2"/>
  <c r="B189" i="2"/>
  <c r="B190" i="2"/>
  <c r="B191" i="2"/>
  <c r="B192" i="2"/>
  <c r="C192" i="2"/>
  <c r="D192" i="2"/>
  <c r="E192" i="2"/>
  <c r="F192" i="2"/>
  <c r="R192" i="2"/>
  <c r="V192" i="2"/>
  <c r="Z192" i="2"/>
  <c r="B193" i="2"/>
  <c r="B195" i="2"/>
  <c r="B196" i="2"/>
  <c r="B197" i="2"/>
  <c r="B199" i="2"/>
  <c r="B200" i="2"/>
  <c r="B202" i="2"/>
  <c r="B203" i="2"/>
  <c r="B205" i="2"/>
  <c r="B206" i="2"/>
  <c r="B208" i="2"/>
  <c r="B209" i="2"/>
  <c r="B211" i="2"/>
  <c r="C216" i="2"/>
  <c r="D216" i="2"/>
  <c r="E216" i="2"/>
  <c r="F216" i="2"/>
  <c r="U216" i="2"/>
  <c r="V216" i="2"/>
  <c r="W216" i="2"/>
  <c r="X216" i="2"/>
  <c r="Y216" i="2"/>
  <c r="Z216" i="2"/>
  <c r="AA216" i="2"/>
  <c r="J1317" i="3" s="1"/>
  <c r="AB216" i="2"/>
  <c r="J1258" i="3" s="1"/>
  <c r="C219" i="2"/>
  <c r="D219" i="2"/>
  <c r="E219" i="2"/>
  <c r="F219" i="2"/>
  <c r="R219" i="2"/>
  <c r="S219" i="2"/>
  <c r="T219" i="2"/>
  <c r="U219" i="2"/>
  <c r="V219" i="2"/>
  <c r="W219" i="2"/>
  <c r="X219" i="2"/>
  <c r="Y219" i="2"/>
  <c r="Z219" i="2"/>
  <c r="AA219" i="2"/>
  <c r="AB219" i="2"/>
  <c r="C230" i="2"/>
  <c r="D230" i="2"/>
  <c r="E230" i="2"/>
  <c r="F230" i="2"/>
  <c r="R230" i="2"/>
  <c r="S230" i="2"/>
  <c r="T230" i="2"/>
  <c r="U230" i="2"/>
  <c r="V230" i="2"/>
  <c r="W230" i="2"/>
  <c r="X230" i="2"/>
  <c r="Y230" i="2"/>
  <c r="Z230" i="2"/>
  <c r="AA230" i="2"/>
  <c r="AB230" i="2"/>
  <c r="B233" i="2"/>
  <c r="C233" i="2"/>
  <c r="D233" i="2"/>
  <c r="E233" i="2"/>
  <c r="F233" i="2"/>
  <c r="R233" i="2"/>
  <c r="S233" i="2"/>
  <c r="T233" i="2"/>
  <c r="V233" i="2"/>
  <c r="V234" i="2" s="1"/>
  <c r="W233" i="2"/>
  <c r="W234" i="2" s="1"/>
  <c r="X233" i="2"/>
  <c r="Z233" i="2"/>
  <c r="AA233" i="2"/>
  <c r="AB233" i="2"/>
  <c r="B234" i="2"/>
  <c r="B236" i="2"/>
  <c r="C236" i="2"/>
  <c r="D236" i="2"/>
  <c r="E236" i="2"/>
  <c r="F236" i="2"/>
  <c r="R236" i="2"/>
  <c r="V236" i="2"/>
  <c r="Z236" i="2"/>
  <c r="Z237" i="2" s="1"/>
  <c r="B237" i="2"/>
  <c r="B238" i="2"/>
  <c r="B240" i="2"/>
  <c r="B241" i="2"/>
  <c r="B242" i="2"/>
  <c r="C242" i="2"/>
  <c r="D242" i="2"/>
  <c r="E242" i="2"/>
  <c r="F242" i="2"/>
  <c r="R242" i="2"/>
  <c r="V242" i="2"/>
  <c r="Z242" i="2"/>
  <c r="B243" i="2"/>
  <c r="C243" i="2"/>
  <c r="D243" i="2"/>
  <c r="E243" i="2"/>
  <c r="F243" i="2"/>
  <c r="R243" i="2"/>
  <c r="V243" i="2"/>
  <c r="Z243" i="2"/>
  <c r="B244" i="2"/>
  <c r="B245" i="2"/>
  <c r="B246" i="2"/>
  <c r="C246" i="2"/>
  <c r="D246" i="2"/>
  <c r="E246" i="2"/>
  <c r="F246" i="2"/>
  <c r="R246" i="2"/>
  <c r="V246" i="2"/>
  <c r="Z246" i="2"/>
  <c r="B247" i="2"/>
  <c r="C247" i="2"/>
  <c r="D247" i="2"/>
  <c r="E247" i="2"/>
  <c r="F247" i="2"/>
  <c r="R247" i="2"/>
  <c r="V247" i="2"/>
  <c r="W247" i="2"/>
  <c r="X247" i="2"/>
  <c r="Z247" i="2"/>
  <c r="B248" i="2"/>
  <c r="B249" i="2"/>
  <c r="B250" i="2"/>
  <c r="C250" i="2"/>
  <c r="D250" i="2"/>
  <c r="E250" i="2"/>
  <c r="F250" i="2"/>
  <c r="R250" i="2"/>
  <c r="S250" i="2"/>
  <c r="T250" i="2"/>
  <c r="V250" i="2"/>
  <c r="W250" i="2"/>
  <c r="X250" i="2"/>
  <c r="Z250" i="2"/>
  <c r="B251" i="2"/>
  <c r="C251" i="2"/>
  <c r="D251" i="2"/>
  <c r="E251" i="2"/>
  <c r="F251" i="2"/>
  <c r="R251" i="2"/>
  <c r="S251" i="2"/>
  <c r="T251" i="2"/>
  <c r="V251" i="2"/>
  <c r="W251" i="2"/>
  <c r="X251" i="2"/>
  <c r="Z251" i="2"/>
  <c r="B252" i="2"/>
  <c r="B253" i="2"/>
  <c r="B254" i="2"/>
  <c r="B255" i="2"/>
  <c r="B256" i="2"/>
  <c r="C256" i="2"/>
  <c r="D256" i="2"/>
  <c r="E256" i="2"/>
  <c r="F256" i="2"/>
  <c r="R256" i="2"/>
  <c r="V256" i="2"/>
  <c r="Z256" i="2"/>
  <c r="B257" i="2"/>
  <c r="B259" i="2"/>
  <c r="B260" i="2"/>
  <c r="B261" i="2"/>
  <c r="B276" i="2"/>
  <c r="B277" i="2"/>
  <c r="B279" i="2"/>
  <c r="J1257" i="3"/>
  <c r="D1297" i="3" s="1"/>
  <c r="C1263" i="3"/>
  <c r="C1265" i="3"/>
  <c r="C1269" i="3"/>
  <c r="C1271" i="3"/>
  <c r="C1273" i="3"/>
  <c r="C1279" i="3"/>
  <c r="C1283" i="3"/>
  <c r="C1284" i="3"/>
  <c r="C1293" i="3"/>
  <c r="C1303" i="3"/>
  <c r="C1312" i="3"/>
  <c r="C1313" i="3" s="1"/>
  <c r="J1316" i="3"/>
  <c r="D1367" i="3" s="1"/>
  <c r="C1322" i="3"/>
  <c r="C1321" i="3" s="1"/>
  <c r="C1324" i="3"/>
  <c r="C1330" i="3"/>
  <c r="C1332" i="3"/>
  <c r="C1340" i="3"/>
  <c r="C1338" i="3" s="1"/>
  <c r="C1342" i="3"/>
  <c r="C1343" i="3"/>
  <c r="C1352" i="3"/>
  <c r="C1362" i="3"/>
  <c r="C1371" i="3"/>
  <c r="C1372" i="3" s="1"/>
  <c r="Z173" i="2" l="1"/>
  <c r="V173" i="2"/>
  <c r="X170" i="2"/>
  <c r="V237" i="2"/>
  <c r="AB234" i="2"/>
  <c r="AF234" i="2"/>
  <c r="W170" i="2"/>
  <c r="AA234" i="2"/>
  <c r="AE234" i="2"/>
  <c r="Z234" i="2"/>
  <c r="AD237" i="2"/>
  <c r="X234" i="2"/>
  <c r="AB170" i="2"/>
  <c r="AF170" i="2"/>
  <c r="AD173" i="2"/>
  <c r="AD234" i="2"/>
  <c r="AA170" i="2"/>
  <c r="AE170" i="2"/>
  <c r="AK237" i="2"/>
  <c r="AL237" i="2"/>
  <c r="Z170" i="2"/>
  <c r="AK173" i="2"/>
  <c r="AL173" i="2"/>
  <c r="AD170" i="2"/>
  <c r="AA159" i="2"/>
  <c r="AA224" i="2" s="1"/>
  <c r="AA42" i="2"/>
  <c r="R196" i="2"/>
  <c r="R42" i="2"/>
  <c r="AF42" i="2"/>
  <c r="AE42" i="2"/>
  <c r="AB159" i="2"/>
  <c r="AB224" i="2" s="1"/>
  <c r="AB42" i="2"/>
  <c r="G260" i="2"/>
  <c r="G42" i="2"/>
  <c r="Z196" i="2"/>
  <c r="Z42" i="2"/>
  <c r="X196" i="2"/>
  <c r="X42" i="2"/>
  <c r="T159" i="2"/>
  <c r="T224" i="2" s="1"/>
  <c r="T42" i="2"/>
  <c r="W260" i="2"/>
  <c r="W42" i="2"/>
  <c r="AD42" i="2"/>
  <c r="V159" i="2"/>
  <c r="V224" i="2" s="1"/>
  <c r="V42" i="2"/>
  <c r="AE279" i="2"/>
  <c r="AA12" i="1"/>
  <c r="AA13" i="1" s="1"/>
  <c r="V113" i="2"/>
  <c r="V121" i="2"/>
  <c r="V123" i="2" s="1"/>
  <c r="C1214" i="3"/>
  <c r="AC266" i="2"/>
  <c r="AX113" i="2"/>
  <c r="S121" i="2"/>
  <c r="AB26" i="2"/>
  <c r="AB50" i="2"/>
  <c r="Z26" i="2"/>
  <c r="Z50" i="2"/>
  <c r="Z52" i="2" s="1"/>
  <c r="BR53" i="2" s="1"/>
  <c r="C26" i="2"/>
  <c r="C50" i="2"/>
  <c r="C52" i="2" s="1"/>
  <c r="AX243" i="2"/>
  <c r="AX179" i="2"/>
  <c r="AX183" i="2"/>
  <c r="AX247" i="2"/>
  <c r="AX242" i="2"/>
  <c r="AX178" i="2"/>
  <c r="AX107" i="2"/>
  <c r="AX103" i="2"/>
  <c r="AX104" i="2" s="1"/>
  <c r="AX192" i="2"/>
  <c r="AX256" i="2"/>
  <c r="AX182" i="2"/>
  <c r="AX246" i="2"/>
  <c r="AX172" i="2"/>
  <c r="AX62" i="2"/>
  <c r="AX240" i="2" s="1"/>
  <c r="AX59" i="2"/>
  <c r="AX174" i="2" s="1"/>
  <c r="AX236" i="2"/>
  <c r="AG88" i="2"/>
  <c r="AD26" i="2"/>
  <c r="F52" i="2"/>
  <c r="F89" i="2" s="1"/>
  <c r="F26" i="2"/>
  <c r="S179" i="2"/>
  <c r="T69" i="2"/>
  <c r="T183" i="2" s="1"/>
  <c r="S242" i="2"/>
  <c r="T79" i="2"/>
  <c r="T192" i="2" s="1"/>
  <c r="T68" i="2"/>
  <c r="T182" i="2" s="1"/>
  <c r="S59" i="2"/>
  <c r="S174" i="2" s="1"/>
  <c r="AC106" i="2"/>
  <c r="F253" i="2"/>
  <c r="AC108" i="2"/>
  <c r="E188" i="2"/>
  <c r="Y102" i="2"/>
  <c r="F108" i="2"/>
  <c r="AC107" i="2"/>
  <c r="U102" i="2"/>
  <c r="E108" i="2"/>
  <c r="V188" i="2"/>
  <c r="W243" i="2"/>
  <c r="Z253" i="2"/>
  <c r="AA189" i="2"/>
  <c r="Z189" i="2"/>
  <c r="C1328" i="3"/>
  <c r="C1353" i="3" s="1"/>
  <c r="F249" i="2"/>
  <c r="R177" i="2"/>
  <c r="AK52" i="2"/>
  <c r="AQ89" i="2" s="1"/>
  <c r="U38" i="2"/>
  <c r="AH145" i="2"/>
  <c r="AH205" i="2" s="1"/>
  <c r="AH146" i="2"/>
  <c r="AH206" i="2" s="1"/>
  <c r="AH143" i="2"/>
  <c r="AH203" i="2" s="1"/>
  <c r="AK249" i="2"/>
  <c r="AK185" i="2"/>
  <c r="AK241" i="2"/>
  <c r="AK46" i="2"/>
  <c r="AK177" i="2"/>
  <c r="AK66" i="2"/>
  <c r="AK252" i="2"/>
  <c r="AK188" i="2"/>
  <c r="R189" i="2"/>
  <c r="AK245" i="2"/>
  <c r="AK181" i="2"/>
  <c r="AK47" i="2"/>
  <c r="AK93" i="2"/>
  <c r="AK148" i="2" s="1"/>
  <c r="AK208" i="2" s="1"/>
  <c r="AG103" i="2"/>
  <c r="AG104" i="2" s="1"/>
  <c r="R113" i="2"/>
  <c r="V177" i="2"/>
  <c r="Z181" i="2"/>
  <c r="S246" i="2"/>
  <c r="E176" i="2"/>
  <c r="S182" i="2"/>
  <c r="E181" i="2"/>
  <c r="C858" i="3"/>
  <c r="AI149" i="2"/>
  <c r="AI209" i="2" s="1"/>
  <c r="AI156" i="2"/>
  <c r="AI140" i="2"/>
  <c r="AI200" i="2" s="1"/>
  <c r="AI139" i="2"/>
  <c r="AI146" i="2"/>
  <c r="AI206" i="2" s="1"/>
  <c r="AI145" i="2"/>
  <c r="AI142" i="2"/>
  <c r="AI143" i="2"/>
  <c r="AI203" i="2" s="1"/>
  <c r="R238" i="2"/>
  <c r="AJ156" i="2"/>
  <c r="C799" i="3"/>
  <c r="AJ140" i="2"/>
  <c r="AJ200" i="2" s="1"/>
  <c r="AJ145" i="2"/>
  <c r="AJ139" i="2"/>
  <c r="AJ143" i="2"/>
  <c r="AJ203" i="2" s="1"/>
  <c r="AJ146" i="2"/>
  <c r="AJ206" i="2" s="1"/>
  <c r="AJ142" i="2"/>
  <c r="AJ149" i="2"/>
  <c r="AJ209" i="2" s="1"/>
  <c r="AA196" i="2"/>
  <c r="S243" i="2"/>
  <c r="E914" i="3"/>
  <c r="E912" i="3"/>
  <c r="E910" i="3"/>
  <c r="F240" i="2"/>
  <c r="F238" i="2"/>
  <c r="AF216" i="2"/>
  <c r="AC216" i="2"/>
  <c r="C93" i="2"/>
  <c r="C148" i="2" s="1"/>
  <c r="C208" i="2" s="1"/>
  <c r="AA247" i="2"/>
  <c r="W246" i="2"/>
  <c r="AB73" i="2"/>
  <c r="AB187" i="2" s="1"/>
  <c r="AH156" i="2"/>
  <c r="AH157" i="2" s="1"/>
  <c r="AH139" i="2"/>
  <c r="AH199" i="2" s="1"/>
  <c r="AH140" i="2"/>
  <c r="AH200" i="2" s="1"/>
  <c r="F149" i="2"/>
  <c r="F209" i="2" s="1"/>
  <c r="Y233" i="2"/>
  <c r="E149" i="2"/>
  <c r="E209" i="2" s="1"/>
  <c r="AH142" i="2"/>
  <c r="AH162" i="2" s="1"/>
  <c r="C238" i="2"/>
  <c r="F252" i="2"/>
  <c r="AB196" i="2"/>
  <c r="AA187" i="2"/>
  <c r="F177" i="2"/>
  <c r="F196" i="2"/>
  <c r="Y187" i="2"/>
  <c r="AB260" i="2"/>
  <c r="AA260" i="2"/>
  <c r="Z245" i="2"/>
  <c r="AH149" i="2"/>
  <c r="AH209" i="2" s="1"/>
  <c r="S172" i="2"/>
  <c r="W173" i="2" s="1"/>
  <c r="Y186" i="2"/>
  <c r="F260" i="2"/>
  <c r="AA183" i="2"/>
  <c r="AA179" i="2"/>
  <c r="D238" i="2"/>
  <c r="D196" i="2"/>
  <c r="D260" i="2"/>
  <c r="F910" i="3"/>
  <c r="F912" i="3"/>
  <c r="F914" i="3"/>
  <c r="C1282" i="3"/>
  <c r="C1285" i="3" s="1"/>
  <c r="J1279" i="3" s="1"/>
  <c r="C1223" i="3"/>
  <c r="C1226" i="3" s="1"/>
  <c r="J1220" i="3" s="1"/>
  <c r="C1327" i="3"/>
  <c r="R30" i="1"/>
  <c r="R66" i="2"/>
  <c r="R244" i="2" s="1"/>
  <c r="AF51" i="2"/>
  <c r="AF52" i="2" s="1"/>
  <c r="AG63" i="2"/>
  <c r="X103" i="2"/>
  <c r="AF71" i="2"/>
  <c r="AF185" i="2" s="1"/>
  <c r="AF75" i="2"/>
  <c r="AG75" i="2" s="1"/>
  <c r="AF74" i="2"/>
  <c r="AG74" i="2" s="1"/>
  <c r="AG156" i="2"/>
  <c r="AG157" i="2" s="1"/>
  <c r="AA103" i="2"/>
  <c r="AC118" i="2"/>
  <c r="AC264" i="2" s="1"/>
  <c r="E978" i="3"/>
  <c r="T103" i="2"/>
  <c r="AF43" i="2"/>
  <c r="AF177" i="2"/>
  <c r="AF241" i="2"/>
  <c r="AF46" i="2"/>
  <c r="V238" i="2"/>
  <c r="D159" i="2"/>
  <c r="D224" i="2" s="1"/>
  <c r="AE52" i="2"/>
  <c r="AI53" i="2" s="1"/>
  <c r="AG149" i="2"/>
  <c r="AG209" i="2" s="1"/>
  <c r="AE253" i="2"/>
  <c r="AF180" i="2"/>
  <c r="AF70" i="2"/>
  <c r="AF244" i="2"/>
  <c r="D181" i="2"/>
  <c r="AE189" i="2"/>
  <c r="E976" i="3"/>
  <c r="W52" i="2"/>
  <c r="W54" i="2" s="1"/>
  <c r="AG67" i="2"/>
  <c r="AF155" i="2"/>
  <c r="AF104" i="2"/>
  <c r="AF47" i="2"/>
  <c r="AF245" i="2"/>
  <c r="AF181" i="2"/>
  <c r="Z13" i="1"/>
  <c r="AA28" i="1"/>
  <c r="D30" i="1"/>
  <c r="S71" i="2"/>
  <c r="AG176" i="2"/>
  <c r="AG240" i="2"/>
  <c r="Y111" i="2"/>
  <c r="W103" i="2"/>
  <c r="C103" i="2"/>
  <c r="C104" i="2" s="1"/>
  <c r="R188" i="2"/>
  <c r="R241" i="2"/>
  <c r="G236" i="2"/>
  <c r="H237" i="2" s="1"/>
  <c r="R123" i="2"/>
  <c r="AG113" i="2"/>
  <c r="AC113" i="2"/>
  <c r="S75" i="2"/>
  <c r="G242" i="2"/>
  <c r="AC10" i="2"/>
  <c r="AC19" i="2" s="1"/>
  <c r="AC50" i="2" s="1"/>
  <c r="AG8" i="2"/>
  <c r="T260" i="2"/>
  <c r="E103" i="2"/>
  <c r="E104" i="2" s="1"/>
  <c r="AG238" i="2"/>
  <c r="S51" i="2"/>
  <c r="AX52" i="2" s="1"/>
  <c r="BB53" i="2" s="1"/>
  <c r="F181" i="2"/>
  <c r="S178" i="2"/>
  <c r="F159" i="2"/>
  <c r="F224" i="2" s="1"/>
  <c r="R47" i="2"/>
  <c r="E113" i="2"/>
  <c r="W242" i="2"/>
  <c r="Z260" i="2"/>
  <c r="C241" i="2"/>
  <c r="Z185" i="2"/>
  <c r="AA182" i="2"/>
  <c r="V87" i="2"/>
  <c r="V155" i="2" s="1"/>
  <c r="V220" i="2" s="1"/>
  <c r="C177" i="2"/>
  <c r="V185" i="2"/>
  <c r="U250" i="2"/>
  <c r="U41" i="2"/>
  <c r="X260" i="2"/>
  <c r="D252" i="2"/>
  <c r="S192" i="2"/>
  <c r="R185" i="2"/>
  <c r="T113" i="2"/>
  <c r="G103" i="2"/>
  <c r="G104" i="2" s="1"/>
  <c r="W178" i="2"/>
  <c r="V103" i="2"/>
  <c r="E93" i="2"/>
  <c r="E148" i="2" s="1"/>
  <c r="E208" i="2" s="1"/>
  <c r="W11" i="2"/>
  <c r="C253" i="2"/>
  <c r="E249" i="2"/>
  <c r="Z241" i="2"/>
  <c r="V181" i="2"/>
  <c r="D177" i="2"/>
  <c r="X159" i="2"/>
  <c r="X224" i="2" s="1"/>
  <c r="C159" i="2"/>
  <c r="C224" i="2" s="1"/>
  <c r="S113" i="2"/>
  <c r="S103" i="2"/>
  <c r="Y38" i="1"/>
  <c r="AC233" i="2"/>
  <c r="V245" i="2"/>
  <c r="D234" i="2"/>
  <c r="F157" i="2"/>
  <c r="T65" i="2"/>
  <c r="U38" i="1"/>
  <c r="S256" i="2"/>
  <c r="R253" i="2"/>
  <c r="Z249" i="2"/>
  <c r="D241" i="2"/>
  <c r="T123" i="2"/>
  <c r="T259" i="2" s="1"/>
  <c r="W67" i="2"/>
  <c r="X67" i="2" s="1"/>
  <c r="X47" i="2" s="1"/>
  <c r="AC65" i="2"/>
  <c r="AF91" i="2" s="1"/>
  <c r="Y44" i="1"/>
  <c r="AC41" i="2"/>
  <c r="D1210" i="3"/>
  <c r="W185" i="2"/>
  <c r="W249" i="2"/>
  <c r="R260" i="2"/>
  <c r="C260" i="2"/>
  <c r="R245" i="2"/>
  <c r="C196" i="2"/>
  <c r="R181" i="2"/>
  <c r="C181" i="2"/>
  <c r="X178" i="2"/>
  <c r="R159" i="2"/>
  <c r="R224" i="2" s="1"/>
  <c r="U118" i="2"/>
  <c r="U264" i="2" s="1"/>
  <c r="W113" i="2"/>
  <c r="Z103" i="2"/>
  <c r="D103" i="2"/>
  <c r="D104" i="2" s="1"/>
  <c r="AB179" i="2"/>
  <c r="AA123" i="2"/>
  <c r="D149" i="2"/>
  <c r="D209" i="2" s="1"/>
  <c r="C66" i="2"/>
  <c r="C180" i="2" s="1"/>
  <c r="S11" i="2"/>
  <c r="AE177" i="2"/>
  <c r="AE46" i="2"/>
  <c r="AE241" i="2"/>
  <c r="AE66" i="2"/>
  <c r="AE188" i="2"/>
  <c r="AE252" i="2"/>
  <c r="D253" i="2"/>
  <c r="R252" i="2"/>
  <c r="C252" i="2"/>
  <c r="U251" i="2"/>
  <c r="C249" i="2"/>
  <c r="C245" i="2"/>
  <c r="S236" i="2"/>
  <c r="S238" i="2" s="1"/>
  <c r="D237" i="2"/>
  <c r="E234" i="2"/>
  <c r="D123" i="2"/>
  <c r="U111" i="2"/>
  <c r="AB103" i="2"/>
  <c r="R103" i="2"/>
  <c r="BQ73" i="2"/>
  <c r="AA243" i="2"/>
  <c r="BQ65" i="2"/>
  <c r="V66" i="2"/>
  <c r="V180" i="2" s="1"/>
  <c r="AB57" i="2"/>
  <c r="AF58" i="2" s="1"/>
  <c r="BQ57" i="2"/>
  <c r="AE58" i="2"/>
  <c r="E47" i="2"/>
  <c r="X11" i="2"/>
  <c r="Z30" i="1"/>
  <c r="AB10" i="1"/>
  <c r="AE87" i="2"/>
  <c r="AE216" i="2"/>
  <c r="J1082" i="3" s="1"/>
  <c r="AE249" i="2"/>
  <c r="AE185" i="2"/>
  <c r="S247" i="2"/>
  <c r="S183" i="2"/>
  <c r="Y118" i="2"/>
  <c r="Y264" i="2" s="1"/>
  <c r="X71" i="2"/>
  <c r="Y71" i="2" s="1"/>
  <c r="S67" i="2"/>
  <c r="D148" i="2"/>
  <c r="D208" i="2" s="1"/>
  <c r="AB64" i="2"/>
  <c r="AB242" i="2" s="1"/>
  <c r="BQ64" i="2"/>
  <c r="S62" i="2"/>
  <c r="S176" i="2" s="1"/>
  <c r="G149" i="2"/>
  <c r="G209" i="2" s="1"/>
  <c r="AE43" i="2"/>
  <c r="AC127" i="2"/>
  <c r="C1212" i="3"/>
  <c r="D1212" i="3" s="1"/>
  <c r="D1252" i="3"/>
  <c r="AE47" i="2"/>
  <c r="AE245" i="2"/>
  <c r="AE181" i="2"/>
  <c r="D1221" i="3"/>
  <c r="D1231" i="3"/>
  <c r="D1233" i="3"/>
  <c r="D1242" i="3"/>
  <c r="D1222" i="3"/>
  <c r="D1224" i="3"/>
  <c r="D1225" i="3"/>
  <c r="D1230" i="3"/>
  <c r="D1096" i="3"/>
  <c r="D185" i="2"/>
  <c r="W159" i="2"/>
  <c r="W224" i="2" s="1"/>
  <c r="W196" i="2"/>
  <c r="Y127" i="2"/>
  <c r="Y42" i="2" s="1"/>
  <c r="C11" i="2"/>
  <c r="C113" i="2"/>
  <c r="C156" i="2"/>
  <c r="C149" i="2"/>
  <c r="C209" i="2" s="1"/>
  <c r="E189" i="2"/>
  <c r="E46" i="2"/>
  <c r="E241" i="2"/>
  <c r="E66" i="2"/>
  <c r="E177" i="2"/>
  <c r="C20" i="2"/>
  <c r="C88" i="2"/>
  <c r="Z87" i="2"/>
  <c r="Z155" i="2" s="1"/>
  <c r="Z220" i="2" s="1"/>
  <c r="AA87" i="2"/>
  <c r="Y169" i="2"/>
  <c r="V30" i="1"/>
  <c r="V25" i="1"/>
  <c r="T196" i="2"/>
  <c r="F103" i="2"/>
  <c r="F104" i="2" s="1"/>
  <c r="Y101" i="2"/>
  <c r="AA19" i="2"/>
  <c r="AA50" i="2" s="1"/>
  <c r="AA11" i="2"/>
  <c r="Y38" i="2"/>
  <c r="W87" i="2"/>
  <c r="W155" i="2" s="1"/>
  <c r="W220" i="2" s="1"/>
  <c r="U169" i="2"/>
  <c r="X87" i="2"/>
  <c r="U233" i="2"/>
  <c r="U40" i="2"/>
  <c r="G46" i="2"/>
  <c r="G177" i="2"/>
  <c r="AC38" i="1"/>
  <c r="AD244" i="2"/>
  <c r="AD70" i="2"/>
  <c r="AD248" i="2" s="1"/>
  <c r="V260" i="2"/>
  <c r="S159" i="2"/>
  <c r="S224" i="2" s="1"/>
  <c r="S196" i="2"/>
  <c r="X123" i="2"/>
  <c r="X134" i="2" s="1"/>
  <c r="X113" i="2"/>
  <c r="AB87" i="2"/>
  <c r="AB72" i="2"/>
  <c r="AC72" i="2" s="1"/>
  <c r="AA250" i="2"/>
  <c r="AA186" i="2"/>
  <c r="Z20" i="2"/>
  <c r="AC40" i="2"/>
  <c r="AC44" i="1"/>
  <c r="AB79" i="2"/>
  <c r="AA192" i="2"/>
  <c r="AA74" i="2"/>
  <c r="BQ74" i="2" s="1"/>
  <c r="Z252" i="2"/>
  <c r="S260" i="2"/>
  <c r="AA256" i="2"/>
  <c r="Z188" i="2"/>
  <c r="V19" i="2"/>
  <c r="V50" i="2" s="1"/>
  <c r="G252" i="2"/>
  <c r="G188" i="2"/>
  <c r="AA236" i="2"/>
  <c r="AA172" i="2"/>
  <c r="F46" i="2"/>
  <c r="F66" i="2"/>
  <c r="V196" i="2"/>
  <c r="Z123" i="2"/>
  <c r="Z158" i="2" s="1"/>
  <c r="AA185" i="2"/>
  <c r="AB71" i="2"/>
  <c r="V13" i="1"/>
  <c r="AA249" i="2"/>
  <c r="Z240" i="2"/>
  <c r="Y183" i="2"/>
  <c r="D113" i="2"/>
  <c r="AB68" i="2"/>
  <c r="AC68" i="2" s="1"/>
  <c r="AA246" i="2"/>
  <c r="U39" i="2"/>
  <c r="E30" i="1"/>
  <c r="V240" i="2"/>
  <c r="D176" i="2"/>
  <c r="C118" i="2"/>
  <c r="C264" i="2" s="1"/>
  <c r="E157" i="2"/>
  <c r="AB75" i="2"/>
  <c r="AA253" i="2"/>
  <c r="X68" i="2"/>
  <c r="AB11" i="2"/>
  <c r="U101" i="2"/>
  <c r="D13" i="1"/>
  <c r="D17" i="1"/>
  <c r="D16" i="1"/>
  <c r="G233" i="2"/>
  <c r="G216" i="2"/>
  <c r="G256" i="2"/>
  <c r="G250" i="2"/>
  <c r="G247" i="2"/>
  <c r="G246" i="2"/>
  <c r="AD123" i="2"/>
  <c r="D47" i="2"/>
  <c r="D245" i="2"/>
  <c r="R11" i="2"/>
  <c r="R19" i="2"/>
  <c r="Z238" i="2"/>
  <c r="AA178" i="2"/>
  <c r="Z159" i="2"/>
  <c r="Z224" i="2" s="1"/>
  <c r="W236" i="2"/>
  <c r="F234" i="2"/>
  <c r="D156" i="2"/>
  <c r="D221" i="2" s="1"/>
  <c r="AA113" i="2"/>
  <c r="R249" i="2"/>
  <c r="D25" i="1"/>
  <c r="X22" i="1"/>
  <c r="X24" i="1" s="1"/>
  <c r="W28" i="1"/>
  <c r="G243" i="2"/>
  <c r="AD216" i="2"/>
  <c r="U10" i="2"/>
  <c r="U11" i="2" s="1"/>
  <c r="AD87" i="2"/>
  <c r="AD155" i="2" s="1"/>
  <c r="V249" i="2"/>
  <c r="F113" i="2"/>
  <c r="W123" i="2"/>
  <c r="W134" i="2" s="1"/>
  <c r="F88" i="2"/>
  <c r="AA67" i="2"/>
  <c r="BQ67" i="2" s="1"/>
  <c r="AA51" i="2"/>
  <c r="AB51" i="2" s="1"/>
  <c r="Z11" i="2"/>
  <c r="R25" i="1"/>
  <c r="U23" i="1"/>
  <c r="G66" i="2"/>
  <c r="G244" i="2" s="1"/>
  <c r="G113" i="2"/>
  <c r="D1232" i="3"/>
  <c r="E237" i="2"/>
  <c r="AB113" i="2"/>
  <c r="AB69" i="2"/>
  <c r="U44" i="1"/>
  <c r="T29" i="1"/>
  <c r="AC39" i="2"/>
  <c r="AB22" i="1"/>
  <c r="AC103" i="2"/>
  <c r="D1243" i="3"/>
  <c r="Z113" i="2"/>
  <c r="T11" i="2"/>
  <c r="D1208" i="3"/>
  <c r="G220" i="2"/>
  <c r="AC8" i="2"/>
  <c r="AC87" i="2"/>
  <c r="AC155" i="2" s="1"/>
  <c r="F11" i="2"/>
  <c r="AB9" i="1"/>
  <c r="G221" i="2"/>
  <c r="AC38" i="2"/>
  <c r="D1241" i="3"/>
  <c r="D1175" i="3"/>
  <c r="D1144" i="3"/>
  <c r="D1250" i="3"/>
  <c r="D1207" i="3"/>
  <c r="D1251" i="3"/>
  <c r="D1361" i="3"/>
  <c r="AD20" i="2"/>
  <c r="AD52" i="2"/>
  <c r="AH53" i="2" s="1"/>
  <c r="D1349" i="3"/>
  <c r="D1342" i="3"/>
  <c r="D1269" i="3"/>
  <c r="D1238" i="3"/>
  <c r="D1239" i="3"/>
  <c r="D1204" i="3"/>
  <c r="D1240" i="3"/>
  <c r="D1205" i="3"/>
  <c r="C1235" i="3"/>
  <c r="C1203" i="3"/>
  <c r="C1209" i="3" s="1"/>
  <c r="D1301" i="3"/>
  <c r="G13" i="1"/>
  <c r="G30" i="1"/>
  <c r="AC169" i="2"/>
  <c r="G240" i="2"/>
  <c r="G19" i="2"/>
  <c r="G50" i="2" s="1"/>
  <c r="D1368" i="3"/>
  <c r="D1358" i="3"/>
  <c r="D1348" i="3"/>
  <c r="E220" i="2"/>
  <c r="E222" i="2" s="1"/>
  <c r="R176" i="2"/>
  <c r="C176" i="2"/>
  <c r="D19" i="2"/>
  <c r="G157" i="2"/>
  <c r="G196" i="2"/>
  <c r="G241" i="2"/>
  <c r="G245" i="2"/>
  <c r="G249" i="2"/>
  <c r="G253" i="2"/>
  <c r="D1357" i="3"/>
  <c r="D1343" i="3"/>
  <c r="D1308" i="3"/>
  <c r="D1292" i="3"/>
  <c r="E196" i="2"/>
  <c r="C155" i="2"/>
  <c r="C220" i="2" s="1"/>
  <c r="G47" i="2"/>
  <c r="G93" i="2"/>
  <c r="G148" i="2" s="1"/>
  <c r="G208" i="2" s="1"/>
  <c r="G176" i="2"/>
  <c r="D1330" i="3"/>
  <c r="D1271" i="3"/>
  <c r="E260" i="2"/>
  <c r="R240" i="2"/>
  <c r="C240" i="2"/>
  <c r="F222" i="2"/>
  <c r="E159" i="2"/>
  <c r="E224" i="2" s="1"/>
  <c r="G159" i="2"/>
  <c r="G224" i="2" s="1"/>
  <c r="D1323" i="3"/>
  <c r="D1326" i="3"/>
  <c r="D1339" i="3"/>
  <c r="D1298" i="3"/>
  <c r="D1283" i="3"/>
  <c r="D1280" i="3"/>
  <c r="E238" i="2"/>
  <c r="D1370" i="3"/>
  <c r="D1360" i="3"/>
  <c r="D1356" i="3"/>
  <c r="D1351" i="3"/>
  <c r="C1341" i="3"/>
  <c r="C1344" i="3" s="1"/>
  <c r="D1322" i="3"/>
  <c r="F237" i="2"/>
  <c r="AB123" i="2"/>
  <c r="F123" i="2"/>
  <c r="F129" i="2" s="1"/>
  <c r="D1266" i="3"/>
  <c r="D1281" i="3"/>
  <c r="D1290" i="3"/>
  <c r="D1299" i="3"/>
  <c r="D1309" i="3"/>
  <c r="D1264" i="3"/>
  <c r="D1267" i="3"/>
  <c r="D1291" i="3"/>
  <c r="D1300" i="3"/>
  <c r="D1310" i="3"/>
  <c r="X79" i="2"/>
  <c r="Y79" i="2" s="1"/>
  <c r="W192" i="2"/>
  <c r="T9" i="1"/>
  <c r="S12" i="1"/>
  <c r="D1289" i="3"/>
  <c r="D1263" i="3"/>
  <c r="C1262" i="3"/>
  <c r="C1268" i="3" s="1"/>
  <c r="W256" i="2"/>
  <c r="D1369" i="3"/>
  <c r="D1359" i="3"/>
  <c r="D1350" i="3"/>
  <c r="D1340" i="3"/>
  <c r="D1325" i="3"/>
  <c r="D1311" i="3"/>
  <c r="D1302" i="3"/>
  <c r="C1294" i="3"/>
  <c r="D1284" i="3"/>
  <c r="E123" i="2"/>
  <c r="E129" i="2" s="1"/>
  <c r="W75" i="2"/>
  <c r="X75" i="2" s="1"/>
  <c r="Y75" i="2" s="1"/>
  <c r="V189" i="2"/>
  <c r="Y220" i="2"/>
  <c r="U220" i="2"/>
  <c r="D220" i="2"/>
  <c r="U127" i="2"/>
  <c r="U42" i="2" s="1"/>
  <c r="F47" i="2"/>
  <c r="F93" i="2"/>
  <c r="F148" i="2" s="1"/>
  <c r="F208" i="2" s="1"/>
  <c r="X57" i="2"/>
  <c r="W58" i="2"/>
  <c r="W59" i="2"/>
  <c r="W174" i="2" s="1"/>
  <c r="W62" i="2"/>
  <c r="S74" i="2"/>
  <c r="AA63" i="2"/>
  <c r="BQ63" i="2" s="1"/>
  <c r="S63" i="2"/>
  <c r="Z46" i="2"/>
  <c r="X65" i="2"/>
  <c r="Y65" i="2" s="1"/>
  <c r="Y64" i="2"/>
  <c r="R46" i="2"/>
  <c r="T20" i="2"/>
  <c r="T26" i="2"/>
  <c r="E19" i="2"/>
  <c r="E11" i="2"/>
  <c r="AB23" i="1"/>
  <c r="AA29" i="1"/>
  <c r="T22" i="1"/>
  <c r="U22" i="1" s="1"/>
  <c r="S28" i="1"/>
  <c r="S24" i="1"/>
  <c r="W74" i="2"/>
  <c r="X74" i="2" s="1"/>
  <c r="T64" i="2"/>
  <c r="U64" i="2" s="1"/>
  <c r="W63" i="2"/>
  <c r="X63" i="2" s="1"/>
  <c r="V46" i="2"/>
  <c r="Z66" i="2"/>
  <c r="D66" i="2"/>
  <c r="AA58" i="2"/>
  <c r="X51" i="2"/>
  <c r="X52" i="2" s="1"/>
  <c r="X20" i="2"/>
  <c r="X26" i="2"/>
  <c r="S20" i="2"/>
  <c r="S26" i="2"/>
  <c r="F30" i="1"/>
  <c r="F25" i="1"/>
  <c r="T57" i="2"/>
  <c r="AB20" i="2"/>
  <c r="W20" i="2"/>
  <c r="W26" i="2"/>
  <c r="Y10" i="2"/>
  <c r="Y40" i="2"/>
  <c r="Y8" i="2"/>
  <c r="Y41" i="2"/>
  <c r="X10" i="1"/>
  <c r="X29" i="1" s="1"/>
  <c r="W12" i="1"/>
  <c r="Y9" i="1"/>
  <c r="AA62" i="2"/>
  <c r="AA59" i="2"/>
  <c r="AA174" i="2" s="1"/>
  <c r="Y39" i="2"/>
  <c r="F20" i="2"/>
  <c r="AA24" i="1"/>
  <c r="W24" i="1"/>
  <c r="Y23" i="1"/>
  <c r="U10" i="1"/>
  <c r="W29" i="1"/>
  <c r="S29" i="1"/>
  <c r="Y170" i="2" l="1"/>
  <c r="AC170" i="2"/>
  <c r="AG170" i="2"/>
  <c r="AA237" i="2"/>
  <c r="AE237" i="2"/>
  <c r="Y234" i="2"/>
  <c r="W238" i="2"/>
  <c r="W237" i="2"/>
  <c r="AC234" i="2"/>
  <c r="AG234" i="2"/>
  <c r="AA173" i="2"/>
  <c r="AE173" i="2"/>
  <c r="BA89" i="2"/>
  <c r="AZ89" i="2"/>
  <c r="AC260" i="2"/>
  <c r="AC42" i="2"/>
  <c r="AY89" i="2"/>
  <c r="AX89" i="2"/>
  <c r="U113" i="2"/>
  <c r="U121" i="2"/>
  <c r="U123" i="2" s="1"/>
  <c r="U43" i="2" s="1"/>
  <c r="D140" i="2"/>
  <c r="D200" i="2" s="1"/>
  <c r="D129" i="2"/>
  <c r="D146" i="2" s="1"/>
  <c r="D206" i="2" s="1"/>
  <c r="AX56" i="2"/>
  <c r="Y113" i="2"/>
  <c r="Y121" i="2"/>
  <c r="Y123" i="2" s="1"/>
  <c r="Y130" i="2" s="1"/>
  <c r="AC9" i="1"/>
  <c r="AB12" i="1"/>
  <c r="AB13" i="1" s="1"/>
  <c r="E26" i="2"/>
  <c r="E50" i="2"/>
  <c r="E52" i="2" s="1"/>
  <c r="D26" i="2"/>
  <c r="D50" i="2"/>
  <c r="D52" i="2" s="1"/>
  <c r="R26" i="2"/>
  <c r="R29" i="2" s="1"/>
  <c r="R50" i="2"/>
  <c r="R52" i="2" s="1"/>
  <c r="R54" i="2" s="1"/>
  <c r="AX188" i="2"/>
  <c r="AX252" i="2"/>
  <c r="AX185" i="2"/>
  <c r="AX249" i="2"/>
  <c r="AX66" i="2"/>
  <c r="AX176" i="2"/>
  <c r="AX149" i="2"/>
  <c r="AX209" i="2" s="1"/>
  <c r="AX156" i="2"/>
  <c r="AX221" i="2" s="1"/>
  <c r="AX238" i="2"/>
  <c r="AX177" i="2"/>
  <c r="AX241" i="2"/>
  <c r="AX46" i="2"/>
  <c r="AX47" i="2"/>
  <c r="AX181" i="2"/>
  <c r="AX245" i="2"/>
  <c r="AX148" i="2"/>
  <c r="AX208" i="2" s="1"/>
  <c r="AX189" i="2"/>
  <c r="AX253" i="2"/>
  <c r="S123" i="2"/>
  <c r="S195" i="2" s="1"/>
  <c r="AX123" i="2"/>
  <c r="AX54" i="2"/>
  <c r="AM89" i="2"/>
  <c r="AP89" i="2"/>
  <c r="AA52" i="2"/>
  <c r="AA53" i="2" s="1"/>
  <c r="AA26" i="2"/>
  <c r="AA29" i="2" s="1"/>
  <c r="AF88" i="2"/>
  <c r="AC26" i="2"/>
  <c r="AC29" i="2" s="1"/>
  <c r="AS53" i="2"/>
  <c r="G26" i="2"/>
  <c r="G29" i="2" s="1"/>
  <c r="U79" i="2"/>
  <c r="U256" i="2" s="1"/>
  <c r="T247" i="2"/>
  <c r="U69" i="2"/>
  <c r="U183" i="2" s="1"/>
  <c r="D1328" i="3"/>
  <c r="T256" i="2"/>
  <c r="U68" i="2"/>
  <c r="U182" i="2" s="1"/>
  <c r="T246" i="2"/>
  <c r="T63" i="2"/>
  <c r="U63" i="2" s="1"/>
  <c r="T75" i="2"/>
  <c r="U75" i="2" s="1"/>
  <c r="U253" i="2" s="1"/>
  <c r="T51" i="2"/>
  <c r="T52" i="2" s="1"/>
  <c r="X53" i="2" s="1"/>
  <c r="T74" i="2"/>
  <c r="T188" i="2" s="1"/>
  <c r="S245" i="2"/>
  <c r="S249" i="2"/>
  <c r="C1329" i="3"/>
  <c r="C1333" i="3" s="1"/>
  <c r="AH163" i="2"/>
  <c r="U103" i="2"/>
  <c r="U104" i="2" s="1"/>
  <c r="AK54" i="2"/>
  <c r="Y103" i="2"/>
  <c r="Y104" i="2" s="1"/>
  <c r="AH161" i="2"/>
  <c r="Y22" i="1"/>
  <c r="Y24" i="1" s="1"/>
  <c r="AK89" i="2"/>
  <c r="AK103" i="2"/>
  <c r="AK104" i="2" s="1"/>
  <c r="AK56" i="2"/>
  <c r="AK113" i="2"/>
  <c r="AG123" i="2"/>
  <c r="C982" i="3" s="1"/>
  <c r="AK244" i="2"/>
  <c r="AK180" i="2"/>
  <c r="AK70" i="2"/>
  <c r="AQ94" i="2" s="1"/>
  <c r="AK253" i="2"/>
  <c r="AK189" i="2"/>
  <c r="AH221" i="2"/>
  <c r="AH226" i="2" s="1"/>
  <c r="AI199" i="2"/>
  <c r="AI161" i="2"/>
  <c r="AI157" i="2"/>
  <c r="AI221" i="2"/>
  <c r="D799" i="3"/>
  <c r="E792" i="3"/>
  <c r="E794" i="3"/>
  <c r="E796" i="3"/>
  <c r="X181" i="2"/>
  <c r="AF220" i="2"/>
  <c r="AJ162" i="2"/>
  <c r="AJ202" i="2"/>
  <c r="AC243" i="2"/>
  <c r="S189" i="2"/>
  <c r="AJ93" i="2"/>
  <c r="AJ148" i="2" s="1"/>
  <c r="AJ208" i="2" s="1"/>
  <c r="AJ199" i="2"/>
  <c r="AJ161" i="2"/>
  <c r="AJ163" i="2"/>
  <c r="AJ205" i="2"/>
  <c r="AC179" i="2"/>
  <c r="AD91" i="2"/>
  <c r="AC91" i="2"/>
  <c r="AI202" i="2"/>
  <c r="AI162" i="2"/>
  <c r="AH202" i="2"/>
  <c r="AI163" i="2"/>
  <c r="AI205" i="2"/>
  <c r="AJ157" i="2"/>
  <c r="AJ221" i="2"/>
  <c r="D858" i="3"/>
  <c r="E851" i="3"/>
  <c r="E853" i="3"/>
  <c r="E855" i="3"/>
  <c r="S52" i="2"/>
  <c r="S56" i="2" s="1"/>
  <c r="AI93" i="2"/>
  <c r="AI148" i="2" s="1"/>
  <c r="AI208" i="2" s="1"/>
  <c r="AE56" i="2"/>
  <c r="AE70" i="2"/>
  <c r="AE54" i="2"/>
  <c r="AF54" i="2"/>
  <c r="AJ53" i="2"/>
  <c r="AF56" i="2"/>
  <c r="C1335" i="3"/>
  <c r="AB62" i="2"/>
  <c r="AB176" i="2" s="1"/>
  <c r="AC73" i="2"/>
  <c r="AC187" i="2" s="1"/>
  <c r="AB251" i="2"/>
  <c r="AG66" i="2"/>
  <c r="AG180" i="2" s="1"/>
  <c r="AB59" i="2"/>
  <c r="AB174" i="2" s="1"/>
  <c r="T71" i="2"/>
  <c r="U71" i="2" s="1"/>
  <c r="U185" i="2" s="1"/>
  <c r="AC57" i="2"/>
  <c r="AF90" i="2" s="1"/>
  <c r="AF140" i="2" s="1"/>
  <c r="AF200" i="2" s="1"/>
  <c r="Z134" i="2"/>
  <c r="R180" i="2"/>
  <c r="AG71" i="2"/>
  <c r="AG249" i="2" s="1"/>
  <c r="Z43" i="2"/>
  <c r="AF252" i="2"/>
  <c r="AF188" i="2"/>
  <c r="AB236" i="2"/>
  <c r="AB172" i="2"/>
  <c r="D259" i="2"/>
  <c r="D130" i="2"/>
  <c r="D143" i="2" s="1"/>
  <c r="D203" i="2" s="1"/>
  <c r="D195" i="2"/>
  <c r="D139" i="2"/>
  <c r="D161" i="2" s="1"/>
  <c r="C70" i="2"/>
  <c r="C184" i="2" s="1"/>
  <c r="D134" i="2"/>
  <c r="D158" i="2"/>
  <c r="D160" i="2" s="1"/>
  <c r="D225" i="2" s="1"/>
  <c r="D227" i="2" s="1"/>
  <c r="D43" i="2"/>
  <c r="AF189" i="2"/>
  <c r="AF253" i="2"/>
  <c r="W56" i="2"/>
  <c r="T134" i="2"/>
  <c r="AC196" i="2"/>
  <c r="AF249" i="2"/>
  <c r="AC159" i="2"/>
  <c r="AC224" i="2" s="1"/>
  <c r="AC64" i="2"/>
  <c r="AC242" i="2" s="1"/>
  <c r="R20" i="2"/>
  <c r="W259" i="2"/>
  <c r="W195" i="2"/>
  <c r="C244" i="2"/>
  <c r="R70" i="2"/>
  <c r="R76" i="2" s="1"/>
  <c r="R190" i="2" s="1"/>
  <c r="V244" i="2"/>
  <c r="S185" i="2"/>
  <c r="AA47" i="2"/>
  <c r="AG51" i="2"/>
  <c r="V70" i="2"/>
  <c r="V76" i="2" s="1"/>
  <c r="AF248" i="2"/>
  <c r="AF76" i="2"/>
  <c r="AF184" i="2"/>
  <c r="G180" i="2"/>
  <c r="T261" i="2"/>
  <c r="AH93" i="2"/>
  <c r="AH148" i="2" s="1"/>
  <c r="AH208" i="2" s="1"/>
  <c r="F70" i="2"/>
  <c r="F184" i="2" s="1"/>
  <c r="W181" i="2"/>
  <c r="G237" i="2"/>
  <c r="AC123" i="2"/>
  <c r="AC158" i="2" s="1"/>
  <c r="AB24" i="1"/>
  <c r="AB25" i="1" s="1"/>
  <c r="AG188" i="2"/>
  <c r="AG252" i="2"/>
  <c r="W245" i="2"/>
  <c r="AC11" i="2"/>
  <c r="AG177" i="2"/>
  <c r="AG241" i="2"/>
  <c r="AG46" i="2"/>
  <c r="AA158" i="2"/>
  <c r="AA223" i="2" s="1"/>
  <c r="AG253" i="2"/>
  <c r="AG189" i="2"/>
  <c r="G123" i="2"/>
  <c r="G222" i="2"/>
  <c r="AG245" i="2"/>
  <c r="AG181" i="2"/>
  <c r="AG47" i="2"/>
  <c r="Z259" i="2"/>
  <c r="Z195" i="2"/>
  <c r="X245" i="2"/>
  <c r="W47" i="2"/>
  <c r="S253" i="2"/>
  <c r="G234" i="2"/>
  <c r="H234" i="2"/>
  <c r="Y67" i="2"/>
  <c r="Y47" i="2" s="1"/>
  <c r="Z130" i="2"/>
  <c r="Z197" i="2" s="1"/>
  <c r="AA134" i="2"/>
  <c r="AE91" i="2"/>
  <c r="AG93" i="2"/>
  <c r="AG148" i="2" s="1"/>
  <c r="AG208" i="2" s="1"/>
  <c r="Z129" i="2"/>
  <c r="AD184" i="2"/>
  <c r="V130" i="2"/>
  <c r="V151" i="2" s="1"/>
  <c r="V211" i="2" s="1"/>
  <c r="V259" i="2"/>
  <c r="V158" i="2"/>
  <c r="V160" i="2" s="1"/>
  <c r="V225" i="2" s="1"/>
  <c r="V134" i="2"/>
  <c r="V129" i="2"/>
  <c r="V195" i="2"/>
  <c r="V43" i="2"/>
  <c r="V104" i="2"/>
  <c r="T129" i="2"/>
  <c r="G70" i="2"/>
  <c r="G248" i="2" s="1"/>
  <c r="T130" i="2"/>
  <c r="T197" i="2" s="1"/>
  <c r="X43" i="2"/>
  <c r="X158" i="2"/>
  <c r="X160" i="2" s="1"/>
  <c r="X225" i="2" s="1"/>
  <c r="AB178" i="2"/>
  <c r="S240" i="2"/>
  <c r="D1220" i="3"/>
  <c r="J1023" i="3"/>
  <c r="T195" i="2"/>
  <c r="T158" i="2"/>
  <c r="T160" i="2" s="1"/>
  <c r="T225" i="2" s="1"/>
  <c r="T243" i="2"/>
  <c r="T179" i="2"/>
  <c r="U65" i="2"/>
  <c r="V91" i="2" s="1"/>
  <c r="AA130" i="2"/>
  <c r="AA197" i="2" s="1"/>
  <c r="X130" i="2"/>
  <c r="X151" i="2" s="1"/>
  <c r="X211" i="2" s="1"/>
  <c r="U19" i="2"/>
  <c r="U50" i="2" s="1"/>
  <c r="AA129" i="2"/>
  <c r="X129" i="2"/>
  <c r="AB28" i="1"/>
  <c r="AB52" i="2"/>
  <c r="AB54" i="2" s="1"/>
  <c r="AA259" i="2"/>
  <c r="AC10" i="1"/>
  <c r="AB29" i="1"/>
  <c r="D1262" i="3"/>
  <c r="AC23" i="1"/>
  <c r="S47" i="2"/>
  <c r="S181" i="2"/>
  <c r="T67" i="2"/>
  <c r="AA43" i="2"/>
  <c r="AA195" i="2"/>
  <c r="BQ58" i="2"/>
  <c r="BQ59" i="2"/>
  <c r="BQ62" i="2"/>
  <c r="BQ66" i="2" s="1"/>
  <c r="BQ70" i="2" s="1"/>
  <c r="BQ76" i="2" s="1"/>
  <c r="AC20" i="2"/>
  <c r="AC104" i="2"/>
  <c r="AE104" i="2"/>
  <c r="AE155" i="2"/>
  <c r="AE220" i="2" s="1"/>
  <c r="BQ51" i="2"/>
  <c r="BQ52" i="2" s="1"/>
  <c r="BQ56" i="2" s="1"/>
  <c r="AE180" i="2"/>
  <c r="AE244" i="2"/>
  <c r="D1035" i="3"/>
  <c r="C1059" i="3"/>
  <c r="C1035" i="3"/>
  <c r="AE88" i="2"/>
  <c r="AD104" i="2"/>
  <c r="AA238" i="2"/>
  <c r="C157" i="2"/>
  <c r="X185" i="2"/>
  <c r="X249" i="2"/>
  <c r="D1223" i="3"/>
  <c r="AC250" i="2"/>
  <c r="AC186" i="2"/>
  <c r="AC182" i="2"/>
  <c r="AC246" i="2"/>
  <c r="X182" i="2"/>
  <c r="X246" i="2"/>
  <c r="AA181" i="2"/>
  <c r="AA245" i="2"/>
  <c r="AB74" i="2"/>
  <c r="AA188" i="2"/>
  <c r="AA252" i="2"/>
  <c r="W43" i="2"/>
  <c r="G238" i="2"/>
  <c r="AD88" i="2"/>
  <c r="AC22" i="1"/>
  <c r="AB253" i="2"/>
  <c r="AB189" i="2"/>
  <c r="V20" i="2"/>
  <c r="V52" i="2"/>
  <c r="V26" i="2"/>
  <c r="J1140" i="3"/>
  <c r="C54" i="2"/>
  <c r="C56" i="2"/>
  <c r="C89" i="2"/>
  <c r="AB192" i="2"/>
  <c r="AB256" i="2"/>
  <c r="G88" i="2"/>
  <c r="AC79" i="2"/>
  <c r="AB185" i="2"/>
  <c r="AB249" i="2"/>
  <c r="AB104" i="2"/>
  <c r="AB155" i="2"/>
  <c r="AB220" i="2" s="1"/>
  <c r="W104" i="2"/>
  <c r="Z104" i="2"/>
  <c r="C123" i="2"/>
  <c r="D222" i="2"/>
  <c r="C1158" i="3"/>
  <c r="AD134" i="2"/>
  <c r="AD195" i="2"/>
  <c r="AD130" i="2"/>
  <c r="AD129" i="2"/>
  <c r="AD259" i="2"/>
  <c r="AD158" i="2"/>
  <c r="AD43" i="2"/>
  <c r="AC75" i="2"/>
  <c r="W130" i="2"/>
  <c r="W158" i="2"/>
  <c r="W129" i="2"/>
  <c r="AB67" i="2"/>
  <c r="AB181" i="2" s="1"/>
  <c r="Y51" i="2"/>
  <c r="Z223" i="2"/>
  <c r="Z160" i="2"/>
  <c r="Z225" i="2" s="1"/>
  <c r="X259" i="2"/>
  <c r="X195" i="2"/>
  <c r="G52" i="2"/>
  <c r="H53" i="2" s="1"/>
  <c r="AB250" i="2"/>
  <c r="AB186" i="2"/>
  <c r="AB246" i="2"/>
  <c r="AB182" i="2"/>
  <c r="AA20" i="2"/>
  <c r="X28" i="1"/>
  <c r="F56" i="2"/>
  <c r="AD76" i="2"/>
  <c r="AD254" i="2" s="1"/>
  <c r="AD220" i="2"/>
  <c r="E70" i="2"/>
  <c r="E180" i="2"/>
  <c r="E244" i="2"/>
  <c r="AC88" i="2"/>
  <c r="F54" i="2"/>
  <c r="AB183" i="2"/>
  <c r="AC69" i="2"/>
  <c r="AB247" i="2"/>
  <c r="AC71" i="2"/>
  <c r="Z54" i="2"/>
  <c r="Z56" i="2"/>
  <c r="AA104" i="2"/>
  <c r="AA155" i="2"/>
  <c r="AA220" i="2" s="1"/>
  <c r="G20" i="2"/>
  <c r="D157" i="2"/>
  <c r="C221" i="2"/>
  <c r="Y68" i="2"/>
  <c r="F244" i="2"/>
  <c r="F180" i="2"/>
  <c r="AC51" i="2"/>
  <c r="Z29" i="2"/>
  <c r="Z44" i="2"/>
  <c r="X104" i="2"/>
  <c r="X155" i="2"/>
  <c r="X220" i="2" s="1"/>
  <c r="Y260" i="2"/>
  <c r="Y159" i="2"/>
  <c r="Y224" i="2" s="1"/>
  <c r="Y196" i="2"/>
  <c r="D1185" i="3"/>
  <c r="D1161" i="3"/>
  <c r="D1293" i="3"/>
  <c r="D1194" i="3"/>
  <c r="D1265" i="3"/>
  <c r="D1312" i="3"/>
  <c r="D1147" i="3"/>
  <c r="D1150" i="3" s="1"/>
  <c r="D1164" i="3"/>
  <c r="D1341" i="3"/>
  <c r="AD29" i="2"/>
  <c r="AG92" i="2" s="1"/>
  <c r="AD44" i="2"/>
  <c r="AD53" i="2"/>
  <c r="AD56" i="2"/>
  <c r="AD54" i="2"/>
  <c r="D1371" i="3"/>
  <c r="D1244" i="3"/>
  <c r="C1211" i="3"/>
  <c r="C1215" i="3" s="1"/>
  <c r="C1245" i="3"/>
  <c r="C1227" i="3"/>
  <c r="D1206" i="3"/>
  <c r="D1234" i="3"/>
  <c r="D1253" i="3"/>
  <c r="D1203" i="3"/>
  <c r="J1221" i="3"/>
  <c r="J1222" i="3" s="1"/>
  <c r="D1352" i="3"/>
  <c r="C29" i="2"/>
  <c r="C44" i="2"/>
  <c r="D1303" i="3"/>
  <c r="D1324" i="3"/>
  <c r="D88" i="2"/>
  <c r="D20" i="2"/>
  <c r="C1345" i="3"/>
  <c r="J1338" i="3"/>
  <c r="C1363" i="3"/>
  <c r="AA30" i="1"/>
  <c r="AA25" i="1"/>
  <c r="F44" i="2"/>
  <c r="F29" i="2"/>
  <c r="U178" i="2"/>
  <c r="U242" i="2"/>
  <c r="X46" i="2"/>
  <c r="X241" i="2"/>
  <c r="X177" i="2"/>
  <c r="T28" i="1"/>
  <c r="T24" i="1"/>
  <c r="T44" i="2"/>
  <c r="T29" i="2"/>
  <c r="Y179" i="2"/>
  <c r="Y243" i="2"/>
  <c r="AB91" i="2"/>
  <c r="W66" i="2"/>
  <c r="W176" i="2"/>
  <c r="W240" i="2"/>
  <c r="W189" i="2"/>
  <c r="W253" i="2"/>
  <c r="T12" i="1"/>
  <c r="AB43" i="2"/>
  <c r="AB129" i="2"/>
  <c r="AB130" i="2"/>
  <c r="AB134" i="2"/>
  <c r="AB158" i="2"/>
  <c r="AB195" i="2"/>
  <c r="AB259" i="2"/>
  <c r="D1282" i="3"/>
  <c r="AA66" i="2"/>
  <c r="AA176" i="2"/>
  <c r="AA240" i="2"/>
  <c r="W13" i="1"/>
  <c r="S30" i="1"/>
  <c r="S25" i="1"/>
  <c r="Y91" i="2"/>
  <c r="Z91" i="2"/>
  <c r="AA91" i="2"/>
  <c r="X179" i="2"/>
  <c r="X243" i="2"/>
  <c r="S46" i="2"/>
  <c r="S66" i="2"/>
  <c r="S177" i="2"/>
  <c r="S241" i="2"/>
  <c r="R134" i="2"/>
  <c r="R129" i="2"/>
  <c r="R130" i="2"/>
  <c r="R197" i="2" s="1"/>
  <c r="R195" i="2"/>
  <c r="R259" i="2"/>
  <c r="R261" i="2" s="1"/>
  <c r="R158" i="2"/>
  <c r="S13" i="1"/>
  <c r="C1304" i="3"/>
  <c r="C1286" i="3"/>
  <c r="Z70" i="2"/>
  <c r="Z180" i="2"/>
  <c r="Z244" i="2"/>
  <c r="X188" i="2"/>
  <c r="X252" i="2"/>
  <c r="U24" i="1"/>
  <c r="Y178" i="2"/>
  <c r="Y242" i="2"/>
  <c r="AA46" i="2"/>
  <c r="AA177" i="2"/>
  <c r="AA241" i="2"/>
  <c r="X58" i="2"/>
  <c r="X59" i="2"/>
  <c r="X174" i="2" s="1"/>
  <c r="X62" i="2"/>
  <c r="X56" i="2"/>
  <c r="X172" i="2"/>
  <c r="X236" i="2"/>
  <c r="Y189" i="2"/>
  <c r="Y253" i="2"/>
  <c r="X253" i="2"/>
  <c r="X189" i="2"/>
  <c r="E43" i="2"/>
  <c r="E140" i="2"/>
  <c r="E200" i="2" s="1"/>
  <c r="E134" i="2"/>
  <c r="E139" i="2"/>
  <c r="E130" i="2"/>
  <c r="E195" i="2"/>
  <c r="E259" i="2"/>
  <c r="E158" i="2"/>
  <c r="Y256" i="2"/>
  <c r="Y192" i="2"/>
  <c r="D1279" i="3"/>
  <c r="U29" i="1"/>
  <c r="Y11" i="2"/>
  <c r="Y19" i="2"/>
  <c r="Y50" i="2" s="1"/>
  <c r="AB44" i="2"/>
  <c r="AB29" i="2"/>
  <c r="S29" i="2"/>
  <c r="S44" i="2"/>
  <c r="X54" i="2"/>
  <c r="T178" i="2"/>
  <c r="T242" i="2"/>
  <c r="Y74" i="2"/>
  <c r="W188" i="2"/>
  <c r="W252" i="2"/>
  <c r="S188" i="2"/>
  <c r="S252" i="2"/>
  <c r="J1339" i="3"/>
  <c r="W30" i="1"/>
  <c r="W25" i="1"/>
  <c r="X12" i="1"/>
  <c r="Y10" i="1"/>
  <c r="Y29" i="1" s="1"/>
  <c r="W29" i="2"/>
  <c r="W44" i="2"/>
  <c r="T59" i="2"/>
  <c r="T174" i="2" s="1"/>
  <c r="T62" i="2"/>
  <c r="U57" i="2"/>
  <c r="U90" i="2" s="1"/>
  <c r="T172" i="2"/>
  <c r="T236" i="2"/>
  <c r="T238" i="2" s="1"/>
  <c r="X25" i="1"/>
  <c r="X44" i="2"/>
  <c r="X29" i="2"/>
  <c r="D70" i="2"/>
  <c r="D180" i="2"/>
  <c r="D244" i="2"/>
  <c r="W46" i="2"/>
  <c r="Y63" i="2"/>
  <c r="W177" i="2"/>
  <c r="W241" i="2"/>
  <c r="Y249" i="2"/>
  <c r="Y185" i="2"/>
  <c r="E20" i="2"/>
  <c r="E88" i="2"/>
  <c r="AB58" i="2"/>
  <c r="AB63" i="2"/>
  <c r="Y57" i="2"/>
  <c r="Z90" i="2" s="1"/>
  <c r="U159" i="2"/>
  <c r="U224" i="2" s="1"/>
  <c r="U196" i="2"/>
  <c r="U260" i="2"/>
  <c r="C1270" i="3"/>
  <c r="C1276" i="3"/>
  <c r="U9" i="1"/>
  <c r="U28" i="1" s="1"/>
  <c r="X192" i="2"/>
  <c r="X256" i="2"/>
  <c r="F43" i="2"/>
  <c r="F130" i="2"/>
  <c r="F140" i="2"/>
  <c r="F200" i="2" s="1"/>
  <c r="F158" i="2"/>
  <c r="F134" i="2"/>
  <c r="F195" i="2"/>
  <c r="F259" i="2"/>
  <c r="F139" i="2"/>
  <c r="D1321" i="3"/>
  <c r="D1362" i="3"/>
  <c r="D1338" i="3"/>
  <c r="J1280" i="3"/>
  <c r="J1281" i="3" s="1"/>
  <c r="AB173" i="2" l="1"/>
  <c r="AF173" i="2"/>
  <c r="AB237" i="2"/>
  <c r="AF237" i="2"/>
  <c r="X237" i="2"/>
  <c r="X173" i="2"/>
  <c r="C129" i="2"/>
  <c r="C139" i="2"/>
  <c r="BG155" i="2"/>
  <c r="BG104" i="2"/>
  <c r="U158" i="2"/>
  <c r="U160" i="2" s="1"/>
  <c r="U225" i="2" s="1"/>
  <c r="S129" i="2"/>
  <c r="S130" i="2"/>
  <c r="S197" i="2" s="1"/>
  <c r="Y129" i="2"/>
  <c r="Y43" i="2"/>
  <c r="Y134" i="2"/>
  <c r="W261" i="2"/>
  <c r="V261" i="2"/>
  <c r="Y259" i="2"/>
  <c r="Y261" i="2" s="1"/>
  <c r="X261" i="2"/>
  <c r="Z261" i="2"/>
  <c r="Y158" i="2"/>
  <c r="Y223" i="2" s="1"/>
  <c r="Y195" i="2"/>
  <c r="AA261" i="2"/>
  <c r="U130" i="2"/>
  <c r="U142" i="2" s="1"/>
  <c r="U129" i="2"/>
  <c r="U146" i="2" s="1"/>
  <c r="U206" i="2" s="1"/>
  <c r="U134" i="2"/>
  <c r="U140" i="2"/>
  <c r="U200" i="2" s="1"/>
  <c r="U195" i="2"/>
  <c r="C302" i="3"/>
  <c r="AX43" i="2"/>
  <c r="U259" i="2"/>
  <c r="G259" i="2"/>
  <c r="G129" i="2"/>
  <c r="AC12" i="1"/>
  <c r="R44" i="2"/>
  <c r="U247" i="2"/>
  <c r="S134" i="2"/>
  <c r="S259" i="2"/>
  <c r="S261" i="2" s="1"/>
  <c r="S158" i="2"/>
  <c r="S223" i="2" s="1"/>
  <c r="AX259" i="2"/>
  <c r="AX140" i="2"/>
  <c r="AX200" i="2" s="1"/>
  <c r="AX195" i="2"/>
  <c r="AX129" i="2"/>
  <c r="AX139" i="2"/>
  <c r="AX134" i="2"/>
  <c r="AX158" i="2"/>
  <c r="AX130" i="2"/>
  <c r="AX70" i="2"/>
  <c r="AX180" i="2"/>
  <c r="AX244" i="2"/>
  <c r="AX157" i="2"/>
  <c r="AX222" i="2"/>
  <c r="AM94" i="2"/>
  <c r="AP94" i="2"/>
  <c r="U192" i="2"/>
  <c r="G44" i="2"/>
  <c r="T46" i="2"/>
  <c r="G30" i="2"/>
  <c r="G92" i="2"/>
  <c r="G35" i="2"/>
  <c r="C1331" i="3"/>
  <c r="U246" i="2"/>
  <c r="Y28" i="1"/>
  <c r="U51" i="2"/>
  <c r="U52" i="2" s="1"/>
  <c r="V89" i="2" s="1"/>
  <c r="T252" i="2"/>
  <c r="U74" i="2"/>
  <c r="U188" i="2" s="1"/>
  <c r="T177" i="2"/>
  <c r="T241" i="2"/>
  <c r="D197" i="2"/>
  <c r="T189" i="2"/>
  <c r="T253" i="2"/>
  <c r="U189" i="2"/>
  <c r="T56" i="2"/>
  <c r="T54" i="2"/>
  <c r="AG43" i="2"/>
  <c r="AG158" i="2"/>
  <c r="AG223" i="2" s="1"/>
  <c r="AG129" i="2"/>
  <c r="AH227" i="2"/>
  <c r="AC251" i="2"/>
  <c r="X91" i="2"/>
  <c r="AH222" i="2"/>
  <c r="AG259" i="2"/>
  <c r="AG185" i="2"/>
  <c r="D145" i="2"/>
  <c r="D205" i="2" s="1"/>
  <c r="C248" i="2"/>
  <c r="C76" i="2"/>
  <c r="C190" i="2" s="1"/>
  <c r="AG140" i="2"/>
  <c r="AG200" i="2" s="1"/>
  <c r="AG195" i="2"/>
  <c r="AK123" i="2"/>
  <c r="Z151" i="2"/>
  <c r="Z211" i="2" s="1"/>
  <c r="W53" i="2"/>
  <c r="AB238" i="2"/>
  <c r="AG130" i="2"/>
  <c r="AG143" i="2" s="1"/>
  <c r="AG203" i="2" s="1"/>
  <c r="D223" i="2"/>
  <c r="D226" i="2" s="1"/>
  <c r="AG134" i="2"/>
  <c r="AF145" i="2"/>
  <c r="AF163" i="2" s="1"/>
  <c r="S54" i="2"/>
  <c r="AG139" i="2"/>
  <c r="AG161" i="2" s="1"/>
  <c r="AF142" i="2"/>
  <c r="AF202" i="2" s="1"/>
  <c r="AC236" i="2"/>
  <c r="C1040" i="3"/>
  <c r="E1033" i="3" s="1"/>
  <c r="AF156" i="2"/>
  <c r="AF157" i="2" s="1"/>
  <c r="AF149" i="2"/>
  <c r="AF209" i="2" s="1"/>
  <c r="AC59" i="2"/>
  <c r="AC174" i="2" s="1"/>
  <c r="AK248" i="2"/>
  <c r="AK184" i="2"/>
  <c r="AK76" i="2"/>
  <c r="AK94" i="2"/>
  <c r="AG58" i="2"/>
  <c r="X197" i="2"/>
  <c r="AC62" i="2"/>
  <c r="AC240" i="2" s="1"/>
  <c r="AC90" i="2"/>
  <c r="AC156" i="2" s="1"/>
  <c r="AC157" i="2" s="1"/>
  <c r="AE90" i="2"/>
  <c r="AE145" i="2" s="1"/>
  <c r="AC172" i="2"/>
  <c r="AD90" i="2"/>
  <c r="AD139" i="2" s="1"/>
  <c r="AF143" i="2"/>
  <c r="AF203" i="2" s="1"/>
  <c r="D151" i="2"/>
  <c r="D211" i="2" s="1"/>
  <c r="D142" i="2"/>
  <c r="D202" i="2" s="1"/>
  <c r="Z145" i="2"/>
  <c r="Z163" i="2" s="1"/>
  <c r="T249" i="2"/>
  <c r="T185" i="2"/>
  <c r="R254" i="2"/>
  <c r="U249" i="2"/>
  <c r="V88" i="2"/>
  <c r="AG244" i="2"/>
  <c r="G184" i="2"/>
  <c r="AF146" i="2"/>
  <c r="AF206" i="2" s="1"/>
  <c r="AF139" i="2"/>
  <c r="AF199" i="2" s="1"/>
  <c r="D199" i="2"/>
  <c r="F851" i="3"/>
  <c r="F853" i="3"/>
  <c r="F855" i="3"/>
  <c r="AJ222" i="2"/>
  <c r="AJ226" i="2"/>
  <c r="AJ227" i="2"/>
  <c r="AG52" i="2"/>
  <c r="AK53" i="2" s="1"/>
  <c r="F792" i="3"/>
  <c r="F794" i="3"/>
  <c r="F796" i="3"/>
  <c r="AI222" i="2"/>
  <c r="AI227" i="2"/>
  <c r="AI226" i="2"/>
  <c r="D261" i="2"/>
  <c r="AB240" i="2"/>
  <c r="R184" i="2"/>
  <c r="AA54" i="2"/>
  <c r="BS53" i="2"/>
  <c r="R78" i="2"/>
  <c r="R80" i="2" s="1"/>
  <c r="U88" i="2"/>
  <c r="AG70" i="2"/>
  <c r="AG248" i="2" s="1"/>
  <c r="U26" i="2"/>
  <c r="U29" i="2" s="1"/>
  <c r="AC178" i="2"/>
  <c r="W88" i="2"/>
  <c r="U20" i="2"/>
  <c r="AC160" i="2"/>
  <c r="AC225" i="2" s="1"/>
  <c r="G53" i="2"/>
  <c r="C94" i="2"/>
  <c r="F76" i="2"/>
  <c r="F78" i="2" s="1"/>
  <c r="F83" i="2" s="1"/>
  <c r="F94" i="2"/>
  <c r="G76" i="2"/>
  <c r="G78" i="2" s="1"/>
  <c r="G83" i="2" s="1"/>
  <c r="Y245" i="2"/>
  <c r="Y181" i="2"/>
  <c r="R248" i="2"/>
  <c r="Z93" i="2"/>
  <c r="Z148" i="2" s="1"/>
  <c r="Z208" i="2" s="1"/>
  <c r="Y93" i="2"/>
  <c r="V223" i="2"/>
  <c r="AC44" i="2"/>
  <c r="AA93" i="2"/>
  <c r="F248" i="2"/>
  <c r="G56" i="2"/>
  <c r="G89" i="2"/>
  <c r="V248" i="2"/>
  <c r="R56" i="2"/>
  <c r="V184" i="2"/>
  <c r="T223" i="2"/>
  <c r="AB53" i="2"/>
  <c r="AA160" i="2"/>
  <c r="AA225" i="2" s="1"/>
  <c r="X88" i="2"/>
  <c r="AC223" i="2"/>
  <c r="AC130" i="2"/>
  <c r="V197" i="2"/>
  <c r="AC134" i="2"/>
  <c r="AB56" i="2"/>
  <c r="AF53" i="2"/>
  <c r="AA151" i="2"/>
  <c r="AA211" i="2" s="1"/>
  <c r="AF92" i="2"/>
  <c r="AF190" i="2"/>
  <c r="AF254" i="2"/>
  <c r="AC129" i="2"/>
  <c r="AC195" i="2"/>
  <c r="C1217" i="3"/>
  <c r="AC259" i="2"/>
  <c r="AC43" i="2"/>
  <c r="G43" i="2"/>
  <c r="D1226" i="3"/>
  <c r="AA44" i="2"/>
  <c r="G94" i="2"/>
  <c r="G139" i="2"/>
  <c r="G195" i="2"/>
  <c r="AE92" i="2"/>
  <c r="G54" i="2"/>
  <c r="G134" i="2"/>
  <c r="G130" i="2"/>
  <c r="G151" i="2" s="1"/>
  <c r="G211" i="2" s="1"/>
  <c r="G158" i="2"/>
  <c r="G140" i="2"/>
  <c r="G200" i="2" s="1"/>
  <c r="X223" i="2"/>
  <c r="AB245" i="2"/>
  <c r="U243" i="2"/>
  <c r="U179" i="2"/>
  <c r="AB30" i="1"/>
  <c r="W91" i="2"/>
  <c r="V90" i="2"/>
  <c r="V139" i="2" s="1"/>
  <c r="V53" i="2"/>
  <c r="D1268" i="3"/>
  <c r="D1270" i="3" s="1"/>
  <c r="D1272" i="3" s="1"/>
  <c r="U91" i="2"/>
  <c r="U149" i="2" s="1"/>
  <c r="U209" i="2" s="1"/>
  <c r="T47" i="2"/>
  <c r="T245" i="2"/>
  <c r="U67" i="2"/>
  <c r="U93" i="2" s="1"/>
  <c r="T181" i="2"/>
  <c r="AD78" i="2"/>
  <c r="AD83" i="2" s="1"/>
  <c r="C1037" i="3"/>
  <c r="C1039" i="3"/>
  <c r="AC52" i="2"/>
  <c r="Y90" i="2"/>
  <c r="Y140" i="2" s="1"/>
  <c r="Y200" i="2" s="1"/>
  <c r="AB47" i="2"/>
  <c r="Z53" i="2"/>
  <c r="AC58" i="2"/>
  <c r="AC30" i="2"/>
  <c r="AA56" i="2"/>
  <c r="AE53" i="2"/>
  <c r="D1037" i="3"/>
  <c r="AE76" i="2"/>
  <c r="AE184" i="2"/>
  <c r="AE248" i="2"/>
  <c r="AB93" i="2"/>
  <c r="AC92" i="2"/>
  <c r="AC67" i="2"/>
  <c r="AD93" i="2" s="1"/>
  <c r="BQ53" i="2"/>
  <c r="BQ54" i="2"/>
  <c r="AC29" i="1"/>
  <c r="D1167" i="3"/>
  <c r="W223" i="2"/>
  <c r="W160" i="2"/>
  <c r="W225" i="2" s="1"/>
  <c r="E248" i="2"/>
  <c r="E94" i="2"/>
  <c r="E76" i="2"/>
  <c r="E184" i="2"/>
  <c r="W151" i="2"/>
  <c r="W211" i="2" s="1"/>
  <c r="W197" i="2"/>
  <c r="AB252" i="2"/>
  <c r="AB188" i="2"/>
  <c r="AC74" i="2"/>
  <c r="D1344" i="3"/>
  <c r="Z30" i="2"/>
  <c r="Z35" i="2"/>
  <c r="AC189" i="2"/>
  <c r="AC253" i="2"/>
  <c r="R30" i="2"/>
  <c r="R35" i="2"/>
  <c r="V190" i="2"/>
  <c r="V78" i="2"/>
  <c r="V80" i="2" s="1"/>
  <c r="V254" i="2"/>
  <c r="AD190" i="2"/>
  <c r="AC24" i="1"/>
  <c r="AC28" i="1"/>
  <c r="C222" i="2"/>
  <c r="V29" i="2"/>
  <c r="V44" i="2"/>
  <c r="AC35" i="2"/>
  <c r="Y182" i="2"/>
  <c r="Y246" i="2"/>
  <c r="AD160" i="2"/>
  <c r="AD225" i="2" s="1"/>
  <c r="AD223" i="2"/>
  <c r="V54" i="2"/>
  <c r="V56" i="2"/>
  <c r="AC185" i="2"/>
  <c r="AC249" i="2"/>
  <c r="AD261" i="2"/>
  <c r="C158" i="2"/>
  <c r="C259" i="2"/>
  <c r="C195" i="2"/>
  <c r="C43" i="2"/>
  <c r="C134" i="2"/>
  <c r="C140" i="2"/>
  <c r="C200" i="2" s="1"/>
  <c r="C130" i="2"/>
  <c r="AC192" i="2"/>
  <c r="AC256" i="2"/>
  <c r="AD151" i="2"/>
  <c r="AD211" i="2" s="1"/>
  <c r="AD197" i="2"/>
  <c r="AC247" i="2"/>
  <c r="AC183" i="2"/>
  <c r="AC63" i="2"/>
  <c r="D1152" i="3"/>
  <c r="D1285" i="3"/>
  <c r="AD92" i="2"/>
  <c r="AD35" i="2"/>
  <c r="AD30" i="2"/>
  <c r="C1213" i="3"/>
  <c r="D1209" i="3"/>
  <c r="D1327" i="3"/>
  <c r="D1329" i="3" s="1"/>
  <c r="D29" i="2"/>
  <c r="D44" i="2"/>
  <c r="D54" i="2"/>
  <c r="D53" i="2"/>
  <c r="D56" i="2"/>
  <c r="D89" i="2"/>
  <c r="C35" i="2"/>
  <c r="C30" i="2"/>
  <c r="C92" i="2"/>
  <c r="F142" i="2"/>
  <c r="F151" i="2"/>
  <c r="F211" i="2" s="1"/>
  <c r="F197" i="2"/>
  <c r="F143" i="2"/>
  <c r="F203" i="2" s="1"/>
  <c r="AB46" i="2"/>
  <c r="AB177" i="2"/>
  <c r="AB241" i="2"/>
  <c r="E54" i="2"/>
  <c r="E56" i="2"/>
  <c r="E53" i="2"/>
  <c r="F53" i="2"/>
  <c r="E89" i="2"/>
  <c r="D76" i="2"/>
  <c r="D94" i="2"/>
  <c r="D184" i="2"/>
  <c r="D248" i="2"/>
  <c r="X13" i="1"/>
  <c r="X30" i="1"/>
  <c r="E223" i="2"/>
  <c r="E226" i="2" s="1"/>
  <c r="E160" i="2"/>
  <c r="E225" i="2" s="1"/>
  <c r="E227" i="2" s="1"/>
  <c r="T13" i="1"/>
  <c r="T30" i="1"/>
  <c r="T25" i="1"/>
  <c r="F35" i="2"/>
  <c r="F30" i="2"/>
  <c r="F92" i="2"/>
  <c r="Z142" i="2"/>
  <c r="E29" i="2"/>
  <c r="E44" i="2"/>
  <c r="U156" i="2"/>
  <c r="AB66" i="2"/>
  <c r="Y20" i="2"/>
  <c r="Y26" i="2"/>
  <c r="Y52" i="2"/>
  <c r="AB88" i="2"/>
  <c r="Y88" i="2"/>
  <c r="Z88" i="2"/>
  <c r="AA88" i="2"/>
  <c r="E199" i="2"/>
  <c r="E161" i="2"/>
  <c r="AA180" i="2"/>
  <c r="AA70" i="2"/>
  <c r="AA244" i="2"/>
  <c r="F161" i="2"/>
  <c r="F199" i="2"/>
  <c r="F160" i="2"/>
  <c r="F225" i="2" s="1"/>
  <c r="F227" i="2" s="1"/>
  <c r="F223" i="2"/>
  <c r="F226" i="2" s="1"/>
  <c r="Z143" i="2"/>
  <c r="Z203" i="2" s="1"/>
  <c r="U139" i="2"/>
  <c r="W35" i="2"/>
  <c r="W30" i="2"/>
  <c r="X238" i="2"/>
  <c r="Y197" i="2"/>
  <c r="Y151" i="2"/>
  <c r="Y211" i="2" s="1"/>
  <c r="W70" i="2"/>
  <c r="W180" i="2"/>
  <c r="W244" i="2"/>
  <c r="T35" i="2"/>
  <c r="T30" i="2"/>
  <c r="J1340" i="3"/>
  <c r="Y46" i="2"/>
  <c r="Y177" i="2"/>
  <c r="Y241" i="2"/>
  <c r="Y188" i="2"/>
  <c r="Y252" i="2"/>
  <c r="E146" i="2"/>
  <c r="E206" i="2" s="1"/>
  <c r="E145" i="2"/>
  <c r="U46" i="2"/>
  <c r="U177" i="2"/>
  <c r="U241" i="2"/>
  <c r="AB160" i="2"/>
  <c r="AB225" i="2" s="1"/>
  <c r="AB223" i="2"/>
  <c r="Z156" i="2"/>
  <c r="Z149" i="2"/>
  <c r="Z209" i="2" s="1"/>
  <c r="Z140" i="2"/>
  <c r="Z200" i="2" s="1"/>
  <c r="Z139" i="2"/>
  <c r="F146" i="2"/>
  <c r="F206" i="2" s="1"/>
  <c r="F145" i="2"/>
  <c r="U12" i="1"/>
  <c r="Y58" i="2"/>
  <c r="Y59" i="2"/>
  <c r="Y174" i="2" s="1"/>
  <c r="AB90" i="2"/>
  <c r="AB146" i="2" s="1"/>
  <c r="AB206" i="2" s="1"/>
  <c r="Y172" i="2"/>
  <c r="Y236" i="2"/>
  <c r="Y62" i="2"/>
  <c r="X35" i="2"/>
  <c r="X30" i="2"/>
  <c r="U59" i="2"/>
  <c r="U174" i="2" s="1"/>
  <c r="U62" i="2"/>
  <c r="X90" i="2"/>
  <c r="U172" i="2"/>
  <c r="U236" i="2"/>
  <c r="U238" i="2" s="1"/>
  <c r="S35" i="2"/>
  <c r="S30" i="2"/>
  <c r="E261" i="2"/>
  <c r="AA90" i="2"/>
  <c r="Z76" i="2"/>
  <c r="Z184" i="2"/>
  <c r="Z248" i="2"/>
  <c r="Y25" i="1"/>
  <c r="R223" i="2"/>
  <c r="R160" i="2"/>
  <c r="R225" i="2" s="1"/>
  <c r="AB261" i="2"/>
  <c r="F261" i="2"/>
  <c r="C1272" i="3"/>
  <c r="C1274" i="3"/>
  <c r="W90" i="2"/>
  <c r="T176" i="2"/>
  <c r="T240" i="2"/>
  <c r="T66" i="2"/>
  <c r="AB35" i="2"/>
  <c r="AB30" i="2"/>
  <c r="Y12" i="1"/>
  <c r="Z146" i="2"/>
  <c r="Z206" i="2" s="1"/>
  <c r="E142" i="2"/>
  <c r="E197" i="2"/>
  <c r="E143" i="2"/>
  <c r="E203" i="2" s="1"/>
  <c r="E151" i="2"/>
  <c r="E211" i="2" s="1"/>
  <c r="X66" i="2"/>
  <c r="X176" i="2"/>
  <c r="X240" i="2"/>
  <c r="U25" i="1"/>
  <c r="S180" i="2"/>
  <c r="S70" i="2"/>
  <c r="S244" i="2"/>
  <c r="AA35" i="2"/>
  <c r="AA30" i="2"/>
  <c r="AB151" i="2"/>
  <c r="AB211" i="2" s="1"/>
  <c r="AB197" i="2"/>
  <c r="AC173" i="2" l="1"/>
  <c r="AG173" i="2"/>
  <c r="Y237" i="2"/>
  <c r="Y173" i="2"/>
  <c r="AC237" i="2"/>
  <c r="AG237" i="2"/>
  <c r="U223" i="2"/>
  <c r="BA94" i="2"/>
  <c r="BG220" i="2"/>
  <c r="BG222" i="2" s="1"/>
  <c r="BG157" i="2"/>
  <c r="Y160" i="2"/>
  <c r="Y225" i="2" s="1"/>
  <c r="AZ94" i="2"/>
  <c r="AX94" i="2"/>
  <c r="U197" i="2"/>
  <c r="U151" i="2"/>
  <c r="U211" i="2" s="1"/>
  <c r="U143" i="2"/>
  <c r="U203" i="2" s="1"/>
  <c r="U252" i="2"/>
  <c r="U145" i="2"/>
  <c r="U205" i="2" s="1"/>
  <c r="V279" i="2"/>
  <c r="AA279" i="2"/>
  <c r="W279" i="2"/>
  <c r="Z279" i="2"/>
  <c r="F279" i="2"/>
  <c r="AG261" i="2"/>
  <c r="Y279" i="2"/>
  <c r="AC261" i="2"/>
  <c r="E279" i="2"/>
  <c r="AD279" i="2"/>
  <c r="AB279" i="2"/>
  <c r="U261" i="2"/>
  <c r="D279" i="2"/>
  <c r="X279" i="2"/>
  <c r="G261" i="2"/>
  <c r="AG146" i="2"/>
  <c r="AG206" i="2" s="1"/>
  <c r="AY94" i="2"/>
  <c r="S160" i="2"/>
  <c r="S225" i="2" s="1"/>
  <c r="AX161" i="2"/>
  <c r="AX199" i="2"/>
  <c r="AX146" i="2"/>
  <c r="AX206" i="2" s="1"/>
  <c r="AX145" i="2"/>
  <c r="AX184" i="2"/>
  <c r="AX248" i="2"/>
  <c r="AX76" i="2"/>
  <c r="AX80" i="2" s="1"/>
  <c r="AX160" i="2"/>
  <c r="AX225" i="2" s="1"/>
  <c r="AX227" i="2" s="1"/>
  <c r="AX223" i="2"/>
  <c r="AX226" i="2" s="1"/>
  <c r="AX142" i="2"/>
  <c r="AX151" i="2"/>
  <c r="AX211" i="2" s="1"/>
  <c r="AX143" i="2"/>
  <c r="AX203" i="2" s="1"/>
  <c r="AX197" i="2"/>
  <c r="AX261" i="2"/>
  <c r="D162" i="2"/>
  <c r="AG160" i="2"/>
  <c r="AG225" i="2" s="1"/>
  <c r="AF221" i="2"/>
  <c r="AF222" i="2" s="1"/>
  <c r="U89" i="2"/>
  <c r="AC176" i="2"/>
  <c r="AE142" i="2"/>
  <c r="AE202" i="2" s="1"/>
  <c r="AF205" i="2"/>
  <c r="AE146" i="2"/>
  <c r="AE206" i="2" s="1"/>
  <c r="AE143" i="2"/>
  <c r="AE203" i="2" s="1"/>
  <c r="D163" i="2"/>
  <c r="Z205" i="2"/>
  <c r="AC143" i="2"/>
  <c r="AC203" i="2" s="1"/>
  <c r="AC139" i="2"/>
  <c r="AC199" i="2" s="1"/>
  <c r="AG145" i="2"/>
  <c r="AG205" i="2" s="1"/>
  <c r="AC146" i="2"/>
  <c r="AC206" i="2" s="1"/>
  <c r="AE140" i="2"/>
  <c r="AE200" i="2" s="1"/>
  <c r="C254" i="2"/>
  <c r="C78" i="2"/>
  <c r="C80" i="2" s="1"/>
  <c r="C193" i="2" s="1"/>
  <c r="AD148" i="2"/>
  <c r="AD208" i="2" s="1"/>
  <c r="G254" i="2"/>
  <c r="AD156" i="2"/>
  <c r="AD221" i="2" s="1"/>
  <c r="AD226" i="2" s="1"/>
  <c r="AG151" i="2"/>
  <c r="AG211" i="2" s="1"/>
  <c r="AD146" i="2"/>
  <c r="AD206" i="2" s="1"/>
  <c r="AG142" i="2"/>
  <c r="AG162" i="2" s="1"/>
  <c r="AG197" i="2"/>
  <c r="AF162" i="2"/>
  <c r="AD140" i="2"/>
  <c r="AD200" i="2" s="1"/>
  <c r="AG199" i="2"/>
  <c r="AC140" i="2"/>
  <c r="AC200" i="2" s="1"/>
  <c r="AE149" i="2"/>
  <c r="AE209" i="2" s="1"/>
  <c r="AK259" i="2"/>
  <c r="C742" i="3"/>
  <c r="E1035" i="3"/>
  <c r="AJ89" i="2"/>
  <c r="AK158" i="2"/>
  <c r="AK160" i="2" s="1"/>
  <c r="AK225" i="2" s="1"/>
  <c r="AK227" i="2" s="1"/>
  <c r="X89" i="2"/>
  <c r="U56" i="2"/>
  <c r="C1157" i="3"/>
  <c r="D1157" i="3" s="1"/>
  <c r="F1150" i="3" s="1"/>
  <c r="AE139" i="2"/>
  <c r="AE161" i="2" s="1"/>
  <c r="AG56" i="2"/>
  <c r="AK140" i="2"/>
  <c r="AK200" i="2" s="1"/>
  <c r="W89" i="2"/>
  <c r="E1037" i="3"/>
  <c r="AG89" i="2"/>
  <c r="AK134" i="2"/>
  <c r="U54" i="2"/>
  <c r="AD149" i="2"/>
  <c r="AD209" i="2" s="1"/>
  <c r="AE156" i="2"/>
  <c r="AE157" i="2" s="1"/>
  <c r="AH89" i="2"/>
  <c r="AC238" i="2"/>
  <c r="AK139" i="2"/>
  <c r="AK161" i="2" s="1"/>
  <c r="AK43" i="2"/>
  <c r="AK195" i="2"/>
  <c r="G190" i="2"/>
  <c r="AD143" i="2"/>
  <c r="AD203" i="2" s="1"/>
  <c r="C1099" i="3"/>
  <c r="E1096" i="3" s="1"/>
  <c r="D1040" i="3"/>
  <c r="F1033" i="3" s="1"/>
  <c r="AK129" i="2"/>
  <c r="AK130" i="2"/>
  <c r="AK142" i="2" s="1"/>
  <c r="AD142" i="2"/>
  <c r="AD162" i="2" s="1"/>
  <c r="AD145" i="2"/>
  <c r="AD205" i="2" s="1"/>
  <c r="C1216" i="3"/>
  <c r="E1209" i="3" s="1"/>
  <c r="AK81" i="2"/>
  <c r="AL81" i="2" s="1"/>
  <c r="AL84" i="2" s="1"/>
  <c r="AK193" i="2"/>
  <c r="AK257" i="2"/>
  <c r="R191" i="2"/>
  <c r="AC149" i="2"/>
  <c r="AC209" i="2" s="1"/>
  <c r="AK254" i="2"/>
  <c r="AK190" i="2"/>
  <c r="AF161" i="2"/>
  <c r="F254" i="2"/>
  <c r="F190" i="2"/>
  <c r="U148" i="2"/>
  <c r="U208" i="2" s="1"/>
  <c r="AC151" i="2"/>
  <c r="AC211" i="2" s="1"/>
  <c r="V142" i="2"/>
  <c r="V202" i="2" s="1"/>
  <c r="V149" i="2"/>
  <c r="V209" i="2" s="1"/>
  <c r="AG54" i="2"/>
  <c r="AI89" i="2"/>
  <c r="AG184" i="2"/>
  <c r="AG94" i="2"/>
  <c r="AE78" i="2"/>
  <c r="AE83" i="2" s="1"/>
  <c r="AJ94" i="2"/>
  <c r="AI94" i="2"/>
  <c r="AH94" i="2"/>
  <c r="AG76" i="2"/>
  <c r="AG190" i="2" s="1"/>
  <c r="G80" i="2"/>
  <c r="G257" i="2" s="1"/>
  <c r="R255" i="2"/>
  <c r="U44" i="2"/>
  <c r="AC53" i="2"/>
  <c r="AD255" i="2"/>
  <c r="AC142" i="2"/>
  <c r="AC162" i="2" s="1"/>
  <c r="AC197" i="2"/>
  <c r="V156" i="2"/>
  <c r="V157" i="2" s="1"/>
  <c r="AC13" i="1"/>
  <c r="W93" i="2"/>
  <c r="W148" i="2" s="1"/>
  <c r="W208" i="2" s="1"/>
  <c r="V143" i="2"/>
  <c r="V203" i="2" s="1"/>
  <c r="AE93" i="2"/>
  <c r="AE148" i="2" s="1"/>
  <c r="AE208" i="2" s="1"/>
  <c r="AF93" i="2"/>
  <c r="AF148" i="2" s="1"/>
  <c r="AF208" i="2" s="1"/>
  <c r="AG53" i="2"/>
  <c r="AF89" i="2"/>
  <c r="AC145" i="2"/>
  <c r="G197" i="2"/>
  <c r="G142" i="2"/>
  <c r="G202" i="2" s="1"/>
  <c r="G143" i="2"/>
  <c r="G203" i="2" s="1"/>
  <c r="V145" i="2"/>
  <c r="V163" i="2" s="1"/>
  <c r="AC245" i="2"/>
  <c r="R81" i="2"/>
  <c r="R84" i="2" s="1"/>
  <c r="R193" i="2"/>
  <c r="R257" i="2"/>
  <c r="V146" i="2"/>
  <c r="V206" i="2" s="1"/>
  <c r="AC47" i="2"/>
  <c r="G199" i="2"/>
  <c r="G161" i="2"/>
  <c r="Y56" i="2"/>
  <c r="V140" i="2"/>
  <c r="V200" i="2" s="1"/>
  <c r="AC181" i="2"/>
  <c r="AC93" i="2"/>
  <c r="AC148" i="2" s="1"/>
  <c r="AC208" i="2" s="1"/>
  <c r="G145" i="2"/>
  <c r="G146" i="2"/>
  <c r="G206" i="2" s="1"/>
  <c r="G223" i="2"/>
  <c r="G226" i="2" s="1"/>
  <c r="G160" i="2"/>
  <c r="G225" i="2" s="1"/>
  <c r="G227" i="2" s="1"/>
  <c r="Y143" i="2"/>
  <c r="Y203" i="2" s="1"/>
  <c r="Y148" i="2"/>
  <c r="Y208" i="2" s="1"/>
  <c r="Y146" i="2"/>
  <c r="Y206" i="2" s="1"/>
  <c r="AD191" i="2"/>
  <c r="Y145" i="2"/>
  <c r="Y205" i="2" s="1"/>
  <c r="Y149" i="2"/>
  <c r="Y209" i="2" s="1"/>
  <c r="Y156" i="2"/>
  <c r="Y221" i="2" s="1"/>
  <c r="Y226" i="2" s="1"/>
  <c r="Y142" i="2"/>
  <c r="Y162" i="2" s="1"/>
  <c r="Y139" i="2"/>
  <c r="Y199" i="2" s="1"/>
  <c r="AD80" i="2"/>
  <c r="AD257" i="2" s="1"/>
  <c r="AB142" i="2"/>
  <c r="AB202" i="2" s="1"/>
  <c r="AE163" i="2"/>
  <c r="AE205" i="2"/>
  <c r="U181" i="2"/>
  <c r="X93" i="2"/>
  <c r="X148" i="2" s="1"/>
  <c r="X208" i="2" s="1"/>
  <c r="U245" i="2"/>
  <c r="U47" i="2"/>
  <c r="V93" i="2"/>
  <c r="V148" i="2" s="1"/>
  <c r="V208" i="2" s="1"/>
  <c r="AE254" i="2"/>
  <c r="AE190" i="2"/>
  <c r="AC54" i="2"/>
  <c r="AE89" i="2"/>
  <c r="AD89" i="2"/>
  <c r="AC56" i="2"/>
  <c r="AC89" i="2"/>
  <c r="V30" i="2"/>
  <c r="V35" i="2"/>
  <c r="C160" i="2"/>
  <c r="C225" i="2" s="1"/>
  <c r="C227" i="2" s="1"/>
  <c r="C223" i="2"/>
  <c r="C226" i="2" s="1"/>
  <c r="AD199" i="2"/>
  <c r="AD161" i="2"/>
  <c r="AC177" i="2"/>
  <c r="AC241" i="2"/>
  <c r="AC46" i="2"/>
  <c r="AC66" i="2"/>
  <c r="C143" i="2"/>
  <c r="C203" i="2" s="1"/>
  <c r="C151" i="2"/>
  <c r="C211" i="2" s="1"/>
  <c r="C142" i="2"/>
  <c r="C197" i="2"/>
  <c r="AC25" i="1"/>
  <c r="AC30" i="1"/>
  <c r="AC188" i="2"/>
  <c r="AC252" i="2"/>
  <c r="C145" i="2"/>
  <c r="C146" i="2"/>
  <c r="C206" i="2" s="1"/>
  <c r="C261" i="2"/>
  <c r="C199" i="2"/>
  <c r="C161" i="2"/>
  <c r="V92" i="2"/>
  <c r="V193" i="2"/>
  <c r="V81" i="2"/>
  <c r="V84" i="2" s="1"/>
  <c r="V257" i="2"/>
  <c r="E190" i="2"/>
  <c r="E254" i="2"/>
  <c r="E78" i="2"/>
  <c r="E80" i="2" s="1"/>
  <c r="V83" i="2"/>
  <c r="V191" i="2"/>
  <c r="V255" i="2"/>
  <c r="D1154" i="3"/>
  <c r="D1211" i="3"/>
  <c r="G255" i="2"/>
  <c r="G191" i="2"/>
  <c r="D30" i="2"/>
  <c r="D92" i="2"/>
  <c r="D35" i="2"/>
  <c r="W149" i="2"/>
  <c r="W209" i="2" s="1"/>
  <c r="W156" i="2"/>
  <c r="W145" i="2"/>
  <c r="W142" i="2"/>
  <c r="W140" i="2"/>
  <c r="W200" i="2" s="1"/>
  <c r="W146" i="2"/>
  <c r="W206" i="2" s="1"/>
  <c r="W139" i="2"/>
  <c r="W143" i="2"/>
  <c r="W203" i="2" s="1"/>
  <c r="F162" i="2"/>
  <c r="F202" i="2"/>
  <c r="U202" i="2"/>
  <c r="U162" i="2"/>
  <c r="U66" i="2"/>
  <c r="U176" i="2"/>
  <c r="U240" i="2"/>
  <c r="Y66" i="2"/>
  <c r="Y240" i="2"/>
  <c r="Y176" i="2"/>
  <c r="X149" i="2"/>
  <c r="X209" i="2" s="1"/>
  <c r="X156" i="2"/>
  <c r="X140" i="2"/>
  <c r="X200" i="2" s="1"/>
  <c r="X139" i="2"/>
  <c r="X145" i="2"/>
  <c r="X142" i="2"/>
  <c r="X146" i="2"/>
  <c r="X206" i="2" s="1"/>
  <c r="X143" i="2"/>
  <c r="X203" i="2" s="1"/>
  <c r="U30" i="2"/>
  <c r="U35" i="2"/>
  <c r="X92" i="2"/>
  <c r="AB149" i="2"/>
  <c r="AB209" i="2" s="1"/>
  <c r="C1275" i="3"/>
  <c r="E1272" i="3" s="1"/>
  <c r="AB148" i="2"/>
  <c r="AB208" i="2" s="1"/>
  <c r="AB156" i="2"/>
  <c r="AB140" i="2"/>
  <c r="AB200" i="2" s="1"/>
  <c r="AB139" i="2"/>
  <c r="AB70" i="2"/>
  <c r="AB180" i="2"/>
  <c r="AB244" i="2"/>
  <c r="S76" i="2"/>
  <c r="S184" i="2"/>
  <c r="S248" i="2"/>
  <c r="X70" i="2"/>
  <c r="X180" i="2"/>
  <c r="X244" i="2"/>
  <c r="E162" i="2"/>
  <c r="E202" i="2"/>
  <c r="Y13" i="1"/>
  <c r="Z78" i="2"/>
  <c r="Z80" i="2" s="1"/>
  <c r="Z190" i="2"/>
  <c r="Z254" i="2"/>
  <c r="U92" i="2"/>
  <c r="Y238" i="2"/>
  <c r="Z199" i="2"/>
  <c r="Z161" i="2"/>
  <c r="AB145" i="2"/>
  <c r="E163" i="2"/>
  <c r="E205" i="2"/>
  <c r="F191" i="2"/>
  <c r="F255" i="2"/>
  <c r="AB89" i="2"/>
  <c r="Y53" i="2"/>
  <c r="Y54" i="2"/>
  <c r="Z89" i="2"/>
  <c r="AA89" i="2"/>
  <c r="Y89" i="2"/>
  <c r="E35" i="2"/>
  <c r="E30" i="2"/>
  <c r="E92" i="2"/>
  <c r="V199" i="2"/>
  <c r="V161" i="2"/>
  <c r="D78" i="2"/>
  <c r="D190" i="2"/>
  <c r="D254" i="2"/>
  <c r="U199" i="2"/>
  <c r="U161" i="2"/>
  <c r="D1331" i="3"/>
  <c r="T70" i="2"/>
  <c r="T180" i="2"/>
  <c r="T244" i="2"/>
  <c r="U13" i="1"/>
  <c r="Z221" i="2"/>
  <c r="Z157" i="2"/>
  <c r="W92" i="2"/>
  <c r="AB143" i="2"/>
  <c r="AB203" i="2" s="1"/>
  <c r="U30" i="1"/>
  <c r="Y30" i="1"/>
  <c r="AA148" i="2"/>
  <c r="AA208" i="2" s="1"/>
  <c r="AA156" i="2"/>
  <c r="AA149" i="2"/>
  <c r="AA209" i="2" s="1"/>
  <c r="C1334" i="3"/>
  <c r="AA140" i="2"/>
  <c r="AA200" i="2" s="1"/>
  <c r="AA139" i="2"/>
  <c r="AA146" i="2"/>
  <c r="AA206" i="2" s="1"/>
  <c r="AA142" i="2"/>
  <c r="AA145" i="2"/>
  <c r="AA143" i="2"/>
  <c r="AA203" i="2" s="1"/>
  <c r="F205" i="2"/>
  <c r="F163" i="2"/>
  <c r="W76" i="2"/>
  <c r="W184" i="2"/>
  <c r="W248" i="2"/>
  <c r="F80" i="2"/>
  <c r="F81" i="2" s="1"/>
  <c r="AA76" i="2"/>
  <c r="AA184" i="2"/>
  <c r="AA248" i="2"/>
  <c r="Y29" i="2"/>
  <c r="Y44" i="2"/>
  <c r="U157" i="2"/>
  <c r="U221" i="2"/>
  <c r="Z162" i="2"/>
  <c r="Z202" i="2"/>
  <c r="U163" i="2" l="1"/>
  <c r="C279" i="2"/>
  <c r="AC279" i="2"/>
  <c r="AG279" i="2"/>
  <c r="AK261" i="2"/>
  <c r="AX279" i="2"/>
  <c r="U279" i="2"/>
  <c r="G279" i="2"/>
  <c r="AK145" i="2"/>
  <c r="AK205" i="2" s="1"/>
  <c r="AX81" i="2"/>
  <c r="AX190" i="2"/>
  <c r="AX254" i="2"/>
  <c r="AX205" i="2"/>
  <c r="AX163" i="2"/>
  <c r="AX162" i="2"/>
  <c r="AX202" i="2"/>
  <c r="AF227" i="2"/>
  <c r="AE162" i="2"/>
  <c r="C257" i="2"/>
  <c r="C81" i="2"/>
  <c r="C84" i="2" s="1"/>
  <c r="AF226" i="2"/>
  <c r="C255" i="2"/>
  <c r="C191" i="2"/>
  <c r="AD163" i="2"/>
  <c r="AG163" i="2"/>
  <c r="AC161" i="2"/>
  <c r="F1035" i="3"/>
  <c r="AD157" i="2"/>
  <c r="E1211" i="3"/>
  <c r="V162" i="2"/>
  <c r="E1213" i="3"/>
  <c r="AG202" i="2"/>
  <c r="AC202" i="2"/>
  <c r="AD202" i="2"/>
  <c r="F1037" i="3"/>
  <c r="AK143" i="2"/>
  <c r="AK203" i="2" s="1"/>
  <c r="AK197" i="2"/>
  <c r="AK199" i="2"/>
  <c r="AK151" i="2"/>
  <c r="AK211" i="2" s="1"/>
  <c r="AK223" i="2"/>
  <c r="AK226" i="2" s="1"/>
  <c r="AK146" i="2"/>
  <c r="AK206" i="2" s="1"/>
  <c r="E1154" i="3"/>
  <c r="E1094" i="3"/>
  <c r="D1099" i="3"/>
  <c r="F1092" i="3" s="1"/>
  <c r="Y161" i="2"/>
  <c r="E1152" i="3"/>
  <c r="E1092" i="3"/>
  <c r="AK84" i="2"/>
  <c r="E1150" i="3"/>
  <c r="AE199" i="2"/>
  <c r="AE221" i="2"/>
  <c r="AK191" i="2"/>
  <c r="AK255" i="2"/>
  <c r="AK162" i="2"/>
  <c r="AK202" i="2"/>
  <c r="G193" i="2"/>
  <c r="AA78" i="2"/>
  <c r="AA83" i="2" s="1"/>
  <c r="V205" i="2"/>
  <c r="AG254" i="2"/>
  <c r="V221" i="2"/>
  <c r="V222" i="2" s="1"/>
  <c r="Y163" i="2"/>
  <c r="Y157" i="2"/>
  <c r="Y202" i="2"/>
  <c r="AF78" i="2"/>
  <c r="AE80" i="2"/>
  <c r="AC205" i="2"/>
  <c r="AC163" i="2"/>
  <c r="G162" i="2"/>
  <c r="G163" i="2"/>
  <c r="G205" i="2"/>
  <c r="AD227" i="2"/>
  <c r="AB162" i="2"/>
  <c r="AD193" i="2"/>
  <c r="AE191" i="2"/>
  <c r="AE255" i="2"/>
  <c r="F1154" i="3"/>
  <c r="E257" i="2"/>
  <c r="E193" i="2"/>
  <c r="AD222" i="2"/>
  <c r="C162" i="2"/>
  <c r="C202" i="2"/>
  <c r="G81" i="2"/>
  <c r="F84" i="2"/>
  <c r="F1152" i="3"/>
  <c r="C163" i="2"/>
  <c r="C205" i="2"/>
  <c r="E83" i="2"/>
  <c r="E255" i="2"/>
  <c r="E191" i="2"/>
  <c r="AC70" i="2"/>
  <c r="AF94" i="2" s="1"/>
  <c r="AC180" i="2"/>
  <c r="AC244" i="2"/>
  <c r="D1213" i="3"/>
  <c r="AA221" i="2"/>
  <c r="AA157" i="2"/>
  <c r="X76" i="2"/>
  <c r="X184" i="2"/>
  <c r="X248" i="2"/>
  <c r="X157" i="2"/>
  <c r="X221" i="2"/>
  <c r="U222" i="2"/>
  <c r="AA205" i="2"/>
  <c r="AA163" i="2"/>
  <c r="T76" i="2"/>
  <c r="T184" i="2"/>
  <c r="T248" i="2"/>
  <c r="Z191" i="2"/>
  <c r="Z255" i="2"/>
  <c r="Z83" i="2"/>
  <c r="S78" i="2"/>
  <c r="S190" i="2"/>
  <c r="S254" i="2"/>
  <c r="AB161" i="2"/>
  <c r="AB199" i="2"/>
  <c r="D1275" i="3"/>
  <c r="E1268" i="3"/>
  <c r="E1270" i="3"/>
  <c r="U226" i="2"/>
  <c r="X161" i="2"/>
  <c r="X199" i="2"/>
  <c r="W162" i="2"/>
  <c r="W202" i="2"/>
  <c r="AB163" i="2"/>
  <c r="AB205" i="2"/>
  <c r="F193" i="2"/>
  <c r="F257" i="2"/>
  <c r="D1334" i="3"/>
  <c r="F1331" i="3" s="1"/>
  <c r="E1327" i="3"/>
  <c r="E1329" i="3"/>
  <c r="E1331" i="3"/>
  <c r="D255" i="2"/>
  <c r="D191" i="2"/>
  <c r="U227" i="2"/>
  <c r="Y227" i="2"/>
  <c r="U70" i="2"/>
  <c r="U180" i="2"/>
  <c r="U244" i="2"/>
  <c r="W161" i="2"/>
  <c r="W199" i="2"/>
  <c r="W205" i="2"/>
  <c r="W163" i="2"/>
  <c r="Y30" i="2"/>
  <c r="Y35" i="2"/>
  <c r="AB92" i="2"/>
  <c r="Y92" i="2"/>
  <c r="Z92" i="2"/>
  <c r="AA92" i="2"/>
  <c r="AA161" i="2"/>
  <c r="AA199" i="2"/>
  <c r="Z222" i="2"/>
  <c r="Z226" i="2"/>
  <c r="Z227" i="2"/>
  <c r="AB76" i="2"/>
  <c r="AB184" i="2"/>
  <c r="AB248" i="2"/>
  <c r="Y222" i="2"/>
  <c r="X205" i="2"/>
  <c r="X163" i="2"/>
  <c r="AA190" i="2"/>
  <c r="AA254" i="2"/>
  <c r="W78" i="2"/>
  <c r="W254" i="2"/>
  <c r="W190" i="2"/>
  <c r="AA162" i="2"/>
  <c r="AA202" i="2"/>
  <c r="D80" i="2"/>
  <c r="AB157" i="2"/>
  <c r="AB221" i="2"/>
  <c r="X202" i="2"/>
  <c r="X162" i="2"/>
  <c r="Y70" i="2"/>
  <c r="Z94" i="2" s="1"/>
  <c r="Y244" i="2"/>
  <c r="Y180" i="2"/>
  <c r="W221" i="2"/>
  <c r="W157" i="2"/>
  <c r="AK163" i="2" l="1"/>
  <c r="AK279" i="2"/>
  <c r="AX84" i="2"/>
  <c r="AX255" i="2"/>
  <c r="AX191" i="2"/>
  <c r="S80" i="2"/>
  <c r="V226" i="2"/>
  <c r="AE227" i="2"/>
  <c r="AE222" i="2"/>
  <c r="AE226" i="2"/>
  <c r="F1094" i="3"/>
  <c r="F1096" i="3"/>
  <c r="V227" i="2"/>
  <c r="AG78" i="2"/>
  <c r="AG255" i="2" s="1"/>
  <c r="AF191" i="2"/>
  <c r="AF255" i="2"/>
  <c r="AF80" i="2"/>
  <c r="AF83" i="2"/>
  <c r="AE257" i="2"/>
  <c r="AE193" i="2"/>
  <c r="G84" i="2"/>
  <c r="BQ78" i="2"/>
  <c r="BQ83" i="2" s="1"/>
  <c r="AA80" i="2"/>
  <c r="AA257" i="2" s="1"/>
  <c r="AE94" i="2"/>
  <c r="W80" i="2"/>
  <c r="W193" i="2" s="1"/>
  <c r="W83" i="2"/>
  <c r="AC76" i="2"/>
  <c r="AC184" i="2"/>
  <c r="AD94" i="2"/>
  <c r="AC248" i="2"/>
  <c r="AC94" i="2"/>
  <c r="U76" i="2"/>
  <c r="X94" i="2"/>
  <c r="U184" i="2"/>
  <c r="U248" i="2"/>
  <c r="V94" i="2"/>
  <c r="T78" i="2"/>
  <c r="U78" i="2" s="1"/>
  <c r="T190" i="2"/>
  <c r="T254" i="2"/>
  <c r="AA222" i="2"/>
  <c r="AA226" i="2"/>
  <c r="AA227" i="2"/>
  <c r="W94" i="2"/>
  <c r="Z193" i="2"/>
  <c r="Z257" i="2"/>
  <c r="Y76" i="2"/>
  <c r="AB94" i="2"/>
  <c r="Y248" i="2"/>
  <c r="Y184" i="2"/>
  <c r="Y94" i="2"/>
  <c r="AB222" i="2"/>
  <c r="AB227" i="2"/>
  <c r="AB226" i="2"/>
  <c r="W191" i="2"/>
  <c r="W255" i="2"/>
  <c r="AA255" i="2"/>
  <c r="AA191" i="2"/>
  <c r="AB78" i="2"/>
  <c r="AB83" i="2" s="1"/>
  <c r="AB190" i="2"/>
  <c r="AB254" i="2"/>
  <c r="U94" i="2"/>
  <c r="F1268" i="3"/>
  <c r="F1270" i="3"/>
  <c r="F1272" i="3"/>
  <c r="X222" i="2"/>
  <c r="X226" i="2"/>
  <c r="X227" i="2"/>
  <c r="AA94" i="2"/>
  <c r="F1327" i="3"/>
  <c r="F1329" i="3"/>
  <c r="S191" i="2"/>
  <c r="S255" i="2"/>
  <c r="W222" i="2"/>
  <c r="W226" i="2"/>
  <c r="W227" i="2"/>
  <c r="D81" i="2"/>
  <c r="D193" i="2"/>
  <c r="D257" i="2"/>
  <c r="X78" i="2"/>
  <c r="X254" i="2"/>
  <c r="X190" i="2"/>
  <c r="S81" i="2" l="1"/>
  <c r="S257" i="2"/>
  <c r="S193" i="2"/>
  <c r="AG191" i="2"/>
  <c r="H84" i="2"/>
  <c r="I84" i="2"/>
  <c r="AF193" i="2"/>
  <c r="AG80" i="2"/>
  <c r="AF257" i="2"/>
  <c r="AA193" i="2"/>
  <c r="BQ80" i="2"/>
  <c r="W257" i="2"/>
  <c r="W81" i="2"/>
  <c r="W84" i="2" s="1"/>
  <c r="AB80" i="2"/>
  <c r="AC78" i="2"/>
  <c r="AC190" i="2"/>
  <c r="AC254" i="2"/>
  <c r="X191" i="2"/>
  <c r="X255" i="2"/>
  <c r="X83" i="2"/>
  <c r="X80" i="2"/>
  <c r="AB191" i="2"/>
  <c r="AB255" i="2"/>
  <c r="Y190" i="2"/>
  <c r="Y254" i="2"/>
  <c r="T191" i="2"/>
  <c r="T255" i="2"/>
  <c r="U80" i="2"/>
  <c r="U190" i="2"/>
  <c r="U254" i="2"/>
  <c r="D84" i="2"/>
  <c r="E81" i="2"/>
  <c r="U191" i="2"/>
  <c r="U255" i="2"/>
  <c r="Y78" i="2"/>
  <c r="T80" i="2"/>
  <c r="S84" i="2" l="1"/>
  <c r="T81" i="2"/>
  <c r="AG257" i="2"/>
  <c r="AG193" i="2"/>
  <c r="X81" i="2"/>
  <c r="AC80" i="2"/>
  <c r="AC255" i="2"/>
  <c r="AC191" i="2"/>
  <c r="Y191" i="2"/>
  <c r="Y255" i="2"/>
  <c r="AB257" i="2"/>
  <c r="AB193" i="2"/>
  <c r="U193" i="2"/>
  <c r="U257" i="2"/>
  <c r="X193" i="2"/>
  <c r="X257" i="2"/>
  <c r="Y80" i="2"/>
  <c r="E84" i="2"/>
  <c r="T257" i="2"/>
  <c r="T193" i="2"/>
  <c r="T84" i="2" l="1"/>
  <c r="U81" i="2"/>
  <c r="Y81" i="2"/>
  <c r="X84" i="2"/>
  <c r="AC193" i="2"/>
  <c r="AC257" i="2"/>
  <c r="Y193" i="2"/>
  <c r="Y257" i="2"/>
  <c r="U84" i="2" l="1"/>
  <c r="Z81" i="2"/>
  <c r="Z84" i="2" s="1"/>
  <c r="Y84" i="2"/>
  <c r="AA81" i="2" l="1"/>
  <c r="BQ81" i="2" s="1"/>
  <c r="AB81" i="2" l="1"/>
  <c r="AC81" i="2" s="1"/>
  <c r="AA84" i="2"/>
  <c r="AB84" i="2" l="1"/>
  <c r="AD81" i="2"/>
  <c r="AC84" i="2"/>
  <c r="BS81" i="2" l="1"/>
  <c r="AE81" i="2"/>
  <c r="AF81" i="2" s="1"/>
  <c r="AD84" i="2"/>
  <c r="AG81" i="2" l="1"/>
  <c r="AJ84" i="2" s="1"/>
  <c r="AE84" i="2"/>
  <c r="J964" i="3"/>
  <c r="D981" i="3" s="1"/>
  <c r="AC220" i="2"/>
  <c r="AG220" i="2"/>
  <c r="AG221" i="2"/>
  <c r="AG226" i="2" s="1"/>
  <c r="AG84" i="2" l="1"/>
  <c r="AF84" i="2"/>
  <c r="AG222" i="2"/>
  <c r="F974" i="3"/>
  <c r="F976" i="3"/>
  <c r="F978" i="3"/>
  <c r="AG227" i="2"/>
  <c r="AC221" i="2"/>
  <c r="J1199" i="3"/>
  <c r="D1216" i="3" s="1"/>
  <c r="AH84" i="2" l="1"/>
  <c r="AC226" i="2"/>
  <c r="AC227" i="2"/>
  <c r="AC222" i="2"/>
  <c r="F1209" i="3"/>
  <c r="F1211" i="3"/>
  <c r="F1213" i="3"/>
  <c r="K80" i="2"/>
  <c r="K255" i="2"/>
  <c r="K191" i="2"/>
  <c r="AX193" i="2" l="1"/>
  <c r="AX257" i="2"/>
  <c r="K81" i="2"/>
  <c r="L81" i="2" s="1"/>
  <c r="AT81" i="2" s="1"/>
  <c r="AS80" i="2"/>
  <c r="AS81" i="2" s="1"/>
  <c r="AS191" i="2"/>
  <c r="K257" i="2"/>
  <c r="K193" i="2"/>
  <c r="AS255" i="2"/>
  <c r="AU82" i="2" l="1"/>
  <c r="P84" i="2"/>
  <c r="L84" i="2"/>
  <c r="M81" i="2"/>
  <c r="K84" i="2"/>
  <c r="AS193" i="2"/>
  <c r="AS257" i="2"/>
  <c r="N84" i="2" l="1"/>
  <c r="O81" i="2"/>
  <c r="O84" i="2" s="1"/>
  <c r="M84" i="2"/>
  <c r="AS84" i="2"/>
  <c r="AT8" i="2"/>
  <c r="AT233" i="2"/>
  <c r="AT104" i="2"/>
  <c r="AU155" i="2"/>
  <c r="AU220" i="2" s="1"/>
  <c r="AT169" i="2"/>
  <c r="AT107" i="2"/>
  <c r="P233" i="2"/>
  <c r="AT234" i="2" l="1"/>
  <c r="BH234" i="2"/>
  <c r="AX234" i="2"/>
  <c r="AT170" i="2"/>
  <c r="BH170" i="2"/>
  <c r="AX170" i="2"/>
  <c r="AU104" i="2"/>
  <c r="P107" i="2"/>
  <c r="P169" i="2"/>
  <c r="AT155" i="2"/>
  <c r="AT220" i="2" s="1"/>
  <c r="P104" i="2" l="1"/>
  <c r="P155" i="2"/>
  <c r="P220" i="2" s="1"/>
  <c r="AT108" i="2"/>
  <c r="AT106" i="2"/>
  <c r="AT38" i="2"/>
  <c r="P106" i="2"/>
  <c r="AT11" i="2"/>
  <c r="P10" i="2" l="1"/>
  <c r="P11" i="2" s="1"/>
  <c r="P108" i="2"/>
  <c r="P38" i="2"/>
  <c r="AT39" i="2"/>
  <c r="P39" i="2"/>
  <c r="AT19" i="2"/>
  <c r="P41" i="2"/>
  <c r="AT41" i="2"/>
  <c r="P40" i="2"/>
  <c r="AT40" i="2"/>
  <c r="BF88" i="2" l="1"/>
  <c r="BG88" i="2"/>
  <c r="BE88" i="2"/>
  <c r="AW88" i="2"/>
  <c r="AV88" i="2"/>
  <c r="AT26" i="2"/>
  <c r="AT50" i="2"/>
  <c r="AU88" i="2"/>
  <c r="AT88" i="2"/>
  <c r="AT20" i="2"/>
  <c r="P19" i="2"/>
  <c r="P50" i="2" s="1"/>
  <c r="P20" i="2" l="1"/>
  <c r="P88" i="2"/>
  <c r="S43" i="2"/>
  <c r="R43" i="2"/>
  <c r="T43" i="2"/>
  <c r="P26" i="2"/>
  <c r="P43" i="2"/>
  <c r="AT44" i="2"/>
  <c r="AT29" i="2"/>
  <c r="BF92" i="2" l="1"/>
  <c r="BG92" i="2"/>
  <c r="BE92" i="2"/>
  <c r="AV92" i="2"/>
  <c r="AW92" i="2"/>
  <c r="AU92" i="2"/>
  <c r="AT92" i="2"/>
  <c r="AT30" i="2"/>
  <c r="P44" i="2"/>
  <c r="P29" i="2"/>
  <c r="P92" i="2" s="1"/>
  <c r="AT35" i="2"/>
  <c r="P52" i="2"/>
  <c r="P56" i="2" s="1"/>
  <c r="AT52" i="2"/>
  <c r="BF89" i="2" l="1"/>
  <c r="BG89" i="2"/>
  <c r="AW89" i="2"/>
  <c r="BE89" i="2"/>
  <c r="AV89" i="2"/>
  <c r="AX53" i="2"/>
  <c r="AU89" i="2"/>
  <c r="AT89" i="2"/>
  <c r="AT53" i="2"/>
  <c r="AT54" i="2"/>
  <c r="P35" i="2"/>
  <c r="P30" i="2"/>
  <c r="P54" i="2"/>
  <c r="P89" i="2"/>
  <c r="AT59" i="2"/>
  <c r="AT174" i="2" s="1"/>
  <c r="AU145" i="2"/>
  <c r="AU163" i="2" s="1"/>
  <c r="AT62" i="2"/>
  <c r="AT240" i="2" s="1"/>
  <c r="AT56" i="2"/>
  <c r="AT172" i="2"/>
  <c r="AT236" i="2"/>
  <c r="AU202" i="2"/>
  <c r="AT140" i="2"/>
  <c r="AT200" i="2" s="1"/>
  <c r="AT145" i="2"/>
  <c r="AT163" i="2" s="1"/>
  <c r="P236" i="2"/>
  <c r="AU139" i="2"/>
  <c r="AU140" i="2"/>
  <c r="AU200" i="2" s="1"/>
  <c r="AT173" i="2" l="1"/>
  <c r="BH173" i="2"/>
  <c r="AX173" i="2"/>
  <c r="AT237" i="2"/>
  <c r="BH237" i="2"/>
  <c r="AX237" i="2"/>
  <c r="P238" i="2"/>
  <c r="AT238" i="2"/>
  <c r="AU162" i="2"/>
  <c r="P146" i="2"/>
  <c r="P206" i="2" s="1"/>
  <c r="AT205" i="2"/>
  <c r="AU161" i="2"/>
  <c r="AU199" i="2"/>
  <c r="AU205" i="2"/>
  <c r="AU203" i="2"/>
  <c r="P59" i="2"/>
  <c r="P174" i="2" s="1"/>
  <c r="AT139" i="2"/>
  <c r="AU156" i="2"/>
  <c r="E456" i="3" s="1"/>
  <c r="AT142" i="2"/>
  <c r="AT146" i="2"/>
  <c r="AT206" i="2" s="1"/>
  <c r="P172" i="2"/>
  <c r="AT156" i="2"/>
  <c r="AU206" i="2"/>
  <c r="AT176" i="2"/>
  <c r="P62" i="2"/>
  <c r="P66" i="2" s="1"/>
  <c r="AT143" i="2"/>
  <c r="AT203" i="2" s="1"/>
  <c r="P156" i="2" l="1"/>
  <c r="P221" i="2" s="1"/>
  <c r="P145" i="2"/>
  <c r="P163" i="2" s="1"/>
  <c r="P199" i="2"/>
  <c r="P143" i="2"/>
  <c r="P203" i="2" s="1"/>
  <c r="P142" i="2"/>
  <c r="P202" i="2" s="1"/>
  <c r="P140" i="2"/>
  <c r="P200" i="2" s="1"/>
  <c r="AT157" i="2"/>
  <c r="AT221" i="2"/>
  <c r="AT199" i="2"/>
  <c r="AT161" i="2"/>
  <c r="AT162" i="2"/>
  <c r="AT202" i="2"/>
  <c r="AU157" i="2"/>
  <c r="AU221" i="2"/>
  <c r="E458" i="3"/>
  <c r="P176" i="2"/>
  <c r="P240" i="2"/>
  <c r="P161" i="2" l="1"/>
  <c r="P157" i="2"/>
  <c r="P205" i="2"/>
  <c r="P162" i="2"/>
  <c r="E460" i="3"/>
  <c r="D463" i="3"/>
  <c r="AU226" i="2"/>
  <c r="AU227" i="2"/>
  <c r="AU222" i="2"/>
  <c r="AT226" i="2"/>
  <c r="AT222" i="2"/>
  <c r="AT227" i="2"/>
  <c r="P222" i="2"/>
  <c r="P226" i="2"/>
  <c r="P227" i="2"/>
  <c r="F460" i="3" l="1"/>
  <c r="F458" i="3"/>
  <c r="F456" i="3"/>
  <c r="AT243" i="2"/>
  <c r="AT177" i="2"/>
  <c r="AT241" i="2"/>
  <c r="AT46" i="2"/>
  <c r="AT178" i="2"/>
  <c r="AT242" i="2"/>
  <c r="AU149" i="2"/>
  <c r="AU209" i="2" s="1"/>
  <c r="P178" i="2"/>
  <c r="AT149" i="2"/>
  <c r="AT209" i="2" s="1"/>
  <c r="P179" i="2"/>
  <c r="AT179" i="2"/>
  <c r="P241" i="2"/>
  <c r="AT66" i="2"/>
  <c r="AT180" i="2" l="1"/>
  <c r="P242" i="2"/>
  <c r="P46" i="2"/>
  <c r="P177" i="2"/>
  <c r="P91" i="2"/>
  <c r="P149" i="2" s="1"/>
  <c r="P209" i="2" s="1"/>
  <c r="P243" i="2"/>
  <c r="AT244" i="2"/>
  <c r="P244" i="2" l="1"/>
  <c r="P180" i="2"/>
  <c r="AT148" i="2"/>
  <c r="AT208" i="2" s="1"/>
  <c r="AU148" i="2"/>
  <c r="AU208" i="2" s="1"/>
  <c r="AT246" i="2"/>
  <c r="AT182" i="2"/>
  <c r="AT245" i="2"/>
  <c r="P246" i="2"/>
  <c r="AT183" i="2"/>
  <c r="AT247" i="2"/>
  <c r="AT47" i="2"/>
  <c r="AT181" i="2"/>
  <c r="AT70" i="2"/>
  <c r="P247" i="2"/>
  <c r="BF94" i="2" l="1"/>
  <c r="BG94" i="2"/>
  <c r="AW94" i="2"/>
  <c r="AV94" i="2"/>
  <c r="BE94" i="2"/>
  <c r="AU94" i="2"/>
  <c r="AT94" i="2"/>
  <c r="AT184" i="2"/>
  <c r="P70" i="2"/>
  <c r="P94" i="2" s="1"/>
  <c r="AT248" i="2"/>
  <c r="P182" i="2"/>
  <c r="P181" i="2"/>
  <c r="P183" i="2"/>
  <c r="P47" i="2"/>
  <c r="P93" i="2"/>
  <c r="P148" i="2" s="1"/>
  <c r="P208" i="2" s="1"/>
  <c r="P245" i="2"/>
  <c r="AT187" i="2"/>
  <c r="AT251" i="2"/>
  <c r="AT252" i="2"/>
  <c r="AT188" i="2"/>
  <c r="P251" i="2"/>
  <c r="AT186" i="2"/>
  <c r="P250" i="2"/>
  <c r="AT250" i="2"/>
  <c r="AT189" i="2"/>
  <c r="P253" i="2"/>
  <c r="AT253" i="2"/>
  <c r="P188" i="2"/>
  <c r="P252" i="2"/>
  <c r="AT249" i="2"/>
  <c r="AT185" i="2"/>
  <c r="P185" i="2"/>
  <c r="AT76" i="2"/>
  <c r="AT190" i="2" l="1"/>
  <c r="AT80" i="2"/>
  <c r="P184" i="2"/>
  <c r="P248" i="2"/>
  <c r="AT254" i="2"/>
  <c r="P187" i="2"/>
  <c r="P76" i="2"/>
  <c r="P80" i="2" s="1"/>
  <c r="P249" i="2"/>
  <c r="P186" i="2"/>
  <c r="P189" i="2"/>
  <c r="P254" i="2" l="1"/>
  <c r="P190" i="2"/>
  <c r="AT256" i="2"/>
  <c r="P192" i="2"/>
  <c r="AT192" i="2"/>
  <c r="AT193" i="2"/>
  <c r="AT257" i="2"/>
  <c r="AT191" i="2"/>
  <c r="P191" i="2"/>
  <c r="AT255" i="2"/>
  <c r="P257" i="2"/>
  <c r="P256" i="2" l="1"/>
  <c r="P193" i="2"/>
  <c r="P255" i="2"/>
  <c r="P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Harish Tandon</author>
    <author>Roshni Arunkumar</author>
  </authors>
  <commentList>
    <comment ref="J6" authorId="0" shapeId="0" xr:uid="{A51E8452-18FF-4022-B5DD-E10D43D0EF7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information provided</t>
        </r>
      </text>
    </comment>
    <comment ref="B33" authorId="0" shapeId="0" xr:uid="{9B9EB2F4-7767-42DA-A1F6-6B86EAA672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44" authorId="0" shapeId="0" xr:uid="{BBCE5EA7-2028-4D40-8571-D67DBB7305F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91" authorId="0" shapeId="0" xr:uid="{0A263DCD-15B5-40F0-99A8-66A923F40C3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102" authorId="0" shapeId="0" xr:uid="{212B3348-CDA2-4B02-A3F7-108F5EF37AC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C163" authorId="1" shapeId="0" xr:uid="{EE486668-3B4E-4371-9E3B-84DA71F4875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 of anount: 14,005.143</t>
        </r>
      </text>
    </comment>
    <comment ref="C221" authorId="1" shapeId="0" xr:uid="{F944D056-D883-4EBE-95A8-79FE75177EC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 of anount: 14,005.143</t>
        </r>
      </text>
    </comment>
    <comment ref="J240" authorId="0" shapeId="0" xr:uid="{4B51E52C-24EC-404C-A8BC-266B74FD9FF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Not disclosed on quarterly basis</t>
        </r>
      </text>
    </comment>
    <comment ref="C274" authorId="1" shapeId="0" xr:uid="{166619FB-61AD-4D31-8973-FFCB1CD2407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330" authorId="1" shapeId="0" xr:uid="{3DB82EF5-B9B6-4627-B361-CE9EE36A584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J345" authorId="0" shapeId="0" xr:uid="{221156EF-EC95-4A53-B43D-7B95C6DC75D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Calculated using 4Q23 numbers before restatement as FY23 restaed EBITDA is not yet available</t>
        </r>
      </text>
    </comment>
    <comment ref="C384" authorId="1" shapeId="0" xr:uid="{5A743366-4223-4650-A60C-9131258147A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438" authorId="1" shapeId="0" xr:uid="{7E31A94E-5B09-43FC-91B8-20527FC56D7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492" authorId="1" shapeId="0" xr:uid="{DF8FB423-7274-489A-A07B-B8BC5F8F3D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546" authorId="1" shapeId="0" xr:uid="{A20C1505-8E8C-414E-B00D-8B823A181CF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600" authorId="1" shapeId="0" xr:uid="{C10C228A-F988-4A98-995B-B011F9092E5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655" authorId="1" shapeId="0" xr:uid="{5D62AF52-5CFE-431D-99D8-08BA25D2793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712" authorId="1" shapeId="0" xr:uid="{5FB5A20A-CE91-4998-B05B-C642C937BDE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770" authorId="1" shapeId="0" xr:uid="{6DE8193D-93EC-483A-8BDA-2043016C990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828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88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94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Removed Letter of Credit</t>
        </r>
      </text>
    </comment>
    <comment ref="C1010" authorId="2" shapeId="0" xr:uid="{00000000-0006-0000-0000-000004000000}">
      <text>
        <r>
          <rPr>
            <sz val="9"/>
            <color indexed="81"/>
            <rFont val="Tahoma"/>
            <family val="2"/>
          </rPr>
          <t xml:space="preserve">Removed Letter of Credit 
</t>
        </r>
      </text>
    </comment>
    <comment ref="C1069" authorId="2" shapeId="0" xr:uid="{00000000-0006-0000-0000-000005000000}">
      <text>
        <r>
          <rPr>
            <sz val="9"/>
            <color indexed="81"/>
            <rFont val="Tahoma"/>
            <family val="2"/>
          </rPr>
          <t xml:space="preserve">Removed Letter of Credit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  <author>CRISIL GR&amp;RS</author>
    <author>Harish Tandon</author>
    <author>Meghana Ramesh Gollapudi</author>
    <author>CRISIL GR&amp;A</author>
    <author>Roshni Arunkumar</author>
  </authors>
  <commentList>
    <comment ref="BH4" authorId="0" shapeId="0" xr:uid="{103202CE-7A87-41AB-B4AE-38842ACCF4D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Usig QTR</t>
        </r>
      </text>
    </comment>
    <comment ref="L57" authorId="0" shapeId="0" xr:uid="{4FD124D3-19A8-4893-963D-1FCA2AD70C1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EBITDA (Earnings before interest, tax, depreciation and amortization) is calculated by adding depreciation and amortization expenses to operating profit before other operating income and expenses. EBITDA isn’t a performance measure by TFRS, and may not be comparable with other companies. 
Note: Here compnay has excluded income/expenses from investment activites</t>
        </r>
      </text>
    </comment>
    <comment ref="M57" authorId="0" shapeId="0" xr:uid="{ED3ECDAC-5DF7-4496-A04D-52F0AD37303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EBITDA (Earnings before interest, tax, depreciation and amortization) is calculated by adding depreciation and amortization expenses to operating profit before other operating income and expenses. EBITDA isn’t a performance measure by TFRS, and may not be comparable with other companies. 
Note: Here compnay has excluded income/expenses from investment activites</t>
        </r>
      </text>
    </comment>
    <comment ref="N57" authorId="0" shapeId="0" xr:uid="{D81A3DEC-AFC3-42DD-9594-7025B1FC70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EBITDA (Earnings before interest, tax, depreciation and amortization) is calculated by adding depreciation and amortization expenses to operating profit before other operating income and expenses. EBITDA isn’t a performance measure by TFRS, and may not be comparable with other companies. 
Note: Here compnay has excluded income/expenses from investment activites</t>
        </r>
      </text>
    </comment>
    <comment ref="O57" authorId="0" shapeId="0" xr:uid="{0F0C055A-B2F7-49EA-8D87-90D6BE19D5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EBITDA (Earnings before interest, tax, depreciation and amortization) is calculated by adding depreciation and amortization expenses to operating profit before other operating income and expenses. EBITDA isn’t a performance measure by TFRS, and may not be comparable with other companies. 
Note: Here compnay has excluded income/expenses from investment activites</t>
        </r>
      </text>
    </comment>
    <comment ref="B63" authorId="0" shapeId="0" xr:uid="{78D670DE-3A35-4E72-9860-70FF01051C1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company: Working capital</t>
        </r>
      </text>
    </comment>
    <comment ref="N71" authorId="0" shapeId="0" xr:uid="{B7DED300-0027-434D-952F-FD41957687C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Changes in non-trade receivables from related parties : 9.029
* Interest received: 3,469.948
*  Other cash advances given and payables: 278.324
* Cash (outflows) from the purchase of shares or debt instruments of other businesses or funds: (20.075)
* Proceeds from rental income: 48.882</t>
        </r>
      </text>
    </comment>
    <comment ref="O71" authorId="0" shapeId="0" xr:uid="{E96CBB14-A57F-409D-97C7-A84A8E134ED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Changes in non-trade receivables from related parties : 194.200 
* Interest received: 4,358.784 
*  Other cash advances given and payables: (63.803) 
* Cash (outflows) from the purchase of shares or debt instruments of other businesses or funds: (7.947)
* Proceeds from rental income: 56.966</t>
        </r>
      </text>
    </comment>
    <comment ref="BC71" authorId="0" shapeId="0" xr:uid="{4C0E8923-AEBC-4744-8C3F-E170D00D4F7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3M includes:
* Changes in non-trade receivables from related parties: 143.390
* Interest received: 734.813
* Other cash advances given and payables: (35.282)
* Cash (outflows) from the purchase of shares or debt  instruments of other businesses or funds: (2.504)
* Proceeds from rental income: 17.589</t>
        </r>
      </text>
    </comment>
    <comment ref="BI71" authorId="0" shapeId="0" xr:uid="{C1CC00B0-D6BA-4D4B-A3B9-A85F78718B92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3M includes:
* Changes in non-trade receivables from related parties: (263.900)
* Interest received: 1,232.431
* Other cash advances given and payables: (35.328)
* Proceeds from rental income: 17.135</t>
        </r>
      </text>
    </comment>
    <comment ref="BN71" authorId="0" shapeId="0" xr:uid="{DA8E2E2D-FA4F-4C79-86BC-0F970A68C34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Changes in non-trade receivables from related parties: (269.732)
* Interest received: 2,137.764
* Other cash advances given and payables: 119.706
* Cash (outflows) from the purchase of shares or debt instruments
of other businesses or funds :(24.270)
* Proceeds from rental income: 36.509</t>
        </r>
      </text>
    </comment>
    <comment ref="BO71" authorId="0" shapeId="0" xr:uid="{E96051EC-3503-44A4-82C1-BD4206C4A5B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Changes in non-trade receivables from related parties: (208.625)
* Interest received: 3,993.797
* Other cash advances given and payables: 5.851
* Cash (outflows) from the purchase of shares or debt instruments
of other businesses or funds : (7.615)
* Proceeds from rental income: 42.158</t>
        </r>
      </text>
    </comment>
    <comment ref="N75" authorId="0" shapeId="0" xr:uid="{BD35AA60-8729-4626-99C4-307D155DAB0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Commission paid: (824.876)</t>
        </r>
      </text>
    </comment>
    <comment ref="O75" authorId="0" shapeId="0" xr:uid="{4385DFEC-96EF-4768-9C8B-C76D7568554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Cash (outflow) from derivate instruments : (3,032.387)
* Commission paid: (1,111.953) </t>
        </r>
      </text>
    </comment>
    <comment ref="BC75" authorId="0" shapeId="0" xr:uid="{E49F8ACF-D13C-4602-85A6-73695978845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3M includes:
* Cash outflows from derivative instruments: (543.784)
* Commission paid: (397.086)</t>
        </r>
      </text>
    </comment>
    <comment ref="BI75" authorId="0" shapeId="0" xr:uid="{F9E894AE-7E1D-4518-933C-1FD293521EC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3M includes:
* Cash outflows from derivative instruments: (1,487.223)
* Commission paid: (441.712)</t>
        </r>
      </text>
    </comment>
    <comment ref="BN75" authorId="0" shapeId="0" xr:uid="{FC97FEAC-86E8-4DD9-8C53-39241D51DC4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Commission paid : (369.290)</t>
        </r>
      </text>
    </comment>
    <comment ref="BO75" authorId="0" shapeId="0" xr:uid="{0EDCBB55-DC2F-4D2B-A955-D8448F52365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Cash (outflow) from derivate instruments : (2,029.006)
* Commission paid : (723.135)</t>
        </r>
      </text>
    </comment>
    <comment ref="L78" authorId="0" shapeId="0" xr:uid="{AA2F0607-4F2D-408B-B23D-91C5C4FB52B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Diffrence is due to calculated cash flows from opreating activites and cash flow from reported operating activites</t>
        </r>
      </text>
    </comment>
    <comment ref="M78" authorId="0" shapeId="0" xr:uid="{5E093AB4-1DDA-4A97-8D5F-53243263AE4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Diffrence is due to calculated cash flows from opreating activites and cash flow from reported operating activites</t>
        </r>
      </text>
    </comment>
    <comment ref="N78" authorId="0" shapeId="0" xr:uid="{A822C266-295E-459A-B971-C56CB09D3BB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other adjustments before working capital, majolry (FY):
# Adjustments Related to Provisions:
   * Provision for employment termination benefits: 530.591
   * Unused vacation accrual: 344.066
   * Performance premium accrual: 790.876
# Adjustments Related to Other Provisions (Reversal) (net): (261.880)
# Adjustments Related to Other Items That Cause Cash  Flows Arising from Investment or Financing Activities: 
    * Change in foreign currency from financial liabilities (net): 9,785.607
    * Change in foreign currency from investing activities (net): (4,125.860)
    * Commission expenses and financial income (net): 824.876
#  Adjustments related to monetary (gain) : (3,583.050)</t>
        </r>
      </text>
    </comment>
    <comment ref="O78" authorId="0" shapeId="0" xr:uid="{B54DA17E-1D47-45E8-9925-E4EBE32637B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other adjustments before working capital, majolry (FY):
# Adjustments Related to Provisions:
   * Provision for employment termination benefits: 676.600
   * Unused vacation accrual: 324.995
   * Performance premium accrual: 530.583
# Adjustments Related to Other Provisions (Reversal) (net): 286.769
# Adjustments Related to Other Items That Cause Cash  Flows Arising from Investment or Financing Activities: 
    * Change in foreign currency from financial liabilities (net): 16,58.,222
    * Change in foreign currency from investing activities (net): (5,958.032) 
    * Commission expenses and financial income (net): 1,111.953
#  Adjustments related to monetary (gain) : (1,236.440)</t>
        </r>
      </text>
    </comment>
    <comment ref="AU78" authorId="0" shapeId="0" xr:uid="{5355E754-BFB2-4884-993A-D92A04459F8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cash from customers for calculating CFO while we use EBITDA</t>
        </r>
      </text>
    </comment>
    <comment ref="AV78" authorId="0" shapeId="0" xr:uid="{BD99E67D-F129-4F23-9F7F-9AC2DDA97C0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cash from customers for calculating CFO while we use EBITDA</t>
        </r>
      </text>
    </comment>
    <comment ref="AW78" authorId="0" shapeId="0" xr:uid="{50C035CA-DDB1-4F90-8405-9CDEA7A98D7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cash from customers for calculating CFO while we use EBITDA</t>
        </r>
      </text>
    </comment>
    <comment ref="AY78" authorId="0" shapeId="0" xr:uid="{7D76291A-5C80-4796-9229-1D7253CB526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AZ78" authorId="0" shapeId="0" xr:uid="{EA3B5278-F2F1-480C-9207-48E5C946100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C78" authorId="0" shapeId="0" xr:uid="{1C5877D2-9344-4104-865C-D11E0709559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adjustments apart from working capital, majorly:
* Provision for employment termination benefits : 248.956
* Unused vacation accrual: 94.881
* Performance premium accrual : 93.026 
* Adjustments Related to Other Provisions (Reversal) (net) : 389.334
* Change in foreign currency from financial liabilities (net): 1,657.161
* Change in foreign currency from investing activities (net): (578.750)
* Commission expenses and financial income (net): 397.086 
* Adjustments related to monetary loss/(gain): 155.522 </t>
        </r>
      </text>
    </comment>
    <comment ref="BE78" authorId="0" shapeId="0" xr:uid="{3FD5F270-2A5D-4264-9BC7-E13F9B30B62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F78" authorId="0" shapeId="0" xr:uid="{D44F166C-562B-4E89-A1EA-3C42800C62D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I78" authorId="0" shapeId="0" xr:uid="{4218779E-9F81-4F66-B6F8-3B0395390D7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adjustments apart from working capital, majorly:
* Provision for employment termination benefits : 219.888
* Unused vacation accrual: 120.911
* Performance premium accrual : 289.738 
* Adjustments Related to Other Provisions (Reversal) (net) : 1,378.512 
* Change in foreign currency from financial liabilities (net): 4,998.824 
* Change in foreign currency from investing activities (net): (2,433.646)
* Commission expenses and financial income (net): 441.711 
* Adjustments related to monetary loss/(gain): (874.704)</t>
        </r>
      </text>
    </comment>
    <comment ref="BK78" authorId="0" shapeId="0" xr:uid="{CDCB877B-7CFC-4599-B79A-7C7384653EC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L78" authorId="0" shapeId="0" xr:uid="{64AF7B6B-D620-4E53-86E1-D141D955817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N78" authorId="0" shapeId="0" xr:uid="{13ED05F2-932C-4BC1-AB46-CECC84361D3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BO78" authorId="0" shapeId="0" xr:uid="{E1EE2AAC-145E-4FA4-9098-90A9F48EF1A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the company uses net profit for calculating CFO while we use EBITDA</t>
        </r>
      </text>
    </comment>
    <comment ref="H81" authorId="1" shapeId="0" xr:uid="{CEE75698-3E7A-4DC5-B2EF-9C11D1C145F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1" authorId="2" shapeId="0" xr:uid="{764931FE-AB5A-435B-93D0-014AB1CC6AE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Hard coded cash at beginning of the year due to restatements</t>
        </r>
      </text>
    </comment>
    <comment ref="L81" authorId="0" shapeId="0" xr:uid="{4872FF4F-BE94-47BA-9A97-A8AC87C84F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Adjusted for diffrence between the cash and cash equivalents for the starting period and ending period</t>
        </r>
      </text>
    </comment>
    <comment ref="P81" authorId="3" shapeId="0" xr:uid="{10861B29-ACCB-40FC-9959-CD8B1505A10C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 xml:space="preserve">Hard coded </t>
        </r>
      </text>
    </comment>
    <comment ref="V81" authorId="4" shapeId="0" xr:uid="{00000000-0006-0000-0100-000001000000}">
      <text>
        <r>
          <rPr>
            <sz val="9"/>
            <color indexed="81"/>
            <rFont val="Tahoma"/>
            <family val="2"/>
          </rPr>
          <t xml:space="preserve">hardcoded starting cash here due to restatement
</t>
        </r>
      </text>
    </comment>
    <comment ref="AH81" authorId="3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1Q22</t>
        </r>
      </text>
    </comment>
    <comment ref="AM81" authorId="3" shapeId="0" xr:uid="{1878F833-DF79-4EBC-809F-4C10AB5F7510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1Q23</t>
        </r>
      </text>
    </comment>
    <comment ref="AN81" authorId="3" shapeId="0" xr:uid="{BC7EE7D9-20AB-40E6-BFCD-9F68FB3B8685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1Q23</t>
        </r>
      </text>
    </comment>
    <comment ref="AP81" authorId="3" shapeId="0" xr:uid="{9188F231-CB88-4273-9633-6F2222FE84AE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2Q23</t>
        </r>
      </text>
    </comment>
    <comment ref="AS81" authorId="2" shapeId="0" xr:uid="{442124DD-0282-4EF1-8E11-594213154BD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the difference between beginning cash due to restatements</t>
        </r>
      </text>
    </comment>
    <comment ref="AU81" authorId="3" shapeId="0" xr:uid="{383343ED-DD30-4BDC-AD21-42CC0EBE53AF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1Q23</t>
        </r>
      </text>
    </comment>
    <comment ref="AV81" authorId="3" shapeId="0" xr:uid="{0408FD81-B9AE-4EC0-94E4-6A2AE89F7C0D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2Q24</t>
        </r>
      </text>
    </comment>
    <comment ref="AW81" authorId="3" shapeId="0" xr:uid="{8D0393D1-DE74-4B35-B0C7-24A0E97E9591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3Q24</t>
        </r>
      </text>
    </comment>
    <comment ref="AY81" authorId="3" shapeId="0" xr:uid="{2AA7BA04-2749-4B31-8324-2BEC98BBD9CE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1Q25 to adjust for inflation</t>
        </r>
      </text>
    </comment>
    <comment ref="AZ81" authorId="3" shapeId="0" xr:uid="{4314AE88-C54C-40E1-81BA-6E8AA2670B42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2Q25</t>
        </r>
      </text>
    </comment>
    <comment ref="BA81" authorId="3" shapeId="0" xr:uid="{2BFBFC50-FF9B-42B3-B25E-063576D787E5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</t>
        </r>
      </text>
    </comment>
    <comment ref="BC81" authorId="3" shapeId="0" xr:uid="{E565A854-9E8C-466A-A235-BD9B1365771B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1Q26 to adjust for inflation</t>
        </r>
      </text>
    </comment>
    <comment ref="BE81" authorId="3" shapeId="0" xr:uid="{044A9537-84E3-4F73-8957-680A91CF3A0D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 for 1Q24</t>
        </r>
      </text>
    </comment>
    <comment ref="BF81" authorId="3" shapeId="0" xr:uid="{4E7DC4F3-809B-4A28-9CB4-93945106BA1B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opening cash for 2Q24</t>
        </r>
      </text>
    </comment>
    <comment ref="BG81" authorId="3" shapeId="0" xr:uid="{B42B2162-2255-427D-B139-2ACBA8B6C3AC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</t>
        </r>
      </text>
    </comment>
    <comment ref="BI81" authorId="3" shapeId="0" xr:uid="{CEDCC5CA-9207-4D4D-B9FC-97228EFA889D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 for 1Q25</t>
        </r>
      </text>
    </comment>
    <comment ref="BK81" authorId="3" shapeId="0" xr:uid="{CAF1BB56-133F-4CEE-AD89-872945387552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 for 1H24</t>
        </r>
      </text>
    </comment>
    <comment ref="BL81" authorId="3" shapeId="0" xr:uid="{4322B0EE-387F-4033-BBAA-0CCCCE28A8B0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 for 1H25</t>
        </r>
      </text>
    </comment>
    <comment ref="BN81" authorId="3" shapeId="0" xr:uid="{55CF1E35-7EA4-4543-98BA-9448EE730DB9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</t>
        </r>
      </text>
    </comment>
    <comment ref="BO81" authorId="3" shapeId="0" xr:uid="{DAB110FE-48BB-4A25-BF7F-42EE29783D1B}">
      <text>
        <r>
          <rPr>
            <b/>
            <sz val="9"/>
            <color indexed="81"/>
            <rFont val="Tahoma"/>
            <family val="2"/>
          </rPr>
          <t xml:space="preserve">CRISIL G&amp;A:
</t>
        </r>
        <r>
          <rPr>
            <sz val="9"/>
            <color indexed="81"/>
            <rFont val="Tahoma"/>
            <family val="2"/>
          </rPr>
          <t>Hard coded restated opening cash</t>
        </r>
      </text>
    </comment>
    <comment ref="BR81" authorId="3" shapeId="0" xr:uid="{00000000-0006-0000-0100-000003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Hardcoded opening cash which was restated for Q1'21
</t>
        </r>
      </text>
    </comment>
    <comment ref="AV83" authorId="2" shapeId="0" xr:uid="{E175ED7C-764F-485D-869E-CC0336FE51D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restatement of inflation adjusted numebrs of 1Q24</t>
        </r>
      </text>
    </comment>
    <comment ref="AW83" authorId="2" shapeId="0" xr:uid="{ECBFE6D8-0FA7-4E1F-BEE4-B90C4CC3DBA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restatement of inflation adjusted numebrs of 2Q24</t>
        </r>
      </text>
    </comment>
    <comment ref="H84" authorId="5" shapeId="0" xr:uid="{00000000-0006-0000-0100-000004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Effects of restatement with eliminations</t>
        </r>
      </text>
    </comment>
    <comment ref="I84" authorId="5" shapeId="0" xr:uid="{630F1893-B74C-4ABF-98D4-48B5E3BBCF7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Effects of restatement with eliminations</t>
        </r>
      </text>
    </comment>
    <comment ref="R84" authorId="6" shapeId="0" xr:uid="{00000000-0006-0000-0100-000005000000}">
      <text>
        <r>
          <rPr>
            <sz val="9"/>
            <color indexed="81"/>
            <rFont val="Tahoma"/>
            <family val="2"/>
          </rPr>
          <t>Ending cash is varying slightly from balance sheet cash due to restatements of 1Q18 cash flow</t>
        </r>
      </text>
    </comment>
    <comment ref="S84" authorId="6" shapeId="0" xr:uid="{00000000-0006-0000-0100-000006000000}">
      <text>
        <r>
          <rPr>
            <sz val="9"/>
            <color indexed="81"/>
            <rFont val="Tahoma"/>
            <family val="2"/>
          </rPr>
          <t>Ending cash is varying slightly from balance sheet cash due to restatements of 1Q18 cash flow</t>
        </r>
      </text>
    </comment>
    <comment ref="T84" authorId="6" shapeId="0" xr:uid="{00000000-0006-0000-0100-000007000000}">
      <text>
        <r>
          <rPr>
            <sz val="9"/>
            <color indexed="81"/>
            <rFont val="Tahoma"/>
            <family val="2"/>
          </rPr>
          <t>Ending cash is varying slightly from balance sheet cash due to restatements of 1Q18 cash flow</t>
        </r>
      </text>
    </comment>
    <comment ref="U84" authorId="6" shapeId="0" xr:uid="{00000000-0006-0000-0100-000008000000}">
      <text>
        <r>
          <rPr>
            <sz val="9"/>
            <color indexed="81"/>
            <rFont val="Tahoma"/>
            <family val="2"/>
          </rPr>
          <t>Ending cash is varying slightly from balance sheet cash due to restatements of 1Q18 cash flow</t>
        </r>
      </text>
    </comment>
    <comment ref="V84" authorId="6" shapeId="0" xr:uid="{00000000-0006-0000-0100-000009000000}">
      <text>
        <r>
          <rPr>
            <sz val="9"/>
            <color indexed="81"/>
            <rFont val="Tahoma"/>
            <family val="2"/>
          </rPr>
          <t xml:space="preserve">Difference due to :
</t>
        </r>
        <r>
          <rPr>
            <b/>
            <sz val="9"/>
            <color indexed="81"/>
            <rFont val="Tahoma"/>
            <family val="2"/>
          </rPr>
          <t>Cash Flow is Restated.
Balance-sheet is not restated.</t>
        </r>
        <r>
          <rPr>
            <sz val="9"/>
            <color indexed="81"/>
            <rFont val="Tahoma"/>
            <family val="2"/>
          </rPr>
          <t xml:space="preserve">
Previously the liquid funds under cash and cash equivalents. However; the Group management decided to reclassify liquid funds to short-term financial investments
2724.421 - Classification from Cash to Short term financial asstes
</t>
        </r>
      </text>
    </comment>
    <comment ref="W84" authorId="6" shapeId="0" xr:uid="{00000000-0006-0000-0100-00000A000000}">
      <text>
        <r>
          <rPr>
            <sz val="9"/>
            <color indexed="81"/>
            <rFont val="Tahoma"/>
            <family val="2"/>
          </rPr>
          <t xml:space="preserve">Difference due to :
</t>
        </r>
        <r>
          <rPr>
            <b/>
            <sz val="9"/>
            <color indexed="81"/>
            <rFont val="Tahoma"/>
            <family val="2"/>
          </rPr>
          <t>Cash Flow is Restated.
Balance-sheet is not restated.</t>
        </r>
        <r>
          <rPr>
            <sz val="9"/>
            <color indexed="81"/>
            <rFont val="Tahoma"/>
            <family val="2"/>
          </rPr>
          <t xml:space="preserve">
Previously the liquid funds under cash and cash equivalents. However; the Group management decided to reclassify liquid funds to short-term financial investments
2085.833 - Classification from Cash to Short term financial asstes
</t>
        </r>
      </text>
    </comment>
    <comment ref="X84" authorId="6" shapeId="0" xr:uid="{00000000-0006-0000-0100-00000B000000}">
      <text>
        <r>
          <rPr>
            <sz val="9"/>
            <color indexed="81"/>
            <rFont val="Tahoma"/>
            <family val="2"/>
          </rPr>
          <t xml:space="preserve">Difference due to :
</t>
        </r>
        <r>
          <rPr>
            <b/>
            <sz val="9"/>
            <color indexed="81"/>
            <rFont val="Tahoma"/>
            <family val="2"/>
          </rPr>
          <t>Cash Flow is Restated.
Balance-sheet is not restated.</t>
        </r>
        <r>
          <rPr>
            <sz val="9"/>
            <color indexed="81"/>
            <rFont val="Tahoma"/>
            <family val="2"/>
          </rPr>
          <t xml:space="preserve">
Previously the liquid funds under cash and cash equivalents. However; the Group management decided to reclassify liquid funds to short-term financial investments
</t>
        </r>
      </text>
    </comment>
    <comment ref="AF84" authorId="6" shapeId="0" xr:uid="{00000000-0006-0000-0100-00000C000000}">
      <text>
        <r>
          <rPr>
            <sz val="9"/>
            <color indexed="81"/>
            <rFont val="Tahoma"/>
            <family val="2"/>
          </rPr>
          <t xml:space="preserve">adjusted for change in opening cash balance
</t>
        </r>
      </text>
    </comment>
    <comment ref="AG84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restatement</t>
        </r>
      </text>
    </comment>
    <comment ref="AJ84" authorId="6" shapeId="0" xr:uid="{00000000-0006-0000-0100-00000E000000}">
      <text>
        <r>
          <rPr>
            <sz val="9"/>
            <color indexed="81"/>
            <rFont val="Tahoma"/>
            <family val="2"/>
          </rPr>
          <t xml:space="preserve">11.2 is adjustment  for change in opening cash balance in Dec 2021
</t>
        </r>
      </text>
    </comment>
    <comment ref="B99" authorId="0" shapeId="0" xr:uid="{62D0FBFB-6F4C-4FD4-B45F-CE20CF28F75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: Current Liabilities : Provisions for Employee Benefits</t>
        </r>
      </text>
    </comment>
    <comment ref="B110" authorId="0" shapeId="0" xr:uid="{F12AB651-4CAB-47A2-B779-5181DE792CF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leases</t>
        </r>
      </text>
    </comment>
    <comment ref="C111" authorId="0" shapeId="0" xr:uid="{816667E0-607A-4C24-BEEE-4A543B28E43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D111" authorId="0" shapeId="0" xr:uid="{1E4C89DB-A68D-440A-BFC9-519F0DD533B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E111" authorId="0" shapeId="0" xr:uid="{C020C776-168A-441E-9E8B-3E3688E9F19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F111" authorId="0" shapeId="0" xr:uid="{79447FC0-3E6A-4384-8F70-333A274D070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G111" authorId="0" shapeId="0" xr:uid="{63B45479-D3BA-4AE0-B1B6-A834F874479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H111" authorId="0" shapeId="0" xr:uid="{0915ED55-61F5-4A80-A755-4EB3E372BB5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I111" authorId="0" shapeId="0" xr:uid="{127D0CC8-52DF-4AC0-9E75-F4627EBD0ED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J111" authorId="0" shapeId="0" xr:uid="{22495B7A-C81C-4B9B-9333-8972654D0DF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C112" authorId="0" shapeId="0" xr:uid="{2D0BA7DB-92F8-4E25-B793-770A379635F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D112" authorId="0" shapeId="0" xr:uid="{00D387D0-9D62-4BFC-A651-B84FCE8499E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E112" authorId="0" shapeId="0" xr:uid="{0EFDA37F-E663-4F8E-865B-9DEBF7EAF4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F112" authorId="0" shapeId="0" xr:uid="{39B2A629-F111-4A9A-B75B-0544A03DB25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G112" authorId="0" shapeId="0" xr:uid="{99B0AF68-6589-4F7D-A50E-42CBD02A813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H112" authorId="0" shapeId="0" xr:uid="{1D973E1D-47F5-4268-9E29-E6997309C7D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I112" authorId="0" shapeId="0" xr:uid="{1F0796B7-4E6D-4664-972F-8B44B8EC493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J112" authorId="0" shapeId="0" xr:uid="{5764147D-FEF7-4031-9EF5-2092418C040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lease liabilities</t>
        </r>
      </text>
    </comment>
    <comment ref="B115" authorId="0" shapeId="0" xr:uid="{213363DF-F799-47B9-BE21-D22C805F4F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Financial leases</t>
        </r>
      </text>
    </comment>
    <comment ref="AN125" authorId="2" shapeId="0" xr:uid="{65F6AA71-B3F3-40AA-A756-4F04D51EA80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from 1Q24 CF statement</t>
        </r>
      </text>
    </comment>
    <comment ref="Y127" authorId="6" shapeId="0" xr:uid="{00000000-0006-0000-0100-00000F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Z127" authorId="6" shapeId="0" xr:uid="{00000000-0006-0000-0100-000010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A127" authorId="6" shapeId="0" xr:uid="{00000000-0006-0000-0100-000011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B127" authorId="6" shapeId="0" xr:uid="{00000000-0006-0000-0100-000012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C127" authorId="6" shapeId="0" xr:uid="{00000000-0006-0000-0100-000013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D127" authorId="6" shapeId="0" xr:uid="{00000000-0006-0000-0100-000014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E127" authorId="6" shapeId="0" xr:uid="{00000000-0006-0000-0100-000015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F127" authorId="6" shapeId="0" xr:uid="{00000000-0006-0000-0100-000016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G127" authorId="6" shapeId="0" xr:uid="{00000000-0006-0000-0100-000017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  <comment ref="AH127" authorId="6" shapeId="0" xr:uid="{00000000-0006-0000-0100-000018000000}">
      <text>
        <r>
          <rPr>
            <sz val="9"/>
            <color indexed="81"/>
            <rFont val="Tahoma"/>
            <family val="2"/>
          </rPr>
          <t xml:space="preserve">Previously the liquid funds under cash and cash equivalents. 
However; the Group management decided to reclassify liquid funds to short-term financial investments
For fair comparision, we have included short term investment for calculation of leverage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Ltd</author>
    <author>CRISIL</author>
    <author>Bharath Pradeep</author>
    <author>CRISIL GR&amp;RS</author>
    <author>Harish Tandon</author>
  </authors>
  <commentList>
    <comment ref="C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Data is not available</t>
        </r>
      </text>
    </comment>
    <comment ref="O9" authorId="1" shapeId="0" xr:uid="{BB309004-A9D5-4CC3-9A74-61C9A17E9A2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T9" authorId="1" shapeId="0" xr:uid="{1C08EAE3-3C21-406A-9714-732E9625541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Expected restatment of data for past 3 quaters</t>
        </r>
      </text>
    </comment>
    <comment ref="AV9" authorId="1" shapeId="0" xr:uid="{E0026ED0-DE95-4FC7-9A79-EC9307A80A4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Y9" authorId="1" shapeId="0" xr:uid="{62BD8E4D-6A0C-424B-9715-1752831AEE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E13" authorId="2" shapeId="0" xr:uid="{00000000-0006-0000-0200-000003000000}">
      <text>
        <r>
          <rPr>
            <sz val="9"/>
            <color indexed="81"/>
            <rFont val="Tahoma"/>
            <family val="2"/>
          </rPr>
          <t xml:space="preserve">Error due to restatement in Q1'21
</t>
        </r>
      </text>
    </comment>
    <comment ref="AG13" authorId="3" shapeId="0" xr:uid="{00000000-0006-0000-0200-000004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adjsuted the difference in 3Q21 numbers</t>
        </r>
      </text>
    </comment>
    <comment ref="AR13" authorId="3" shapeId="0" xr:uid="{30A3EE9E-39DB-421B-9589-81C2F0EBEA0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restatement of inflation adjusted numebrs of 1Q24</t>
        </r>
      </text>
    </comment>
    <comment ref="AS13" authorId="3" shapeId="0" xr:uid="{A2E73581-54F1-4166-AE79-AA6B0917B75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restatement of inflation adjusted numebrs of 1Q24 AND 2Q24</t>
        </r>
      </text>
    </comment>
    <comment ref="C2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Data is not available in rpeort</t>
        </r>
      </text>
    </comment>
    <comment ref="AE25" authorId="2" shapeId="0" xr:uid="{00000000-0006-0000-0200-000006000000}">
      <text>
        <r>
          <rPr>
            <sz val="9"/>
            <color indexed="81"/>
            <rFont val="Tahoma"/>
            <family val="2"/>
          </rPr>
          <t xml:space="preserve">Error due to restatement in Q1'21
</t>
        </r>
      </text>
    </comment>
    <comment ref="O32" authorId="1" shapeId="0" xr:uid="{8E0398DE-CA87-4808-9C88-1F5D2541737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V32" authorId="1" shapeId="0" xr:uid="{305B9F2F-3005-407B-AE3C-1A841736986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W32" authorId="1" shapeId="0" xr:uid="{1ABDF4D0-867F-4F12-9FEB-1FFC22605F0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Y32" authorId="1" shapeId="0" xr:uid="{64F7773A-4F04-4A82-A3EA-644156EBF76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C32" authorId="1" shapeId="0" xr:uid="{B13FF325-CA8C-4DDA-99B6-B1F457C564C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J32" authorId="1" shapeId="0" xr:uid="{A86F3393-64C7-4784-973D-856C76CA125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K32" authorId="1" shapeId="0" xr:uid="{372FC6B6-95A0-4788-94EB-7840C90A3C3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N35" authorId="1" shapeId="0" xr:uid="{4D0001B1-3044-4CAC-9AB8-665642C4B5F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O35" authorId="1" shapeId="0" xr:uid="{2080DDBE-1841-4BBC-8B0A-BF44E1CDEA0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V35" authorId="1" shapeId="0" xr:uid="{EA95ACF9-5B74-4361-AC10-09A46C4331A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W35" authorId="1" shapeId="0" xr:uid="{DED59183-E9CA-4085-B390-0934879481C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X35" authorId="1" shapeId="0" xr:uid="{2100E18F-D928-4068-9676-67CAE4B778E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Y35" authorId="1" shapeId="0" xr:uid="{F45B209A-F5F3-4BA7-94E4-8D3F52E3FB1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C35" authorId="1" shapeId="0" xr:uid="{101AC47B-7C0D-48E6-B43A-E07E34964C4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D35" authorId="1" shapeId="0" xr:uid="{461A3604-A1DC-45F5-A55B-E38136F3581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N41" authorId="1" shapeId="0" xr:uid="{BF0D6AF9-718A-4DF6-B397-527F61EC6ED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O41" authorId="1" shapeId="0" xr:uid="{4704E170-82C6-4EBC-801B-AEEAAD938CD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V41" authorId="1" shapeId="0" xr:uid="{C17CBDDA-EA81-4106-A51B-F2ECBDE330B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W41" authorId="1" shapeId="0" xr:uid="{A7785607-B4BD-4EAE-B174-E4A019C380F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X41" authorId="1" shapeId="0" xr:uid="{59CDB14A-8480-4E22-8620-C4E173D4166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Y41" authorId="1" shapeId="0" xr:uid="{6D9E4DDC-BAE2-4F28-85DB-295EC0259E2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C41" authorId="1" shapeId="0" xr:uid="{226EA327-C447-4218-B7DA-AAEAF9A8ED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D41" authorId="1" shapeId="0" xr:uid="{747363FB-7768-4F8C-BF6B-8402C694AAC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4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FY16 presentation is not available on website</t>
        </r>
      </text>
    </comment>
    <comment ref="D4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FY17 presentation is not available on website</t>
        </r>
      </text>
    </comment>
    <comment ref="L47" authorId="1" shapeId="0" xr:uid="{78858F9B-DBED-403E-8C03-6BF67E9A34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M47" authorId="1" shapeId="0" xr:uid="{1C0191C7-5A74-4E65-929B-D271E1CDFD2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N47" authorId="1" shapeId="0" xr:uid="{BE009DCA-4F4E-4B43-B83B-6CF88124283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O47" authorId="1" shapeId="0" xr:uid="{27EBF446-80B9-4BF9-9E1D-898F6B0F54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AD47" authorId="4" shapeId="0" xr:uid="{00000000-0006-0000-0200-000009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Restated value not found for these cells in the Investor Presentation.
</t>
        </r>
      </text>
    </comment>
    <comment ref="AS47" authorId="1" shapeId="0" xr:uid="{3EF9CEA4-52A7-469C-AB16-A081A227728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C5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FY16 presentation is not available on website</t>
        </r>
      </text>
    </comment>
    <comment ref="D5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FY17 presentation is not available on website</t>
        </r>
      </text>
    </comment>
    <comment ref="L53" authorId="1" shapeId="0" xr:uid="{B0AD66C8-1F1A-47C7-8400-EC453B42332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M53" authorId="1" shapeId="0" xr:uid="{F2BC467F-6A6E-4B9F-9373-F4A72A4A9EC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N53" authorId="1" shapeId="0" xr:uid="{30147488-CF6A-4099-BAA3-D5B1932C038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O53" authorId="1" shapeId="0" xr:uid="{06EC6F68-65C3-49FE-A7E8-A3D03BC28F5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  <comment ref="AS53" authorId="1" shapeId="0" xr:uid="{F0C1C18C-283C-4F9B-B7A6-90512EB2FF9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Segment wise growth not disclosed</t>
        </r>
      </text>
    </comment>
  </commentList>
</comments>
</file>

<file path=xl/sharedStrings.xml><?xml version="1.0" encoding="utf-8"?>
<sst xmlns="http://schemas.openxmlformats.org/spreadsheetml/2006/main" count="2335" uniqueCount="305">
  <si>
    <t>1Q26</t>
  </si>
  <si>
    <t>Exchange rate as at end</t>
  </si>
  <si>
    <t>LTM Average exchange rate</t>
  </si>
  <si>
    <t>Debt Breakdown as on 31-Mar-2026</t>
  </si>
  <si>
    <t>TRY mn</t>
  </si>
  <si>
    <t>USD mn</t>
  </si>
  <si>
    <t>Leverage (TRY)</t>
  </si>
  <si>
    <t>Leverage (USD)</t>
  </si>
  <si>
    <t>Company reported</t>
  </si>
  <si>
    <t>Leverage</t>
  </si>
  <si>
    <t>Short-term debt</t>
  </si>
  <si>
    <t>Net Debt/Ebitda</t>
  </si>
  <si>
    <t>Loans</t>
  </si>
  <si>
    <t>Lease Liabilities</t>
  </si>
  <si>
    <t>Long-term debt</t>
  </si>
  <si>
    <t>Total Loans &amp; Borrowings</t>
  </si>
  <si>
    <t>Cash</t>
  </si>
  <si>
    <t>Net debt exc investments</t>
  </si>
  <si>
    <t>Short term financial investments</t>
  </si>
  <si>
    <t xml:space="preserve">Net debt </t>
  </si>
  <si>
    <t>Equity</t>
  </si>
  <si>
    <t xml:space="preserve">Total Capitalisation </t>
  </si>
  <si>
    <t>LTM Adjusted EBITDA</t>
  </si>
  <si>
    <t>check</t>
  </si>
  <si>
    <t>Cash and cash equivalents</t>
  </si>
  <si>
    <t>TL mn</t>
  </si>
  <si>
    <t>Cash on hand</t>
  </si>
  <si>
    <t>Demand deposits</t>
  </si>
  <si>
    <t>Time deposits</t>
  </si>
  <si>
    <t>Impairment provision</t>
  </si>
  <si>
    <t>Total Cash and cash equivalents</t>
  </si>
  <si>
    <t>Debt Breakup by currency 
(including lease liabilities)</t>
  </si>
  <si>
    <t>%age</t>
  </si>
  <si>
    <t>Local currency</t>
  </si>
  <si>
    <t>short term</t>
  </si>
  <si>
    <t>long term</t>
  </si>
  <si>
    <t>Foreign currency</t>
  </si>
  <si>
    <t>Total Debt</t>
  </si>
  <si>
    <t>Debt Maturity 
(includes bank loans and issued debt instruments)</t>
  </si>
  <si>
    <t>Short term borrowings</t>
  </si>
  <si>
    <t>within 1 year</t>
  </si>
  <si>
    <t>within 1-2 years</t>
  </si>
  <si>
    <t>within 2-3 years</t>
  </si>
  <si>
    <t>within 3-4 years</t>
  </si>
  <si>
    <t>within 4-5 years</t>
  </si>
  <si>
    <t>Above 5 years</t>
  </si>
  <si>
    <t xml:space="preserve">Total </t>
  </si>
  <si>
    <t>FY25</t>
  </si>
  <si>
    <t>Debt Breakdown as on 31-Dec-2025</t>
  </si>
  <si>
    <t>Total financial liabilities and non-trade related parties  payables/(receivab</t>
  </si>
  <si>
    <t>Less: Cash and cash equivalents</t>
  </si>
  <si>
    <t>Less: Derivatives instruments</t>
  </si>
  <si>
    <t>Short terrm borrowings</t>
  </si>
  <si>
    <t>3Q25</t>
  </si>
  <si>
    <t>Exchange rate as at end 3Q25</t>
  </si>
  <si>
    <t>Average exchange rate for LTM 3Q25</t>
  </si>
  <si>
    <t>Debt Breakdown as on 30-Sep-2025</t>
  </si>
  <si>
    <t xml:space="preserve">Leverage </t>
  </si>
  <si>
    <t>Debt Maturity 
(includes bank loans and issued debt instruments only)</t>
  </si>
  <si>
    <t xml:space="preserve">Lease liability Maturity </t>
  </si>
  <si>
    <t>2Q25</t>
  </si>
  <si>
    <t>Exchange rate as at end 2Q25</t>
  </si>
  <si>
    <t>Average exchange rate for LTM 2Q25</t>
  </si>
  <si>
    <t>Debt Breakdown as on 30-Jun-2025</t>
  </si>
  <si>
    <t>Net Debt to EBITDA</t>
  </si>
  <si>
    <t>1.92x</t>
  </si>
  <si>
    <t>1Q25</t>
  </si>
  <si>
    <t>Exchange rate as at end 1Q25</t>
  </si>
  <si>
    <t>Average exchange rate for LTM 1Q25</t>
  </si>
  <si>
    <t>Debt Breakdown as on 31-Mar-2025</t>
  </si>
  <si>
    <t>Net debt (as reported by company)</t>
  </si>
  <si>
    <t>LTM EBITDA (calculated)</t>
  </si>
  <si>
    <t>Net Debt to EBITDA (calculated using net debt reported)</t>
  </si>
  <si>
    <t>Net Debt to EBITDA (reported by company)</t>
  </si>
  <si>
    <t xml:space="preserve">Total financial liabilities and non-trade related parties
 payables/(receivables) (net) </t>
  </si>
  <si>
    <t>Debt Breakup by currency (including lease liabilities)</t>
  </si>
  <si>
    <t>%</t>
  </si>
  <si>
    <t>Debt Maturity (excluding lease liabilities)</t>
  </si>
  <si>
    <t>FY24</t>
  </si>
  <si>
    <t>Exchange rate as at end FY24</t>
  </si>
  <si>
    <t>Average exchange rate for LTM FY24</t>
  </si>
  <si>
    <t>Debt Breakdown as on 31-Dec-2024</t>
  </si>
  <si>
    <t>3Q24</t>
  </si>
  <si>
    <t>Exchange rate as at end 3Q24</t>
  </si>
  <si>
    <t>Average exchange rate for LTM 3Q24</t>
  </si>
  <si>
    <t>Debt Breakdown as on 30-Sep-2024</t>
  </si>
  <si>
    <t>2Q24</t>
  </si>
  <si>
    <t>Exchange rate as at end 2Q24</t>
  </si>
  <si>
    <t>Average exchange rate for LTM 2Q24</t>
  </si>
  <si>
    <t>Debt Breakdown as on 30-Jun-2024</t>
  </si>
  <si>
    <t>1.19x</t>
  </si>
  <si>
    <t>1Q24</t>
  </si>
  <si>
    <t>Exchange rate as at end 1Q24</t>
  </si>
  <si>
    <t>Average exchange rate for LTM 1Q24</t>
  </si>
  <si>
    <t>Debt Breakdown as on 31-Mar-2024</t>
  </si>
  <si>
    <t>1.49x</t>
  </si>
  <si>
    <t>FY23</t>
  </si>
  <si>
    <t>Exchange rate as at end FY23</t>
  </si>
  <si>
    <t>Average exchange rate for LTM FY23</t>
  </si>
  <si>
    <t>Debt Breakdown as on 31-Dec-2023</t>
  </si>
  <si>
    <t>1.56x</t>
  </si>
  <si>
    <t>-</t>
  </si>
  <si>
    <t>3Q23</t>
  </si>
  <si>
    <t>Exchange rate as at end 3Q23</t>
  </si>
  <si>
    <t>Average exchange rate for LTM 3Q23</t>
  </si>
  <si>
    <t>Debt Breakdown as on 30-Sept-2023</t>
  </si>
  <si>
    <t>1.98x</t>
  </si>
  <si>
    <t>2Q23</t>
  </si>
  <si>
    <t>Exchange rate as at end 2Q23</t>
  </si>
  <si>
    <t>Average exchange rate for LTM 2Q23</t>
  </si>
  <si>
    <t>Debt Breakdown as on 30-June-2023</t>
  </si>
  <si>
    <t>2.4x</t>
  </si>
  <si>
    <t>1Q23</t>
  </si>
  <si>
    <t>Exchange rate as at end 1Q23</t>
  </si>
  <si>
    <t>Average exchange rate for LTM 1Q23</t>
  </si>
  <si>
    <t>Debt Breakdown as on 31-March-2023</t>
  </si>
  <si>
    <t>2.03x</t>
  </si>
  <si>
    <t>FY22</t>
  </si>
  <si>
    <t>Exchange rate as at end FY22</t>
  </si>
  <si>
    <t>Average exchange rate for LTM FY22</t>
  </si>
  <si>
    <t>Debt Breakdown as on 31-Dec-2022</t>
  </si>
  <si>
    <t>3Q22</t>
  </si>
  <si>
    <t>Exchange rate as at end 3Q22</t>
  </si>
  <si>
    <t>Average exchange rate for LTM 3Q22</t>
  </si>
  <si>
    <t>Debt Breakdown as on 30-Sept-2022</t>
  </si>
  <si>
    <t>2Q22</t>
  </si>
  <si>
    <t>Exchange rate as at end 2Q22</t>
  </si>
  <si>
    <t>Average exchange rate for LTM 2Q22</t>
  </si>
  <si>
    <t>Debt Breakdown as on 30-June-2022</t>
  </si>
  <si>
    <t>1Q22</t>
  </si>
  <si>
    <t>Exchange rate as at end 1Q22</t>
  </si>
  <si>
    <t>Average exchange rate for LTM 1Q22</t>
  </si>
  <si>
    <t>Debt Breakdown as on 31-Mar-2022</t>
  </si>
  <si>
    <t>4Q21</t>
  </si>
  <si>
    <t>Exchange rate as at end 4Q21</t>
  </si>
  <si>
    <t>Average exchange rate for LTM 4Q21</t>
  </si>
  <si>
    <t>Debt Breakdown as on 31-Dec-2021</t>
  </si>
  <si>
    <t>3Q21</t>
  </si>
  <si>
    <t>Exchange rate as at end 3Q21</t>
  </si>
  <si>
    <t>Average exchange rate for LTM 3Q21</t>
  </si>
  <si>
    <t>Debt Breakdown as on 30-Sept-2021</t>
  </si>
  <si>
    <t>2Q21</t>
  </si>
  <si>
    <t>Exchange rate as at end 2Q21</t>
  </si>
  <si>
    <t>Average exchange rate for LTM 2Q21</t>
  </si>
  <si>
    <t>Debt Breakdown as on 30-Jun-2021</t>
  </si>
  <si>
    <t>1Q21</t>
  </si>
  <si>
    <t>Exchange rate as at end 1Q21</t>
  </si>
  <si>
    <t>Average exchange rate for LTM 1Q21</t>
  </si>
  <si>
    <t>Debt Breakdown as on 31-Mar-2021</t>
  </si>
  <si>
    <t>4Q20</t>
  </si>
  <si>
    <t>Exchange rate as at end 4Q20</t>
  </si>
  <si>
    <t>Average exchange rate for LTM 4Q20</t>
  </si>
  <si>
    <t>Debt Breakdown as on 30-Sep-2020</t>
  </si>
  <si>
    <t>3Q20</t>
  </si>
  <si>
    <t>Exchange rate as at end 3Q20</t>
  </si>
  <si>
    <t>Average exchange rate for LTM 3Q20</t>
  </si>
  <si>
    <t>2Q20</t>
  </si>
  <si>
    <t>Exchange rate as at end 2Q20</t>
  </si>
  <si>
    <t>Average exchange rate for LTM 2Q20</t>
  </si>
  <si>
    <t>Debt Breakdown as on 30-Jun-2020</t>
  </si>
  <si>
    <t>ÜLKER BÝSKÜVÝ SANAYÝ A.Þ.</t>
  </si>
  <si>
    <t>Annual</t>
  </si>
  <si>
    <t>LTM</t>
  </si>
  <si>
    <t xml:space="preserve">Quarters </t>
  </si>
  <si>
    <t>6M</t>
  </si>
  <si>
    <t>9M</t>
  </si>
  <si>
    <t>(TRY million)</t>
  </si>
  <si>
    <t>Act</t>
  </si>
  <si>
    <t>Restated</t>
  </si>
  <si>
    <t>FY</t>
  </si>
  <si>
    <t>1Q</t>
  </si>
  <si>
    <t>2Q</t>
  </si>
  <si>
    <t>3Q</t>
  </si>
  <si>
    <t>4Q</t>
  </si>
  <si>
    <t>INCOME STATEMENT</t>
  </si>
  <si>
    <t>Revenue</t>
  </si>
  <si>
    <t xml:space="preserve">% growth </t>
  </si>
  <si>
    <t>Cost of sales</t>
  </si>
  <si>
    <t>Gross Profit</t>
  </si>
  <si>
    <t>Gross Profit margin</t>
  </si>
  <si>
    <t>General Administrative Expenses</t>
  </si>
  <si>
    <t>Marketing, Sales and Distribution Expenses</t>
  </si>
  <si>
    <t>Research and Development Expenses</t>
  </si>
  <si>
    <t>Other Operating Income</t>
  </si>
  <si>
    <t>Other Operating Expenses</t>
  </si>
  <si>
    <t>Income from Investment Activities</t>
  </si>
  <si>
    <t>Expenses from Investment Activities</t>
  </si>
  <si>
    <t xml:space="preserve">Operating profit </t>
  </si>
  <si>
    <t>% margin</t>
  </si>
  <si>
    <t>Financial expenses</t>
  </si>
  <si>
    <t>Financial income</t>
  </si>
  <si>
    <t>Net monetary gain</t>
  </si>
  <si>
    <t>Profit before tax</t>
  </si>
  <si>
    <t>Current Tax (Expense)/Income</t>
  </si>
  <si>
    <t>Deferred Tax Income/(Expenses)</t>
  </si>
  <si>
    <t>Net profit/loss</t>
  </si>
  <si>
    <t>Attributable to:</t>
  </si>
  <si>
    <t>Controlling interests</t>
  </si>
  <si>
    <t>Non-controlling interests</t>
  </si>
  <si>
    <t>Check</t>
  </si>
  <si>
    <t>As % of sales unless stated otherwise</t>
  </si>
  <si>
    <t>Financial income as a % of cash</t>
  </si>
  <si>
    <t>Financial expenses as a % of debt</t>
  </si>
  <si>
    <t>Tax %  of PBT</t>
  </si>
  <si>
    <t>Working capital /sales</t>
  </si>
  <si>
    <t>Capex/sales</t>
  </si>
  <si>
    <t xml:space="preserve">EBITDA </t>
  </si>
  <si>
    <t>Depreciation, depletion &amp; amortization</t>
  </si>
  <si>
    <t>Adjustment</t>
  </si>
  <si>
    <t xml:space="preserve">Adj. EBITDA 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</si>
  <si>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</si>
  <si>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</si>
  <si>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</si>
  <si>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</si>
  <si>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</si>
  <si>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</si>
  <si>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</si>
  <si>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</si>
  <si>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</si>
  <si>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</si>
  <si>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</si>
  <si>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</si>
  <si>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</si>
  <si>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</si>
  <si>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</si>
  <si>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Inflation effect on cash and cash equivalents</t>
  </si>
  <si>
    <t>Balancing figure</t>
  </si>
  <si>
    <t xml:space="preserve">FX </t>
  </si>
  <si>
    <t xml:space="preserve">Net change in cash </t>
  </si>
  <si>
    <t>check1</t>
  </si>
  <si>
    <t>check2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</si>
  <si>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</si>
  <si>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</si>
  <si>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</si>
  <si>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</si>
  <si>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</si>
  <si>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</si>
  <si>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</si>
  <si>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Employee benefit plans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</si>
  <si>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</si>
  <si>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</si>
  <si>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</si>
  <si>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</si>
  <si>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</si>
  <si>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</si>
  <si>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</si>
  <si>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</si>
  <si>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</si>
  <si>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Lease Obligations</t>
  </si>
  <si>
    <t>Short-term</t>
  </si>
  <si>
    <t>Long-term</t>
  </si>
  <si>
    <t>Total Lease</t>
  </si>
  <si>
    <t>Debt  Including Lease obligations</t>
  </si>
  <si>
    <t>Total debt</t>
  </si>
  <si>
    <t>Net debt excl Short term financial investments</t>
  </si>
  <si>
    <t>Net debt Incl Short term financial investments</t>
  </si>
  <si>
    <t>Equity (as reported on balance sheet)</t>
  </si>
  <si>
    <t>Total debt + Equity</t>
  </si>
  <si>
    <t>CREDIT RATIOS</t>
  </si>
  <si>
    <t>Gross Leverage including lease obligations</t>
  </si>
  <si>
    <t>Gross Leverage excluding lease obligations</t>
  </si>
  <si>
    <t>Net Leverage Inc ST Financial Investment (incl lease)</t>
  </si>
  <si>
    <t>Net Leverage Inc ST Financial Investment (excl lease)</t>
  </si>
  <si>
    <t>Net Leverage Exc ST Financial Investment (incl lease)</t>
  </si>
  <si>
    <t>Net Leverage Exc ST Financial Investment (excl lease)</t>
  </si>
  <si>
    <t>EBITDA - Capex / Interest</t>
  </si>
  <si>
    <t>EBITDA/Interest</t>
  </si>
  <si>
    <t xml:space="preserve">Gearing (Net debt / Equity) </t>
  </si>
  <si>
    <t>Key  Credit Metrics (TL million)</t>
  </si>
  <si>
    <t xml:space="preserve">Revenues </t>
  </si>
  <si>
    <t>Adj. EBITDA</t>
  </si>
  <si>
    <t>Adj. EBITDA Margin</t>
  </si>
  <si>
    <t>Net Debt</t>
  </si>
  <si>
    <t>Gross Leverage</t>
  </si>
  <si>
    <t>Net Leverage Inc ST Financial Inst</t>
  </si>
  <si>
    <t>Net Leverage Exc ST Financial Inst</t>
  </si>
  <si>
    <t>Summary Financials</t>
  </si>
  <si>
    <t>(TL million)</t>
  </si>
  <si>
    <t>FX rate average - TRY/USD</t>
  </si>
  <si>
    <t>FX rate  - TRY/USD (as at end of period)</t>
  </si>
  <si>
    <t>LTM - TRY/USD</t>
  </si>
  <si>
    <t>USD to TRY (EOP)</t>
  </si>
  <si>
    <t>Key  Credit Metrics (USD Mn where applicable)</t>
  </si>
  <si>
    <t xml:space="preserve">Net Leverage </t>
  </si>
  <si>
    <t>(USD millions)</t>
  </si>
  <si>
    <t>Lease obligations</t>
  </si>
  <si>
    <t>LTM EBITDA</t>
  </si>
  <si>
    <t>Semi - Annually</t>
  </si>
  <si>
    <t>1H</t>
  </si>
  <si>
    <t>Revenue by business segment</t>
  </si>
  <si>
    <t>Domestic</t>
  </si>
  <si>
    <t>Foreign</t>
  </si>
  <si>
    <t>Sales returns and discounts (-)</t>
  </si>
  <si>
    <t>Total</t>
  </si>
  <si>
    <t>% of Revenue by business segment</t>
  </si>
  <si>
    <t>EBITDA by business segment</t>
  </si>
  <si>
    <t>Confectionary Volume (Tons)</t>
  </si>
  <si>
    <t>Confectionary Sales Volume (KTons)</t>
  </si>
  <si>
    <t>Biscuits</t>
  </si>
  <si>
    <t>Chocolate</t>
  </si>
  <si>
    <t>Cake</t>
  </si>
  <si>
    <t>Confectionary Sales Value ( MTL)</t>
  </si>
  <si>
    <t>Market growth (Volume)</t>
  </si>
  <si>
    <t>Total Confectionary</t>
  </si>
  <si>
    <t>Market growth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</si>
</sst>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.00_ ;_ * \-#,##0.00_ ;_ * &quot;-&quot;??_ ;_ @_ "/>
    <numFmt numFmtId="165" formatCode="mmm\ yyyy"/>
    <numFmt numFmtId="166" formatCode="#,##0.0_);\(#,##0.0\)"/>
    <numFmt numFmtId="167" formatCode="0.0%"/>
    <numFmt numFmtId="168" formatCode="_(* #,##0.0_);_(* \(#,##0.0\);_(* &quot;-&quot;??_);_(@_)"/>
    <numFmt numFmtId="169" formatCode="_(* #,##0_);_(* \(#,##0\);_(* &quot;-&quot;??_);_(@_)"/>
    <numFmt numFmtId="170" formatCode="#0.0\x"/>
    <numFmt numFmtId="171" formatCode="#0.00\x"/>
    <numFmt numFmtId="172" formatCode="#0.0%_);\(#0.0%\)"/>
    <numFmt numFmtId="173" formatCode="0.0\x"/>
    <numFmt numFmtId="174" formatCode="#,##0.000_);\(#,##0.000\)"/>
    <numFmt numFmtId="175" formatCode="0.0"/>
    <numFmt numFmtId="176" formatCode="_(* #,##0.000_);_(* \(#,##0.000\);_(* &quot;-&quot;??_);_(@_)"/>
    <numFmt numFmtId="177" formatCode="#,##0.0"/>
    <numFmt numFmtId="178" formatCode="#,##0.000"/>
    <numFmt numFmtId="179" formatCode="_(* #,##0.0_);_(* \(#,##0.0\);_(* &quot;-&quot;?_);_(@_)"/>
    <numFmt numFmtId="180" formatCode="0.000%"/>
    <numFmt numFmtId="181" formatCode="0.00000000000000"/>
    <numFmt numFmtId="182" formatCode="0.000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12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i/>
      <sz val="10"/>
      <color theme="9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indexed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</cellStyleXfs>
  <cellXfs count="39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65" fontId="4" fillId="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/>
    <xf numFmtId="43" fontId="5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6" fillId="0" borderId="0" xfId="0" applyFont="1"/>
    <xf numFmtId="0" fontId="4" fillId="2" borderId="2" xfId="0" applyFont="1" applyFill="1" applyBorder="1"/>
    <xf numFmtId="0" fontId="6" fillId="2" borderId="2" xfId="0" applyFont="1" applyFill="1" applyBorder="1"/>
    <xf numFmtId="0" fontId="6" fillId="2" borderId="0" xfId="0" applyFont="1" applyFill="1"/>
    <xf numFmtId="166" fontId="5" fillId="0" borderId="0" xfId="0" applyNumberFormat="1" applyFont="1"/>
    <xf numFmtId="166" fontId="4" fillId="0" borderId="0" xfId="0" applyNumberFormat="1" applyFont="1"/>
    <xf numFmtId="0" fontId="7" fillId="0" borderId="0" xfId="0" applyFont="1"/>
    <xf numFmtId="0" fontId="7" fillId="3" borderId="0" xfId="0" applyFont="1" applyFill="1" applyAlignment="1">
      <alignment horizontal="left" indent="1"/>
    </xf>
    <xf numFmtId="167" fontId="8" fillId="3" borderId="0" xfId="2" applyNumberFormat="1" applyFont="1" applyFill="1"/>
    <xf numFmtId="167" fontId="7" fillId="3" borderId="0" xfId="2" applyNumberFormat="1" applyFont="1" applyFill="1"/>
    <xf numFmtId="167" fontId="8" fillId="3" borderId="0" xfId="2" applyNumberFormat="1" applyFont="1" applyFill="1" applyBorder="1"/>
    <xf numFmtId="166" fontId="9" fillId="0" borderId="0" xfId="0" applyNumberFormat="1" applyFont="1"/>
    <xf numFmtId="166" fontId="6" fillId="0" borderId="0" xfId="0" applyNumberFormat="1" applyFont="1"/>
    <xf numFmtId="167" fontId="7" fillId="3" borderId="0" xfId="2" applyNumberFormat="1" applyFont="1" applyFill="1" applyBorder="1"/>
    <xf numFmtId="0" fontId="6" fillId="0" borderId="0" xfId="0" applyFont="1" applyAlignment="1">
      <alignment horizontal="left"/>
    </xf>
    <xf numFmtId="37" fontId="6" fillId="0" borderId="0" xfId="0" applyNumberFormat="1" applyFont="1"/>
    <xf numFmtId="166" fontId="6" fillId="4" borderId="0" xfId="0" applyNumberFormat="1" applyFont="1" applyFill="1"/>
    <xf numFmtId="167" fontId="6" fillId="0" borderId="0" xfId="2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center"/>
    </xf>
    <xf numFmtId="9" fontId="6" fillId="0" borderId="0" xfId="2" applyFont="1"/>
    <xf numFmtId="166" fontId="12" fillId="0" borderId="0" xfId="0" applyNumberFormat="1" applyFont="1"/>
    <xf numFmtId="0" fontId="4" fillId="0" borderId="0" xfId="0" applyFont="1" applyAlignment="1">
      <alignment horizontal="left"/>
    </xf>
    <xf numFmtId="0" fontId="14" fillId="0" borderId="0" xfId="0" applyFont="1"/>
    <xf numFmtId="168" fontId="6" fillId="0" borderId="0" xfId="1" applyNumberFormat="1" applyFont="1" applyFill="1"/>
    <xf numFmtId="168" fontId="11" fillId="0" borderId="0" xfId="1" applyNumberFormat="1" applyFont="1" applyFill="1" applyBorder="1"/>
    <xf numFmtId="169" fontId="6" fillId="0" borderId="0" xfId="1" applyNumberFormat="1" applyFont="1" applyFill="1"/>
    <xf numFmtId="9" fontId="6" fillId="0" borderId="0" xfId="2" applyFont="1" applyFill="1"/>
    <xf numFmtId="9" fontId="6" fillId="0" borderId="0" xfId="2" applyFont="1" applyFill="1" applyBorder="1"/>
    <xf numFmtId="166" fontId="9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7" fillId="3" borderId="0" xfId="0" applyFont="1" applyFill="1" applyAlignment="1">
      <alignment horizontal="left"/>
    </xf>
    <xf numFmtId="167" fontId="8" fillId="0" borderId="0" xfId="2" applyNumberFormat="1" applyFont="1" applyFill="1"/>
    <xf numFmtId="167" fontId="8" fillId="0" borderId="0" xfId="2" applyNumberFormat="1" applyFont="1" applyFill="1" applyBorder="1"/>
    <xf numFmtId="166" fontId="11" fillId="0" borderId="0" xfId="0" applyNumberFormat="1" applyFont="1"/>
    <xf numFmtId="37" fontId="11" fillId="0" borderId="0" xfId="2" applyNumberFormat="1" applyFont="1" applyFill="1"/>
    <xf numFmtId="37" fontId="9" fillId="0" borderId="0" xfId="2" applyNumberFormat="1" applyFont="1" applyFill="1"/>
    <xf numFmtId="37" fontId="6" fillId="0" borderId="0" xfId="2" applyNumberFormat="1" applyFont="1" applyFill="1" applyBorder="1"/>
    <xf numFmtId="37" fontId="9" fillId="0" borderId="0" xfId="2" applyNumberFormat="1" applyFont="1" applyFill="1" applyBorder="1"/>
    <xf numFmtId="166" fontId="4" fillId="0" borderId="0" xfId="0" applyNumberFormat="1" applyFont="1" applyAlignment="1">
      <alignment horizontal="right"/>
    </xf>
    <xf numFmtId="170" fontId="4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0" fontId="4" fillId="0" borderId="2" xfId="0" applyFont="1" applyBorder="1"/>
    <xf numFmtId="172" fontId="4" fillId="0" borderId="2" xfId="0" applyNumberFormat="1" applyFont="1" applyBorder="1" applyAlignment="1">
      <alignment horizontal="right"/>
    </xf>
    <xf numFmtId="172" fontId="4" fillId="0" borderId="0" xfId="0" applyNumberFormat="1" applyFont="1"/>
    <xf numFmtId="167" fontId="6" fillId="0" borderId="0" xfId="2" applyNumberFormat="1" applyFont="1" applyFill="1" applyBorder="1"/>
    <xf numFmtId="173" fontId="6" fillId="0" borderId="0" xfId="0" applyNumberFormat="1" applyFont="1" applyAlignment="1">
      <alignment horizontal="right"/>
    </xf>
    <xf numFmtId="165" fontId="4" fillId="2" borderId="2" xfId="0" applyNumberFormat="1" applyFont="1" applyFill="1" applyBorder="1" applyAlignment="1">
      <alignment horizontal="centerContinuous"/>
    </xf>
    <xf numFmtId="0" fontId="7" fillId="3" borderId="0" xfId="0" applyFont="1" applyFill="1"/>
    <xf numFmtId="167" fontId="7" fillId="3" borderId="0" xfId="2" applyNumberFormat="1" applyFont="1" applyFill="1" applyAlignment="1">
      <alignment horizontal="right"/>
    </xf>
    <xf numFmtId="37" fontId="6" fillId="0" borderId="0" xfId="0" applyNumberFormat="1" applyFont="1" applyAlignment="1">
      <alignment horizontal="right"/>
    </xf>
    <xf numFmtId="0" fontId="4" fillId="0" borderId="3" xfId="0" applyFont="1" applyBorder="1"/>
    <xf numFmtId="166" fontId="4" fillId="0" borderId="3" xfId="0" applyNumberFormat="1" applyFont="1" applyBorder="1"/>
    <xf numFmtId="168" fontId="4" fillId="0" borderId="0" xfId="1" applyNumberFormat="1" applyFont="1" applyFill="1"/>
    <xf numFmtId="168" fontId="4" fillId="0" borderId="3" xfId="1" applyNumberFormat="1" applyFont="1" applyFill="1" applyBorder="1" applyAlignment="1">
      <alignment horizontal="right"/>
    </xf>
    <xf numFmtId="168" fontId="6" fillId="0" borderId="0" xfId="1" applyNumberFormat="1" applyFont="1"/>
    <xf numFmtId="168" fontId="6" fillId="0" borderId="0" xfId="1" applyNumberFormat="1" applyFont="1" applyFill="1" applyBorder="1" applyAlignment="1">
      <alignment horizontal="right"/>
    </xf>
    <xf numFmtId="168" fontId="4" fillId="0" borderId="0" xfId="1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73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9" fontId="7" fillId="3" borderId="0" xfId="2" applyFont="1" applyFill="1" applyAlignment="1">
      <alignment horizontal="right"/>
    </xf>
    <xf numFmtId="0" fontId="10" fillId="0" borderId="0" xfId="0" applyFont="1"/>
    <xf numFmtId="166" fontId="10" fillId="0" borderId="0" xfId="0" applyNumberFormat="1" applyFont="1"/>
    <xf numFmtId="0" fontId="4" fillId="0" borderId="0" xfId="3" applyFont="1"/>
    <xf numFmtId="0" fontId="4" fillId="0" borderId="0" xfId="3" applyFont="1" applyAlignment="1">
      <alignment wrapText="1"/>
    </xf>
    <xf numFmtId="0" fontId="11" fillId="0" borderId="0" xfId="3" applyFont="1"/>
    <xf numFmtId="0" fontId="6" fillId="0" borderId="0" xfId="3" applyFont="1"/>
    <xf numFmtId="0" fontId="4" fillId="0" borderId="5" xfId="3" applyFont="1" applyBorder="1" applyAlignment="1">
      <alignment horizontal="left" wrapText="1"/>
    </xf>
    <xf numFmtId="0" fontId="4" fillId="0" borderId="6" xfId="3" applyFont="1" applyBorder="1" applyAlignment="1">
      <alignment horizontal="right" wrapText="1"/>
    </xf>
    <xf numFmtId="0" fontId="6" fillId="0" borderId="7" xfId="3" applyFont="1" applyBorder="1" applyAlignment="1">
      <alignment horizontal="left" wrapText="1"/>
    </xf>
    <xf numFmtId="175" fontId="6" fillId="0" borderId="8" xfId="1" applyNumberFormat="1" applyFont="1" applyFill="1" applyBorder="1" applyAlignment="1">
      <alignment horizontal="right" wrapText="1"/>
    </xf>
    <xf numFmtId="0" fontId="4" fillId="0" borderId="9" xfId="3" applyFont="1" applyBorder="1"/>
    <xf numFmtId="175" fontId="4" fillId="0" borderId="10" xfId="1" applyNumberFormat="1" applyFont="1" applyFill="1" applyBorder="1" applyAlignment="1">
      <alignment horizontal="right" wrapText="1"/>
    </xf>
    <xf numFmtId="169" fontId="13" fillId="0" borderId="8" xfId="1" applyNumberFormat="1" applyFont="1" applyFill="1" applyBorder="1" applyAlignment="1">
      <alignment horizontal="left" wrapText="1"/>
    </xf>
    <xf numFmtId="175" fontId="4" fillId="0" borderId="0" xfId="1" applyNumberFormat="1" applyFont="1" applyFill="1" applyBorder="1" applyAlignment="1">
      <alignment horizontal="right" wrapText="1"/>
    </xf>
    <xf numFmtId="0" fontId="17" fillId="0" borderId="0" xfId="0" applyFont="1" applyAlignment="1">
      <alignment horizontal="center"/>
    </xf>
    <xf numFmtId="43" fontId="18" fillId="0" borderId="0" xfId="1" applyFont="1" applyFill="1" applyBorder="1" applyAlignment="1">
      <alignment horizontal="left"/>
    </xf>
    <xf numFmtId="43" fontId="16" fillId="0" borderId="0" xfId="1" applyFont="1" applyFill="1" applyBorder="1" applyAlignment="1">
      <alignment horizontal="left"/>
    </xf>
    <xf numFmtId="3" fontId="1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9" fontId="4" fillId="0" borderId="0" xfId="1" applyNumberFormat="1" applyFont="1" applyFill="1" applyBorder="1" applyAlignment="1">
      <alignment horizontal="left"/>
    </xf>
    <xf numFmtId="169" fontId="4" fillId="0" borderId="0" xfId="1" applyNumberFormat="1" applyFont="1" applyFill="1" applyBorder="1" applyAlignment="1">
      <alignment horizontal="center"/>
    </xf>
    <xf numFmtId="169" fontId="6" fillId="0" borderId="0" xfId="1" applyNumberFormat="1" applyFont="1" applyFill="1" applyBorder="1"/>
    <xf numFmtId="169" fontId="5" fillId="0" borderId="0" xfId="1" applyNumberFormat="1" applyFont="1" applyFill="1" applyBorder="1" applyAlignment="1">
      <alignment horizontal="center"/>
    </xf>
    <xf numFmtId="9" fontId="6" fillId="0" borderId="0" xfId="2" applyFont="1" applyFill="1" applyBorder="1" applyAlignment="1"/>
    <xf numFmtId="9" fontId="4" fillId="0" borderId="0" xfId="2" applyFont="1" applyFill="1" applyBorder="1" applyAlignment="1"/>
    <xf numFmtId="0" fontId="6" fillId="0" borderId="0" xfId="0" applyFont="1" applyAlignment="1">
      <alignment horizontal="left" indent="1"/>
    </xf>
    <xf numFmtId="177" fontId="13" fillId="0" borderId="0" xfId="0" applyNumberFormat="1" applyFont="1"/>
    <xf numFmtId="166" fontId="6" fillId="5" borderId="0" xfId="0" applyNumberFormat="1" applyFont="1" applyFill="1"/>
    <xf numFmtId="170" fontId="4" fillId="5" borderId="0" xfId="3" applyNumberFormat="1" applyFont="1" applyFill="1"/>
    <xf numFmtId="172" fontId="4" fillId="5" borderId="2" xfId="0" applyNumberFormat="1" applyFont="1" applyFill="1" applyBorder="1" applyAlignment="1">
      <alignment horizontal="right"/>
    </xf>
    <xf numFmtId="167" fontId="6" fillId="5" borderId="0" xfId="2" applyNumberFormat="1" applyFont="1" applyFill="1" applyBorder="1"/>
    <xf numFmtId="173" fontId="6" fillId="5" borderId="0" xfId="0" applyNumberFormat="1" applyFont="1" applyFill="1"/>
    <xf numFmtId="173" fontId="6" fillId="5" borderId="0" xfId="0" applyNumberFormat="1" applyFont="1" applyFill="1" applyAlignment="1">
      <alignment horizontal="right"/>
    </xf>
    <xf numFmtId="173" fontId="4" fillId="5" borderId="0" xfId="0" applyNumberFormat="1" applyFont="1" applyFill="1" applyAlignment="1">
      <alignment horizontal="right"/>
    </xf>
    <xf numFmtId="0" fontId="4" fillId="6" borderId="0" xfId="0" applyFont="1" applyFill="1"/>
    <xf numFmtId="17" fontId="4" fillId="0" borderId="4" xfId="3" applyNumberFormat="1" applyFont="1" applyBorder="1" applyAlignment="1">
      <alignment horizontal="left" vertical="center" wrapText="1"/>
    </xf>
    <xf numFmtId="17" fontId="4" fillId="0" borderId="4" xfId="3" applyNumberFormat="1" applyFont="1" applyBorder="1" applyAlignment="1">
      <alignment horizontal="center" vertical="center" wrapText="1"/>
    </xf>
    <xf numFmtId="0" fontId="4" fillId="0" borderId="4" xfId="3" applyFont="1" applyBorder="1" applyAlignment="1">
      <alignment horizontal="right" wrapText="1"/>
    </xf>
    <xf numFmtId="0" fontId="6" fillId="0" borderId="0" xfId="3" applyFont="1" applyAlignment="1">
      <alignment horizontal="left" wrapText="1"/>
    </xf>
    <xf numFmtId="168" fontId="13" fillId="0" borderId="0" xfId="1" applyNumberFormat="1" applyFont="1" applyFill="1" applyBorder="1" applyAlignment="1">
      <alignment horizontal="center" wrapText="1"/>
    </xf>
    <xf numFmtId="168" fontId="6" fillId="0" borderId="0" xfId="1" applyNumberFormat="1" applyFont="1" applyFill="1" applyBorder="1" applyAlignment="1">
      <alignment horizontal="center" wrapText="1"/>
    </xf>
    <xf numFmtId="0" fontId="6" fillId="0" borderId="0" xfId="3" applyFont="1" applyAlignment="1">
      <alignment horizontal="right" wrapText="1"/>
    </xf>
    <xf numFmtId="169" fontId="6" fillId="0" borderId="0" xfId="3" applyNumberFormat="1" applyFont="1" applyAlignment="1">
      <alignment horizontal="right" wrapText="1"/>
    </xf>
    <xf numFmtId="0" fontId="4" fillId="0" borderId="4" xfId="3" applyFont="1" applyBorder="1"/>
    <xf numFmtId="168" fontId="4" fillId="0" borderId="4" xfId="1" applyNumberFormat="1" applyFont="1" applyFill="1" applyBorder="1"/>
    <xf numFmtId="173" fontId="4" fillId="0" borderId="4" xfId="3" applyNumberFormat="1" applyFont="1" applyBorder="1"/>
    <xf numFmtId="173" fontId="6" fillId="0" borderId="0" xfId="3" applyNumberFormat="1" applyFont="1"/>
    <xf numFmtId="168" fontId="4" fillId="0" borderId="0" xfId="1" applyNumberFormat="1" applyFont="1" applyFill="1" applyBorder="1"/>
    <xf numFmtId="173" fontId="4" fillId="0" borderId="0" xfId="3" applyNumberFormat="1" applyFont="1"/>
    <xf numFmtId="169" fontId="4" fillId="0" borderId="0" xfId="1" applyNumberFormat="1" applyFont="1" applyFill="1" applyBorder="1"/>
    <xf numFmtId="0" fontId="4" fillId="0" borderId="0" xfId="3" applyFont="1" applyAlignment="1">
      <alignment horizontal="right" wrapText="1"/>
    </xf>
    <xf numFmtId="0" fontId="4" fillId="0" borderId="0" xfId="3" applyFont="1" applyAlignment="1">
      <alignment horizontal="left" wrapText="1"/>
    </xf>
    <xf numFmtId="168" fontId="4" fillId="0" borderId="0" xfId="3" applyNumberFormat="1" applyFont="1" applyAlignment="1">
      <alignment horizontal="center" vertical="center" wrapText="1"/>
    </xf>
    <xf numFmtId="3" fontId="0" fillId="0" borderId="0" xfId="0" applyNumberFormat="1"/>
    <xf numFmtId="0" fontId="19" fillId="0" borderId="0" xfId="0" applyFont="1"/>
    <xf numFmtId="9" fontId="6" fillId="0" borderId="8" xfId="2" applyFont="1" applyFill="1" applyBorder="1" applyAlignment="1">
      <alignment horizontal="right" wrapText="1"/>
    </xf>
    <xf numFmtId="9" fontId="4" fillId="0" borderId="10" xfId="2" applyFont="1" applyFill="1" applyBorder="1" applyAlignment="1">
      <alignment horizontal="right" wrapText="1"/>
    </xf>
    <xf numFmtId="43" fontId="11" fillId="0" borderId="0" xfId="0" applyNumberFormat="1" applyFont="1"/>
    <xf numFmtId="0" fontId="4" fillId="0" borderId="6" xfId="3" applyFont="1" applyBorder="1" applyAlignment="1">
      <alignment horizontal="center" wrapText="1"/>
    </xf>
    <xf numFmtId="0" fontId="6" fillId="0" borderId="7" xfId="3" applyFont="1" applyBorder="1" applyAlignment="1">
      <alignment horizontal="left"/>
    </xf>
    <xf numFmtId="37" fontId="6" fillId="0" borderId="8" xfId="3" applyNumberFormat="1" applyFont="1" applyBorder="1"/>
    <xf numFmtId="0" fontId="4" fillId="0" borderId="11" xfId="3" applyFont="1" applyBorder="1" applyAlignment="1">
      <alignment horizontal="left"/>
    </xf>
    <xf numFmtId="37" fontId="4" fillId="0" borderId="12" xfId="3" applyNumberFormat="1" applyFont="1" applyBorder="1"/>
    <xf numFmtId="0" fontId="4" fillId="0" borderId="5" xfId="3" applyFont="1" applyBorder="1" applyAlignment="1">
      <alignment horizontal="center" wrapText="1"/>
    </xf>
    <xf numFmtId="37" fontId="13" fillId="0" borderId="7" xfId="3" applyNumberFormat="1" applyFont="1" applyBorder="1"/>
    <xf numFmtId="37" fontId="4" fillId="0" borderId="11" xfId="3" applyNumberFormat="1" applyFont="1" applyBorder="1"/>
    <xf numFmtId="10" fontId="13" fillId="0" borderId="0" xfId="2" applyNumberFormat="1" applyFont="1" applyFill="1"/>
    <xf numFmtId="169" fontId="4" fillId="0" borderId="0" xfId="0" applyNumberFormat="1" applyFont="1" applyAlignment="1">
      <alignment horizontal="left"/>
    </xf>
    <xf numFmtId="0" fontId="4" fillId="0" borderId="4" xfId="3" applyFont="1" applyBorder="1" applyAlignment="1">
      <alignment horizontal="right" vertical="center" wrapText="1"/>
    </xf>
    <xf numFmtId="0" fontId="6" fillId="0" borderId="7" xfId="3" applyFont="1" applyBorder="1" applyAlignment="1">
      <alignment horizontal="left" wrapText="1" indent="1"/>
    </xf>
    <xf numFmtId="0" fontId="4" fillId="0" borderId="7" xfId="3" applyFont="1" applyBorder="1" applyAlignment="1">
      <alignment horizontal="left" wrapText="1"/>
    </xf>
    <xf numFmtId="169" fontId="4" fillId="0" borderId="8" xfId="1" applyNumberFormat="1" applyFont="1" applyFill="1" applyBorder="1" applyAlignment="1">
      <alignment horizontal="left" wrapText="1"/>
    </xf>
    <xf numFmtId="175" fontId="13" fillId="0" borderId="0" xfId="0" applyNumberFormat="1" applyFont="1"/>
    <xf numFmtId="175" fontId="4" fillId="0" borderId="0" xfId="0" applyNumberFormat="1" applyFont="1"/>
    <xf numFmtId="170" fontId="6" fillId="5" borderId="0" xfId="3" applyNumberFormat="1" applyFont="1" applyFill="1"/>
    <xf numFmtId="0" fontId="4" fillId="0" borderId="13" xfId="3" applyFont="1" applyBorder="1" applyAlignment="1">
      <alignment horizontal="center" wrapText="1"/>
    </xf>
    <xf numFmtId="37" fontId="13" fillId="0" borderId="14" xfId="3" applyNumberFormat="1" applyFont="1" applyBorder="1"/>
    <xf numFmtId="37" fontId="4" fillId="0" borderId="15" xfId="3" applyNumberFormat="1" applyFont="1" applyBorder="1"/>
    <xf numFmtId="0" fontId="4" fillId="0" borderId="13" xfId="3" applyFont="1" applyBorder="1" applyAlignment="1">
      <alignment horizontal="right" wrapText="1"/>
    </xf>
    <xf numFmtId="169" fontId="4" fillId="0" borderId="14" xfId="1" applyNumberFormat="1" applyFont="1" applyFill="1" applyBorder="1" applyAlignment="1">
      <alignment horizontal="left" wrapText="1"/>
    </xf>
    <xf numFmtId="169" fontId="13" fillId="0" borderId="14" xfId="1" applyNumberFormat="1" applyFont="1" applyFill="1" applyBorder="1" applyAlignment="1">
      <alignment horizontal="left" wrapText="1"/>
    </xf>
    <xf numFmtId="175" fontId="4" fillId="0" borderId="16" xfId="1" applyNumberFormat="1" applyFont="1" applyFill="1" applyBorder="1" applyAlignment="1">
      <alignment horizontal="right" wrapText="1"/>
    </xf>
    <xf numFmtId="167" fontId="6" fillId="0" borderId="8" xfId="2" applyNumberFormat="1" applyFont="1" applyFill="1" applyBorder="1" applyAlignment="1">
      <alignment horizontal="right" wrapText="1"/>
    </xf>
    <xf numFmtId="166" fontId="18" fillId="0" borderId="0" xfId="0" applyNumberFormat="1" applyFont="1"/>
    <xf numFmtId="175" fontId="18" fillId="0" borderId="0" xfId="0" applyNumberFormat="1" applyFont="1"/>
    <xf numFmtId="0" fontId="16" fillId="0" borderId="0" xfId="0" applyFont="1"/>
    <xf numFmtId="175" fontId="16" fillId="0" borderId="0" xfId="0" applyNumberFormat="1" applyFont="1"/>
    <xf numFmtId="166" fontId="18" fillId="0" borderId="2" xfId="0" applyNumberFormat="1" applyFont="1" applyBorder="1"/>
    <xf numFmtId="175" fontId="16" fillId="0" borderId="4" xfId="0" applyNumberFormat="1" applyFont="1" applyBorder="1"/>
    <xf numFmtId="166" fontId="18" fillId="0" borderId="4" xfId="0" applyNumberFormat="1" applyFont="1" applyBorder="1"/>
    <xf numFmtId="43" fontId="18" fillId="0" borderId="8" xfId="0" applyNumberFormat="1" applyFont="1" applyBorder="1"/>
    <xf numFmtId="43" fontId="16" fillId="0" borderId="8" xfId="0" applyNumberFormat="1" applyFont="1" applyBorder="1"/>
    <xf numFmtId="169" fontId="18" fillId="0" borderId="14" xfId="0" applyNumberFormat="1" applyFont="1" applyBorder="1"/>
    <xf numFmtId="169" fontId="13" fillId="0" borderId="14" xfId="0" applyNumberFormat="1" applyFont="1" applyBorder="1"/>
    <xf numFmtId="169" fontId="18" fillId="0" borderId="16" xfId="0" applyNumberFormat="1" applyFont="1" applyBorder="1"/>
    <xf numFmtId="169" fontId="18" fillId="0" borderId="10" xfId="0" applyNumberFormat="1" applyFont="1" applyBorder="1"/>
    <xf numFmtId="175" fontId="13" fillId="0" borderId="14" xfId="0" applyNumberFormat="1" applyFont="1" applyBorder="1"/>
    <xf numFmtId="0" fontId="4" fillId="0" borderId="13" xfId="3" applyFont="1" applyBorder="1" applyAlignment="1">
      <alignment horizontal="left" wrapText="1"/>
    </xf>
    <xf numFmtId="0" fontId="6" fillId="0" borderId="14" xfId="3" applyFont="1" applyBorder="1" applyAlignment="1">
      <alignment horizontal="left"/>
    </xf>
    <xf numFmtId="0" fontId="6" fillId="0" borderId="14" xfId="3" applyFont="1" applyBorder="1" applyAlignment="1">
      <alignment horizontal="left" wrapText="1"/>
    </xf>
    <xf numFmtId="0" fontId="4" fillId="0" borderId="15" xfId="3" applyFont="1" applyBorder="1" applyAlignment="1">
      <alignment horizontal="left"/>
    </xf>
    <xf numFmtId="0" fontId="4" fillId="0" borderId="9" xfId="3" applyFont="1" applyBorder="1" applyAlignment="1">
      <alignment horizontal="left"/>
    </xf>
    <xf numFmtId="0" fontId="13" fillId="0" borderId="14" xfId="0" applyFont="1" applyBorder="1"/>
    <xf numFmtId="1" fontId="13" fillId="0" borderId="14" xfId="0" applyNumberFormat="1" applyFont="1" applyBorder="1"/>
    <xf numFmtId="1" fontId="13" fillId="0" borderId="14" xfId="0" applyNumberFormat="1" applyFont="1" applyBorder="1" applyAlignment="1">
      <alignment horizontal="center" vertical="center"/>
    </xf>
    <xf numFmtId="2" fontId="16" fillId="0" borderId="8" xfId="0" applyNumberFormat="1" applyFont="1" applyBorder="1"/>
    <xf numFmtId="175" fontId="16" fillId="0" borderId="8" xfId="0" applyNumberFormat="1" applyFont="1" applyBorder="1"/>
    <xf numFmtId="175" fontId="18" fillId="0" borderId="16" xfId="0" applyNumberFormat="1" applyFont="1" applyBorder="1"/>
    <xf numFmtId="175" fontId="18" fillId="0" borderId="10" xfId="0" applyNumberFormat="1" applyFont="1" applyBorder="1"/>
    <xf numFmtId="1" fontId="18" fillId="0" borderId="15" xfId="0" applyNumberFormat="1" applyFont="1" applyBorder="1"/>
    <xf numFmtId="1" fontId="18" fillId="0" borderId="12" xfId="0" applyNumberFormat="1" applyFont="1" applyBorder="1"/>
    <xf numFmtId="0" fontId="18" fillId="0" borderId="16" xfId="0" applyFont="1" applyBorder="1"/>
    <xf numFmtId="2" fontId="18" fillId="0" borderId="10" xfId="0" applyNumberFormat="1" applyFont="1" applyBorder="1"/>
    <xf numFmtId="167" fontId="7" fillId="0" borderId="0" xfId="2" applyNumberFormat="1" applyFont="1" applyFill="1" applyBorder="1"/>
    <xf numFmtId="167" fontId="7" fillId="0" borderId="0" xfId="2" applyNumberFormat="1" applyFont="1" applyFill="1" applyBorder="1" applyAlignment="1">
      <alignment horizontal="right"/>
    </xf>
    <xf numFmtId="168" fontId="6" fillId="0" borderId="0" xfId="1" applyNumberFormat="1" applyFont="1" applyFill="1" applyBorder="1"/>
    <xf numFmtId="9" fontId="7" fillId="0" borderId="0" xfId="2" applyFont="1" applyFill="1" applyBorder="1" applyAlignment="1">
      <alignment horizontal="right"/>
    </xf>
    <xf numFmtId="170" fontId="18" fillId="0" borderId="2" xfId="0" applyNumberFormat="1" applyFont="1" applyBorder="1"/>
    <xf numFmtId="170" fontId="16" fillId="0" borderId="4" xfId="0" applyNumberFormat="1" applyFont="1" applyBorder="1"/>
    <xf numFmtId="170" fontId="18" fillId="0" borderId="4" xfId="0" applyNumberFormat="1" applyFont="1" applyBorder="1"/>
    <xf numFmtId="168" fontId="18" fillId="0" borderId="0" xfId="1" applyNumberFormat="1" applyFont="1"/>
    <xf numFmtId="168" fontId="13" fillId="0" borderId="14" xfId="1" applyNumberFormat="1" applyFont="1" applyBorder="1"/>
    <xf numFmtId="168" fontId="13" fillId="0" borderId="14" xfId="1" applyNumberFormat="1" applyFont="1" applyBorder="1" applyAlignment="1">
      <alignment horizontal="center" vertical="center"/>
    </xf>
    <xf numFmtId="168" fontId="18" fillId="0" borderId="15" xfId="1" applyNumberFormat="1" applyFont="1" applyBorder="1"/>
    <xf numFmtId="168" fontId="16" fillId="0" borderId="8" xfId="1" applyNumberFormat="1" applyFont="1" applyBorder="1"/>
    <xf numFmtId="168" fontId="18" fillId="0" borderId="12" xfId="1" applyNumberFormat="1" applyFont="1" applyBorder="1"/>
    <xf numFmtId="168" fontId="18" fillId="0" borderId="16" xfId="1" applyNumberFormat="1" applyFont="1" applyBorder="1"/>
    <xf numFmtId="168" fontId="18" fillId="0" borderId="10" xfId="1" applyNumberFormat="1" applyFont="1" applyBorder="1"/>
    <xf numFmtId="168" fontId="18" fillId="0" borderId="8" xfId="1" applyNumberFormat="1" applyFont="1" applyBorder="1"/>
    <xf numFmtId="168" fontId="13" fillId="0" borderId="14" xfId="1" applyNumberFormat="1" applyFont="1" applyFill="1" applyBorder="1" applyAlignment="1">
      <alignment horizontal="left" wrapText="1"/>
    </xf>
    <xf numFmtId="168" fontId="18" fillId="0" borderId="14" xfId="1" applyNumberFormat="1" applyFont="1" applyBorder="1"/>
    <xf numFmtId="168" fontId="9" fillId="0" borderId="0" xfId="1" applyNumberFormat="1" applyFont="1" applyFill="1"/>
    <xf numFmtId="168" fontId="16" fillId="0" borderId="0" xfId="1" applyNumberFormat="1" applyFont="1"/>
    <xf numFmtId="168" fontId="18" fillId="0" borderId="2" xfId="1" applyNumberFormat="1" applyFont="1" applyBorder="1"/>
    <xf numFmtId="168" fontId="16" fillId="0" borderId="4" xfId="1" applyNumberFormat="1" applyFont="1" applyBorder="1"/>
    <xf numFmtId="168" fontId="18" fillId="0" borderId="4" xfId="1" applyNumberFormat="1" applyFont="1" applyBorder="1"/>
    <xf numFmtId="37" fontId="16" fillId="0" borderId="0" xfId="0" applyNumberFormat="1" applyFont="1"/>
    <xf numFmtId="177" fontId="6" fillId="0" borderId="0" xfId="0" applyNumberFormat="1" applyFont="1" applyAlignment="1">
      <alignment horizontal="right"/>
    </xf>
    <xf numFmtId="166" fontId="9" fillId="0" borderId="14" xfId="0" applyNumberFormat="1" applyFont="1" applyBorder="1"/>
    <xf numFmtId="165" fontId="22" fillId="2" borderId="0" xfId="0" applyNumberFormat="1" applyFont="1" applyFill="1" applyAlignment="1">
      <alignment horizontal="center"/>
    </xf>
    <xf numFmtId="167" fontId="6" fillId="0" borderId="0" xfId="2" applyNumberFormat="1" applyFont="1"/>
    <xf numFmtId="166" fontId="9" fillId="0" borderId="0" xfId="0" applyNumberFormat="1" applyFont="1" applyAlignment="1">
      <alignment wrapText="1"/>
    </xf>
    <xf numFmtId="168" fontId="13" fillId="0" borderId="14" xfId="1" applyNumberFormat="1" applyFont="1" applyFill="1" applyBorder="1"/>
    <xf numFmtId="177" fontId="13" fillId="3" borderId="0" xfId="0" applyNumberFormat="1" applyFont="1" applyFill="1"/>
    <xf numFmtId="0" fontId="4" fillId="3" borderId="0" xfId="0" applyFont="1" applyFill="1"/>
    <xf numFmtId="175" fontId="4" fillId="3" borderId="0" xfId="0" applyNumberFormat="1" applyFont="1" applyFill="1"/>
    <xf numFmtId="169" fontId="6" fillId="0" borderId="0" xfId="0" applyNumberFormat="1" applyFont="1"/>
    <xf numFmtId="171" fontId="18" fillId="0" borderId="8" xfId="0" applyNumberFormat="1" applyFont="1" applyBorder="1"/>
    <xf numFmtId="171" fontId="17" fillId="0" borderId="20" xfId="0" applyNumberFormat="1" applyFont="1" applyBorder="1"/>
    <xf numFmtId="175" fontId="6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37" fontId="4" fillId="0" borderId="0" xfId="0" applyNumberFormat="1" applyFont="1"/>
    <xf numFmtId="166" fontId="0" fillId="0" borderId="0" xfId="0" applyNumberFormat="1"/>
    <xf numFmtId="37" fontId="9" fillId="0" borderId="0" xfId="0" applyNumberFormat="1" applyFont="1"/>
    <xf numFmtId="168" fontId="9" fillId="0" borderId="23" xfId="1" applyNumberFormat="1" applyFont="1" applyFill="1" applyBorder="1"/>
    <xf numFmtId="4" fontId="18" fillId="0" borderId="24" xfId="0" applyNumberFormat="1" applyFont="1" applyBorder="1"/>
    <xf numFmtId="168" fontId="9" fillId="7" borderId="23" xfId="1" applyNumberFormat="1" applyFont="1" applyFill="1" applyBorder="1"/>
    <xf numFmtId="2" fontId="6" fillId="0" borderId="0" xfId="0" applyNumberFormat="1" applyFont="1"/>
    <xf numFmtId="181" fontId="6" fillId="0" borderId="0" xfId="0" applyNumberFormat="1" applyFont="1"/>
    <xf numFmtId="37" fontId="11" fillId="0" borderId="0" xfId="2" applyNumberFormat="1" applyFont="1" applyFill="1" applyBorder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Continuous"/>
    </xf>
    <xf numFmtId="39" fontId="13" fillId="0" borderId="0" xfId="0" applyNumberFormat="1" applyFont="1" applyAlignment="1">
      <alignment horizontal="right"/>
    </xf>
    <xf numFmtId="39" fontId="6" fillId="0" borderId="0" xfId="0" applyNumberFormat="1" applyFont="1" applyAlignment="1">
      <alignment horizontal="right"/>
    </xf>
    <xf numFmtId="167" fontId="13" fillId="0" borderId="0" xfId="2" applyNumberFormat="1" applyFont="1" applyFill="1"/>
    <xf numFmtId="167" fontId="13" fillId="3" borderId="0" xfId="2" applyNumberFormat="1" applyFont="1" applyFill="1"/>
    <xf numFmtId="167" fontId="6" fillId="0" borderId="0" xfId="2" applyNumberFormat="1" applyFont="1" applyFill="1"/>
    <xf numFmtId="167" fontId="6" fillId="0" borderId="0" xfId="0" applyNumberFormat="1" applyFont="1"/>
    <xf numFmtId="167" fontId="13" fillId="0" borderId="0" xfId="0" applyNumberFormat="1" applyFont="1"/>
    <xf numFmtId="167" fontId="6" fillId="3" borderId="0" xfId="0" applyNumberFormat="1" applyFont="1" applyFill="1"/>
    <xf numFmtId="0" fontId="18" fillId="0" borderId="0" xfId="0" applyFont="1"/>
    <xf numFmtId="174" fontId="18" fillId="0" borderId="0" xfId="0" applyNumberFormat="1" applyFont="1"/>
    <xf numFmtId="0" fontId="18" fillId="0" borderId="5" xfId="0" applyFont="1" applyBorder="1"/>
    <xf numFmtId="0" fontId="18" fillId="0" borderId="6" xfId="0" applyFont="1" applyBorder="1" applyAlignment="1">
      <alignment horizontal="center"/>
    </xf>
    <xf numFmtId="0" fontId="16" fillId="0" borderId="18" xfId="0" applyFont="1" applyBorder="1"/>
    <xf numFmtId="168" fontId="13" fillId="0" borderId="17" xfId="1" applyNumberFormat="1" applyFont="1" applyBorder="1" applyAlignment="1">
      <alignment horizontal="center"/>
    </xf>
    <xf numFmtId="0" fontId="16" fillId="0" borderId="7" xfId="0" applyFont="1" applyBorder="1"/>
    <xf numFmtId="0" fontId="16" fillId="0" borderId="19" xfId="0" applyFont="1" applyBorder="1"/>
    <xf numFmtId="0" fontId="18" fillId="0" borderId="21" xfId="0" applyFont="1" applyBorder="1"/>
    <xf numFmtId="43" fontId="16" fillId="0" borderId="24" xfId="0" applyNumberFormat="1" applyFont="1" applyBorder="1"/>
    <xf numFmtId="0" fontId="16" fillId="0" borderId="22" xfId="0" applyFont="1" applyBorder="1"/>
    <xf numFmtId="43" fontId="16" fillId="0" borderId="0" xfId="0" applyNumberFormat="1" applyFont="1"/>
    <xf numFmtId="0" fontId="16" fillId="0" borderId="21" xfId="0" applyFont="1" applyBorder="1"/>
    <xf numFmtId="0" fontId="10" fillId="0" borderId="0" xfId="3" applyFont="1"/>
    <xf numFmtId="168" fontId="16" fillId="0" borderId="0" xfId="0" applyNumberFormat="1" applyFont="1"/>
    <xf numFmtId="180" fontId="16" fillId="0" borderId="8" xfId="2" applyNumberFormat="1" applyFont="1" applyBorder="1"/>
    <xf numFmtId="10" fontId="16" fillId="0" borderId="10" xfId="2" applyNumberFormat="1" applyFont="1" applyBorder="1"/>
    <xf numFmtId="3" fontId="16" fillId="0" borderId="0" xfId="0" applyNumberFormat="1" applyFont="1"/>
    <xf numFmtId="179" fontId="16" fillId="0" borderId="0" xfId="0" applyNumberFormat="1" applyFont="1"/>
    <xf numFmtId="175" fontId="23" fillId="0" borderId="0" xfId="0" applyNumberFormat="1" applyFont="1"/>
    <xf numFmtId="166" fontId="23" fillId="0" borderId="0" xfId="0" applyNumberFormat="1" applyFont="1"/>
    <xf numFmtId="10" fontId="16" fillId="0" borderId="8" xfId="2" applyNumberFormat="1" applyFont="1" applyBorder="1"/>
    <xf numFmtId="9" fontId="16" fillId="0" borderId="10" xfId="2" applyFont="1" applyBorder="1"/>
    <xf numFmtId="0" fontId="16" fillId="0" borderId="11" xfId="0" applyFont="1" applyBorder="1"/>
    <xf numFmtId="0" fontId="13" fillId="0" borderId="12" xfId="0" applyFont="1" applyBorder="1" applyAlignment="1">
      <alignment horizontal="center"/>
    </xf>
    <xf numFmtId="164" fontId="16" fillId="0" borderId="0" xfId="0" applyNumberFormat="1" applyFont="1"/>
    <xf numFmtId="176" fontId="16" fillId="0" borderId="0" xfId="0" applyNumberFormat="1" applyFont="1"/>
    <xf numFmtId="169" fontId="10" fillId="0" borderId="0" xfId="1" applyNumberFormat="1" applyFont="1" applyFill="1"/>
    <xf numFmtId="175" fontId="10" fillId="0" borderId="0" xfId="3" applyNumberFormat="1" applyFont="1"/>
    <xf numFmtId="178" fontId="16" fillId="0" borderId="0" xfId="0" applyNumberFormat="1" applyFont="1"/>
    <xf numFmtId="17" fontId="4" fillId="2" borderId="4" xfId="3" applyNumberFormat="1" applyFont="1" applyFill="1" applyBorder="1" applyAlignment="1">
      <alignment horizontal="left" vertical="center" wrapText="1"/>
    </xf>
    <xf numFmtId="17" fontId="4" fillId="2" borderId="4" xfId="3" applyNumberFormat="1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wrapText="1"/>
    </xf>
    <xf numFmtId="43" fontId="9" fillId="0" borderId="0" xfId="1" applyFont="1" applyFill="1"/>
    <xf numFmtId="0" fontId="4" fillId="2" borderId="5" xfId="3" applyFont="1" applyFill="1" applyBorder="1" applyAlignment="1">
      <alignment horizontal="left" wrapText="1"/>
    </xf>
    <xf numFmtId="0" fontId="4" fillId="2" borderId="13" xfId="3" applyFont="1" applyFill="1" applyBorder="1" applyAlignment="1">
      <alignment horizontal="center" vertical="center" wrapText="1"/>
    </xf>
    <xf numFmtId="0" fontId="4" fillId="2" borderId="6" xfId="3" applyFont="1" applyFill="1" applyBorder="1" applyAlignment="1">
      <alignment horizontal="center" vertical="center" wrapText="1"/>
    </xf>
    <xf numFmtId="0" fontId="4" fillId="2" borderId="13" xfId="3" applyFont="1" applyFill="1" applyBorder="1" applyAlignment="1">
      <alignment horizontal="left" wrapText="1"/>
    </xf>
    <xf numFmtId="0" fontId="16" fillId="0" borderId="14" xfId="0" applyFont="1" applyBorder="1"/>
    <xf numFmtId="182" fontId="18" fillId="0" borderId="14" xfId="2" applyNumberFormat="1" applyFont="1" applyBorder="1"/>
    <xf numFmtId="182" fontId="18" fillId="0" borderId="16" xfId="2" applyNumberFormat="1" applyFont="1" applyBorder="1"/>
    <xf numFmtId="168" fontId="16" fillId="0" borderId="0" xfId="1" applyNumberFormat="1" applyFont="1" applyFill="1" applyBorder="1"/>
    <xf numFmtId="171" fontId="18" fillId="0" borderId="0" xfId="0" applyNumberFormat="1" applyFont="1"/>
    <xf numFmtId="171" fontId="17" fillId="0" borderId="0" xfId="0" applyNumberFormat="1" applyFont="1"/>
    <xf numFmtId="168" fontId="9" fillId="0" borderId="0" xfId="1" applyNumberFormat="1" applyFont="1" applyFill="1" applyBorder="1"/>
    <xf numFmtId="4" fontId="18" fillId="0" borderId="0" xfId="0" applyNumberFormat="1" applyFont="1"/>
    <xf numFmtId="0" fontId="18" fillId="2" borderId="5" xfId="0" applyFont="1" applyFill="1" applyBorder="1"/>
    <xf numFmtId="0" fontId="18" fillId="2" borderId="6" xfId="0" applyFont="1" applyFill="1" applyBorder="1" applyAlignment="1">
      <alignment horizontal="center"/>
    </xf>
    <xf numFmtId="177" fontId="6" fillId="0" borderId="0" xfId="0" applyNumberFormat="1" applyFont="1"/>
    <xf numFmtId="175" fontId="6" fillId="0" borderId="0" xfId="0" applyNumberFormat="1" applyFont="1"/>
    <xf numFmtId="1" fontId="4" fillId="0" borderId="0" xfId="0" applyNumberFormat="1" applyFont="1"/>
    <xf numFmtId="165" fontId="22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wrapText="1"/>
    </xf>
    <xf numFmtId="166" fontId="4" fillId="0" borderId="0" xfId="0" applyNumberFormat="1" applyFont="1" applyAlignment="1">
      <alignment wrapText="1"/>
    </xf>
    <xf numFmtId="3" fontId="6" fillId="0" borderId="0" xfId="0" applyNumberFormat="1" applyFont="1"/>
    <xf numFmtId="166" fontId="6" fillId="3" borderId="0" xfId="0" applyNumberFormat="1" applyFont="1" applyFill="1"/>
    <xf numFmtId="43" fontId="18" fillId="2" borderId="0" xfId="1" applyFont="1" applyFill="1" applyBorder="1" applyAlignment="1">
      <alignment horizontal="left"/>
    </xf>
    <xf numFmtId="43" fontId="5" fillId="2" borderId="0" xfId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175" fontId="13" fillId="0" borderId="12" xfId="0" applyNumberFormat="1" applyFont="1" applyBorder="1" applyAlignment="1">
      <alignment horizontal="center"/>
    </xf>
    <xf numFmtId="37" fontId="10" fillId="0" borderId="0" xfId="0" applyNumberFormat="1" applyFont="1"/>
    <xf numFmtId="166" fontId="6" fillId="8" borderId="0" xfId="0" applyNumberFormat="1" applyFont="1" applyFill="1"/>
    <xf numFmtId="166" fontId="9" fillId="8" borderId="0" xfId="0" applyNumberFormat="1" applyFont="1" applyFill="1"/>
    <xf numFmtId="37" fontId="6" fillId="8" borderId="0" xfId="0" applyNumberFormat="1" applyFont="1" applyFill="1"/>
    <xf numFmtId="166" fontId="14" fillId="0" borderId="0" xfId="0" applyNumberFormat="1" applyFont="1"/>
    <xf numFmtId="166" fontId="25" fillId="0" borderId="0" xfId="0" applyNumberFormat="1" applyFont="1"/>
    <xf numFmtId="3" fontId="25" fillId="0" borderId="0" xfId="0" applyNumberFormat="1" applyFont="1"/>
    <xf numFmtId="168" fontId="14" fillId="0" borderId="0" xfId="1" applyNumberFormat="1" applyFont="1" applyFill="1" applyBorder="1"/>
    <xf numFmtId="176" fontId="14" fillId="0" borderId="0" xfId="1" applyNumberFormat="1" applyFont="1" applyFill="1" applyBorder="1"/>
    <xf numFmtId="0" fontId="26" fillId="0" borderId="0" xfId="0" applyFont="1"/>
    <xf numFmtId="37" fontId="27" fillId="0" borderId="0" xfId="0" applyNumberFormat="1" applyFont="1"/>
    <xf numFmtId="0" fontId="28" fillId="0" borderId="0" xfId="0" applyFont="1"/>
    <xf numFmtId="166" fontId="29" fillId="0" borderId="0" xfId="0" applyNumberFormat="1" applyFont="1"/>
    <xf numFmtId="166" fontId="7" fillId="0" borderId="0" xfId="0" applyNumberFormat="1" applyFont="1"/>
    <xf numFmtId="0" fontId="30" fillId="0" borderId="0" xfId="0" applyFont="1"/>
    <xf numFmtId="9" fontId="4" fillId="0" borderId="0" xfId="2" applyFont="1" applyFill="1" applyBorder="1"/>
    <xf numFmtId="170" fontId="4" fillId="0" borderId="0" xfId="0" applyNumberFormat="1" applyFont="1" applyAlignment="1">
      <alignment horizontal="left" indent="3"/>
    </xf>
    <xf numFmtId="0" fontId="19" fillId="0" borderId="0" xfId="0" applyFont="1" applyAlignment="1">
      <alignment horizontal="left" indent="3"/>
    </xf>
    <xf numFmtId="170" fontId="4" fillId="5" borderId="0" xfId="3" applyNumberFormat="1" applyFont="1" applyFill="1" applyAlignment="1">
      <alignment horizontal="left" indent="3"/>
    </xf>
    <xf numFmtId="0" fontId="6" fillId="8" borderId="0" xfId="0" applyFont="1" applyFill="1"/>
    <xf numFmtId="39" fontId="13" fillId="8" borderId="0" xfId="0" applyNumberFormat="1" applyFont="1" applyFill="1" applyAlignment="1">
      <alignment horizontal="right"/>
    </xf>
    <xf numFmtId="39" fontId="6" fillId="8" borderId="0" xfId="0" applyNumberFormat="1" applyFont="1" applyFill="1" applyAlignment="1">
      <alignment horizontal="right"/>
    </xf>
    <xf numFmtId="0" fontId="25" fillId="0" borderId="0" xfId="0" applyFont="1"/>
    <xf numFmtId="167" fontId="13" fillId="0" borderId="0" xfId="2" applyNumberFormat="1" applyFont="1" applyFill="1" applyBorder="1"/>
    <xf numFmtId="3" fontId="13" fillId="3" borderId="0" xfId="0" applyNumberFormat="1" applyFont="1" applyFill="1" applyAlignment="1">
      <alignment horizontal="right"/>
    </xf>
    <xf numFmtId="169" fontId="4" fillId="3" borderId="0" xfId="1" applyNumberFormat="1" applyFont="1" applyFill="1" applyBorder="1" applyAlignment="1">
      <alignment horizontal="center"/>
    </xf>
    <xf numFmtId="9" fontId="6" fillId="3" borderId="0" xfId="2" applyFont="1" applyFill="1" applyBorder="1" applyAlignment="1"/>
    <xf numFmtId="9" fontId="4" fillId="3" borderId="0" xfId="2" applyFont="1" applyFill="1" applyBorder="1" applyAlignment="1"/>
    <xf numFmtId="10" fontId="13" fillId="3" borderId="0" xfId="2" applyNumberFormat="1" applyFont="1" applyFill="1"/>
    <xf numFmtId="167" fontId="6" fillId="3" borderId="0" xfId="2" applyNumberFormat="1" applyFont="1" applyFill="1" applyAlignment="1">
      <alignment horizontal="right"/>
    </xf>
    <xf numFmtId="177" fontId="4" fillId="0" borderId="0" xfId="0" applyNumberFormat="1" applyFont="1"/>
    <xf numFmtId="0" fontId="14" fillId="0" borderId="0" xfId="3" applyFont="1"/>
    <xf numFmtId="168" fontId="14" fillId="0" borderId="0" xfId="0" applyNumberFormat="1" applyFont="1"/>
    <xf numFmtId="179" fontId="14" fillId="0" borderId="0" xfId="0" applyNumberFormat="1" applyFont="1"/>
    <xf numFmtId="167" fontId="18" fillId="0" borderId="14" xfId="2" applyNumberFormat="1" applyFont="1" applyBorder="1"/>
    <xf numFmtId="167" fontId="16" fillId="0" borderId="14" xfId="0" applyNumberFormat="1" applyFont="1" applyBorder="1"/>
    <xf numFmtId="167" fontId="18" fillId="0" borderId="16" xfId="2" applyNumberFormat="1" applyFont="1" applyBorder="1"/>
    <xf numFmtId="17" fontId="4" fillId="2" borderId="13" xfId="3" applyNumberFormat="1" applyFont="1" applyFill="1" applyBorder="1" applyAlignment="1">
      <alignment horizontal="center" vertical="center" wrapText="1"/>
    </xf>
    <xf numFmtId="0" fontId="4" fillId="0" borderId="14" xfId="3" applyFont="1" applyBorder="1" applyAlignment="1">
      <alignment horizontal="left" wrapText="1"/>
    </xf>
    <xf numFmtId="17" fontId="4" fillId="0" borderId="8" xfId="3" applyNumberFormat="1" applyFont="1" applyBorder="1" applyAlignment="1">
      <alignment horizontal="center" vertical="center" wrapText="1"/>
    </xf>
    <xf numFmtId="17" fontId="4" fillId="0" borderId="14" xfId="3" applyNumberFormat="1" applyFont="1" applyBorder="1" applyAlignment="1">
      <alignment horizontal="center" vertical="center" wrapText="1"/>
    </xf>
    <xf numFmtId="1" fontId="14" fillId="0" borderId="0" xfId="0" applyNumberFormat="1" applyFont="1"/>
    <xf numFmtId="0" fontId="4" fillId="0" borderId="16" xfId="3" applyFont="1" applyBorder="1" applyAlignment="1">
      <alignment horizontal="left"/>
    </xf>
    <xf numFmtId="179" fontId="24" fillId="0" borderId="0" xfId="0" applyNumberFormat="1" applyFont="1"/>
    <xf numFmtId="0" fontId="22" fillId="2" borderId="5" xfId="0" applyFont="1" applyFill="1" applyBorder="1"/>
    <xf numFmtId="166" fontId="4" fillId="0" borderId="14" xfId="0" applyNumberFormat="1" applyFont="1" applyBorder="1"/>
    <xf numFmtId="0" fontId="18" fillId="2" borderId="13" xfId="0" applyFont="1" applyFill="1" applyBorder="1" applyAlignment="1">
      <alignment horizontal="center"/>
    </xf>
    <xf numFmtId="170" fontId="18" fillId="0" borderId="20" xfId="0" applyNumberFormat="1" applyFont="1" applyBorder="1"/>
    <xf numFmtId="0" fontId="4" fillId="8" borderId="0" xfId="0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167" fontId="6" fillId="3" borderId="0" xfId="2" applyNumberFormat="1" applyFont="1" applyFill="1" applyBorder="1" applyAlignment="1">
      <alignment horizontal="right"/>
    </xf>
    <xf numFmtId="167" fontId="7" fillId="0" borderId="0" xfId="2" applyNumberFormat="1" applyFont="1" applyFill="1"/>
    <xf numFmtId="166" fontId="13" fillId="0" borderId="0" xfId="0" applyNumberFormat="1" applyFont="1"/>
    <xf numFmtId="0" fontId="33" fillId="0" borderId="0" xfId="0" applyFont="1"/>
    <xf numFmtId="0" fontId="13" fillId="0" borderId="0" xfId="0" applyFont="1"/>
    <xf numFmtId="0" fontId="7" fillId="0" borderId="0" xfId="0" applyFont="1" applyAlignment="1">
      <alignment horizontal="left" indent="1"/>
    </xf>
    <xf numFmtId="39" fontId="6" fillId="3" borderId="0" xfId="0" applyNumberFormat="1" applyFont="1" applyFill="1" applyAlignment="1">
      <alignment horizontal="right"/>
    </xf>
    <xf numFmtId="167" fontId="4" fillId="0" borderId="2" xfId="2" applyNumberFormat="1" applyFont="1" applyFill="1" applyBorder="1"/>
    <xf numFmtId="167" fontId="4" fillId="5" borderId="2" xfId="2" applyNumberFormat="1" applyFont="1" applyFill="1" applyBorder="1"/>
    <xf numFmtId="167" fontId="4" fillId="0" borderId="0" xfId="2" applyNumberFormat="1" applyFont="1" applyFill="1" applyBorder="1"/>
    <xf numFmtId="0" fontId="4" fillId="0" borderId="0" xfId="0" applyFont="1" applyAlignment="1">
      <alignment horizontal="right"/>
    </xf>
    <xf numFmtId="177" fontId="13" fillId="0" borderId="0" xfId="0" applyNumberFormat="1" applyFont="1" applyAlignment="1">
      <alignment horizontal="right"/>
    </xf>
    <xf numFmtId="177" fontId="6" fillId="3" borderId="0" xfId="0" applyNumberFormat="1" applyFont="1" applyFill="1" applyAlignment="1">
      <alignment horizontal="right"/>
    </xf>
    <xf numFmtId="177" fontId="16" fillId="0" borderId="0" xfId="0" applyNumberFormat="1" applyFont="1"/>
    <xf numFmtId="177" fontId="9" fillId="0" borderId="0" xfId="0" applyNumberFormat="1" applyFont="1"/>
    <xf numFmtId="43" fontId="18" fillId="9" borderId="0" xfId="1" applyFont="1" applyFill="1" applyBorder="1" applyAlignment="1">
      <alignment horizontal="left"/>
    </xf>
    <xf numFmtId="43" fontId="5" fillId="9" borderId="0" xfId="1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43" fontId="18" fillId="3" borderId="0" xfId="1" applyFont="1" applyFill="1" applyBorder="1" applyAlignment="1">
      <alignment horizontal="left"/>
    </xf>
    <xf numFmtId="167" fontId="6" fillId="0" borderId="0" xfId="2" applyNumberFormat="1" applyFont="1" applyFill="1" applyBorder="1" applyAlignment="1"/>
    <xf numFmtId="167" fontId="6" fillId="3" borderId="0" xfId="0" applyNumberFormat="1" applyFont="1" applyFill="1" applyAlignment="1">
      <alignment horizontal="right"/>
    </xf>
    <xf numFmtId="167" fontId="4" fillId="0" borderId="0" xfId="2" applyNumberFormat="1" applyFont="1" applyFill="1" applyBorder="1" applyAlignment="1"/>
    <xf numFmtId="167" fontId="6" fillId="0" borderId="0" xfId="1" applyNumberFormat="1" applyFont="1" applyFill="1" applyBorder="1"/>
    <xf numFmtId="177" fontId="4" fillId="0" borderId="0" xfId="1" applyNumberFormat="1" applyFont="1" applyFill="1" applyBorder="1" applyAlignment="1">
      <alignment horizontal="right"/>
    </xf>
    <xf numFmtId="177" fontId="6" fillId="0" borderId="0" xfId="1" applyNumberFormat="1" applyFont="1" applyFill="1" applyBorder="1" applyAlignment="1">
      <alignment horizontal="right"/>
    </xf>
    <xf numFmtId="43" fontId="14" fillId="0" borderId="0" xfId="1" applyFont="1" applyFill="1" applyBorder="1" applyAlignment="1">
      <alignment horizontal="left"/>
    </xf>
    <xf numFmtId="168" fontId="14" fillId="0" borderId="0" xfId="1" applyNumberFormat="1" applyFont="1" applyFill="1" applyBorder="1" applyAlignment="1">
      <alignment horizontal="left"/>
    </xf>
    <xf numFmtId="169" fontId="14" fillId="0" borderId="0" xfId="1" applyNumberFormat="1" applyFont="1" applyFill="1" applyBorder="1" applyAlignment="1">
      <alignment horizontal="left"/>
    </xf>
    <xf numFmtId="177" fontId="4" fillId="0" borderId="0" xfId="1" applyNumberFormat="1" applyFont="1" applyFill="1" applyBorder="1" applyAlignment="1"/>
    <xf numFmtId="177" fontId="6" fillId="0" borderId="0" xfId="1" applyNumberFormat="1" applyFont="1" applyFill="1" applyBorder="1" applyAlignment="1"/>
    <xf numFmtId="168" fontId="13" fillId="0" borderId="0" xfId="0" applyNumberFormat="1" applyFont="1" applyAlignment="1">
      <alignment horizontal="right"/>
    </xf>
    <xf numFmtId="43" fontId="18" fillId="0" borderId="0" xfId="0" applyNumberFormat="1" applyFont="1"/>
    <xf numFmtId="174" fontId="16" fillId="0" borderId="0" xfId="0" applyNumberFormat="1" applyFont="1"/>
    <xf numFmtId="0" fontId="6" fillId="0" borderId="0" xfId="3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2" xfId="3" xr:uid="{00000000-0005-0000-0000-000002000000}"/>
    <cellStyle name="Per cent" xfId="2" builtinId="5"/>
  </cellStyles>
  <dxfs count="0"/>
  <tableStyles count="0" defaultTableStyle="TableStyleMedium2" defaultPivotStyle="PivotStyleLight16"/>
  <colors>
    <mruColors>
      <color rgb="FF0000FF"/>
      <color rgb="FFD9D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372"/>
  <sheetViews>
    <sheetView showGridLines="0" tabSelected="1" zoomScaleNormal="100" workbookViewId="0">
      <selection activeCell="O2" sqref="O2"/>
    </sheetView>
  </sheetViews>
  <sheetFormatPr defaultRowHeight="12.75"/>
  <cols>
    <col min="1" max="1" width="8.7109375" style="158" customWidth="1"/>
    <col min="2" max="2" width="50.7109375" style="158" customWidth="1"/>
    <col min="3" max="8" width="13.7109375" style="158" customWidth="1"/>
    <col min="9" max="9" width="48.85546875" style="158" customWidth="1"/>
    <col min="10" max="10" width="11.140625" style="158" bestFit="1" customWidth="1"/>
    <col min="11" max="11" width="9.140625" style="158"/>
    <col min="12" max="12" width="10.5703125" style="158" customWidth="1"/>
    <col min="13" max="257" width="9.140625" style="158"/>
    <col min="258" max="258" width="30.140625" style="158" customWidth="1"/>
    <col min="259" max="259" width="10.85546875" style="158" customWidth="1"/>
    <col min="260" max="264" width="9.140625" style="158"/>
    <col min="265" max="265" width="34.42578125" style="158" customWidth="1"/>
    <col min="266" max="267" width="9.140625" style="158"/>
    <col min="268" max="268" width="27.5703125" style="158" customWidth="1"/>
    <col min="269" max="513" width="9.140625" style="158"/>
    <col min="514" max="514" width="30.140625" style="158" customWidth="1"/>
    <col min="515" max="515" width="10.85546875" style="158" customWidth="1"/>
    <col min="516" max="520" width="9.140625" style="158"/>
    <col min="521" max="521" width="34.42578125" style="158" customWidth="1"/>
    <col min="522" max="523" width="9.140625" style="158"/>
    <col min="524" max="524" width="27.5703125" style="158" customWidth="1"/>
    <col min="525" max="769" width="9.140625" style="158"/>
    <col min="770" max="770" width="30.140625" style="158" customWidth="1"/>
    <col min="771" max="771" width="10.85546875" style="158" customWidth="1"/>
    <col min="772" max="776" width="9.140625" style="158"/>
    <col min="777" max="777" width="34.42578125" style="158" customWidth="1"/>
    <col min="778" max="779" width="9.140625" style="158"/>
    <col min="780" max="780" width="27.5703125" style="158" customWidth="1"/>
    <col min="781" max="1025" width="9.140625" style="158"/>
    <col min="1026" max="1026" width="30.140625" style="158" customWidth="1"/>
    <col min="1027" max="1027" width="10.85546875" style="158" customWidth="1"/>
    <col min="1028" max="1032" width="9.140625" style="158"/>
    <col min="1033" max="1033" width="34.42578125" style="158" customWidth="1"/>
    <col min="1034" max="1035" width="9.140625" style="158"/>
    <col min="1036" max="1036" width="27.5703125" style="158" customWidth="1"/>
    <col min="1037" max="1281" width="9.140625" style="158"/>
    <col min="1282" max="1282" width="30.140625" style="158" customWidth="1"/>
    <col min="1283" max="1283" width="10.85546875" style="158" customWidth="1"/>
    <col min="1284" max="1288" width="9.140625" style="158"/>
    <col min="1289" max="1289" width="34.42578125" style="158" customWidth="1"/>
    <col min="1290" max="1291" width="9.140625" style="158"/>
    <col min="1292" max="1292" width="27.5703125" style="158" customWidth="1"/>
    <col min="1293" max="1537" width="9.140625" style="158"/>
    <col min="1538" max="1538" width="30.140625" style="158" customWidth="1"/>
    <col min="1539" max="1539" width="10.85546875" style="158" customWidth="1"/>
    <col min="1540" max="1544" width="9.140625" style="158"/>
    <col min="1545" max="1545" width="34.42578125" style="158" customWidth="1"/>
    <col min="1546" max="1547" width="9.140625" style="158"/>
    <col min="1548" max="1548" width="27.5703125" style="158" customWidth="1"/>
    <col min="1549" max="1793" width="9.140625" style="158"/>
    <col min="1794" max="1794" width="30.140625" style="158" customWidth="1"/>
    <col min="1795" max="1795" width="10.85546875" style="158" customWidth="1"/>
    <col min="1796" max="1800" width="9.140625" style="158"/>
    <col min="1801" max="1801" width="34.42578125" style="158" customWidth="1"/>
    <col min="1802" max="1803" width="9.140625" style="158"/>
    <col min="1804" max="1804" width="27.5703125" style="158" customWidth="1"/>
    <col min="1805" max="2049" width="9.140625" style="158"/>
    <col min="2050" max="2050" width="30.140625" style="158" customWidth="1"/>
    <col min="2051" max="2051" width="10.85546875" style="158" customWidth="1"/>
    <col min="2052" max="2056" width="9.140625" style="158"/>
    <col min="2057" max="2057" width="34.42578125" style="158" customWidth="1"/>
    <col min="2058" max="2059" width="9.140625" style="158"/>
    <col min="2060" max="2060" width="27.5703125" style="158" customWidth="1"/>
    <col min="2061" max="2305" width="9.140625" style="158"/>
    <col min="2306" max="2306" width="30.140625" style="158" customWidth="1"/>
    <col min="2307" max="2307" width="10.85546875" style="158" customWidth="1"/>
    <col min="2308" max="2312" width="9.140625" style="158"/>
    <col min="2313" max="2313" width="34.42578125" style="158" customWidth="1"/>
    <col min="2314" max="2315" width="9.140625" style="158"/>
    <col min="2316" max="2316" width="27.5703125" style="158" customWidth="1"/>
    <col min="2317" max="2561" width="9.140625" style="158"/>
    <col min="2562" max="2562" width="30.140625" style="158" customWidth="1"/>
    <col min="2563" max="2563" width="10.85546875" style="158" customWidth="1"/>
    <col min="2564" max="2568" width="9.140625" style="158"/>
    <col min="2569" max="2569" width="34.42578125" style="158" customWidth="1"/>
    <col min="2570" max="2571" width="9.140625" style="158"/>
    <col min="2572" max="2572" width="27.5703125" style="158" customWidth="1"/>
    <col min="2573" max="2817" width="9.140625" style="158"/>
    <col min="2818" max="2818" width="30.140625" style="158" customWidth="1"/>
    <col min="2819" max="2819" width="10.85546875" style="158" customWidth="1"/>
    <col min="2820" max="2824" width="9.140625" style="158"/>
    <col min="2825" max="2825" width="34.42578125" style="158" customWidth="1"/>
    <col min="2826" max="2827" width="9.140625" style="158"/>
    <col min="2828" max="2828" width="27.5703125" style="158" customWidth="1"/>
    <col min="2829" max="3073" width="9.140625" style="158"/>
    <col min="3074" max="3074" width="30.140625" style="158" customWidth="1"/>
    <col min="3075" max="3075" width="10.85546875" style="158" customWidth="1"/>
    <col min="3076" max="3080" width="9.140625" style="158"/>
    <col min="3081" max="3081" width="34.42578125" style="158" customWidth="1"/>
    <col min="3082" max="3083" width="9.140625" style="158"/>
    <col min="3084" max="3084" width="27.5703125" style="158" customWidth="1"/>
    <col min="3085" max="3329" width="9.140625" style="158"/>
    <col min="3330" max="3330" width="30.140625" style="158" customWidth="1"/>
    <col min="3331" max="3331" width="10.85546875" style="158" customWidth="1"/>
    <col min="3332" max="3336" width="9.140625" style="158"/>
    <col min="3337" max="3337" width="34.42578125" style="158" customWidth="1"/>
    <col min="3338" max="3339" width="9.140625" style="158"/>
    <col min="3340" max="3340" width="27.5703125" style="158" customWidth="1"/>
    <col min="3341" max="3585" width="9.140625" style="158"/>
    <col min="3586" max="3586" width="30.140625" style="158" customWidth="1"/>
    <col min="3587" max="3587" width="10.85546875" style="158" customWidth="1"/>
    <col min="3588" max="3592" width="9.140625" style="158"/>
    <col min="3593" max="3593" width="34.42578125" style="158" customWidth="1"/>
    <col min="3594" max="3595" width="9.140625" style="158"/>
    <col min="3596" max="3596" width="27.5703125" style="158" customWidth="1"/>
    <col min="3597" max="3841" width="9.140625" style="158"/>
    <col min="3842" max="3842" width="30.140625" style="158" customWidth="1"/>
    <col min="3843" max="3843" width="10.85546875" style="158" customWidth="1"/>
    <col min="3844" max="3848" width="9.140625" style="158"/>
    <col min="3849" max="3849" width="34.42578125" style="158" customWidth="1"/>
    <col min="3850" max="3851" width="9.140625" style="158"/>
    <col min="3852" max="3852" width="27.5703125" style="158" customWidth="1"/>
    <col min="3853" max="4097" width="9.140625" style="158"/>
    <col min="4098" max="4098" width="30.140625" style="158" customWidth="1"/>
    <col min="4099" max="4099" width="10.85546875" style="158" customWidth="1"/>
    <col min="4100" max="4104" width="9.140625" style="158"/>
    <col min="4105" max="4105" width="34.42578125" style="158" customWidth="1"/>
    <col min="4106" max="4107" width="9.140625" style="158"/>
    <col min="4108" max="4108" width="27.5703125" style="158" customWidth="1"/>
    <col min="4109" max="4353" width="9.140625" style="158"/>
    <col min="4354" max="4354" width="30.140625" style="158" customWidth="1"/>
    <col min="4355" max="4355" width="10.85546875" style="158" customWidth="1"/>
    <col min="4356" max="4360" width="9.140625" style="158"/>
    <col min="4361" max="4361" width="34.42578125" style="158" customWidth="1"/>
    <col min="4362" max="4363" width="9.140625" style="158"/>
    <col min="4364" max="4364" width="27.5703125" style="158" customWidth="1"/>
    <col min="4365" max="4609" width="9.140625" style="158"/>
    <col min="4610" max="4610" width="30.140625" style="158" customWidth="1"/>
    <col min="4611" max="4611" width="10.85546875" style="158" customWidth="1"/>
    <col min="4612" max="4616" width="9.140625" style="158"/>
    <col min="4617" max="4617" width="34.42578125" style="158" customWidth="1"/>
    <col min="4618" max="4619" width="9.140625" style="158"/>
    <col min="4620" max="4620" width="27.5703125" style="158" customWidth="1"/>
    <col min="4621" max="4865" width="9.140625" style="158"/>
    <col min="4866" max="4866" width="30.140625" style="158" customWidth="1"/>
    <col min="4867" max="4867" width="10.85546875" style="158" customWidth="1"/>
    <col min="4868" max="4872" width="9.140625" style="158"/>
    <col min="4873" max="4873" width="34.42578125" style="158" customWidth="1"/>
    <col min="4874" max="4875" width="9.140625" style="158"/>
    <col min="4876" max="4876" width="27.5703125" style="158" customWidth="1"/>
    <col min="4877" max="5121" width="9.140625" style="158"/>
    <col min="5122" max="5122" width="30.140625" style="158" customWidth="1"/>
    <col min="5123" max="5123" width="10.85546875" style="158" customWidth="1"/>
    <col min="5124" max="5128" width="9.140625" style="158"/>
    <col min="5129" max="5129" width="34.42578125" style="158" customWidth="1"/>
    <col min="5130" max="5131" width="9.140625" style="158"/>
    <col min="5132" max="5132" width="27.5703125" style="158" customWidth="1"/>
    <col min="5133" max="5377" width="9.140625" style="158"/>
    <col min="5378" max="5378" width="30.140625" style="158" customWidth="1"/>
    <col min="5379" max="5379" width="10.85546875" style="158" customWidth="1"/>
    <col min="5380" max="5384" width="9.140625" style="158"/>
    <col min="5385" max="5385" width="34.42578125" style="158" customWidth="1"/>
    <col min="5386" max="5387" width="9.140625" style="158"/>
    <col min="5388" max="5388" width="27.5703125" style="158" customWidth="1"/>
    <col min="5389" max="5633" width="9.140625" style="158"/>
    <col min="5634" max="5634" width="30.140625" style="158" customWidth="1"/>
    <col min="5635" max="5635" width="10.85546875" style="158" customWidth="1"/>
    <col min="5636" max="5640" width="9.140625" style="158"/>
    <col min="5641" max="5641" width="34.42578125" style="158" customWidth="1"/>
    <col min="5642" max="5643" width="9.140625" style="158"/>
    <col min="5644" max="5644" width="27.5703125" style="158" customWidth="1"/>
    <col min="5645" max="5889" width="9.140625" style="158"/>
    <col min="5890" max="5890" width="30.140625" style="158" customWidth="1"/>
    <col min="5891" max="5891" width="10.85546875" style="158" customWidth="1"/>
    <col min="5892" max="5896" width="9.140625" style="158"/>
    <col min="5897" max="5897" width="34.42578125" style="158" customWidth="1"/>
    <col min="5898" max="5899" width="9.140625" style="158"/>
    <col min="5900" max="5900" width="27.5703125" style="158" customWidth="1"/>
    <col min="5901" max="6145" width="9.140625" style="158"/>
    <col min="6146" max="6146" width="30.140625" style="158" customWidth="1"/>
    <col min="6147" max="6147" width="10.85546875" style="158" customWidth="1"/>
    <col min="6148" max="6152" width="9.140625" style="158"/>
    <col min="6153" max="6153" width="34.42578125" style="158" customWidth="1"/>
    <col min="6154" max="6155" width="9.140625" style="158"/>
    <col min="6156" max="6156" width="27.5703125" style="158" customWidth="1"/>
    <col min="6157" max="6401" width="9.140625" style="158"/>
    <col min="6402" max="6402" width="30.140625" style="158" customWidth="1"/>
    <col min="6403" max="6403" width="10.85546875" style="158" customWidth="1"/>
    <col min="6404" max="6408" width="9.140625" style="158"/>
    <col min="6409" max="6409" width="34.42578125" style="158" customWidth="1"/>
    <col min="6410" max="6411" width="9.140625" style="158"/>
    <col min="6412" max="6412" width="27.5703125" style="158" customWidth="1"/>
    <col min="6413" max="6657" width="9.140625" style="158"/>
    <col min="6658" max="6658" width="30.140625" style="158" customWidth="1"/>
    <col min="6659" max="6659" width="10.85546875" style="158" customWidth="1"/>
    <col min="6660" max="6664" width="9.140625" style="158"/>
    <col min="6665" max="6665" width="34.42578125" style="158" customWidth="1"/>
    <col min="6666" max="6667" width="9.140625" style="158"/>
    <col min="6668" max="6668" width="27.5703125" style="158" customWidth="1"/>
    <col min="6669" max="6913" width="9.140625" style="158"/>
    <col min="6914" max="6914" width="30.140625" style="158" customWidth="1"/>
    <col min="6915" max="6915" width="10.85546875" style="158" customWidth="1"/>
    <col min="6916" max="6920" width="9.140625" style="158"/>
    <col min="6921" max="6921" width="34.42578125" style="158" customWidth="1"/>
    <col min="6922" max="6923" width="9.140625" style="158"/>
    <col min="6924" max="6924" width="27.5703125" style="158" customWidth="1"/>
    <col min="6925" max="7169" width="9.140625" style="158"/>
    <col min="7170" max="7170" width="30.140625" style="158" customWidth="1"/>
    <col min="7171" max="7171" width="10.85546875" style="158" customWidth="1"/>
    <col min="7172" max="7176" width="9.140625" style="158"/>
    <col min="7177" max="7177" width="34.42578125" style="158" customWidth="1"/>
    <col min="7178" max="7179" width="9.140625" style="158"/>
    <col min="7180" max="7180" width="27.5703125" style="158" customWidth="1"/>
    <col min="7181" max="7425" width="9.140625" style="158"/>
    <col min="7426" max="7426" width="30.140625" style="158" customWidth="1"/>
    <col min="7427" max="7427" width="10.85546875" style="158" customWidth="1"/>
    <col min="7428" max="7432" width="9.140625" style="158"/>
    <col min="7433" max="7433" width="34.42578125" style="158" customWidth="1"/>
    <col min="7434" max="7435" width="9.140625" style="158"/>
    <col min="7436" max="7436" width="27.5703125" style="158" customWidth="1"/>
    <col min="7437" max="7681" width="9.140625" style="158"/>
    <col min="7682" max="7682" width="30.140625" style="158" customWidth="1"/>
    <col min="7683" max="7683" width="10.85546875" style="158" customWidth="1"/>
    <col min="7684" max="7688" width="9.140625" style="158"/>
    <col min="7689" max="7689" width="34.42578125" style="158" customWidth="1"/>
    <col min="7690" max="7691" width="9.140625" style="158"/>
    <col min="7692" max="7692" width="27.5703125" style="158" customWidth="1"/>
    <col min="7693" max="7937" width="9.140625" style="158"/>
    <col min="7938" max="7938" width="30.140625" style="158" customWidth="1"/>
    <col min="7939" max="7939" width="10.85546875" style="158" customWidth="1"/>
    <col min="7940" max="7944" width="9.140625" style="158"/>
    <col min="7945" max="7945" width="34.42578125" style="158" customWidth="1"/>
    <col min="7946" max="7947" width="9.140625" style="158"/>
    <col min="7948" max="7948" width="27.5703125" style="158" customWidth="1"/>
    <col min="7949" max="8193" width="9.140625" style="158"/>
    <col min="8194" max="8194" width="30.140625" style="158" customWidth="1"/>
    <col min="8195" max="8195" width="10.85546875" style="158" customWidth="1"/>
    <col min="8196" max="8200" width="9.140625" style="158"/>
    <col min="8201" max="8201" width="34.42578125" style="158" customWidth="1"/>
    <col min="8202" max="8203" width="9.140625" style="158"/>
    <col min="8204" max="8204" width="27.5703125" style="158" customWidth="1"/>
    <col min="8205" max="8449" width="9.140625" style="158"/>
    <col min="8450" max="8450" width="30.140625" style="158" customWidth="1"/>
    <col min="8451" max="8451" width="10.85546875" style="158" customWidth="1"/>
    <col min="8452" max="8456" width="9.140625" style="158"/>
    <col min="8457" max="8457" width="34.42578125" style="158" customWidth="1"/>
    <col min="8458" max="8459" width="9.140625" style="158"/>
    <col min="8460" max="8460" width="27.5703125" style="158" customWidth="1"/>
    <col min="8461" max="8705" width="9.140625" style="158"/>
    <col min="8706" max="8706" width="30.140625" style="158" customWidth="1"/>
    <col min="8707" max="8707" width="10.85546875" style="158" customWidth="1"/>
    <col min="8708" max="8712" width="9.140625" style="158"/>
    <col min="8713" max="8713" width="34.42578125" style="158" customWidth="1"/>
    <col min="8714" max="8715" width="9.140625" style="158"/>
    <col min="8716" max="8716" width="27.5703125" style="158" customWidth="1"/>
    <col min="8717" max="8961" width="9.140625" style="158"/>
    <col min="8962" max="8962" width="30.140625" style="158" customWidth="1"/>
    <col min="8963" max="8963" width="10.85546875" style="158" customWidth="1"/>
    <col min="8964" max="8968" width="9.140625" style="158"/>
    <col min="8969" max="8969" width="34.42578125" style="158" customWidth="1"/>
    <col min="8970" max="8971" width="9.140625" style="158"/>
    <col min="8972" max="8972" width="27.5703125" style="158" customWidth="1"/>
    <col min="8973" max="9217" width="9.140625" style="158"/>
    <col min="9218" max="9218" width="30.140625" style="158" customWidth="1"/>
    <col min="9219" max="9219" width="10.85546875" style="158" customWidth="1"/>
    <col min="9220" max="9224" width="9.140625" style="158"/>
    <col min="9225" max="9225" width="34.42578125" style="158" customWidth="1"/>
    <col min="9226" max="9227" width="9.140625" style="158"/>
    <col min="9228" max="9228" width="27.5703125" style="158" customWidth="1"/>
    <col min="9229" max="9473" width="9.140625" style="158"/>
    <col min="9474" max="9474" width="30.140625" style="158" customWidth="1"/>
    <col min="9475" max="9475" width="10.85546875" style="158" customWidth="1"/>
    <col min="9476" max="9480" width="9.140625" style="158"/>
    <col min="9481" max="9481" width="34.42578125" style="158" customWidth="1"/>
    <col min="9482" max="9483" width="9.140625" style="158"/>
    <col min="9484" max="9484" width="27.5703125" style="158" customWidth="1"/>
    <col min="9485" max="9729" width="9.140625" style="158"/>
    <col min="9730" max="9730" width="30.140625" style="158" customWidth="1"/>
    <col min="9731" max="9731" width="10.85546875" style="158" customWidth="1"/>
    <col min="9732" max="9736" width="9.140625" style="158"/>
    <col min="9737" max="9737" width="34.42578125" style="158" customWidth="1"/>
    <col min="9738" max="9739" width="9.140625" style="158"/>
    <col min="9740" max="9740" width="27.5703125" style="158" customWidth="1"/>
    <col min="9741" max="9985" width="9.140625" style="158"/>
    <col min="9986" max="9986" width="30.140625" style="158" customWidth="1"/>
    <col min="9987" max="9987" width="10.85546875" style="158" customWidth="1"/>
    <col min="9988" max="9992" width="9.140625" style="158"/>
    <col min="9993" max="9993" width="34.42578125" style="158" customWidth="1"/>
    <col min="9994" max="9995" width="9.140625" style="158"/>
    <col min="9996" max="9996" width="27.5703125" style="158" customWidth="1"/>
    <col min="9997" max="10241" width="9.140625" style="158"/>
    <col min="10242" max="10242" width="30.140625" style="158" customWidth="1"/>
    <col min="10243" max="10243" width="10.85546875" style="158" customWidth="1"/>
    <col min="10244" max="10248" width="9.140625" style="158"/>
    <col min="10249" max="10249" width="34.42578125" style="158" customWidth="1"/>
    <col min="10250" max="10251" width="9.140625" style="158"/>
    <col min="10252" max="10252" width="27.5703125" style="158" customWidth="1"/>
    <col min="10253" max="10497" width="9.140625" style="158"/>
    <col min="10498" max="10498" width="30.140625" style="158" customWidth="1"/>
    <col min="10499" max="10499" width="10.85546875" style="158" customWidth="1"/>
    <col min="10500" max="10504" width="9.140625" style="158"/>
    <col min="10505" max="10505" width="34.42578125" style="158" customWidth="1"/>
    <col min="10506" max="10507" width="9.140625" style="158"/>
    <col min="10508" max="10508" width="27.5703125" style="158" customWidth="1"/>
    <col min="10509" max="10753" width="9.140625" style="158"/>
    <col min="10754" max="10754" width="30.140625" style="158" customWidth="1"/>
    <col min="10755" max="10755" width="10.85546875" style="158" customWidth="1"/>
    <col min="10756" max="10760" width="9.140625" style="158"/>
    <col min="10761" max="10761" width="34.42578125" style="158" customWidth="1"/>
    <col min="10762" max="10763" width="9.140625" style="158"/>
    <col min="10764" max="10764" width="27.5703125" style="158" customWidth="1"/>
    <col min="10765" max="11009" width="9.140625" style="158"/>
    <col min="11010" max="11010" width="30.140625" style="158" customWidth="1"/>
    <col min="11011" max="11011" width="10.85546875" style="158" customWidth="1"/>
    <col min="11012" max="11016" width="9.140625" style="158"/>
    <col min="11017" max="11017" width="34.42578125" style="158" customWidth="1"/>
    <col min="11018" max="11019" width="9.140625" style="158"/>
    <col min="11020" max="11020" width="27.5703125" style="158" customWidth="1"/>
    <col min="11021" max="11265" width="9.140625" style="158"/>
    <col min="11266" max="11266" width="30.140625" style="158" customWidth="1"/>
    <col min="11267" max="11267" width="10.85546875" style="158" customWidth="1"/>
    <col min="11268" max="11272" width="9.140625" style="158"/>
    <col min="11273" max="11273" width="34.42578125" style="158" customWidth="1"/>
    <col min="11274" max="11275" width="9.140625" style="158"/>
    <col min="11276" max="11276" width="27.5703125" style="158" customWidth="1"/>
    <col min="11277" max="11521" width="9.140625" style="158"/>
    <col min="11522" max="11522" width="30.140625" style="158" customWidth="1"/>
    <col min="11523" max="11523" width="10.85546875" style="158" customWidth="1"/>
    <col min="11524" max="11528" width="9.140625" style="158"/>
    <col min="11529" max="11529" width="34.42578125" style="158" customWidth="1"/>
    <col min="11530" max="11531" width="9.140625" style="158"/>
    <col min="11532" max="11532" width="27.5703125" style="158" customWidth="1"/>
    <col min="11533" max="11777" width="9.140625" style="158"/>
    <col min="11778" max="11778" width="30.140625" style="158" customWidth="1"/>
    <col min="11779" max="11779" width="10.85546875" style="158" customWidth="1"/>
    <col min="11780" max="11784" width="9.140625" style="158"/>
    <col min="11785" max="11785" width="34.42578125" style="158" customWidth="1"/>
    <col min="11786" max="11787" width="9.140625" style="158"/>
    <col min="11788" max="11788" width="27.5703125" style="158" customWidth="1"/>
    <col min="11789" max="12033" width="9.140625" style="158"/>
    <col min="12034" max="12034" width="30.140625" style="158" customWidth="1"/>
    <col min="12035" max="12035" width="10.85546875" style="158" customWidth="1"/>
    <col min="12036" max="12040" width="9.140625" style="158"/>
    <col min="12041" max="12041" width="34.42578125" style="158" customWidth="1"/>
    <col min="12042" max="12043" width="9.140625" style="158"/>
    <col min="12044" max="12044" width="27.5703125" style="158" customWidth="1"/>
    <col min="12045" max="12289" width="9.140625" style="158"/>
    <col min="12290" max="12290" width="30.140625" style="158" customWidth="1"/>
    <col min="12291" max="12291" width="10.85546875" style="158" customWidth="1"/>
    <col min="12292" max="12296" width="9.140625" style="158"/>
    <col min="12297" max="12297" width="34.42578125" style="158" customWidth="1"/>
    <col min="12298" max="12299" width="9.140625" style="158"/>
    <col min="12300" max="12300" width="27.5703125" style="158" customWidth="1"/>
    <col min="12301" max="12545" width="9.140625" style="158"/>
    <col min="12546" max="12546" width="30.140625" style="158" customWidth="1"/>
    <col min="12547" max="12547" width="10.85546875" style="158" customWidth="1"/>
    <col min="12548" max="12552" width="9.140625" style="158"/>
    <col min="12553" max="12553" width="34.42578125" style="158" customWidth="1"/>
    <col min="12554" max="12555" width="9.140625" style="158"/>
    <col min="12556" max="12556" width="27.5703125" style="158" customWidth="1"/>
    <col min="12557" max="12801" width="9.140625" style="158"/>
    <col min="12802" max="12802" width="30.140625" style="158" customWidth="1"/>
    <col min="12803" max="12803" width="10.85546875" style="158" customWidth="1"/>
    <col min="12804" max="12808" width="9.140625" style="158"/>
    <col min="12809" max="12809" width="34.42578125" style="158" customWidth="1"/>
    <col min="12810" max="12811" width="9.140625" style="158"/>
    <col min="12812" max="12812" width="27.5703125" style="158" customWidth="1"/>
    <col min="12813" max="13057" width="9.140625" style="158"/>
    <col min="13058" max="13058" width="30.140625" style="158" customWidth="1"/>
    <col min="13059" max="13059" width="10.85546875" style="158" customWidth="1"/>
    <col min="13060" max="13064" width="9.140625" style="158"/>
    <col min="13065" max="13065" width="34.42578125" style="158" customWidth="1"/>
    <col min="13066" max="13067" width="9.140625" style="158"/>
    <col min="13068" max="13068" width="27.5703125" style="158" customWidth="1"/>
    <col min="13069" max="13313" width="9.140625" style="158"/>
    <col min="13314" max="13314" width="30.140625" style="158" customWidth="1"/>
    <col min="13315" max="13315" width="10.85546875" style="158" customWidth="1"/>
    <col min="13316" max="13320" width="9.140625" style="158"/>
    <col min="13321" max="13321" width="34.42578125" style="158" customWidth="1"/>
    <col min="13322" max="13323" width="9.140625" style="158"/>
    <col min="13324" max="13324" width="27.5703125" style="158" customWidth="1"/>
    <col min="13325" max="13569" width="9.140625" style="158"/>
    <col min="13570" max="13570" width="30.140625" style="158" customWidth="1"/>
    <col min="13571" max="13571" width="10.85546875" style="158" customWidth="1"/>
    <col min="13572" max="13576" width="9.140625" style="158"/>
    <col min="13577" max="13577" width="34.42578125" style="158" customWidth="1"/>
    <col min="13578" max="13579" width="9.140625" style="158"/>
    <col min="13580" max="13580" width="27.5703125" style="158" customWidth="1"/>
    <col min="13581" max="13825" width="9.140625" style="158"/>
    <col min="13826" max="13826" width="30.140625" style="158" customWidth="1"/>
    <col min="13827" max="13827" width="10.85546875" style="158" customWidth="1"/>
    <col min="13828" max="13832" width="9.140625" style="158"/>
    <col min="13833" max="13833" width="34.42578125" style="158" customWidth="1"/>
    <col min="13834" max="13835" width="9.140625" style="158"/>
    <col min="13836" max="13836" width="27.5703125" style="158" customWidth="1"/>
    <col min="13837" max="14081" width="9.140625" style="158"/>
    <col min="14082" max="14082" width="30.140625" style="158" customWidth="1"/>
    <col min="14083" max="14083" width="10.85546875" style="158" customWidth="1"/>
    <col min="14084" max="14088" width="9.140625" style="158"/>
    <col min="14089" max="14089" width="34.42578125" style="158" customWidth="1"/>
    <col min="14090" max="14091" width="9.140625" style="158"/>
    <col min="14092" max="14092" width="27.5703125" style="158" customWidth="1"/>
    <col min="14093" max="14337" width="9.140625" style="158"/>
    <col min="14338" max="14338" width="30.140625" style="158" customWidth="1"/>
    <col min="14339" max="14339" width="10.85546875" style="158" customWidth="1"/>
    <col min="14340" max="14344" width="9.140625" style="158"/>
    <col min="14345" max="14345" width="34.42578125" style="158" customWidth="1"/>
    <col min="14346" max="14347" width="9.140625" style="158"/>
    <col min="14348" max="14348" width="27.5703125" style="158" customWidth="1"/>
    <col min="14349" max="14593" width="9.140625" style="158"/>
    <col min="14594" max="14594" width="30.140625" style="158" customWidth="1"/>
    <col min="14595" max="14595" width="10.85546875" style="158" customWidth="1"/>
    <col min="14596" max="14600" width="9.140625" style="158"/>
    <col min="14601" max="14601" width="34.42578125" style="158" customWidth="1"/>
    <col min="14602" max="14603" width="9.140625" style="158"/>
    <col min="14604" max="14604" width="27.5703125" style="158" customWidth="1"/>
    <col min="14605" max="14849" width="9.140625" style="158"/>
    <col min="14850" max="14850" width="30.140625" style="158" customWidth="1"/>
    <col min="14851" max="14851" width="10.85546875" style="158" customWidth="1"/>
    <col min="14852" max="14856" width="9.140625" style="158"/>
    <col min="14857" max="14857" width="34.42578125" style="158" customWidth="1"/>
    <col min="14858" max="14859" width="9.140625" style="158"/>
    <col min="14860" max="14860" width="27.5703125" style="158" customWidth="1"/>
    <col min="14861" max="15105" width="9.140625" style="158"/>
    <col min="15106" max="15106" width="30.140625" style="158" customWidth="1"/>
    <col min="15107" max="15107" width="10.85546875" style="158" customWidth="1"/>
    <col min="15108" max="15112" width="9.140625" style="158"/>
    <col min="15113" max="15113" width="34.42578125" style="158" customWidth="1"/>
    <col min="15114" max="15115" width="9.140625" style="158"/>
    <col min="15116" max="15116" width="27.5703125" style="158" customWidth="1"/>
    <col min="15117" max="15361" width="9.140625" style="158"/>
    <col min="15362" max="15362" width="30.140625" style="158" customWidth="1"/>
    <col min="15363" max="15363" width="10.85546875" style="158" customWidth="1"/>
    <col min="15364" max="15368" width="9.140625" style="158"/>
    <col min="15369" max="15369" width="34.42578125" style="158" customWidth="1"/>
    <col min="15370" max="15371" width="9.140625" style="158"/>
    <col min="15372" max="15372" width="27.5703125" style="158" customWidth="1"/>
    <col min="15373" max="15617" width="9.140625" style="158"/>
    <col min="15618" max="15618" width="30.140625" style="158" customWidth="1"/>
    <col min="15619" max="15619" width="10.85546875" style="158" customWidth="1"/>
    <col min="15620" max="15624" width="9.140625" style="158"/>
    <col min="15625" max="15625" width="34.42578125" style="158" customWidth="1"/>
    <col min="15626" max="15627" width="9.140625" style="158"/>
    <col min="15628" max="15628" width="27.5703125" style="158" customWidth="1"/>
    <col min="15629" max="15873" width="9.140625" style="158"/>
    <col min="15874" max="15874" width="30.140625" style="158" customWidth="1"/>
    <col min="15875" max="15875" width="10.85546875" style="158" customWidth="1"/>
    <col min="15876" max="15880" width="9.140625" style="158"/>
    <col min="15881" max="15881" width="34.42578125" style="158" customWidth="1"/>
    <col min="15882" max="15883" width="9.140625" style="158"/>
    <col min="15884" max="15884" width="27.5703125" style="158" customWidth="1"/>
    <col min="15885" max="16129" width="9.140625" style="158"/>
    <col min="16130" max="16130" width="30.140625" style="158" customWidth="1"/>
    <col min="16131" max="16131" width="10.85546875" style="158" customWidth="1"/>
    <col min="16132" max="16136" width="9.140625" style="158"/>
    <col min="16137" max="16137" width="34.42578125" style="158" customWidth="1"/>
    <col min="16138" max="16139" width="9.140625" style="158"/>
    <col min="16140" max="16140" width="27.5703125" style="158" customWidth="1"/>
    <col min="16141" max="16384" width="9.140625" style="158"/>
  </cols>
  <sheetData>
    <row r="2" spans="1:11">
      <c r="A2" s="245" t="s">
        <v>0</v>
      </c>
      <c r="I2" s="78" t="s">
        <v>1</v>
      </c>
      <c r="J2" s="389">
        <f>Model!$P$215</f>
        <v>2.2495315350578242E-2</v>
      </c>
    </row>
    <row r="3" spans="1:11">
      <c r="I3" s="390" t="s">
        <v>2</v>
      </c>
      <c r="J3" s="389">
        <f>Model!$P$216</f>
        <v>2.4213722285409998E-2</v>
      </c>
    </row>
    <row r="4" spans="1:11" ht="13.5" thickBot="1">
      <c r="I4" s="76"/>
      <c r="J4" s="246"/>
    </row>
    <row r="5" spans="1:11">
      <c r="B5" s="275" t="s">
        <v>3</v>
      </c>
      <c r="C5" s="276" t="s">
        <v>4</v>
      </c>
      <c r="D5" s="276" t="s">
        <v>5</v>
      </c>
      <c r="E5" s="277" t="s">
        <v>6</v>
      </c>
      <c r="F5" s="278" t="s">
        <v>7</v>
      </c>
      <c r="I5" s="292" t="s">
        <v>8</v>
      </c>
      <c r="J5" s="293" t="s">
        <v>9</v>
      </c>
    </row>
    <row r="6" spans="1:11" ht="13.5" thickBot="1">
      <c r="B6" s="124" t="s">
        <v>10</v>
      </c>
      <c r="C6" s="193">
        <f>SUM(C7:C8)</f>
        <v>17384.16</v>
      </c>
      <c r="D6" s="193">
        <f>SUM(D7:D8)</f>
        <v>391.06216130490827</v>
      </c>
      <c r="I6" s="268" t="s">
        <v>11</v>
      </c>
      <c r="J6" s="305">
        <v>1.33</v>
      </c>
    </row>
    <row r="7" spans="1:11">
      <c r="B7" s="111" t="s">
        <v>12</v>
      </c>
      <c r="C7" s="34">
        <f>Model!BC$111-C8</f>
        <v>17384.16</v>
      </c>
      <c r="D7" s="205">
        <f>C7*$J2</f>
        <v>391.06216130490827</v>
      </c>
    </row>
    <row r="8" spans="1:11">
      <c r="B8" s="78" t="s">
        <v>13</v>
      </c>
      <c r="C8" s="34">
        <f>Model!BB$116</f>
        <v>0</v>
      </c>
      <c r="D8" s="205">
        <f>C8*$J2</f>
        <v>0</v>
      </c>
    </row>
    <row r="9" spans="1:11">
      <c r="B9" s="78"/>
      <c r="C9" s="34"/>
      <c r="D9" s="205"/>
    </row>
    <row r="10" spans="1:11">
      <c r="B10" s="124" t="s">
        <v>14</v>
      </c>
      <c r="C10" s="193">
        <f>SUM(C11:C12)</f>
        <v>40868.248</v>
      </c>
      <c r="D10" s="193">
        <f>SUM(D11:D12)</f>
        <v>919.34412658563849</v>
      </c>
    </row>
    <row r="11" spans="1:11">
      <c r="B11" s="111" t="s">
        <v>12</v>
      </c>
      <c r="C11" s="34">
        <f>Model!BC$112</f>
        <v>40868.248</v>
      </c>
      <c r="D11" s="205">
        <f>C11*$J2</f>
        <v>919.34412658563849</v>
      </c>
      <c r="I11" s="78"/>
    </row>
    <row r="12" spans="1:11">
      <c r="B12" s="78" t="s">
        <v>13</v>
      </c>
      <c r="C12" s="204">
        <f>Model!BB$117</f>
        <v>0</v>
      </c>
      <c r="D12" s="205">
        <f>C12*$J2</f>
        <v>0</v>
      </c>
    </row>
    <row r="13" spans="1:11">
      <c r="B13" s="116" t="s">
        <v>15</v>
      </c>
      <c r="C13" s="208">
        <f>C6+C10</f>
        <v>58252.407999999996</v>
      </c>
      <c r="D13" s="208">
        <f>D6+D10</f>
        <v>1310.4062878905468</v>
      </c>
      <c r="E13" s="192">
        <f>C13/C20</f>
        <v>3.2252546544729572</v>
      </c>
      <c r="F13" s="192">
        <f>D13/D20</f>
        <v>2.996363784266511</v>
      </c>
      <c r="J13" s="290"/>
    </row>
    <row r="14" spans="1:11">
      <c r="B14" s="78" t="s">
        <v>16</v>
      </c>
      <c r="C14" s="207">
        <f>Model!BC$125</f>
        <v>17161.083999999999</v>
      </c>
      <c r="D14" s="207">
        <f>C14*$J2</f>
        <v>386.04399633776262</v>
      </c>
      <c r="E14" s="191"/>
      <c r="F14" s="191"/>
      <c r="J14" s="290"/>
      <c r="K14" s="256"/>
    </row>
    <row r="15" spans="1:11">
      <c r="B15" s="116" t="s">
        <v>17</v>
      </c>
      <c r="C15" s="208">
        <f>C13-C14</f>
        <v>41091.323999999993</v>
      </c>
      <c r="D15" s="208">
        <f>D13-D14</f>
        <v>924.3622915527842</v>
      </c>
      <c r="E15" s="192">
        <f>C15/C20</f>
        <v>2.2750988077515411</v>
      </c>
      <c r="F15" s="192">
        <f>D15/D20</f>
        <v>2.1136388916516773</v>
      </c>
      <c r="J15" s="290"/>
    </row>
    <row r="16" spans="1:11">
      <c r="B16" s="78" t="s">
        <v>18</v>
      </c>
      <c r="C16" s="207">
        <f>Model!BC$126</f>
        <v>6.6139999999999999</v>
      </c>
      <c r="D16" s="207">
        <f>C16*$J2</f>
        <v>0.14878401572872449</v>
      </c>
      <c r="E16" s="191"/>
      <c r="F16" s="191"/>
      <c r="J16" s="291"/>
    </row>
    <row r="17" spans="2:7">
      <c r="B17" s="116" t="s">
        <v>19</v>
      </c>
      <c r="C17" s="208">
        <f>C15-C16</f>
        <v>41084.709999999992</v>
      </c>
      <c r="D17" s="208">
        <f>D15-D16</f>
        <v>924.21350753705542</v>
      </c>
      <c r="E17" s="192">
        <f>C17/C20</f>
        <v>2.2747326111423862</v>
      </c>
      <c r="F17" s="192">
        <f>D17/D20</f>
        <v>2.1132986833967817</v>
      </c>
    </row>
    <row r="18" spans="2:7">
      <c r="B18" s="78" t="s">
        <v>20</v>
      </c>
      <c r="C18" s="205">
        <f>Model!BC$133</f>
        <v>51814.711000000003</v>
      </c>
      <c r="D18" s="205">
        <f>C18*J2</f>
        <v>1165.5882637440754</v>
      </c>
    </row>
    <row r="19" spans="2:7">
      <c r="B19" s="75" t="s">
        <v>21</v>
      </c>
      <c r="C19" s="193">
        <f>C18+C17</f>
        <v>92899.421000000002</v>
      </c>
      <c r="D19" s="193">
        <f>D18+D17</f>
        <v>2089.8017712811306</v>
      </c>
    </row>
    <row r="20" spans="2:7" s="245" customFormat="1">
      <c r="B20" s="75" t="s">
        <v>22</v>
      </c>
      <c r="C20" s="193">
        <f>Model!BC$90</f>
        <v>18061.336000000003</v>
      </c>
      <c r="D20" s="193">
        <f>C20*$J3</f>
        <v>437.33217400747793</v>
      </c>
      <c r="G20" s="388"/>
    </row>
    <row r="21" spans="2:7">
      <c r="B21" s="337" t="s">
        <v>23</v>
      </c>
      <c r="C21" s="338">
        <f>+C13-Model!BC$123</f>
        <v>0</v>
      </c>
    </row>
    <row r="22" spans="2:7">
      <c r="B22" s="337"/>
      <c r="C22" s="338"/>
    </row>
    <row r="23" spans="2:7" ht="13.5" thickBot="1">
      <c r="B23" s="337"/>
      <c r="C23" s="338"/>
    </row>
    <row r="24" spans="2:7">
      <c r="B24" s="280" t="s">
        <v>24</v>
      </c>
      <c r="C24" s="281" t="s">
        <v>25</v>
      </c>
      <c r="D24" s="282" t="s">
        <v>5</v>
      </c>
    </row>
    <row r="25" spans="2:7">
      <c r="B25" s="81" t="s">
        <v>26</v>
      </c>
      <c r="C25" s="194">
        <v>7.2809999999999997</v>
      </c>
      <c r="D25" s="197">
        <f>C25*$J2</f>
        <v>0.16378839106756019</v>
      </c>
    </row>
    <row r="26" spans="2:7">
      <c r="B26" s="81" t="s">
        <v>27</v>
      </c>
      <c r="C26" s="194">
        <v>1646.9690000000001</v>
      </c>
      <c r="D26" s="197">
        <f>C26*$J2</f>
        <v>37.049087027626499</v>
      </c>
    </row>
    <row r="27" spans="2:7">
      <c r="B27" s="81" t="s">
        <v>28</v>
      </c>
      <c r="C27" s="194">
        <v>15532.459000000001</v>
      </c>
      <c r="D27" s="197">
        <f>C27*$J2</f>
        <v>349.40756337492718</v>
      </c>
    </row>
    <row r="28" spans="2:7">
      <c r="B28" s="81" t="s">
        <v>29</v>
      </c>
      <c r="C28" s="194">
        <v>-25.625</v>
      </c>
      <c r="D28" s="197">
        <f>C28*$J2</f>
        <v>-0.57644245585856746</v>
      </c>
    </row>
    <row r="29" spans="2:7" ht="13.5" thickBot="1">
      <c r="B29" s="83" t="s">
        <v>30</v>
      </c>
      <c r="C29" s="199">
        <f>SUM(C25:C28)</f>
        <v>17161.084000000003</v>
      </c>
      <c r="D29" s="200">
        <f>SUM(D25:D28)</f>
        <v>386.04399633776268</v>
      </c>
    </row>
    <row r="30" spans="2:7">
      <c r="B30" s="337" t="s">
        <v>23</v>
      </c>
      <c r="C30" s="349">
        <f>C29-C14</f>
        <v>0</v>
      </c>
    </row>
    <row r="31" spans="2:7">
      <c r="B31" s="258"/>
      <c r="C31" s="263"/>
    </row>
    <row r="32" spans="2:7" ht="13.5" thickBot="1"/>
    <row r="33" spans="2:6" ht="25.5">
      <c r="B33" s="280" t="s">
        <v>31</v>
      </c>
      <c r="C33" s="343" t="str">
        <f>C5</f>
        <v>TRY mn</v>
      </c>
      <c r="D33" s="343" t="str">
        <f>D5</f>
        <v>USD mn</v>
      </c>
      <c r="E33" s="281" t="s">
        <v>32</v>
      </c>
    </row>
    <row r="34" spans="2:6">
      <c r="B34" s="143" t="s">
        <v>33</v>
      </c>
      <c r="C34" s="203">
        <f>SUM(C35:C36)</f>
        <v>0</v>
      </c>
      <c r="D34" s="201">
        <f>SUM(D35:D36)</f>
        <v>0</v>
      </c>
      <c r="E34" s="340">
        <f>C34/$C$98</f>
        <v>0</v>
      </c>
    </row>
    <row r="35" spans="2:6">
      <c r="B35" s="142" t="s">
        <v>34</v>
      </c>
      <c r="C35" s="211">
        <v>0</v>
      </c>
      <c r="D35" s="197">
        <f>C35*$J2</f>
        <v>0</v>
      </c>
      <c r="E35" s="341"/>
    </row>
    <row r="36" spans="2:6">
      <c r="B36" s="142" t="s">
        <v>35</v>
      </c>
      <c r="C36" s="211">
        <v>0</v>
      </c>
      <c r="D36" s="197">
        <f>C36*$J2</f>
        <v>0</v>
      </c>
      <c r="E36" s="341"/>
    </row>
    <row r="37" spans="2:6">
      <c r="B37" s="143" t="s">
        <v>36</v>
      </c>
      <c r="C37" s="203">
        <f>SUM(C38:C39)</f>
        <v>58252.407999999996</v>
      </c>
      <c r="D37" s="201">
        <f>SUM(D38:D39)</f>
        <v>1310.4062878905468</v>
      </c>
      <c r="E37" s="340">
        <f>C37/$C$40</f>
        <v>1</v>
      </c>
      <c r="F37" s="262"/>
    </row>
    <row r="38" spans="2:6">
      <c r="B38" s="142" t="s">
        <v>34</v>
      </c>
      <c r="C38" s="215">
        <f>2493.451+14769.609+31.412+89.688</f>
        <v>17384.16</v>
      </c>
      <c r="D38" s="197">
        <f>C38*$J2</f>
        <v>391.06216130490827</v>
      </c>
      <c r="E38" s="341"/>
      <c r="F38" s="262"/>
    </row>
    <row r="39" spans="2:6">
      <c r="B39" s="142" t="s">
        <v>35</v>
      </c>
      <c r="C39" s="215">
        <f>32091.538+8649.593+127.117</f>
        <v>40868.248</v>
      </c>
      <c r="D39" s="197">
        <f>C39*$J2</f>
        <v>919.34412658563849</v>
      </c>
      <c r="E39" s="341"/>
    </row>
    <row r="40" spans="2:6" ht="13.5" thickBot="1">
      <c r="B40" s="83" t="s">
        <v>37</v>
      </c>
      <c r="C40" s="199">
        <f>SUM(C34+C37)</f>
        <v>58252.407999999996</v>
      </c>
      <c r="D40" s="200">
        <f>SUM(D34+D37)</f>
        <v>1310.4062878905468</v>
      </c>
      <c r="E40" s="342">
        <f>SUM(E34+E37)</f>
        <v>1</v>
      </c>
    </row>
    <row r="41" spans="2:6">
      <c r="B41" s="337" t="s">
        <v>23</v>
      </c>
      <c r="C41" s="339">
        <f>C40-C13-C8</f>
        <v>0</v>
      </c>
    </row>
    <row r="42" spans="2:6">
      <c r="B42" s="258"/>
      <c r="C42" s="263"/>
    </row>
    <row r="43" spans="2:6" ht="13.5" thickBot="1">
      <c r="B43" s="258"/>
    </row>
    <row r="44" spans="2:6" ht="25.5">
      <c r="B44" s="283" t="s">
        <v>38</v>
      </c>
      <c r="C44" s="343" t="str">
        <f>C5</f>
        <v>TRY mn</v>
      </c>
      <c r="D44" s="343" t="str">
        <f>D5</f>
        <v>USD mn</v>
      </c>
    </row>
    <row r="45" spans="2:6">
      <c r="B45" s="344" t="s">
        <v>39</v>
      </c>
      <c r="C45" s="215">
        <v>12203.995999999999</v>
      </c>
      <c r="D45" s="197">
        <f>C45*J2</f>
        <v>274.53273855719544</v>
      </c>
    </row>
    <row r="46" spans="2:6">
      <c r="B46" s="344"/>
      <c r="C46" s="346"/>
      <c r="D46" s="345"/>
    </row>
    <row r="47" spans="2:6">
      <c r="B47" s="171" t="s">
        <v>40</v>
      </c>
      <c r="C47" s="194">
        <v>5180.1639999999998</v>
      </c>
      <c r="D47" s="197">
        <f>C47*$J2</f>
        <v>116.52942274771279</v>
      </c>
    </row>
    <row r="48" spans="2:6">
      <c r="B48" s="171" t="s">
        <v>41</v>
      </c>
      <c r="C48" s="194">
        <v>2873.5169999999998</v>
      </c>
      <c r="D48" s="197">
        <f>C48*$J2</f>
        <v>64.640671080247529</v>
      </c>
    </row>
    <row r="49" spans="1:10">
      <c r="B49" s="171" t="s">
        <v>42</v>
      </c>
      <c r="C49" s="194">
        <v>2604.1610000000001</v>
      </c>
      <c r="D49" s="197">
        <f>C49*$J2</f>
        <v>58.581422918677184</v>
      </c>
    </row>
    <row r="50" spans="1:10">
      <c r="B50" s="171" t="s">
        <v>43</v>
      </c>
      <c r="C50" s="195">
        <v>2366.5479999999998</v>
      </c>
      <c r="D50" s="197">
        <f>C50*$J2</f>
        <v>53.236243552280229</v>
      </c>
    </row>
    <row r="51" spans="1:10">
      <c r="B51" s="171" t="s">
        <v>44</v>
      </c>
      <c r="C51" s="195">
        <v>16264.409</v>
      </c>
      <c r="D51" s="197">
        <f>C51*$J2</f>
        <v>365.87300944578288</v>
      </c>
    </row>
    <row r="52" spans="1:10">
      <c r="B52" s="172" t="s">
        <v>45</v>
      </c>
      <c r="C52" s="195">
        <v>16759.613000000001</v>
      </c>
      <c r="D52" s="197">
        <f>C52*$J2</f>
        <v>377.01277958865069</v>
      </c>
    </row>
    <row r="53" spans="1:10" ht="13.5" thickBot="1">
      <c r="B53" s="348" t="s">
        <v>46</v>
      </c>
      <c r="C53" s="199">
        <f>SUM(C45:C52)</f>
        <v>58252.407999999996</v>
      </c>
      <c r="D53" s="199">
        <f>SUM(D45:D52)</f>
        <v>1310.4062878905465</v>
      </c>
    </row>
    <row r="54" spans="1:10">
      <c r="B54" s="337" t="s">
        <v>23</v>
      </c>
      <c r="C54" s="347">
        <f>C53-C40+C8+C12</f>
        <v>0</v>
      </c>
      <c r="E54" s="262"/>
      <c r="F54" s="256"/>
    </row>
    <row r="55" spans="1:10">
      <c r="B55" s="258"/>
      <c r="C55" s="264"/>
      <c r="E55" s="262"/>
      <c r="F55" s="256"/>
    </row>
    <row r="56" spans="1:10">
      <c r="B56" s="258"/>
      <c r="C56" s="263"/>
    </row>
    <row r="57" spans="1:10">
      <c r="B57" s="258"/>
      <c r="C57" s="263"/>
    </row>
    <row r="60" spans="1:10">
      <c r="A60" s="245" t="s">
        <v>47</v>
      </c>
      <c r="I60" s="75" t="s">
        <v>1</v>
      </c>
      <c r="J60" s="246">
        <f>Model!$P$215</f>
        <v>2.2495315350578242E-2</v>
      </c>
    </row>
    <row r="61" spans="1:10">
      <c r="I61" s="76" t="s">
        <v>2</v>
      </c>
      <c r="J61" s="246">
        <f>Model!$P$216</f>
        <v>2.4213722285409998E-2</v>
      </c>
    </row>
    <row r="62" spans="1:10" ht="13.5" thickBot="1">
      <c r="I62" s="76"/>
      <c r="J62" s="246"/>
    </row>
    <row r="63" spans="1:10">
      <c r="B63" s="275" t="s">
        <v>48</v>
      </c>
      <c r="C63" s="276" t="s">
        <v>4</v>
      </c>
      <c r="D63" s="276" t="s">
        <v>5</v>
      </c>
      <c r="E63" s="277" t="s">
        <v>6</v>
      </c>
      <c r="F63" s="278" t="s">
        <v>7</v>
      </c>
      <c r="I63" s="350" t="s">
        <v>8</v>
      </c>
      <c r="J63" s="352" t="s">
        <v>9</v>
      </c>
    </row>
    <row r="64" spans="1:10">
      <c r="B64" s="124" t="s">
        <v>10</v>
      </c>
      <c r="C64" s="193">
        <f>SUM(C65:C66)</f>
        <v>17537.602999999999</v>
      </c>
      <c r="D64" s="193">
        <f>SUM(D65:D66)</f>
        <v>394.513909978247</v>
      </c>
      <c r="I64" s="251" t="s">
        <v>49</v>
      </c>
      <c r="J64" s="211">
        <v>55551.15</v>
      </c>
    </row>
    <row r="65" spans="2:11">
      <c r="B65" s="111" t="s">
        <v>12</v>
      </c>
      <c r="C65" s="34">
        <f>Model!BB$111-C66</f>
        <v>17537.602999999999</v>
      </c>
      <c r="D65" s="205">
        <f>C65*$J60</f>
        <v>394.513909978247</v>
      </c>
      <c r="I65" s="251" t="s">
        <v>50</v>
      </c>
      <c r="J65" s="211">
        <v>-23318.683000000001</v>
      </c>
    </row>
    <row r="66" spans="2:11">
      <c r="B66" s="78" t="s">
        <v>13</v>
      </c>
      <c r="C66" s="34">
        <f>Model!BB$116</f>
        <v>0</v>
      </c>
      <c r="D66" s="205">
        <f>C66*$J60</f>
        <v>0</v>
      </c>
      <c r="I66" s="251" t="s">
        <v>51</v>
      </c>
      <c r="J66" s="211">
        <v>-2950.73</v>
      </c>
    </row>
    <row r="67" spans="2:11" ht="13.5" thickBot="1">
      <c r="B67" s="78"/>
      <c r="C67" s="34"/>
      <c r="D67" s="205"/>
      <c r="I67" s="251" t="s">
        <v>19</v>
      </c>
      <c r="J67" s="351">
        <f>SUM(J64:J66)</f>
        <v>29281.737000000001</v>
      </c>
    </row>
    <row r="68" spans="2:11" ht="13.5" thickBot="1">
      <c r="B68" s="124" t="s">
        <v>14</v>
      </c>
      <c r="C68" s="193">
        <f>SUM(C69:C70)</f>
        <v>39807.777000000002</v>
      </c>
      <c r="D68" s="193">
        <f>SUM(D69:D70)</f>
        <v>895.48849702049552</v>
      </c>
      <c r="I68" s="252" t="s">
        <v>11</v>
      </c>
      <c r="J68" s="353">
        <f>J67/C78</f>
        <v>1.5900129327498636</v>
      </c>
    </row>
    <row r="69" spans="2:11">
      <c r="B69" s="111" t="s">
        <v>12</v>
      </c>
      <c r="C69" s="34">
        <f>Model!BB$112</f>
        <v>39807.777000000002</v>
      </c>
      <c r="D69" s="205">
        <f>C69*$J60</f>
        <v>895.48849702049552</v>
      </c>
      <c r="I69" s="78"/>
    </row>
    <row r="70" spans="2:11">
      <c r="B70" s="78" t="s">
        <v>13</v>
      </c>
      <c r="C70" s="204">
        <f>Model!BB$117</f>
        <v>0</v>
      </c>
      <c r="D70" s="205">
        <f>C70*$J60</f>
        <v>0</v>
      </c>
    </row>
    <row r="71" spans="2:11">
      <c r="B71" s="116" t="s">
        <v>15</v>
      </c>
      <c r="C71" s="208">
        <f>C64+C68</f>
        <v>57345.380000000005</v>
      </c>
      <c r="D71" s="208">
        <f>D64+D68</f>
        <v>1290.0024069987426</v>
      </c>
      <c r="E71" s="192">
        <f>C71/C78</f>
        <v>3.1138827533849982</v>
      </c>
      <c r="F71" s="192">
        <f>D71/D78</f>
        <v>2.8928957587132214</v>
      </c>
      <c r="J71" s="290"/>
    </row>
    <row r="72" spans="2:11">
      <c r="B72" s="78" t="s">
        <v>16</v>
      </c>
      <c r="C72" s="207">
        <f>Model!BB$125</f>
        <v>23318.683000000001</v>
      </c>
      <c r="D72" s="207">
        <f>C72*$J60</f>
        <v>524.56112764516786</v>
      </c>
      <c r="E72" s="191"/>
      <c r="F72" s="191"/>
      <c r="J72" s="290"/>
      <c r="K72" s="256"/>
    </row>
    <row r="73" spans="2:11">
      <c r="B73" s="116" t="s">
        <v>17</v>
      </c>
      <c r="C73" s="208">
        <f>C71-C72</f>
        <v>34026.697</v>
      </c>
      <c r="D73" s="208">
        <f>D71-D72</f>
        <v>765.44127935357471</v>
      </c>
      <c r="E73" s="192">
        <f>C73/C78</f>
        <v>1.8476666288192187</v>
      </c>
      <c r="F73" s="192">
        <f>D73/D78</f>
        <v>1.7165408518405476</v>
      </c>
      <c r="J73" s="290"/>
    </row>
    <row r="74" spans="2:11">
      <c r="B74" s="78" t="s">
        <v>18</v>
      </c>
      <c r="C74" s="207">
        <f>Model!BB$126</f>
        <v>6.42</v>
      </c>
      <c r="D74" s="207">
        <f>C74*$J60</f>
        <v>0.14441992455071231</v>
      </c>
      <c r="E74" s="191"/>
      <c r="F74" s="191"/>
      <c r="J74" s="291"/>
    </row>
    <row r="75" spans="2:11">
      <c r="B75" s="116" t="s">
        <v>19</v>
      </c>
      <c r="C75" s="208">
        <f>C73-C74</f>
        <v>34020.277000000002</v>
      </c>
      <c r="D75" s="208">
        <f>D73-D74</f>
        <v>765.29685942902404</v>
      </c>
      <c r="E75" s="192">
        <f>C75/C78</f>
        <v>1.8473180196151866</v>
      </c>
      <c r="F75" s="192">
        <f>D75/D78</f>
        <v>1.7162169828423661</v>
      </c>
    </row>
    <row r="76" spans="2:11">
      <c r="B76" s="78" t="s">
        <v>20</v>
      </c>
      <c r="C76" s="205">
        <f>Model!BB$133</f>
        <v>43301.841999999997</v>
      </c>
      <c r="D76" s="205">
        <f>C76*J60</f>
        <v>974.08859105091358</v>
      </c>
    </row>
    <row r="77" spans="2:11">
      <c r="B77" s="75" t="s">
        <v>21</v>
      </c>
      <c r="C77" s="193">
        <f>C76+C75</f>
        <v>77322.119000000006</v>
      </c>
      <c r="D77" s="193">
        <f>D76+D75</f>
        <v>1739.3854504799376</v>
      </c>
    </row>
    <row r="78" spans="2:11">
      <c r="B78" s="78" t="s">
        <v>22</v>
      </c>
      <c r="C78" s="205">
        <f>Model!BB$90</f>
        <v>18416.037</v>
      </c>
      <c r="D78" s="205">
        <f>C78*$J61</f>
        <v>445.92080551583507</v>
      </c>
      <c r="G78" s="256"/>
    </row>
    <row r="79" spans="2:11">
      <c r="B79" s="337" t="s">
        <v>23</v>
      </c>
      <c r="C79" s="338">
        <f>+C71-Model!BB$123</f>
        <v>0</v>
      </c>
    </row>
    <row r="80" spans="2:11">
      <c r="B80" s="337"/>
      <c r="C80" s="338"/>
    </row>
    <row r="81" spans="2:6" ht="13.5" thickBot="1">
      <c r="B81" s="337"/>
      <c r="C81" s="338"/>
    </row>
    <row r="82" spans="2:6">
      <c r="B82" s="280" t="s">
        <v>24</v>
      </c>
      <c r="C82" s="281" t="s">
        <v>25</v>
      </c>
      <c r="D82" s="282" t="s">
        <v>5</v>
      </c>
    </row>
    <row r="83" spans="2:6">
      <c r="B83" s="81" t="s">
        <v>26</v>
      </c>
      <c r="C83" s="194">
        <v>3.4510000000000001</v>
      </c>
      <c r="D83" s="197">
        <f>C83*$J60</f>
        <v>7.7631333274845518E-2</v>
      </c>
    </row>
    <row r="84" spans="2:6">
      <c r="B84" s="81" t="s">
        <v>27</v>
      </c>
      <c r="C84" s="194">
        <v>2613.59</v>
      </c>
      <c r="D84" s="197">
        <f>C84*$J60</f>
        <v>58.793531247117791</v>
      </c>
    </row>
    <row r="85" spans="2:6">
      <c r="B85" s="81" t="s">
        <v>28</v>
      </c>
      <c r="C85" s="194">
        <v>20734.734</v>
      </c>
      <c r="D85" s="197">
        <f>C85*$J60</f>
        <v>466.43438004035659</v>
      </c>
    </row>
    <row r="86" spans="2:6">
      <c r="B86" s="81" t="s">
        <v>29</v>
      </c>
      <c r="C86" s="194">
        <v>-33.091999999999999</v>
      </c>
      <c r="D86" s="197">
        <f>C86*$J60</f>
        <v>-0.74441497558133518</v>
      </c>
    </row>
    <row r="87" spans="2:6" ht="13.5" thickBot="1">
      <c r="B87" s="83" t="s">
        <v>30</v>
      </c>
      <c r="C87" s="199">
        <f>SUM(C83:C86)</f>
        <v>23318.683000000001</v>
      </c>
      <c r="D87" s="200">
        <f>SUM(D83:D86)</f>
        <v>524.56112764516786</v>
      </c>
    </row>
    <row r="88" spans="2:6">
      <c r="B88" s="337" t="s">
        <v>23</v>
      </c>
      <c r="C88" s="349">
        <f>C87-C72</f>
        <v>0</v>
      </c>
    </row>
    <row r="89" spans="2:6">
      <c r="B89" s="258"/>
      <c r="C89" s="263"/>
    </row>
    <row r="90" spans="2:6" ht="13.5" thickBot="1"/>
    <row r="91" spans="2:6" ht="25.5">
      <c r="B91" s="280" t="s">
        <v>31</v>
      </c>
      <c r="C91" s="343" t="str">
        <f>C63</f>
        <v>TRY mn</v>
      </c>
      <c r="D91" s="343" t="str">
        <f>D63</f>
        <v>USD mn</v>
      </c>
      <c r="E91" s="281" t="s">
        <v>32</v>
      </c>
    </row>
    <row r="92" spans="2:6">
      <c r="B92" s="143" t="s">
        <v>33</v>
      </c>
      <c r="C92" s="203">
        <f>SUM(C93:C94)</f>
        <v>0</v>
      </c>
      <c r="D92" s="201">
        <f>SUM(D93:D94)</f>
        <v>0</v>
      </c>
      <c r="E92" s="340">
        <f>C92/$C$98</f>
        <v>0</v>
      </c>
    </row>
    <row r="93" spans="2:6">
      <c r="B93" s="142" t="s">
        <v>34</v>
      </c>
      <c r="C93" s="211">
        <v>0</v>
      </c>
      <c r="D93" s="197">
        <f>C93*$J60</f>
        <v>0</v>
      </c>
      <c r="E93" s="341"/>
    </row>
    <row r="94" spans="2:6">
      <c r="B94" s="142" t="s">
        <v>35</v>
      </c>
      <c r="C94" s="211">
        <v>0</v>
      </c>
      <c r="D94" s="197">
        <f>C94*$J60</f>
        <v>0</v>
      </c>
      <c r="E94" s="341"/>
    </row>
    <row r="95" spans="2:6">
      <c r="B95" s="143" t="s">
        <v>36</v>
      </c>
      <c r="C95" s="203">
        <f>SUM(C96:C97)</f>
        <v>57345.380000000005</v>
      </c>
      <c r="D95" s="201">
        <f>SUM(D96:D97)</f>
        <v>1290.0024069987426</v>
      </c>
      <c r="E95" s="340">
        <f>C95/$C$98</f>
        <v>1</v>
      </c>
      <c r="F95" s="262"/>
    </row>
    <row r="96" spans="2:6">
      <c r="B96" s="142" t="s">
        <v>34</v>
      </c>
      <c r="C96" s="215">
        <f>2431.623+14981.209+124.771</f>
        <v>17537.603000000003</v>
      </c>
      <c r="D96" s="197">
        <f>C96*$J60</f>
        <v>394.51390997824711</v>
      </c>
      <c r="E96" s="341"/>
      <c r="F96" s="262"/>
    </row>
    <row r="97" spans="2:6">
      <c r="B97" s="142" t="s">
        <v>35</v>
      </c>
      <c r="C97" s="215">
        <f>31252.294+8426.04+129.443</f>
        <v>39807.777000000002</v>
      </c>
      <c r="D97" s="197">
        <f>C97*$J60</f>
        <v>895.48849702049552</v>
      </c>
      <c r="E97" s="341"/>
    </row>
    <row r="98" spans="2:6" ht="13.5" thickBot="1">
      <c r="B98" s="83" t="s">
        <v>37</v>
      </c>
      <c r="C98" s="199">
        <f>SUM(C92+C95)</f>
        <v>57345.380000000005</v>
      </c>
      <c r="D98" s="200">
        <f>SUM(D92+D95)</f>
        <v>1290.0024069987426</v>
      </c>
      <c r="E98" s="342">
        <f>SUM(E92+E95)</f>
        <v>1</v>
      </c>
    </row>
    <row r="99" spans="2:6">
      <c r="B99" s="337" t="s">
        <v>23</v>
      </c>
      <c r="C99" s="339">
        <f>C98-C71-C66</f>
        <v>0</v>
      </c>
    </row>
    <row r="100" spans="2:6">
      <c r="B100" s="258"/>
      <c r="C100" s="263"/>
    </row>
    <row r="101" spans="2:6" ht="13.5" thickBot="1">
      <c r="B101" s="258"/>
    </row>
    <row r="102" spans="2:6" ht="25.5">
      <c r="B102" s="283" t="s">
        <v>38</v>
      </c>
      <c r="C102" s="343" t="str">
        <f>C63</f>
        <v>TRY mn</v>
      </c>
      <c r="D102" s="343" t="str">
        <f>D63</f>
        <v>USD mn</v>
      </c>
    </row>
    <row r="103" spans="2:6">
      <c r="B103" s="344" t="s">
        <v>52</v>
      </c>
      <c r="C103" s="215">
        <v>12491.954</v>
      </c>
      <c r="D103" s="197">
        <f>C103*J60</f>
        <v>281.01044457491724</v>
      </c>
    </row>
    <row r="104" spans="2:6">
      <c r="B104" s="344"/>
      <c r="C104" s="346"/>
      <c r="D104" s="345"/>
    </row>
    <row r="105" spans="2:6">
      <c r="B105" s="171" t="s">
        <v>40</v>
      </c>
      <c r="C105" s="194">
        <v>5045.6490000000003</v>
      </c>
      <c r="D105" s="197">
        <f>C105*$J60</f>
        <v>113.50346540332977</v>
      </c>
    </row>
    <row r="106" spans="2:6">
      <c r="B106" s="171" t="s">
        <v>41</v>
      </c>
      <c r="C106" s="194">
        <v>2786.5720000000001</v>
      </c>
      <c r="D106" s="197">
        <f>C106*$J60</f>
        <v>62.684815887091517</v>
      </c>
    </row>
    <row r="107" spans="2:6">
      <c r="B107" s="171" t="s">
        <v>42</v>
      </c>
      <c r="C107" s="194">
        <v>2530.4850000000001</v>
      </c>
      <c r="D107" s="197">
        <f>C107*$J60</f>
        <v>56.924058064907989</v>
      </c>
    </row>
    <row r="108" spans="2:6">
      <c r="B108" s="171" t="s">
        <v>43</v>
      </c>
      <c r="C108" s="195">
        <v>2308.9160000000002</v>
      </c>
      <c r="D108" s="197">
        <f>C108*$J60</f>
        <v>51.939793537995719</v>
      </c>
    </row>
    <row r="109" spans="2:6">
      <c r="B109" s="171" t="s">
        <v>44</v>
      </c>
      <c r="C109" s="195">
        <v>15682.324000000001</v>
      </c>
      <c r="D109" s="197">
        <f>C109*$J60</f>
        <v>352.77882380994157</v>
      </c>
    </row>
    <row r="110" spans="2:6">
      <c r="B110" s="172" t="s">
        <v>45</v>
      </c>
      <c r="C110" s="195">
        <v>16499.48</v>
      </c>
      <c r="D110" s="197">
        <f>C110*$J60</f>
        <v>371.16100572055871</v>
      </c>
    </row>
    <row r="111" spans="2:6" ht="13.5" thickBot="1">
      <c r="B111" s="348" t="s">
        <v>46</v>
      </c>
      <c r="C111" s="199">
        <f>SUM(C103:C110)</f>
        <v>57345.380000000005</v>
      </c>
      <c r="D111" s="199">
        <f>SUM(D103:D110)</f>
        <v>1290.0024069987426</v>
      </c>
    </row>
    <row r="112" spans="2:6">
      <c r="B112" s="337" t="s">
        <v>23</v>
      </c>
      <c r="C112" s="347">
        <f>C111-C98+C66+C70</f>
        <v>0</v>
      </c>
      <c r="E112" s="262"/>
      <c r="F112" s="256"/>
    </row>
    <row r="113" spans="1:11">
      <c r="B113" s="258"/>
      <c r="C113" s="264"/>
      <c r="E113" s="262"/>
      <c r="F113" s="256"/>
    </row>
    <row r="114" spans="1:11">
      <c r="B114" s="258"/>
      <c r="C114" s="263"/>
    </row>
    <row r="115" spans="1:11">
      <c r="B115" s="258"/>
      <c r="C115" s="263"/>
    </row>
    <row r="117" spans="1:11">
      <c r="A117" s="245" t="s">
        <v>53</v>
      </c>
      <c r="I117" s="75" t="s">
        <v>54</v>
      </c>
      <c r="J117" s="246">
        <f>Model!BA$215</f>
        <v>2.4047016727104836E-2</v>
      </c>
    </row>
    <row r="118" spans="1:11">
      <c r="I118" s="76" t="s">
        <v>55</v>
      </c>
      <c r="J118" s="246">
        <f>Model!BA$216</f>
        <v>2.665675844046269E-2</v>
      </c>
    </row>
    <row r="119" spans="1:11" ht="13.5" thickBot="1">
      <c r="I119" s="76"/>
      <c r="J119" s="246"/>
    </row>
    <row r="120" spans="1:11">
      <c r="B120" s="275" t="s">
        <v>56</v>
      </c>
      <c r="C120" s="276" t="s">
        <v>25</v>
      </c>
      <c r="D120" s="276" t="s">
        <v>5</v>
      </c>
      <c r="E120" s="277" t="s">
        <v>57</v>
      </c>
      <c r="F120" s="278" t="s">
        <v>7</v>
      </c>
      <c r="I120" s="292" t="s">
        <v>8</v>
      </c>
      <c r="J120" s="293" t="s">
        <v>9</v>
      </c>
    </row>
    <row r="121" spans="1:11" ht="13.5" thickBot="1">
      <c r="B121" s="124" t="s">
        <v>10</v>
      </c>
      <c r="C121" s="193">
        <f>SUM(C122:C123)</f>
        <v>46959.270999999993</v>
      </c>
      <c r="D121" s="193">
        <f>SUM(D122:D123)</f>
        <v>1129.2303752296489</v>
      </c>
      <c r="I121" s="268" t="s">
        <v>11</v>
      </c>
      <c r="J121" s="305">
        <v>1.76</v>
      </c>
    </row>
    <row r="122" spans="1:11">
      <c r="B122" s="111" t="s">
        <v>12</v>
      </c>
      <c r="C122" s="204">
        <f>Model!BA$111-C123</f>
        <v>46959.214999999997</v>
      </c>
      <c r="D122" s="205">
        <f>C122*$J117</f>
        <v>1129.2290285967122</v>
      </c>
      <c r="J122" s="287"/>
    </row>
    <row r="123" spans="1:11">
      <c r="B123" s="78" t="s">
        <v>13</v>
      </c>
      <c r="C123" s="204">
        <f>Model!BA$116</f>
        <v>5.6000000000000001E-2</v>
      </c>
      <c r="D123" s="205">
        <f>C123*$J117</f>
        <v>1.3466329367178708E-3</v>
      </c>
      <c r="J123" s="288"/>
    </row>
    <row r="124" spans="1:11">
      <c r="B124" s="124" t="s">
        <v>14</v>
      </c>
      <c r="C124" s="193">
        <f>SUM(C125:C126)</f>
        <v>21513.932000000001</v>
      </c>
      <c r="D124" s="193">
        <f>SUM(D125:D126)</f>
        <v>517.34588266979597</v>
      </c>
      <c r="J124" s="289"/>
    </row>
    <row r="125" spans="1:11">
      <c r="B125" s="111" t="s">
        <v>12</v>
      </c>
      <c r="C125" s="279">
        <f>Model!BA$112</f>
        <v>21513.932000000001</v>
      </c>
      <c r="D125" s="205">
        <f>C125*$J117</f>
        <v>517.34588266979597</v>
      </c>
      <c r="I125" s="78"/>
    </row>
    <row r="126" spans="1:11">
      <c r="B126" s="78" t="s">
        <v>13</v>
      </c>
      <c r="C126" s="204">
        <f>Model!BA$117</f>
        <v>0</v>
      </c>
      <c r="D126" s="205">
        <f>C126*$J117</f>
        <v>0</v>
      </c>
      <c r="I126" s="245"/>
      <c r="J126" s="256"/>
    </row>
    <row r="127" spans="1:11">
      <c r="B127" s="116" t="s">
        <v>15</v>
      </c>
      <c r="C127" s="208">
        <f>C121+C124</f>
        <v>68473.202999999994</v>
      </c>
      <c r="D127" s="208">
        <f>D121+D124</f>
        <v>1646.576257899445</v>
      </c>
      <c r="E127" s="192">
        <f>C127/C134</f>
        <v>3.5837252680484881</v>
      </c>
      <c r="F127" s="192">
        <f>D127/D134</f>
        <v>3.23287250618213</v>
      </c>
      <c r="J127" s="290"/>
    </row>
    <row r="128" spans="1:11">
      <c r="B128" s="78" t="s">
        <v>16</v>
      </c>
      <c r="C128" s="207">
        <f>Model!BA$125</f>
        <v>29570.256000000001</v>
      </c>
      <c r="D128" s="207">
        <f>C128*$J117</f>
        <v>711.07644065677221</v>
      </c>
      <c r="E128" s="191"/>
      <c r="F128" s="191"/>
      <c r="J128" s="290"/>
      <c r="K128" s="256"/>
    </row>
    <row r="129" spans="2:10">
      <c r="B129" s="116" t="s">
        <v>17</v>
      </c>
      <c r="C129" s="208">
        <f>C127-C128</f>
        <v>38902.946999999993</v>
      </c>
      <c r="D129" s="208">
        <f>D127-D128</f>
        <v>935.49981724267275</v>
      </c>
      <c r="E129" s="192">
        <f>C129/C134</f>
        <v>2.036088105378262</v>
      </c>
      <c r="F129" s="192">
        <f>D129/D134</f>
        <v>1.8367516379474838</v>
      </c>
      <c r="J129" s="290"/>
    </row>
    <row r="130" spans="2:10">
      <c r="B130" s="78" t="s">
        <v>18</v>
      </c>
      <c r="C130" s="207">
        <f>Model!BA$126</f>
        <v>6.2450000000000001</v>
      </c>
      <c r="D130" s="207">
        <f>C130*$J117</f>
        <v>0.15017361946076971</v>
      </c>
      <c r="E130" s="191"/>
      <c r="F130" s="191"/>
      <c r="J130" s="291"/>
    </row>
    <row r="131" spans="2:10">
      <c r="B131" s="116" t="s">
        <v>19</v>
      </c>
      <c r="C131" s="208">
        <f>C129-C130</f>
        <v>38896.70199999999</v>
      </c>
      <c r="D131" s="208">
        <f>D129-D130</f>
        <v>935.34964362321193</v>
      </c>
      <c r="E131" s="192">
        <f>C131/C134</f>
        <v>2.035761256869379</v>
      </c>
      <c r="F131" s="192">
        <f>D131/D134</f>
        <v>1.8364567884601433</v>
      </c>
    </row>
    <row r="132" spans="2:10">
      <c r="B132" s="78" t="s">
        <v>20</v>
      </c>
      <c r="C132" s="205">
        <f>Model!BA$133</f>
        <v>42583.578000000001</v>
      </c>
      <c r="D132" s="205">
        <f>C132*J117</f>
        <v>1024.0080124659735</v>
      </c>
    </row>
    <row r="133" spans="2:10">
      <c r="B133" s="75" t="s">
        <v>21</v>
      </c>
      <c r="C133" s="193">
        <f>C132+C131</f>
        <v>81480.28</v>
      </c>
      <c r="D133" s="193">
        <f>D132+D131</f>
        <v>1959.3576560891854</v>
      </c>
    </row>
    <row r="134" spans="2:10">
      <c r="B134" s="78" t="s">
        <v>22</v>
      </c>
      <c r="C134" s="205">
        <f>Model!BA$90</f>
        <v>19106.710999999999</v>
      </c>
      <c r="D134" s="205">
        <f>C134*$J118</f>
        <v>509.32297971873129</v>
      </c>
      <c r="G134" s="256"/>
    </row>
    <row r="135" spans="2:10">
      <c r="B135" s="258" t="s">
        <v>23</v>
      </c>
      <c r="C135" s="259">
        <f>+C127-Model!BA$123</f>
        <v>0</v>
      </c>
    </row>
    <row r="136" spans="2:10" ht="13.5" thickBot="1"/>
    <row r="137" spans="2:10" ht="25.5">
      <c r="B137" s="280" t="s">
        <v>31</v>
      </c>
      <c r="C137" s="281" t="s">
        <v>25</v>
      </c>
      <c r="D137" s="282" t="s">
        <v>5</v>
      </c>
      <c r="E137" s="281" t="s">
        <v>32</v>
      </c>
    </row>
    <row r="138" spans="2:10">
      <c r="B138" s="143" t="s">
        <v>33</v>
      </c>
      <c r="C138" s="203">
        <f>SUM(C139:C140)</f>
        <v>5.6000000000000001E-2</v>
      </c>
      <c r="D138" s="201">
        <f>SUM(D139:D140)</f>
        <v>1.3466329367178708E-3</v>
      </c>
      <c r="E138" s="285">
        <f>C138/$C$144</f>
        <v>8.1783751522619947E-7</v>
      </c>
    </row>
    <row r="139" spans="2:10">
      <c r="B139" s="142" t="s">
        <v>34</v>
      </c>
      <c r="C139" s="211">
        <v>5.6000000000000001E-2</v>
      </c>
      <c r="D139" s="197">
        <f>C139*$J117</f>
        <v>1.3466329367178708E-3</v>
      </c>
      <c r="E139" s="284"/>
    </row>
    <row r="140" spans="2:10">
      <c r="B140" s="142" t="s">
        <v>35</v>
      </c>
      <c r="C140" s="211">
        <v>0</v>
      </c>
      <c r="D140" s="197">
        <f>C140*$J117</f>
        <v>0</v>
      </c>
      <c r="E140" s="284"/>
    </row>
    <row r="141" spans="2:10">
      <c r="B141" s="143" t="s">
        <v>36</v>
      </c>
      <c r="C141" s="203">
        <f>SUM(C142:C143)</f>
        <v>68473.203000000009</v>
      </c>
      <c r="D141" s="201">
        <f>SUM(D142:D143)</f>
        <v>1646.576257899445</v>
      </c>
      <c r="E141" s="285">
        <f>C141/$C$144</f>
        <v>0.99999918216248485</v>
      </c>
      <c r="F141" s="262"/>
    </row>
    <row r="142" spans="2:10">
      <c r="B142" s="142" t="s">
        <v>34</v>
      </c>
      <c r="C142" s="215">
        <f>(12872491+33904864+15153+166763)/1000</f>
        <v>46959.271000000001</v>
      </c>
      <c r="D142" s="197">
        <f>C142*$J117</f>
        <v>1129.2303752296491</v>
      </c>
      <c r="E142" s="284"/>
      <c r="F142" s="262"/>
    </row>
    <row r="143" spans="2:10">
      <c r="B143" s="142" t="s">
        <v>35</v>
      </c>
      <c r="C143" s="215">
        <f>(21395214+118718)/1000</f>
        <v>21513.932000000001</v>
      </c>
      <c r="D143" s="197">
        <f>C143*$J117</f>
        <v>517.34588266979597</v>
      </c>
      <c r="E143" s="284"/>
    </row>
    <row r="144" spans="2:10" ht="13.5" thickBot="1">
      <c r="B144" s="83" t="s">
        <v>37</v>
      </c>
      <c r="C144" s="199">
        <f>SUM(C138+C141)</f>
        <v>68473.259000000005</v>
      </c>
      <c r="D144" s="200">
        <f>SUM(D138+D141)</f>
        <v>1646.5776045323817</v>
      </c>
      <c r="E144" s="286">
        <f>SUM(E138+E141)</f>
        <v>1</v>
      </c>
    </row>
    <row r="145" spans="2:4">
      <c r="B145" s="258" t="s">
        <v>23</v>
      </c>
      <c r="C145" s="263">
        <f>C144-C127-C123</f>
        <v>1.1408700373305436E-11</v>
      </c>
    </row>
    <row r="146" spans="2:4" ht="13.5" thickBot="1">
      <c r="B146" s="258"/>
    </row>
    <row r="147" spans="2:4">
      <c r="B147" s="280" t="s">
        <v>24</v>
      </c>
      <c r="C147" s="281" t="s">
        <v>25</v>
      </c>
      <c r="D147" s="282" t="s">
        <v>5</v>
      </c>
    </row>
    <row r="148" spans="2:4">
      <c r="B148" s="81" t="s">
        <v>26</v>
      </c>
      <c r="C148" s="194">
        <v>3.2650000000000001</v>
      </c>
      <c r="D148" s="197">
        <f>C148*$J117</f>
        <v>7.8513509613997293E-2</v>
      </c>
    </row>
    <row r="149" spans="2:4">
      <c r="B149" s="81" t="s">
        <v>27</v>
      </c>
      <c r="C149" s="194">
        <v>1541.5060000000001</v>
      </c>
      <c r="D149" s="197">
        <f>C149*$J117</f>
        <v>37.068620566932466</v>
      </c>
    </row>
    <row r="150" spans="2:4">
      <c r="B150" s="81" t="s">
        <v>28</v>
      </c>
      <c r="C150" s="194">
        <v>28093.155999999999</v>
      </c>
      <c r="D150" s="197">
        <f>C150*$J117</f>
        <v>675.55659224916553</v>
      </c>
    </row>
    <row r="151" spans="2:4">
      <c r="B151" s="81" t="s">
        <v>29</v>
      </c>
      <c r="C151" s="194">
        <v>-67.671000000000006</v>
      </c>
      <c r="D151" s="197">
        <f>C151*$J117</f>
        <v>-1.6272856689399116</v>
      </c>
    </row>
    <row r="152" spans="2:4" ht="13.5" thickBot="1">
      <c r="B152" s="83" t="s">
        <v>30</v>
      </c>
      <c r="C152" s="199">
        <f>SUM(C148:C151)</f>
        <v>29570.256000000001</v>
      </c>
      <c r="D152" s="200">
        <f>SUM(D148:D151)</f>
        <v>711.07644065677209</v>
      </c>
    </row>
    <row r="153" spans="2:4">
      <c r="B153" s="258" t="s">
        <v>23</v>
      </c>
      <c r="C153" s="263">
        <f>C152-C128</f>
        <v>0</v>
      </c>
    </row>
    <row r="154" spans="2:4" ht="13.5" thickBot="1">
      <c r="B154" s="258"/>
    </row>
    <row r="155" spans="2:4" ht="25.5">
      <c r="B155" s="283" t="s">
        <v>58</v>
      </c>
      <c r="C155" s="281" t="s">
        <v>25</v>
      </c>
      <c r="D155" s="282" t="s">
        <v>5</v>
      </c>
    </row>
    <row r="156" spans="2:4">
      <c r="B156" s="171" t="s">
        <v>40</v>
      </c>
      <c r="C156" s="194">
        <v>32454.155999999999</v>
      </c>
      <c r="D156" s="197">
        <f>C156*$J117</f>
        <v>780.42563219606973</v>
      </c>
    </row>
    <row r="157" spans="2:4">
      <c r="B157" s="171" t="s">
        <v>41</v>
      </c>
      <c r="C157" s="194">
        <v>1709.2159999999999</v>
      </c>
      <c r="D157" s="197">
        <f>C157*$J117</f>
        <v>41.101545742235217</v>
      </c>
    </row>
    <row r="158" spans="2:4">
      <c r="B158" s="171" t="s">
        <v>42</v>
      </c>
      <c r="C158" s="194">
        <v>1521.596</v>
      </c>
      <c r="D158" s="197">
        <f>C158*$J117</f>
        <v>36.589844463895808</v>
      </c>
    </row>
    <row r="159" spans="2:4">
      <c r="B159" s="171" t="s">
        <v>43</v>
      </c>
      <c r="C159" s="195">
        <v>1362.59</v>
      </c>
      <c r="D159" s="197">
        <f>C159*$J117</f>
        <v>32.766224522185773</v>
      </c>
    </row>
    <row r="160" spans="2:4">
      <c r="B160" s="171" t="s">
        <v>44</v>
      </c>
      <c r="C160" s="195">
        <v>1259.5540000000001</v>
      </c>
      <c r="D160" s="197">
        <f>C160*$J117</f>
        <v>30.288516106691805</v>
      </c>
    </row>
    <row r="161" spans="1:10">
      <c r="B161" s="172" t="s">
        <v>45</v>
      </c>
      <c r="C161" s="195">
        <v>15660.976000000001</v>
      </c>
      <c r="D161" s="197">
        <f>C161*$J117</f>
        <v>376.59975183478741</v>
      </c>
    </row>
    <row r="162" spans="1:10" ht="13.5" thickBot="1">
      <c r="B162" s="173" t="s">
        <v>46</v>
      </c>
      <c r="C162" s="196">
        <f>SUM(C156:C161)</f>
        <v>53968.087999999996</v>
      </c>
      <c r="D162" s="198">
        <f>SUM(D156:D161)</f>
        <v>1297.7715148658658</v>
      </c>
    </row>
    <row r="163" spans="1:10">
      <c r="B163" s="258" t="s">
        <v>23</v>
      </c>
      <c r="C163" s="264">
        <f>C162-C144+C123+C126+14505.115</f>
        <v>0</v>
      </c>
      <c r="E163" s="262"/>
      <c r="F163" s="256"/>
    </row>
    <row r="164" spans="1:10" ht="13.5" thickBot="1">
      <c r="B164" s="258"/>
    </row>
    <row r="165" spans="1:10">
      <c r="B165" s="280" t="s">
        <v>59</v>
      </c>
      <c r="C165" s="281" t="s">
        <v>25</v>
      </c>
      <c r="D165" s="282" t="s">
        <v>5</v>
      </c>
    </row>
    <row r="166" spans="1:10">
      <c r="B166" s="132" t="s">
        <v>40</v>
      </c>
      <c r="C166" s="194">
        <v>5.6000000000000001E-2</v>
      </c>
      <c r="D166" s="197">
        <f>C166*J117</f>
        <v>1.3466329367178708E-3</v>
      </c>
    </row>
    <row r="167" spans="1:10" ht="13.5" thickBot="1">
      <c r="B167" s="174" t="s">
        <v>46</v>
      </c>
      <c r="C167" s="199">
        <f>SUM(C166:C166)</f>
        <v>5.6000000000000001E-2</v>
      </c>
      <c r="D167" s="200">
        <f>SUM(D166:D166)</f>
        <v>1.3466329367178708E-3</v>
      </c>
    </row>
    <row r="168" spans="1:10">
      <c r="B168" s="258" t="s">
        <v>23</v>
      </c>
      <c r="C168" s="263">
        <f>C167-C123-C126</f>
        <v>0</v>
      </c>
    </row>
    <row r="169" spans="1:10">
      <c r="B169" s="258"/>
      <c r="C169" s="263"/>
    </row>
    <row r="170" spans="1:10">
      <c r="B170" s="258"/>
      <c r="C170" s="263"/>
    </row>
    <row r="171" spans="1:10">
      <c r="B171" s="258"/>
      <c r="C171" s="263"/>
    </row>
    <row r="172" spans="1:10">
      <c r="B172" s="258"/>
      <c r="C172" s="263"/>
    </row>
    <row r="173" spans="1:10">
      <c r="B173" s="258"/>
      <c r="C173" s="263"/>
    </row>
    <row r="174" spans="1:10">
      <c r="B174" s="258"/>
      <c r="C174" s="265"/>
    </row>
    <row r="175" spans="1:10">
      <c r="A175" s="245" t="s">
        <v>60</v>
      </c>
      <c r="I175" s="75" t="s">
        <v>61</v>
      </c>
      <c r="J175" s="246">
        <f>Model!AZ$215</f>
        <v>2.5117045431711775E-2</v>
      </c>
    </row>
    <row r="176" spans="1:10">
      <c r="I176" s="76" t="s">
        <v>62</v>
      </c>
      <c r="J176" s="246">
        <f>Model!AZ$216</f>
        <v>2.7990491742301001E-2</v>
      </c>
    </row>
    <row r="177" spans="2:11" ht="13.5" thickBot="1">
      <c r="I177" s="76"/>
      <c r="J177" s="246"/>
    </row>
    <row r="178" spans="2:11">
      <c r="B178" s="275" t="s">
        <v>63</v>
      </c>
      <c r="C178" s="276" t="s">
        <v>25</v>
      </c>
      <c r="D178" s="276" t="s">
        <v>5</v>
      </c>
      <c r="E178" s="277" t="s">
        <v>57</v>
      </c>
      <c r="F178" s="278" t="s">
        <v>7</v>
      </c>
      <c r="I178" s="292" t="s">
        <v>8</v>
      </c>
      <c r="J178" s="293" t="s">
        <v>9</v>
      </c>
    </row>
    <row r="179" spans="2:11" ht="13.5" thickBot="1">
      <c r="B179" s="124" t="s">
        <v>10</v>
      </c>
      <c r="C179" s="193">
        <f>SUM(C180:C181)</f>
        <v>44407.71</v>
      </c>
      <c r="D179" s="193">
        <f>SUM(D180:D181)</f>
        <v>1115.3904695882813</v>
      </c>
      <c r="I179" s="268" t="s">
        <v>64</v>
      </c>
      <c r="J179" s="269" t="s">
        <v>65</v>
      </c>
    </row>
    <row r="180" spans="2:11">
      <c r="B180" s="111" t="s">
        <v>12</v>
      </c>
      <c r="C180" s="204">
        <f>Model!AZ$111-C181</f>
        <v>44407.157999999996</v>
      </c>
      <c r="D180" s="205">
        <f>C180*$J175</f>
        <v>1115.376604979203</v>
      </c>
      <c r="J180" s="287"/>
    </row>
    <row r="181" spans="2:11">
      <c r="B181" s="78" t="s">
        <v>13</v>
      </c>
      <c r="C181" s="204">
        <f>Model!AZ$116</f>
        <v>0.55200000000000005</v>
      </c>
      <c r="D181" s="205">
        <f>C181*$J175</f>
        <v>1.3864609078304901E-2</v>
      </c>
      <c r="J181" s="288"/>
    </row>
    <row r="182" spans="2:11">
      <c r="B182" s="124" t="s">
        <v>14</v>
      </c>
      <c r="C182" s="193">
        <f>SUM(C183:C184)</f>
        <v>20879.281999999999</v>
      </c>
      <c r="D182" s="193">
        <f>SUM(D183:D184)</f>
        <v>524.4258745755219</v>
      </c>
      <c r="J182" s="289"/>
    </row>
    <row r="183" spans="2:11">
      <c r="B183" s="111" t="s">
        <v>12</v>
      </c>
      <c r="C183" s="279">
        <f>Model!AZ$112</f>
        <v>20879.281999999999</v>
      </c>
      <c r="D183" s="205">
        <f>C183*$J175</f>
        <v>524.4258745755219</v>
      </c>
      <c r="I183" s="78"/>
    </row>
    <row r="184" spans="2:11">
      <c r="B184" s="78" t="s">
        <v>13</v>
      </c>
      <c r="C184" s="204">
        <f>Model!AZ$117</f>
        <v>0</v>
      </c>
      <c r="D184" s="205">
        <f>C184*$J175</f>
        <v>0</v>
      </c>
      <c r="I184" s="245"/>
      <c r="J184" s="256"/>
    </row>
    <row r="185" spans="2:11">
      <c r="B185" s="116" t="s">
        <v>15</v>
      </c>
      <c r="C185" s="208">
        <f>C179+C182</f>
        <v>65286.991999999998</v>
      </c>
      <c r="D185" s="208">
        <f>D179+D182</f>
        <v>1639.8163441638033</v>
      </c>
      <c r="E185" s="192">
        <f>C185/C192</f>
        <v>3.7382495517071717</v>
      </c>
      <c r="F185" s="192">
        <f>D185/D192</f>
        <v>3.3544885416717056</v>
      </c>
      <c r="J185" s="290"/>
    </row>
    <row r="186" spans="2:11">
      <c r="B186" s="78" t="s">
        <v>16</v>
      </c>
      <c r="C186" s="207">
        <f>Model!AZ$125</f>
        <v>27391.387999999999</v>
      </c>
      <c r="D186" s="207">
        <f>C186*$J175</f>
        <v>687.99073683364475</v>
      </c>
      <c r="E186" s="191"/>
      <c r="F186" s="191"/>
      <c r="J186" s="290"/>
      <c r="K186" s="256"/>
    </row>
    <row r="187" spans="2:11">
      <c r="B187" s="116" t="s">
        <v>17</v>
      </c>
      <c r="C187" s="208">
        <f>C185-C186</f>
        <v>37895.603999999999</v>
      </c>
      <c r="D187" s="208">
        <f>D185-D186</f>
        <v>951.8256073301585</v>
      </c>
      <c r="E187" s="192">
        <f>C187/C192</f>
        <v>2.1698537537871632</v>
      </c>
      <c r="F187" s="192">
        <f>D187/D192</f>
        <v>1.9471010304430698</v>
      </c>
      <c r="J187" s="290"/>
    </row>
    <row r="188" spans="2:11">
      <c r="B188" s="78" t="s">
        <v>18</v>
      </c>
      <c r="C188" s="207">
        <f>Model!AZ$126</f>
        <v>6.0209999999999999</v>
      </c>
      <c r="D188" s="207">
        <f>C188*$J175</f>
        <v>0.15122973054433658</v>
      </c>
      <c r="E188" s="191"/>
      <c r="F188" s="191"/>
      <c r="J188" s="291"/>
    </row>
    <row r="189" spans="2:11">
      <c r="B189" s="116" t="s">
        <v>19</v>
      </c>
      <c r="C189" s="208">
        <f>C187-C188</f>
        <v>37889.582999999999</v>
      </c>
      <c r="D189" s="208">
        <f>D187-D188</f>
        <v>951.67437759961422</v>
      </c>
      <c r="E189" s="192">
        <f>C189/C192</f>
        <v>2.1695089990379963</v>
      </c>
      <c r="F189" s="192">
        <f>D189/D192</f>
        <v>1.9467916675073507</v>
      </c>
    </row>
    <row r="190" spans="2:11">
      <c r="B190" s="78" t="s">
        <v>20</v>
      </c>
      <c r="C190" s="205">
        <f>Model!AZ$133</f>
        <v>38373.555</v>
      </c>
      <c r="D190" s="205">
        <f>C190*J175</f>
        <v>963.8303243112905</v>
      </c>
    </row>
    <row r="191" spans="2:11">
      <c r="B191" s="75" t="s">
        <v>21</v>
      </c>
      <c r="C191" s="193">
        <f>C190+C189</f>
        <v>76263.138000000006</v>
      </c>
      <c r="D191" s="193">
        <f>D190+D189</f>
        <v>1915.5047019109047</v>
      </c>
    </row>
    <row r="192" spans="2:11">
      <c r="B192" s="78" t="s">
        <v>22</v>
      </c>
      <c r="C192" s="205">
        <f>Model!AZ$90</f>
        <v>17464.589</v>
      </c>
      <c r="D192" s="205">
        <f>C192*$J176</f>
        <v>488.84243418718091</v>
      </c>
      <c r="G192" s="256"/>
    </row>
    <row r="193" spans="2:6">
      <c r="B193" s="258" t="s">
        <v>23</v>
      </c>
      <c r="C193" s="259">
        <f>+C185-Model!AZ$123</f>
        <v>0</v>
      </c>
    </row>
    <row r="194" spans="2:6" ht="13.5" thickBot="1"/>
    <row r="195" spans="2:6" ht="25.5">
      <c r="B195" s="280" t="s">
        <v>31</v>
      </c>
      <c r="C195" s="281" t="s">
        <v>25</v>
      </c>
      <c r="D195" s="282" t="s">
        <v>5</v>
      </c>
      <c r="E195" s="281" t="s">
        <v>32</v>
      </c>
    </row>
    <row r="196" spans="2:6">
      <c r="B196" s="143" t="s">
        <v>33</v>
      </c>
      <c r="C196" s="203">
        <f>SUM(C197:C198)</f>
        <v>0.55200000000000005</v>
      </c>
      <c r="D196" s="201">
        <f>SUM(D197:D198)</f>
        <v>1.3864609078304901E-2</v>
      </c>
      <c r="E196" s="285">
        <f>C196/$C$202</f>
        <v>8.4549767586167858E-6</v>
      </c>
    </row>
    <row r="197" spans="2:6">
      <c r="B197" s="142" t="s">
        <v>34</v>
      </c>
      <c r="C197" s="211">
        <v>0.55200000000000005</v>
      </c>
      <c r="D197" s="197">
        <f>C197*$J175</f>
        <v>1.3864609078304901E-2</v>
      </c>
      <c r="E197" s="284"/>
    </row>
    <row r="198" spans="2:6">
      <c r="B198" s="142" t="s">
        <v>35</v>
      </c>
      <c r="C198" s="211">
        <v>0</v>
      </c>
      <c r="D198" s="197">
        <f>C198*$J175</f>
        <v>0</v>
      </c>
      <c r="E198" s="284"/>
    </row>
    <row r="199" spans="2:6">
      <c r="B199" s="143" t="s">
        <v>36</v>
      </c>
      <c r="C199" s="203">
        <f>SUM(C200:C201)</f>
        <v>65286.44</v>
      </c>
      <c r="D199" s="201">
        <f>SUM(D200:D201)</f>
        <v>1639.8024795547251</v>
      </c>
      <c r="E199" s="285">
        <f>C199/$C$202</f>
        <v>0.99999154502324128</v>
      </c>
      <c r="F199" s="262"/>
    </row>
    <row r="200" spans="2:6">
      <c r="B200" s="142" t="s">
        <v>34</v>
      </c>
      <c r="C200" s="215">
        <f>(12123419+32048076+36010+200205-552)/1000</f>
        <v>44407.158000000003</v>
      </c>
      <c r="D200" s="197">
        <f>C200*$J175</f>
        <v>1115.3766049792032</v>
      </c>
      <c r="E200" s="284"/>
      <c r="F200" s="262"/>
    </row>
    <row r="201" spans="2:6">
      <c r="B201" s="142" t="s">
        <v>35</v>
      </c>
      <c r="C201" s="215">
        <v>20879.281999999999</v>
      </c>
      <c r="D201" s="197">
        <f>C201*$J175</f>
        <v>524.4258745755219</v>
      </c>
      <c r="E201" s="284"/>
    </row>
    <row r="202" spans="2:6" ht="13.5" thickBot="1">
      <c r="B202" s="83" t="s">
        <v>37</v>
      </c>
      <c r="C202" s="199">
        <f>SUM(C196+C199)</f>
        <v>65286.992000000006</v>
      </c>
      <c r="D202" s="200">
        <f>SUM(D196+D199)</f>
        <v>1639.8163441638035</v>
      </c>
      <c r="E202" s="286">
        <f>SUM(E196+E199)</f>
        <v>0.99999999999999989</v>
      </c>
    </row>
    <row r="203" spans="2:6">
      <c r="B203" s="258" t="s">
        <v>23</v>
      </c>
      <c r="C203" s="263">
        <f>C202-C185</f>
        <v>0</v>
      </c>
    </row>
    <row r="204" spans="2:6" ht="13.5" thickBot="1">
      <c r="B204" s="258"/>
    </row>
    <row r="205" spans="2:6">
      <c r="B205" s="280" t="s">
        <v>24</v>
      </c>
      <c r="C205" s="281" t="s">
        <v>25</v>
      </c>
      <c r="D205" s="282" t="s">
        <v>5</v>
      </c>
    </row>
    <row r="206" spans="2:6">
      <c r="B206" s="81" t="s">
        <v>26</v>
      </c>
      <c r="C206" s="194">
        <v>0.95899999999999996</v>
      </c>
      <c r="D206" s="197">
        <f>C206*$J175</f>
        <v>2.4087246569011591E-2</v>
      </c>
    </row>
    <row r="207" spans="2:6">
      <c r="B207" s="81" t="s">
        <v>27</v>
      </c>
      <c r="C207" s="194">
        <v>1308.617</v>
      </c>
      <c r="D207" s="197">
        <f>C207*$J175</f>
        <v>32.868592641710364</v>
      </c>
    </row>
    <row r="208" spans="2:6">
      <c r="B208" s="81" t="s">
        <v>28</v>
      </c>
      <c r="C208" s="194">
        <v>26167.095000000001</v>
      </c>
      <c r="D208" s="197">
        <f>C208*$J175</f>
        <v>657.24011393091803</v>
      </c>
    </row>
    <row r="209" spans="2:6">
      <c r="B209" s="81" t="s">
        <v>29</v>
      </c>
      <c r="C209" s="194">
        <v>-85.283000000000001</v>
      </c>
      <c r="D209" s="197">
        <f>C209*$J175</f>
        <v>-2.1420569855526752</v>
      </c>
    </row>
    <row r="210" spans="2:6" ht="13.5" thickBot="1">
      <c r="B210" s="83" t="s">
        <v>30</v>
      </c>
      <c r="C210" s="199">
        <f>SUM(C206:C209)</f>
        <v>27391.388000000003</v>
      </c>
      <c r="D210" s="200">
        <f>SUM(D206:D209)</f>
        <v>687.99073683364475</v>
      </c>
    </row>
    <row r="211" spans="2:6">
      <c r="B211" s="258" t="s">
        <v>23</v>
      </c>
      <c r="C211" s="263">
        <f>C210-C186</f>
        <v>0</v>
      </c>
    </row>
    <row r="212" spans="2:6" ht="13.5" thickBot="1">
      <c r="B212" s="258"/>
    </row>
    <row r="213" spans="2:6" ht="25.5">
      <c r="B213" s="283" t="s">
        <v>58</v>
      </c>
      <c r="C213" s="281" t="s">
        <v>25</v>
      </c>
      <c r="D213" s="282" t="s">
        <v>5</v>
      </c>
    </row>
    <row r="214" spans="2:6">
      <c r="B214" s="171" t="s">
        <v>40</v>
      </c>
      <c r="C214" s="194">
        <v>30402.566999999999</v>
      </c>
      <c r="D214" s="197">
        <f>C214*$J175</f>
        <v>763.62265657966111</v>
      </c>
    </row>
    <row r="215" spans="2:6">
      <c r="B215" s="171" t="s">
        <v>41</v>
      </c>
      <c r="C215" s="194">
        <v>1595.123</v>
      </c>
      <c r="D215" s="197">
        <f>C215*$J175</f>
        <v>40.064776860168379</v>
      </c>
    </row>
    <row r="216" spans="2:6">
      <c r="B216" s="171" t="s">
        <v>42</v>
      </c>
      <c r="C216" s="194">
        <v>1439.7919999999999</v>
      </c>
      <c r="D216" s="197">
        <f>C216*$J175</f>
        <v>36.163321076215155</v>
      </c>
    </row>
    <row r="217" spans="2:6">
      <c r="B217" s="171" t="s">
        <v>43</v>
      </c>
      <c r="C217" s="195">
        <v>1330.6310000000001</v>
      </c>
      <c r="D217" s="197">
        <f>C217*$J175</f>
        <v>33.42151927984407</v>
      </c>
    </row>
    <row r="218" spans="2:6">
      <c r="B218" s="171" t="s">
        <v>44</v>
      </c>
      <c r="C218" s="195">
        <v>1230.0119999999999</v>
      </c>
      <c r="D218" s="197">
        <f>C218*$J175</f>
        <v>30.894267285550661</v>
      </c>
    </row>
    <row r="219" spans="2:6">
      <c r="B219" s="172" t="s">
        <v>45</v>
      </c>
      <c r="C219" s="195">
        <v>15283.724</v>
      </c>
      <c r="D219" s="197">
        <f>C219*$J175</f>
        <v>383.88199007374362</v>
      </c>
    </row>
    <row r="220" spans="2:6" ht="13.5" thickBot="1">
      <c r="B220" s="173" t="s">
        <v>46</v>
      </c>
      <c r="C220" s="196">
        <f>SUM(C214:C219)</f>
        <v>51281.849000000002</v>
      </c>
      <c r="D220" s="198">
        <f>SUM(D214:D219)</f>
        <v>1288.0485311551831</v>
      </c>
    </row>
    <row r="221" spans="2:6">
      <c r="B221" s="258" t="s">
        <v>23</v>
      </c>
      <c r="C221" s="264">
        <f>C220-C202+C181+C184+7796.383</f>
        <v>-6208.2080000000042</v>
      </c>
      <c r="E221" s="262"/>
      <c r="F221" s="256"/>
    </row>
    <row r="222" spans="2:6" ht="13.5" thickBot="1">
      <c r="B222" s="258"/>
    </row>
    <row r="223" spans="2:6">
      <c r="B223" s="280" t="s">
        <v>59</v>
      </c>
      <c r="C223" s="281" t="s">
        <v>25</v>
      </c>
      <c r="D223" s="282" t="s">
        <v>5</v>
      </c>
    </row>
    <row r="224" spans="2:6">
      <c r="B224" s="132" t="s">
        <v>40</v>
      </c>
      <c r="C224" s="194">
        <v>0.55200000000000005</v>
      </c>
      <c r="D224" s="197">
        <f>C224*J175</f>
        <v>1.3864609078304901E-2</v>
      </c>
    </row>
    <row r="225" spans="1:11" ht="13.5" thickBot="1">
      <c r="B225" s="174" t="s">
        <v>46</v>
      </c>
      <c r="C225" s="199">
        <f>SUM(C224:C224)</f>
        <v>0.55200000000000005</v>
      </c>
      <c r="D225" s="200">
        <f>SUM(D224:D224)</f>
        <v>1.3864609078304901E-2</v>
      </c>
    </row>
    <row r="226" spans="1:11">
      <c r="B226" s="258" t="s">
        <v>23</v>
      </c>
      <c r="C226" s="263">
        <f>C225-C181-C184</f>
        <v>0</v>
      </c>
    </row>
    <row r="227" spans="1:11">
      <c r="B227" s="258"/>
      <c r="C227" s="265"/>
    </row>
    <row r="228" spans="1:11">
      <c r="B228" s="258"/>
      <c r="C228" s="265"/>
    </row>
    <row r="229" spans="1:11">
      <c r="A229" s="245" t="s">
        <v>66</v>
      </c>
      <c r="I229" s="75" t="s">
        <v>67</v>
      </c>
      <c r="J229" s="246">
        <f>Model!AY$215</f>
        <v>2.64E-2</v>
      </c>
    </row>
    <row r="230" spans="1:11">
      <c r="I230" s="76" t="s">
        <v>68</v>
      </c>
      <c r="J230" s="246">
        <f>Model!AY$216</f>
        <v>2.9270466815131728E-2</v>
      </c>
    </row>
    <row r="231" spans="1:11">
      <c r="B231" s="108" t="s">
        <v>69</v>
      </c>
      <c r="C231" s="109" t="s">
        <v>25</v>
      </c>
      <c r="D231" s="109" t="s">
        <v>5</v>
      </c>
      <c r="E231" s="141" t="s">
        <v>57</v>
      </c>
      <c r="F231" s="110" t="s">
        <v>7</v>
      </c>
    </row>
    <row r="232" spans="1:11" ht="13.5" thickBot="1">
      <c r="B232" s="124" t="s">
        <v>10</v>
      </c>
      <c r="C232" s="193">
        <f>SUM(C233:C234)</f>
        <v>19898.602999999999</v>
      </c>
      <c r="D232" s="193">
        <f>SUM(D233:D234)</f>
        <v>525.32311919999995</v>
      </c>
    </row>
    <row r="233" spans="1:11">
      <c r="B233" s="111" t="s">
        <v>12</v>
      </c>
      <c r="C233" s="204">
        <f>Model!AY$111-C234</f>
        <v>19897.608</v>
      </c>
      <c r="D233" s="205">
        <f>C233*$J229</f>
        <v>525.29685119999999</v>
      </c>
      <c r="I233" s="247" t="s">
        <v>8</v>
      </c>
      <c r="J233" s="248" t="s">
        <v>9</v>
      </c>
    </row>
    <row r="234" spans="1:11">
      <c r="B234" s="78" t="s">
        <v>13</v>
      </c>
      <c r="C234" s="204">
        <f>Model!AY$116</f>
        <v>0.995</v>
      </c>
      <c r="D234" s="205">
        <f>C234*$J229</f>
        <v>2.6268E-2</v>
      </c>
      <c r="I234" s="249" t="s">
        <v>70</v>
      </c>
      <c r="J234" s="250">
        <v>27587.857</v>
      </c>
    </row>
    <row r="235" spans="1:11">
      <c r="B235" s="124" t="s">
        <v>14</v>
      </c>
      <c r="C235" s="193">
        <f>SUM(C236:C237)</f>
        <v>35521.561999999998</v>
      </c>
      <c r="D235" s="193">
        <f>SUM(D236:D237)</f>
        <v>937.76923679999993</v>
      </c>
      <c r="I235" s="251" t="s">
        <v>71</v>
      </c>
      <c r="J235" s="197">
        <f>C245</f>
        <v>17038.147000000001</v>
      </c>
    </row>
    <row r="236" spans="1:11" ht="13.5" thickBot="1">
      <c r="B236" s="111" t="s">
        <v>12</v>
      </c>
      <c r="C236" s="204">
        <f>Model!AY$112</f>
        <v>35521.561999999998</v>
      </c>
      <c r="D236" s="205">
        <f>C236*$J229</f>
        <v>937.76923679999993</v>
      </c>
      <c r="I236" s="251" t="s">
        <v>72</v>
      </c>
      <c r="J236" s="220">
        <f>J234/J235</f>
        <v>1.6191817690034016</v>
      </c>
    </row>
    <row r="237" spans="1:11" ht="13.5" thickBot="1">
      <c r="B237" s="78" t="s">
        <v>13</v>
      </c>
      <c r="C237" s="204">
        <f>Model!AY$117</f>
        <v>0</v>
      </c>
      <c r="D237" s="205">
        <f>C237*$J229</f>
        <v>0</v>
      </c>
      <c r="I237" s="252" t="s">
        <v>73</v>
      </c>
      <c r="J237" s="221">
        <v>1.62</v>
      </c>
    </row>
    <row r="238" spans="1:11">
      <c r="B238" s="116" t="s">
        <v>15</v>
      </c>
      <c r="C238" s="208">
        <f>C232+C235</f>
        <v>55420.164999999994</v>
      </c>
      <c r="D238" s="208">
        <f>D232+D235</f>
        <v>1463.0923559999999</v>
      </c>
      <c r="E238" s="192">
        <f>C238/C245</f>
        <v>3.2527108141513272</v>
      </c>
      <c r="F238" s="192">
        <f>D238/D245</f>
        <v>2.9337272287438436</v>
      </c>
      <c r="I238" s="78"/>
    </row>
    <row r="239" spans="1:11">
      <c r="B239" s="78" t="s">
        <v>16</v>
      </c>
      <c r="C239" s="207">
        <f>Model!AY$125</f>
        <v>23936.928</v>
      </c>
      <c r="D239" s="207">
        <f>C239*$J229</f>
        <v>631.93489920000002</v>
      </c>
      <c r="E239" s="191"/>
      <c r="F239" s="191"/>
      <c r="I239" s="253" t="s">
        <v>8</v>
      </c>
      <c r="J239" s="254"/>
      <c r="K239" s="256"/>
    </row>
    <row r="240" spans="1:11">
      <c r="B240" s="116" t="s">
        <v>17</v>
      </c>
      <c r="C240" s="208">
        <f>C238-C239</f>
        <v>31483.236999999994</v>
      </c>
      <c r="D240" s="208">
        <f>D238-D239</f>
        <v>831.15745679999986</v>
      </c>
      <c r="E240" s="192">
        <f>C240/C245</f>
        <v>1.8478087435212287</v>
      </c>
      <c r="F240" s="192">
        <f>D240/D245</f>
        <v>1.6665996868810411</v>
      </c>
      <c r="I240" s="255" t="s">
        <v>74</v>
      </c>
      <c r="J240" s="229"/>
    </row>
    <row r="241" spans="2:10">
      <c r="B241" s="78" t="s">
        <v>18</v>
      </c>
      <c r="C241" s="207">
        <f>Model!AY$126</f>
        <v>5.7679999999999998</v>
      </c>
      <c r="D241" s="207">
        <f>C241*$J229</f>
        <v>0.1522752</v>
      </c>
      <c r="E241" s="191"/>
      <c r="F241" s="191"/>
      <c r="I241" s="255" t="s">
        <v>50</v>
      </c>
      <c r="J241" s="229"/>
    </row>
    <row r="242" spans="2:10">
      <c r="B242" s="116" t="s">
        <v>19</v>
      </c>
      <c r="C242" s="208">
        <f>C240-C241</f>
        <v>31477.468999999994</v>
      </c>
      <c r="D242" s="208">
        <f>D240-D241</f>
        <v>831.0051815999999</v>
      </c>
      <c r="E242" s="192">
        <f>C242/C245</f>
        <v>1.8474702090550101</v>
      </c>
      <c r="F242" s="192">
        <f>D242/D245</f>
        <v>1.6662943514736961</v>
      </c>
      <c r="I242" s="255" t="s">
        <v>51</v>
      </c>
      <c r="J242" s="229"/>
    </row>
    <row r="243" spans="2:10">
      <c r="B243" s="75" t="s">
        <v>20</v>
      </c>
      <c r="C243" s="193">
        <f>Model!AY$133</f>
        <v>39176.542999999998</v>
      </c>
      <c r="D243" s="205"/>
      <c r="I243" s="257" t="s">
        <v>70</v>
      </c>
      <c r="J243" s="228">
        <f>SUM(J240:J242)</f>
        <v>0</v>
      </c>
    </row>
    <row r="244" spans="2:10">
      <c r="B244" s="75" t="s">
        <v>21</v>
      </c>
      <c r="C244" s="193">
        <f>C243+C242</f>
        <v>70654.011999999988</v>
      </c>
      <c r="D244" s="205"/>
    </row>
    <row r="245" spans="2:10">
      <c r="B245" s="78" t="s">
        <v>22</v>
      </c>
      <c r="C245" s="205">
        <f>Model!AY$90</f>
        <v>17038.147000000001</v>
      </c>
      <c r="D245" s="205">
        <f>C245*$J230</f>
        <v>498.71451635483623</v>
      </c>
      <c r="G245" s="256"/>
    </row>
    <row r="246" spans="2:10">
      <c r="B246" s="258" t="s">
        <v>23</v>
      </c>
      <c r="C246" s="259">
        <f>+C238-Model!AY$123</f>
        <v>0</v>
      </c>
    </row>
    <row r="247" spans="2:10" ht="13.5" thickBot="1"/>
    <row r="248" spans="2:10">
      <c r="B248" s="79" t="s">
        <v>75</v>
      </c>
      <c r="C248" s="151" t="s">
        <v>25</v>
      </c>
      <c r="D248" s="80" t="s">
        <v>5</v>
      </c>
      <c r="I248" s="79" t="s">
        <v>75</v>
      </c>
      <c r="J248" s="80" t="s">
        <v>76</v>
      </c>
    </row>
    <row r="249" spans="2:10">
      <c r="B249" s="143" t="s">
        <v>33</v>
      </c>
      <c r="C249" s="203">
        <f>SUM(C250:C251)</f>
        <v>0.995</v>
      </c>
      <c r="D249" s="201">
        <f>SUM(D250:D251)</f>
        <v>2.6268E-2</v>
      </c>
      <c r="I249" s="143" t="s">
        <v>33</v>
      </c>
      <c r="J249" s="260">
        <f>C249/C255</f>
        <v>1.7953753836712683E-5</v>
      </c>
    </row>
    <row r="250" spans="2:10">
      <c r="B250" s="142" t="s">
        <v>34</v>
      </c>
      <c r="C250" s="211">
        <v>0.995</v>
      </c>
      <c r="D250" s="197">
        <f>C250*$J229</f>
        <v>2.6268E-2</v>
      </c>
      <c r="I250" s="143" t="s">
        <v>36</v>
      </c>
      <c r="J250" s="260">
        <f>C252/C255</f>
        <v>0.99998204624616327</v>
      </c>
    </row>
    <row r="251" spans="2:10" ht="13.5" thickBot="1">
      <c r="B251" s="142" t="s">
        <v>35</v>
      </c>
      <c r="C251" s="211">
        <v>0</v>
      </c>
      <c r="D251" s="197">
        <f>C251*$J229</f>
        <v>0</v>
      </c>
      <c r="I251" s="83" t="s">
        <v>37</v>
      </c>
      <c r="J251" s="261">
        <f>SUM(J249:J250)</f>
        <v>1</v>
      </c>
    </row>
    <row r="252" spans="2:10">
      <c r="B252" s="143" t="s">
        <v>36</v>
      </c>
      <c r="C252" s="203">
        <f>SUM(C253:C254)</f>
        <v>55419.17</v>
      </c>
      <c r="D252" s="201">
        <f>SUM(D253:D254)</f>
        <v>1463.066088</v>
      </c>
      <c r="F252" s="262"/>
    </row>
    <row r="253" spans="2:10">
      <c r="B253" s="142" t="s">
        <v>34</v>
      </c>
      <c r="C253" s="215">
        <f>7796.383+1835.185+10267.035-C250</f>
        <v>19897.608</v>
      </c>
      <c r="D253" s="197">
        <f>C253*$J229</f>
        <v>525.29685119999999</v>
      </c>
      <c r="F253" s="262"/>
    </row>
    <row r="254" spans="2:10">
      <c r="B254" s="142" t="s">
        <v>35</v>
      </c>
      <c r="C254" s="215">
        <f>16065.955+19455.607-C251</f>
        <v>35521.561999999998</v>
      </c>
      <c r="D254" s="197">
        <f>C254*$J229</f>
        <v>937.76923679999993</v>
      </c>
    </row>
    <row r="255" spans="2:10" ht="13.5" thickBot="1">
      <c r="B255" s="83" t="s">
        <v>37</v>
      </c>
      <c r="C255" s="199">
        <f>SUM(C249+C252)</f>
        <v>55420.165000000001</v>
      </c>
      <c r="D255" s="200">
        <f>SUM(D249+D252)</f>
        <v>1463.0923560000001</v>
      </c>
    </row>
    <row r="256" spans="2:10">
      <c r="B256" s="258" t="s">
        <v>23</v>
      </c>
      <c r="C256" s="263">
        <f>C255-C238</f>
        <v>0</v>
      </c>
    </row>
    <row r="257" spans="2:4" ht="13.5" thickBot="1">
      <c r="B257" s="258"/>
    </row>
    <row r="258" spans="2:4">
      <c r="B258" s="79" t="s">
        <v>24</v>
      </c>
      <c r="C258" s="151" t="s">
        <v>25</v>
      </c>
      <c r="D258" s="80" t="s">
        <v>5</v>
      </c>
    </row>
    <row r="259" spans="2:4">
      <c r="B259" s="81" t="s">
        <v>26</v>
      </c>
      <c r="C259" s="194">
        <v>1.2909999999999999</v>
      </c>
      <c r="D259" s="197">
        <f>C259*$J229</f>
        <v>3.4082399999999999E-2</v>
      </c>
    </row>
    <row r="260" spans="2:4">
      <c r="B260" s="81" t="s">
        <v>27</v>
      </c>
      <c r="C260" s="194">
        <v>1047.3900000000001</v>
      </c>
      <c r="D260" s="197">
        <f>C260*$J229</f>
        <v>27.651096000000003</v>
      </c>
    </row>
    <row r="261" spans="2:4">
      <c r="B261" s="81" t="s">
        <v>28</v>
      </c>
      <c r="C261" s="194">
        <v>22935.210999999999</v>
      </c>
      <c r="D261" s="197">
        <f>C261*$J229</f>
        <v>605.48957039999993</v>
      </c>
    </row>
    <row r="262" spans="2:4">
      <c r="B262" s="81" t="s">
        <v>29</v>
      </c>
      <c r="C262" s="194">
        <v>-46.963999999999999</v>
      </c>
      <c r="D262" s="197">
        <f>C262*$J229</f>
        <v>-1.2398495999999999</v>
      </c>
    </row>
    <row r="263" spans="2:4" ht="13.5" thickBot="1">
      <c r="B263" s="83" t="s">
        <v>30</v>
      </c>
      <c r="C263" s="199">
        <f>SUM(C259:C262)</f>
        <v>23936.928</v>
      </c>
      <c r="D263" s="200">
        <f>SUM(D259:D262)</f>
        <v>631.93489920000002</v>
      </c>
    </row>
    <row r="264" spans="2:4">
      <c r="B264" s="258" t="s">
        <v>23</v>
      </c>
      <c r="C264" s="264">
        <f>C263-C239</f>
        <v>0</v>
      </c>
    </row>
    <row r="265" spans="2:4" ht="13.5" thickBot="1">
      <c r="B265" s="258"/>
    </row>
    <row r="266" spans="2:4">
      <c r="B266" s="170" t="s">
        <v>77</v>
      </c>
      <c r="C266" s="148" t="s">
        <v>25</v>
      </c>
      <c r="D266" s="131" t="s">
        <v>5</v>
      </c>
    </row>
    <row r="267" spans="2:4">
      <c r="B267" s="171" t="s">
        <v>40</v>
      </c>
      <c r="C267" s="194">
        <v>12102.22</v>
      </c>
      <c r="D267" s="197">
        <f>C267*$J229</f>
        <v>319.49860799999999</v>
      </c>
    </row>
    <row r="268" spans="2:4">
      <c r="B268" s="171" t="s">
        <v>41</v>
      </c>
      <c r="C268" s="194">
        <v>17552.34</v>
      </c>
      <c r="D268" s="197">
        <f>C268*$J229</f>
        <v>463.381776</v>
      </c>
    </row>
    <row r="269" spans="2:4">
      <c r="B269" s="171" t="s">
        <v>42</v>
      </c>
      <c r="C269" s="194">
        <v>1341.616</v>
      </c>
      <c r="D269" s="197">
        <f>C269*$J229</f>
        <v>35.418662400000002</v>
      </c>
    </row>
    <row r="270" spans="2:4">
      <c r="B270" s="171" t="s">
        <v>43</v>
      </c>
      <c r="C270" s="195">
        <v>1239.8989999999999</v>
      </c>
      <c r="D270" s="197">
        <f>C270*$J229</f>
        <v>32.733333599999995</v>
      </c>
    </row>
    <row r="271" spans="2:4">
      <c r="B271" s="171" t="s">
        <v>44</v>
      </c>
      <c r="C271" s="195">
        <v>1146.1400000000001</v>
      </c>
      <c r="D271" s="197">
        <f>C271*$J229</f>
        <v>30.258096000000002</v>
      </c>
    </row>
    <row r="272" spans="2:4">
      <c r="B272" s="172" t="s">
        <v>45</v>
      </c>
      <c r="C272" s="195">
        <v>14241.566999999999</v>
      </c>
      <c r="D272" s="197">
        <f>C272*$J229</f>
        <v>375.97736879999997</v>
      </c>
    </row>
    <row r="273" spans="1:10" ht="13.5" thickBot="1">
      <c r="B273" s="173" t="s">
        <v>46</v>
      </c>
      <c r="C273" s="196">
        <f>SUM(C267:C272)</f>
        <v>47623.782000000007</v>
      </c>
      <c r="D273" s="198">
        <f>SUM(D267:D272)</f>
        <v>1257.2678448000001</v>
      </c>
    </row>
    <row r="274" spans="1:10">
      <c r="B274" s="258" t="s">
        <v>23</v>
      </c>
      <c r="C274" s="264">
        <f>C273-C255+C234+C237+7796.383</f>
        <v>0.99500000000534783</v>
      </c>
    </row>
    <row r="275" spans="1:10" ht="13.5" thickBot="1">
      <c r="B275" s="258"/>
    </row>
    <row r="276" spans="1:10">
      <c r="B276" s="79" t="s">
        <v>59</v>
      </c>
      <c r="C276" s="148" t="s">
        <v>25</v>
      </c>
      <c r="D276" s="131" t="s">
        <v>5</v>
      </c>
    </row>
    <row r="277" spans="1:10">
      <c r="B277" s="132" t="s">
        <v>40</v>
      </c>
      <c r="C277" s="194">
        <v>0.995</v>
      </c>
      <c r="D277" s="197">
        <f>C277*J229</f>
        <v>2.6268E-2</v>
      </c>
    </row>
    <row r="278" spans="1:10">
      <c r="B278" s="132" t="s">
        <v>41</v>
      </c>
      <c r="C278" s="194">
        <v>0</v>
      </c>
      <c r="D278" s="197">
        <f>C278*J229</f>
        <v>0</v>
      </c>
    </row>
    <row r="279" spans="1:10">
      <c r="B279" s="132" t="s">
        <v>42</v>
      </c>
      <c r="C279" s="194">
        <v>0</v>
      </c>
      <c r="D279" s="197">
        <f>C279*J229</f>
        <v>0</v>
      </c>
    </row>
    <row r="280" spans="1:10">
      <c r="B280" s="132" t="s">
        <v>43</v>
      </c>
      <c r="C280" s="194">
        <v>0</v>
      </c>
      <c r="D280" s="197">
        <f>C280*J229</f>
        <v>0</v>
      </c>
    </row>
    <row r="281" spans="1:10" ht="13.5" thickBot="1">
      <c r="B281" s="174" t="s">
        <v>46</v>
      </c>
      <c r="C281" s="199">
        <f>SUM(C277:C280)</f>
        <v>0.995</v>
      </c>
      <c r="D281" s="200">
        <f>SUM(D277:D280)</f>
        <v>2.6268E-2</v>
      </c>
    </row>
    <row r="282" spans="1:10">
      <c r="B282" s="258" t="s">
        <v>23</v>
      </c>
      <c r="C282" s="265">
        <f>C281-C234-C237</f>
        <v>0</v>
      </c>
    </row>
    <row r="283" spans="1:10">
      <c r="B283" s="258"/>
      <c r="C283" s="265"/>
    </row>
    <row r="284" spans="1:10">
      <c r="B284" s="258"/>
      <c r="C284" s="265"/>
    </row>
    <row r="285" spans="1:10">
      <c r="A285" s="245" t="s">
        <v>78</v>
      </c>
      <c r="I285" s="75" t="s">
        <v>79</v>
      </c>
      <c r="J285" s="246">
        <f>Model!AX$215</f>
        <v>2.8300551860761285E-2</v>
      </c>
    </row>
    <row r="286" spans="1:10">
      <c r="I286" s="76" t="s">
        <v>80</v>
      </c>
      <c r="J286" s="246">
        <f>Model!AX$216</f>
        <v>3.0523041448766046E-2</v>
      </c>
    </row>
    <row r="287" spans="1:10">
      <c r="B287" s="108" t="s">
        <v>81</v>
      </c>
      <c r="C287" s="109" t="s">
        <v>25</v>
      </c>
      <c r="D287" s="109" t="s">
        <v>5</v>
      </c>
      <c r="E287" s="141" t="s">
        <v>57</v>
      </c>
      <c r="F287" s="110" t="s">
        <v>7</v>
      </c>
    </row>
    <row r="288" spans="1:10" ht="13.5" thickBot="1">
      <c r="B288" s="124" t="s">
        <v>10</v>
      </c>
      <c r="C288" s="193">
        <f>SUM(C289:C290)</f>
        <v>15274.421</v>
      </c>
      <c r="D288" s="193">
        <f>SUM(D289:D290)</f>
        <v>432.27454365360126</v>
      </c>
    </row>
    <row r="289" spans="2:11">
      <c r="B289" s="111" t="s">
        <v>12</v>
      </c>
      <c r="C289" s="204">
        <f>Model!AX$111-C290</f>
        <v>15273.025</v>
      </c>
      <c r="D289" s="205">
        <f>C289*$J285</f>
        <v>432.23503608320362</v>
      </c>
      <c r="I289" s="247" t="s">
        <v>8</v>
      </c>
      <c r="J289" s="248" t="s">
        <v>9</v>
      </c>
    </row>
    <row r="290" spans="2:11">
      <c r="B290" s="78" t="s">
        <v>13</v>
      </c>
      <c r="C290" s="204">
        <f>Model!AX$116</f>
        <v>1.3959999999999999</v>
      </c>
      <c r="D290" s="205">
        <f>C290*$J285</f>
        <v>3.9507570397622753E-2</v>
      </c>
      <c r="I290" s="249" t="s">
        <v>70</v>
      </c>
      <c r="J290" s="250">
        <f>J299</f>
        <v>19277.170000000002</v>
      </c>
    </row>
    <row r="291" spans="2:11">
      <c r="B291" s="124" t="s">
        <v>14</v>
      </c>
      <c r="C291" s="193">
        <f>SUM(C292:C293)</f>
        <v>32734.945</v>
      </c>
      <c r="D291" s="193">
        <f>SUM(D292:D293)</f>
        <v>926.4170086316683</v>
      </c>
      <c r="I291" s="251" t="s">
        <v>71</v>
      </c>
      <c r="J291" s="197">
        <f>C301</f>
        <v>15595.955</v>
      </c>
    </row>
    <row r="292" spans="2:11" ht="13.5" thickBot="1">
      <c r="B292" s="111" t="s">
        <v>12</v>
      </c>
      <c r="C292" s="204">
        <f>Model!AX$112</f>
        <v>32734.945</v>
      </c>
      <c r="D292" s="205">
        <f>C292*$J285</f>
        <v>926.4170086316683</v>
      </c>
      <c r="I292" s="251" t="s">
        <v>72</v>
      </c>
      <c r="J292" s="220">
        <f>J290/J291</f>
        <v>1.2360365235729394</v>
      </c>
    </row>
    <row r="293" spans="2:11" ht="13.5" thickBot="1">
      <c r="B293" s="78" t="s">
        <v>13</v>
      </c>
      <c r="C293" s="204">
        <f>Model!AX$117</f>
        <v>0</v>
      </c>
      <c r="D293" s="205">
        <f>C293*$J285</f>
        <v>0</v>
      </c>
      <c r="I293" s="252" t="s">
        <v>73</v>
      </c>
      <c r="J293" s="221">
        <v>1.48</v>
      </c>
    </row>
    <row r="294" spans="2:11">
      <c r="B294" s="116" t="s">
        <v>15</v>
      </c>
      <c r="C294" s="208">
        <f>C288+C291</f>
        <v>48009.366000000002</v>
      </c>
      <c r="D294" s="208">
        <f>D288+D291</f>
        <v>1358.6915522852696</v>
      </c>
      <c r="E294" s="192">
        <f>C294/C301</f>
        <v>3.0783216545572234</v>
      </c>
      <c r="F294" s="192">
        <f>D294/D301</f>
        <v>2.8541782697223024</v>
      </c>
      <c r="I294" s="78"/>
    </row>
    <row r="295" spans="2:11">
      <c r="B295" s="78" t="s">
        <v>16</v>
      </c>
      <c r="C295" s="207">
        <f>Model!AX$125</f>
        <v>26308.144</v>
      </c>
      <c r="D295" s="207">
        <f>C295*$J285</f>
        <v>744.53499363237586</v>
      </c>
      <c r="E295" s="191"/>
      <c r="F295" s="191"/>
      <c r="I295" s="253" t="s">
        <v>8</v>
      </c>
      <c r="J295" s="254"/>
      <c r="K295" s="256"/>
    </row>
    <row r="296" spans="2:11">
      <c r="B296" s="116" t="s">
        <v>17</v>
      </c>
      <c r="C296" s="208">
        <f>C294-C295</f>
        <v>21701.222000000002</v>
      </c>
      <c r="D296" s="208">
        <f>D294-D295</f>
        <v>614.15655865289375</v>
      </c>
      <c r="E296" s="192">
        <f>C296/C301</f>
        <v>1.3914647740391661</v>
      </c>
      <c r="F296" s="192">
        <f>D296/D301</f>
        <v>1.2901473487239878</v>
      </c>
      <c r="I296" s="255" t="s">
        <v>74</v>
      </c>
      <c r="J296" s="227">
        <v>46020.936000000002</v>
      </c>
    </row>
    <row r="297" spans="2:11">
      <c r="B297" s="78" t="s">
        <v>18</v>
      </c>
      <c r="C297" s="207">
        <f>Model!AX$126</f>
        <v>5.4429999999999996</v>
      </c>
      <c r="D297" s="207">
        <f>C297*$J285</f>
        <v>0.15403990377812365</v>
      </c>
      <c r="E297" s="191"/>
      <c r="F297" s="191"/>
      <c r="I297" s="255" t="s">
        <v>50</v>
      </c>
      <c r="J297" s="227">
        <v>-26308.144</v>
      </c>
    </row>
    <row r="298" spans="2:11">
      <c r="B298" s="116" t="s">
        <v>19</v>
      </c>
      <c r="C298" s="208">
        <f>C296-C297</f>
        <v>21695.779000000002</v>
      </c>
      <c r="D298" s="208">
        <f>D296-D297</f>
        <v>614.00251874911567</v>
      </c>
      <c r="E298" s="192">
        <f>C298/C301</f>
        <v>1.391115773288651</v>
      </c>
      <c r="F298" s="192">
        <f>D298/D301</f>
        <v>1.2898237599408722</v>
      </c>
      <c r="I298" s="255" t="s">
        <v>51</v>
      </c>
      <c r="J298" s="227">
        <v>-435.62200000000001</v>
      </c>
    </row>
    <row r="299" spans="2:11">
      <c r="B299" s="75" t="s">
        <v>20</v>
      </c>
      <c r="C299" s="193">
        <f>Model!AX$133</f>
        <v>33476.099000000002</v>
      </c>
      <c r="D299" s="205"/>
      <c r="I299" s="257" t="s">
        <v>70</v>
      </c>
      <c r="J299" s="228">
        <f>SUM(J296:J298)</f>
        <v>19277.170000000002</v>
      </c>
    </row>
    <row r="300" spans="2:11">
      <c r="B300" s="75" t="s">
        <v>21</v>
      </c>
      <c r="C300" s="193">
        <f>C299+C298</f>
        <v>55171.878000000004</v>
      </c>
      <c r="D300" s="205"/>
    </row>
    <row r="301" spans="2:11">
      <c r="B301" s="78" t="s">
        <v>22</v>
      </c>
      <c r="C301" s="205">
        <f>Model!AX$90</f>
        <v>15595.955</v>
      </c>
      <c r="D301" s="205">
        <f>C301*$J286</f>
        <v>476.03598089809003</v>
      </c>
      <c r="G301" s="256"/>
    </row>
    <row r="302" spans="2:11">
      <c r="B302" s="258" t="s">
        <v>23</v>
      </c>
      <c r="C302" s="259">
        <f>+C294-Model!AX$123</f>
        <v>0</v>
      </c>
    </row>
    <row r="303" spans="2:11" ht="13.5" thickBot="1"/>
    <row r="304" spans="2:11">
      <c r="B304" s="79" t="s">
        <v>75</v>
      </c>
      <c r="C304" s="151" t="s">
        <v>25</v>
      </c>
      <c r="D304" s="80" t="s">
        <v>5</v>
      </c>
      <c r="I304" s="79" t="s">
        <v>75</v>
      </c>
      <c r="J304" s="80" t="s">
        <v>76</v>
      </c>
    </row>
    <row r="305" spans="2:10">
      <c r="B305" s="143" t="s">
        <v>33</v>
      </c>
      <c r="C305" s="203">
        <f>SUM(C306:C307)</f>
        <v>1.3959999999999999</v>
      </c>
      <c r="D305" s="201">
        <f>SUM(D306:D307)</f>
        <v>3.9507570397622753E-2</v>
      </c>
      <c r="I305" s="143" t="s">
        <v>33</v>
      </c>
      <c r="J305" s="260">
        <f>C305/C311</f>
        <v>2.9077659555012659E-5</v>
      </c>
    </row>
    <row r="306" spans="2:10">
      <c r="B306" s="142" t="s">
        <v>34</v>
      </c>
      <c r="C306" s="211">
        <v>1.3959999999999999</v>
      </c>
      <c r="D306" s="197">
        <f>C306*$J285</f>
        <v>3.9507570397622753E-2</v>
      </c>
      <c r="I306" s="143" t="s">
        <v>36</v>
      </c>
      <c r="J306" s="260">
        <f>C308/C311</f>
        <v>0.99997092234044493</v>
      </c>
    </row>
    <row r="307" spans="2:10" ht="13.5" thickBot="1">
      <c r="B307" s="142" t="s">
        <v>35</v>
      </c>
      <c r="C307" s="211">
        <v>0</v>
      </c>
      <c r="D307" s="197">
        <f>C307*$J285</f>
        <v>0</v>
      </c>
      <c r="I307" s="83" t="s">
        <v>37</v>
      </c>
      <c r="J307" s="261">
        <f>SUM(J305:J306)</f>
        <v>1</v>
      </c>
    </row>
    <row r="308" spans="2:10">
      <c r="B308" s="143" t="s">
        <v>36</v>
      </c>
      <c r="C308" s="203">
        <f>SUM(C309:C310)</f>
        <v>48007.97</v>
      </c>
      <c r="D308" s="201">
        <f>SUM(D309:D310)</f>
        <v>1358.6520447148719</v>
      </c>
      <c r="F308" s="262"/>
    </row>
    <row r="309" spans="2:10">
      <c r="B309" s="142" t="s">
        <v>34</v>
      </c>
      <c r="C309" s="215">
        <f>15274.421-C306</f>
        <v>15273.025</v>
      </c>
      <c r="D309" s="197">
        <f>C309*$J285</f>
        <v>432.23503608320362</v>
      </c>
      <c r="F309" s="262"/>
    </row>
    <row r="310" spans="2:10">
      <c r="B310" s="142" t="s">
        <v>35</v>
      </c>
      <c r="C310" s="215">
        <f>32734.945-C307</f>
        <v>32734.945</v>
      </c>
      <c r="D310" s="197">
        <f>C310*$J285</f>
        <v>926.4170086316683</v>
      </c>
    </row>
    <row r="311" spans="2:10" ht="13.5" thickBot="1">
      <c r="B311" s="83" t="s">
        <v>37</v>
      </c>
      <c r="C311" s="199">
        <f>SUM(C305+C308)</f>
        <v>48009.366000000002</v>
      </c>
      <c r="D311" s="200">
        <f>SUM(D305+D308)</f>
        <v>1358.6915522852694</v>
      </c>
    </row>
    <row r="312" spans="2:10">
      <c r="B312" s="258" t="s">
        <v>23</v>
      </c>
      <c r="C312" s="263">
        <f>C311-C294</f>
        <v>0</v>
      </c>
    </row>
    <row r="313" spans="2:10" ht="13.5" thickBot="1">
      <c r="B313" s="258"/>
    </row>
    <row r="314" spans="2:10">
      <c r="B314" s="79" t="s">
        <v>24</v>
      </c>
      <c r="C314" s="151" t="s">
        <v>25</v>
      </c>
      <c r="D314" s="80" t="s">
        <v>5</v>
      </c>
    </row>
    <row r="315" spans="2:10">
      <c r="B315" s="81" t="s">
        <v>26</v>
      </c>
      <c r="C315" s="194">
        <v>0.58099999999999996</v>
      </c>
      <c r="D315" s="197">
        <f>C315*$J285</f>
        <v>1.6442620631102307E-2</v>
      </c>
    </row>
    <row r="316" spans="2:10">
      <c r="B316" s="81" t="s">
        <v>27</v>
      </c>
      <c r="C316" s="194">
        <v>712.98299999999995</v>
      </c>
      <c r="D316" s="197">
        <f>C316*$J285</f>
        <v>20.177812367341161</v>
      </c>
    </row>
    <row r="317" spans="2:10">
      <c r="B317" s="81" t="s">
        <v>28</v>
      </c>
      <c r="C317" s="194">
        <v>25668.918000000001</v>
      </c>
      <c r="D317" s="197">
        <f>C317*$J285</f>
        <v>726.44454506862894</v>
      </c>
    </row>
    <row r="318" spans="2:10">
      <c r="B318" s="81" t="s">
        <v>29</v>
      </c>
      <c r="C318" s="194">
        <v>-74.337999999999994</v>
      </c>
      <c r="D318" s="197">
        <f>C318*$J285</f>
        <v>-2.1038064242252723</v>
      </c>
    </row>
    <row r="319" spans="2:10" ht="13.5" thickBot="1">
      <c r="B319" s="83" t="s">
        <v>30</v>
      </c>
      <c r="C319" s="199">
        <f>SUM(C315:C318)</f>
        <v>26308.144</v>
      </c>
      <c r="D319" s="200">
        <f>SUM(D315:D318)</f>
        <v>744.53499363237597</v>
      </c>
    </row>
    <row r="320" spans="2:10">
      <c r="B320" s="258" t="s">
        <v>23</v>
      </c>
      <c r="C320" s="264">
        <f>C319-C295</f>
        <v>0</v>
      </c>
    </row>
    <row r="321" spans="2:4" ht="13.5" thickBot="1">
      <c r="B321" s="258"/>
    </row>
    <row r="322" spans="2:4">
      <c r="B322" s="170" t="s">
        <v>77</v>
      </c>
      <c r="C322" s="148" t="s">
        <v>25</v>
      </c>
      <c r="D322" s="131" t="s">
        <v>5</v>
      </c>
    </row>
    <row r="323" spans="2:4">
      <c r="B323" s="171" t="s">
        <v>40</v>
      </c>
      <c r="C323" s="194">
        <v>11069.023999999999</v>
      </c>
      <c r="D323" s="197">
        <f>C323*$J285</f>
        <v>313.25948776001133</v>
      </c>
    </row>
    <row r="324" spans="2:4">
      <c r="B324" s="171" t="s">
        <v>41</v>
      </c>
      <c r="C324" s="194">
        <v>15646.501</v>
      </c>
      <c r="D324" s="197">
        <f>C324*$J285</f>
        <v>442.80461298995334</v>
      </c>
    </row>
    <row r="325" spans="2:4">
      <c r="B325" s="171" t="s">
        <v>42</v>
      </c>
      <c r="C325" s="194">
        <v>1276.4780000000001</v>
      </c>
      <c r="D325" s="197">
        <f>C325*$J285</f>
        <v>36.125031838120847</v>
      </c>
    </row>
    <row r="326" spans="2:4">
      <c r="B326" s="171" t="s">
        <v>43</v>
      </c>
      <c r="C326" s="195">
        <v>1179.829</v>
      </c>
      <c r="D326" s="197">
        <f>C326*$J285</f>
        <v>33.389811801330126</v>
      </c>
    </row>
    <row r="327" spans="2:4">
      <c r="B327" s="171" t="s">
        <v>44</v>
      </c>
      <c r="C327" s="195">
        <v>1090.4929999999999</v>
      </c>
      <c r="D327" s="197">
        <f>C327*$J285</f>
        <v>30.861553700297154</v>
      </c>
    </row>
    <row r="328" spans="2:4">
      <c r="B328" s="172" t="s">
        <v>45</v>
      </c>
      <c r="C328" s="195">
        <v>13541.644</v>
      </c>
      <c r="D328" s="197">
        <f>C328*$J285</f>
        <v>383.2359983019669</v>
      </c>
    </row>
    <row r="329" spans="2:4" ht="13.5" thickBot="1">
      <c r="B329" s="173" t="s">
        <v>46</v>
      </c>
      <c r="C329" s="196">
        <f>SUM(C323:C328)</f>
        <v>43803.968999999997</v>
      </c>
      <c r="D329" s="198">
        <f>SUM(D323:D328)</f>
        <v>1239.6764963916796</v>
      </c>
    </row>
    <row r="330" spans="2:4">
      <c r="B330" s="258" t="s">
        <v>23</v>
      </c>
      <c r="C330" s="264">
        <f>C329-C311+C290+C293+4204.001</f>
        <v>0</v>
      </c>
    </row>
    <row r="331" spans="2:4" ht="13.5" thickBot="1">
      <c r="B331" s="258"/>
    </row>
    <row r="332" spans="2:4">
      <c r="B332" s="79" t="s">
        <v>59</v>
      </c>
      <c r="C332" s="148" t="s">
        <v>25</v>
      </c>
      <c r="D332" s="131" t="s">
        <v>5</v>
      </c>
    </row>
    <row r="333" spans="2:4">
      <c r="B333" s="132" t="s">
        <v>40</v>
      </c>
      <c r="C333" s="194">
        <v>1.3959999999999999</v>
      </c>
      <c r="D333" s="197">
        <f>C333*J285</f>
        <v>3.9507570397622753E-2</v>
      </c>
    </row>
    <row r="334" spans="2:4">
      <c r="B334" s="132" t="s">
        <v>41</v>
      </c>
      <c r="C334" s="194">
        <v>0</v>
      </c>
      <c r="D334" s="197">
        <f>C334*J285</f>
        <v>0</v>
      </c>
    </row>
    <row r="335" spans="2:4">
      <c r="B335" s="132" t="s">
        <v>42</v>
      </c>
      <c r="C335" s="194">
        <v>0</v>
      </c>
      <c r="D335" s="197">
        <f>C335*J285</f>
        <v>0</v>
      </c>
    </row>
    <row r="336" spans="2:4">
      <c r="B336" s="132" t="s">
        <v>43</v>
      </c>
      <c r="C336" s="194">
        <v>0</v>
      </c>
      <c r="D336" s="197">
        <f>C336*J285</f>
        <v>0</v>
      </c>
    </row>
    <row r="337" spans="1:11" ht="13.5" thickBot="1">
      <c r="B337" s="174" t="s">
        <v>46</v>
      </c>
      <c r="C337" s="199">
        <f>SUM(C333:C336)</f>
        <v>1.3959999999999999</v>
      </c>
      <c r="D337" s="200">
        <f>SUM(D333:D336)</f>
        <v>3.9507570397622753E-2</v>
      </c>
    </row>
    <row r="338" spans="1:11">
      <c r="B338" s="258" t="s">
        <v>23</v>
      </c>
      <c r="C338" s="265">
        <f>C337-C290-C293</f>
        <v>0</v>
      </c>
    </row>
    <row r="339" spans="1:11">
      <c r="A339" s="245" t="s">
        <v>82</v>
      </c>
      <c r="I339" s="75" t="s">
        <v>83</v>
      </c>
      <c r="J339" s="246">
        <f>Model!AW$215</f>
        <v>2.9273576206437259E-2</v>
      </c>
    </row>
    <row r="340" spans="1:11">
      <c r="I340" s="76" t="s">
        <v>84</v>
      </c>
      <c r="J340" s="246">
        <f>Model!AW$214</f>
        <v>2.9853330586826918E-2</v>
      </c>
    </row>
    <row r="341" spans="1:11">
      <c r="B341" s="108" t="s">
        <v>85</v>
      </c>
      <c r="C341" s="109" t="s">
        <v>25</v>
      </c>
      <c r="D341" s="109" t="s">
        <v>5</v>
      </c>
      <c r="E341" s="141" t="s">
        <v>57</v>
      </c>
      <c r="F341" s="110" t="s">
        <v>7</v>
      </c>
    </row>
    <row r="342" spans="1:11" ht="13.5" thickBot="1">
      <c r="B342" s="124" t="s">
        <v>10</v>
      </c>
      <c r="C342" s="193">
        <f>SUM(C343:C344)</f>
        <v>7653.6360000000004</v>
      </c>
      <c r="D342" s="193">
        <f>SUM(D343:D344)</f>
        <v>224.04929670233165</v>
      </c>
    </row>
    <row r="343" spans="1:11">
      <c r="B343" s="111" t="s">
        <v>12</v>
      </c>
      <c r="C343" s="204">
        <f>Model!AW$111</f>
        <v>7651.9390000000003</v>
      </c>
      <c r="D343" s="205">
        <f>C343*$J339</f>
        <v>223.99961944350932</v>
      </c>
      <c r="I343" s="247" t="s">
        <v>8</v>
      </c>
      <c r="J343" s="248" t="s">
        <v>9</v>
      </c>
    </row>
    <row r="344" spans="1:11">
      <c r="B344" s="78" t="s">
        <v>13</v>
      </c>
      <c r="C344" s="204">
        <f>Model!AW$116</f>
        <v>1.6970000000000001</v>
      </c>
      <c r="D344" s="205">
        <f>C344*$J339</f>
        <v>4.967725882232403E-2</v>
      </c>
      <c r="I344" s="249" t="s">
        <v>70</v>
      </c>
      <c r="J344" s="250">
        <v>21258</v>
      </c>
    </row>
    <row r="345" spans="1:11">
      <c r="B345" s="124" t="s">
        <v>14</v>
      </c>
      <c r="C345" s="193">
        <f>SUM(C346:C347)</f>
        <v>39885.968000000001</v>
      </c>
      <c r="D345" s="193">
        <f>SUM(D346:D347)</f>
        <v>1167.6049238155181</v>
      </c>
      <c r="I345" s="251" t="s">
        <v>71</v>
      </c>
      <c r="J345" s="197">
        <f>Model!AW57+Model!AV57+Model!AU57+Model!AS57</f>
        <v>14545.084999999999</v>
      </c>
    </row>
    <row r="346" spans="1:11" ht="13.5" thickBot="1">
      <c r="B346" s="111" t="s">
        <v>12</v>
      </c>
      <c r="C346" s="204">
        <f>Model!AW$112</f>
        <v>39885.913</v>
      </c>
      <c r="D346" s="205">
        <f>C346*$J339</f>
        <v>1167.6033137688266</v>
      </c>
      <c r="I346" s="251" t="s">
        <v>72</v>
      </c>
      <c r="J346" s="220">
        <f>J344/J345</f>
        <v>1.4615246318601782</v>
      </c>
    </row>
    <row r="347" spans="1:11" ht="13.5" thickBot="1">
      <c r="B347" s="78" t="s">
        <v>13</v>
      </c>
      <c r="C347" s="204">
        <f>Model!AW$117</f>
        <v>5.5E-2</v>
      </c>
      <c r="D347" s="205">
        <f>C347*$J339</f>
        <v>1.6100466913540493E-3</v>
      </c>
      <c r="I347" s="252" t="s">
        <v>73</v>
      </c>
      <c r="J347" s="221">
        <v>1.48</v>
      </c>
    </row>
    <row r="348" spans="1:11">
      <c r="B348" s="116" t="s">
        <v>15</v>
      </c>
      <c r="C348" s="208">
        <f>C342+C345</f>
        <v>47539.603999999999</v>
      </c>
      <c r="D348" s="208">
        <f>D342+D345</f>
        <v>1391.6542205178498</v>
      </c>
      <c r="E348" s="192">
        <f>C348/C355</f>
        <v>4.2703711831443076</v>
      </c>
      <c r="F348" s="192">
        <f>D348/D355</f>
        <v>4.1874401884897239</v>
      </c>
      <c r="I348" s="78"/>
    </row>
    <row r="349" spans="1:11">
      <c r="B349" s="78" t="s">
        <v>16</v>
      </c>
      <c r="C349" s="207">
        <f>Model!AW$125</f>
        <v>23329.330999999998</v>
      </c>
      <c r="D349" s="207">
        <f>C349*$J339</f>
        <v>682.93294887369905</v>
      </c>
      <c r="E349" s="191"/>
      <c r="F349" s="191"/>
      <c r="J349" s="256"/>
      <c r="K349" s="256"/>
    </row>
    <row r="350" spans="1:11">
      <c r="B350" s="116" t="s">
        <v>17</v>
      </c>
      <c r="C350" s="208">
        <f>C348-C349</f>
        <v>24210.273000000001</v>
      </c>
      <c r="D350" s="208">
        <f>D348-D349</f>
        <v>708.72127164415076</v>
      </c>
      <c r="E350" s="192">
        <f>C350/C355</f>
        <v>2.1747520689330244</v>
      </c>
      <c r="F350" s="192">
        <f>D350/D355</f>
        <v>2.1325181870363856</v>
      </c>
    </row>
    <row r="351" spans="1:11">
      <c r="B351" s="78" t="s">
        <v>18</v>
      </c>
      <c r="C351" s="207">
        <f>Model!AW$126</f>
        <v>4.8250000000000002</v>
      </c>
      <c r="D351" s="207">
        <f>C351*$J339</f>
        <v>0.14124500519605979</v>
      </c>
      <c r="E351" s="191"/>
      <c r="F351" s="191"/>
    </row>
    <row r="352" spans="1:11">
      <c r="B352" s="116" t="s">
        <v>19</v>
      </c>
      <c r="C352" s="208">
        <f>C350-C351</f>
        <v>24205.448</v>
      </c>
      <c r="D352" s="208">
        <f>D350-D351</f>
        <v>708.58002663895468</v>
      </c>
      <c r="E352" s="192">
        <f>C352/C355</f>
        <v>2.1743186504939755</v>
      </c>
      <c r="F352" s="192">
        <f>D352/D355</f>
        <v>2.1320931856226282</v>
      </c>
    </row>
    <row r="353" spans="2:10">
      <c r="B353" s="75" t="s">
        <v>20</v>
      </c>
      <c r="C353" s="193">
        <f>Model!AW$133</f>
        <v>29046.912</v>
      </c>
      <c r="D353" s="205"/>
    </row>
    <row r="354" spans="2:10">
      <c r="B354" s="75" t="s">
        <v>21</v>
      </c>
      <c r="C354" s="193"/>
      <c r="D354" s="205"/>
    </row>
    <row r="355" spans="2:10">
      <c r="B355" s="78" t="s">
        <v>22</v>
      </c>
      <c r="C355" s="205">
        <f>Model!AW$90</f>
        <v>11132.429</v>
      </c>
      <c r="D355" s="205">
        <f>C355*$J340</f>
        <v>332.34008317137898</v>
      </c>
      <c r="G355" s="256"/>
    </row>
    <row r="356" spans="2:10">
      <c r="B356" s="258" t="s">
        <v>23</v>
      </c>
      <c r="C356" s="259">
        <f>+C348-Model!AW$123</f>
        <v>1.7520000000004075</v>
      </c>
    </row>
    <row r="357" spans="2:10" ht="13.5" thickBot="1"/>
    <row r="358" spans="2:10">
      <c r="B358" s="79" t="s">
        <v>75</v>
      </c>
      <c r="C358" s="151" t="s">
        <v>25</v>
      </c>
      <c r="D358" s="80" t="s">
        <v>5</v>
      </c>
      <c r="I358" s="79" t="s">
        <v>75</v>
      </c>
      <c r="J358" s="80" t="s">
        <v>76</v>
      </c>
    </row>
    <row r="359" spans="2:10">
      <c r="B359" s="143" t="s">
        <v>33</v>
      </c>
      <c r="C359" s="203">
        <f>SUM(C360:C361)</f>
        <v>1.7529999999999999</v>
      </c>
      <c r="D359" s="201">
        <f>SUM(D360:D361)</f>
        <v>5.1316579089884511E-2</v>
      </c>
      <c r="I359" s="143" t="s">
        <v>33</v>
      </c>
      <c r="J359" s="266">
        <f>C359/C365</f>
        <v>3.6874518348953854E-5</v>
      </c>
    </row>
    <row r="360" spans="2:10">
      <c r="B360" s="142" t="s">
        <v>34</v>
      </c>
      <c r="C360" s="211">
        <v>1.698</v>
      </c>
      <c r="D360" s="197">
        <f>C360*$J339</f>
        <v>4.9706532398530463E-2</v>
      </c>
      <c r="I360" s="143" t="s">
        <v>36</v>
      </c>
      <c r="J360" s="266">
        <f>C362/C365</f>
        <v>0.99996312548165112</v>
      </c>
    </row>
    <row r="361" spans="2:10" ht="13.5" thickBot="1">
      <c r="B361" s="142" t="s">
        <v>35</v>
      </c>
      <c r="C361" s="211">
        <v>5.5E-2</v>
      </c>
      <c r="D361" s="197">
        <f>C361*$J339</f>
        <v>1.6100466913540493E-3</v>
      </c>
      <c r="I361" s="83" t="s">
        <v>37</v>
      </c>
      <c r="J361" s="267">
        <f>SUM(J359:J360)</f>
        <v>1</v>
      </c>
    </row>
    <row r="362" spans="2:10">
      <c r="B362" s="143" t="s">
        <v>36</v>
      </c>
      <c r="C362" s="203">
        <f>SUM(C363:C364)</f>
        <v>47537.851000000002</v>
      </c>
      <c r="D362" s="201">
        <f>SUM(D363:D364)</f>
        <v>1391.6029039387597</v>
      </c>
    </row>
    <row r="363" spans="2:10">
      <c r="B363" s="142" t="s">
        <v>34</v>
      </c>
      <c r="C363" s="215">
        <f>7653.636-C360</f>
        <v>7651.9380000000001</v>
      </c>
      <c r="D363" s="197">
        <f>C363*$J339</f>
        <v>223.9995901699331</v>
      </c>
    </row>
    <row r="364" spans="2:10">
      <c r="B364" s="142" t="s">
        <v>35</v>
      </c>
      <c r="C364" s="215">
        <f>39885.968-C361</f>
        <v>39885.913</v>
      </c>
      <c r="D364" s="197">
        <f>C364*$J339</f>
        <v>1167.6033137688266</v>
      </c>
    </row>
    <row r="365" spans="2:10" ht="13.5" thickBot="1">
      <c r="B365" s="83" t="s">
        <v>37</v>
      </c>
      <c r="C365" s="199">
        <f>SUM(C359+C362)</f>
        <v>47539.603999999999</v>
      </c>
      <c r="D365" s="200">
        <f>SUM(D359+D362)</f>
        <v>1391.6542205178496</v>
      </c>
    </row>
    <row r="366" spans="2:10">
      <c r="B366" s="258" t="s">
        <v>23</v>
      </c>
      <c r="C366" s="263">
        <f>C365-C348</f>
        <v>0</v>
      </c>
    </row>
    <row r="367" spans="2:10" ht="13.5" thickBot="1">
      <c r="B367" s="258"/>
    </row>
    <row r="368" spans="2:10">
      <c r="B368" s="79" t="s">
        <v>24</v>
      </c>
      <c r="C368" s="151" t="s">
        <v>25</v>
      </c>
      <c r="D368" s="80" t="s">
        <v>5</v>
      </c>
    </row>
    <row r="369" spans="2:4">
      <c r="B369" s="81" t="s">
        <v>26</v>
      </c>
      <c r="C369" s="194">
        <v>0.70199999999999996</v>
      </c>
      <c r="D369" s="197">
        <f>C369*$J339</f>
        <v>2.0550050496918954E-2</v>
      </c>
    </row>
    <row r="370" spans="2:4">
      <c r="B370" s="81" t="s">
        <v>27</v>
      </c>
      <c r="C370" s="194">
        <v>2661.7060000000001</v>
      </c>
      <c r="D370" s="197">
        <f>C370*$J339</f>
        <v>77.917653430131296</v>
      </c>
    </row>
    <row r="371" spans="2:4">
      <c r="B371" s="81" t="s">
        <v>28</v>
      </c>
      <c r="C371" s="194">
        <v>20740.12</v>
      </c>
      <c r="D371" s="197">
        <f>C371*$J339</f>
        <v>607.1374833506535</v>
      </c>
    </row>
    <row r="372" spans="2:4">
      <c r="B372" s="81" t="s">
        <v>29</v>
      </c>
      <c r="C372" s="194">
        <v>-73.197000000000003</v>
      </c>
      <c r="D372" s="197">
        <f>C372*$J339</f>
        <v>-2.1427379575825882</v>
      </c>
    </row>
    <row r="373" spans="2:4" ht="13.5" thickBot="1">
      <c r="B373" s="83" t="s">
        <v>30</v>
      </c>
      <c r="C373" s="199">
        <f>SUM(C369:C372)</f>
        <v>23329.330999999998</v>
      </c>
      <c r="D373" s="200">
        <f>SUM(D369:D372)</f>
        <v>682.93294887369916</v>
      </c>
    </row>
    <row r="374" spans="2:4">
      <c r="B374" s="258" t="s">
        <v>23</v>
      </c>
      <c r="C374" s="264">
        <f>C373-C349</f>
        <v>0</v>
      </c>
    </row>
    <row r="375" spans="2:4" ht="13.5" thickBot="1">
      <c r="B375" s="258"/>
    </row>
    <row r="376" spans="2:4">
      <c r="B376" s="170" t="s">
        <v>77</v>
      </c>
      <c r="C376" s="148" t="s">
        <v>25</v>
      </c>
      <c r="D376" s="131" t="s">
        <v>5</v>
      </c>
    </row>
    <row r="377" spans="2:4">
      <c r="B377" s="171" t="s">
        <v>40</v>
      </c>
      <c r="C377" s="194">
        <v>3685.895</v>
      </c>
      <c r="D377" s="197">
        <f>C377*$J339</f>
        <v>107.89932817142606</v>
      </c>
    </row>
    <row r="378" spans="2:4">
      <c r="B378" s="171" t="s">
        <v>41</v>
      </c>
      <c r="C378" s="194">
        <v>23651.264999999999</v>
      </c>
      <c r="D378" s="197">
        <f>C378*$J339</f>
        <v>692.35710835614225</v>
      </c>
    </row>
    <row r="379" spans="2:4">
      <c r="B379" s="171" t="s">
        <v>42</v>
      </c>
      <c r="C379" s="194">
        <v>1211.809</v>
      </c>
      <c r="D379" s="197">
        <f>C379*$J339</f>
        <v>35.473983109146531</v>
      </c>
    </row>
    <row r="380" spans="2:4">
      <c r="B380" s="171" t="s">
        <v>43</v>
      </c>
      <c r="C380" s="195">
        <v>1120.2929999999999</v>
      </c>
      <c r="D380" s="197">
        <f>C380*$J339</f>
        <v>32.794982509038213</v>
      </c>
    </row>
    <row r="381" spans="2:4">
      <c r="B381" s="171" t="s">
        <v>44</v>
      </c>
      <c r="C381" s="195">
        <v>1035.684</v>
      </c>
      <c r="D381" s="197">
        <f>C381*$J340</f>
        <v>30.918616835487249</v>
      </c>
    </row>
    <row r="382" spans="2:4">
      <c r="B382" s="172" t="s">
        <v>45</v>
      </c>
      <c r="C382" s="195">
        <v>12866.861999999999</v>
      </c>
      <c r="D382" s="197">
        <f>C382*$J341</f>
        <v>0</v>
      </c>
    </row>
    <row r="383" spans="2:4" ht="13.5" thickBot="1">
      <c r="B383" s="173" t="s">
        <v>46</v>
      </c>
      <c r="C383" s="196">
        <f>SUM(C377:C382)</f>
        <v>43571.808000000005</v>
      </c>
      <c r="D383" s="198">
        <f>SUM(D377:D382)</f>
        <v>899.44401898124022</v>
      </c>
    </row>
    <row r="384" spans="2:4">
      <c r="B384" s="258" t="s">
        <v>23</v>
      </c>
      <c r="C384" s="264">
        <f>C383-C365+C344+C347+3966.044</f>
        <v>5.0022208597511053E-12</v>
      </c>
    </row>
    <row r="385" spans="1:10" ht="13.5" thickBot="1">
      <c r="B385" s="258"/>
    </row>
    <row r="386" spans="1:10">
      <c r="B386" s="79" t="s">
        <v>59</v>
      </c>
      <c r="C386" s="148" t="s">
        <v>25</v>
      </c>
      <c r="D386" s="131" t="s">
        <v>5</v>
      </c>
    </row>
    <row r="387" spans="1:10">
      <c r="B387" s="132" t="s">
        <v>40</v>
      </c>
      <c r="C387" s="194">
        <v>1.6970000000000001</v>
      </c>
      <c r="D387" s="197">
        <f>C387*J339</f>
        <v>4.967725882232403E-2</v>
      </c>
    </row>
    <row r="388" spans="1:10">
      <c r="B388" s="132" t="s">
        <v>41</v>
      </c>
      <c r="C388" s="194">
        <v>5.5E-2</v>
      </c>
      <c r="D388" s="197">
        <f>C388*J339</f>
        <v>1.6100466913540493E-3</v>
      </c>
    </row>
    <row r="389" spans="1:10">
      <c r="B389" s="132" t="s">
        <v>42</v>
      </c>
      <c r="C389" s="194">
        <v>0</v>
      </c>
      <c r="D389" s="197">
        <f>C389*J339</f>
        <v>0</v>
      </c>
    </row>
    <row r="390" spans="1:10">
      <c r="B390" s="132" t="s">
        <v>43</v>
      </c>
      <c r="C390" s="194">
        <v>0</v>
      </c>
      <c r="D390" s="197">
        <f>C390*J339</f>
        <v>0</v>
      </c>
    </row>
    <row r="391" spans="1:10" ht="13.5" thickBot="1">
      <c r="B391" s="174" t="s">
        <v>46</v>
      </c>
      <c r="C391" s="199">
        <f>SUM(C387:C390)</f>
        <v>1.752</v>
      </c>
      <c r="D391" s="200">
        <f>SUM(D387:D390)</f>
        <v>5.1287305513678078E-2</v>
      </c>
    </row>
    <row r="392" spans="1:10">
      <c r="B392" s="258" t="s">
        <v>23</v>
      </c>
      <c r="C392" s="265">
        <f>C391-C344-C347</f>
        <v>-6.2450045135165055E-17</v>
      </c>
    </row>
    <row r="393" spans="1:10">
      <c r="A393" s="245" t="s">
        <v>86</v>
      </c>
      <c r="I393" s="75" t="s">
        <v>87</v>
      </c>
      <c r="J393" s="246">
        <f>Model!AV$215</f>
        <v>3.0629278527344289E-2</v>
      </c>
    </row>
    <row r="394" spans="1:10">
      <c r="I394" s="76" t="s">
        <v>88</v>
      </c>
      <c r="J394" s="246">
        <f>Model!AV$214</f>
        <v>3.0913238903692897E-2</v>
      </c>
    </row>
    <row r="395" spans="1:10">
      <c r="B395" s="108" t="s">
        <v>89</v>
      </c>
      <c r="C395" s="109" t="s">
        <v>25</v>
      </c>
      <c r="D395" s="109" t="s">
        <v>5</v>
      </c>
      <c r="E395" s="141" t="s">
        <v>57</v>
      </c>
      <c r="F395" s="110" t="s">
        <v>7</v>
      </c>
    </row>
    <row r="396" spans="1:10" ht="13.5" thickBot="1">
      <c r="B396" s="124" t="s">
        <v>10</v>
      </c>
      <c r="C396" s="193">
        <f>SUM(C397:C398)</f>
        <v>6267.3019999999997</v>
      </c>
      <c r="D396" s="193">
        <f>SUM(D397:D398)</f>
        <v>191.9629385729819</v>
      </c>
    </row>
    <row r="397" spans="1:10">
      <c r="B397" s="111" t="s">
        <v>12</v>
      </c>
      <c r="C397" s="204">
        <f>Model!AV$111</f>
        <v>6265.7839999999997</v>
      </c>
      <c r="D397" s="205">
        <f>C397*$J393</f>
        <v>191.91644332817739</v>
      </c>
      <c r="I397" s="247" t="s">
        <v>8</v>
      </c>
      <c r="J397" s="248" t="s">
        <v>9</v>
      </c>
    </row>
    <row r="398" spans="1:10" ht="13.5" thickBot="1">
      <c r="B398" s="78" t="s">
        <v>13</v>
      </c>
      <c r="C398" s="204">
        <f>Model!AV$116</f>
        <v>1.518</v>
      </c>
      <c r="D398" s="205">
        <f>C398*$J393</f>
        <v>4.6495244804508631E-2</v>
      </c>
      <c r="I398" s="268" t="s">
        <v>64</v>
      </c>
      <c r="J398" s="269" t="s">
        <v>90</v>
      </c>
    </row>
    <row r="399" spans="1:10">
      <c r="B399" s="124" t="s">
        <v>14</v>
      </c>
      <c r="C399" s="193">
        <f>SUM(C400:C401)</f>
        <v>31478.927</v>
      </c>
      <c r="D399" s="193">
        <f>SUM(D400:D401)</f>
        <v>964.17682282493843</v>
      </c>
    </row>
    <row r="400" spans="1:10">
      <c r="B400" s="111" t="s">
        <v>12</v>
      </c>
      <c r="C400" s="204">
        <f>Model!AV$112</f>
        <v>31478.375</v>
      </c>
      <c r="D400" s="205">
        <f>C400*$J393</f>
        <v>964.15991546319128</v>
      </c>
    </row>
    <row r="401" spans="2:10">
      <c r="B401" s="78" t="s">
        <v>13</v>
      </c>
      <c r="C401" s="204">
        <f>Model!AV$117</f>
        <v>0.55200000000000005</v>
      </c>
      <c r="D401" s="205">
        <f>C401*$J393</f>
        <v>1.6907361747094049E-2</v>
      </c>
      <c r="I401" s="78"/>
    </row>
    <row r="402" spans="2:10">
      <c r="B402" s="116" t="s">
        <v>15</v>
      </c>
      <c r="C402" s="208">
        <f>C396+C399</f>
        <v>37746.228999999999</v>
      </c>
      <c r="D402" s="208">
        <f>D396+D399</f>
        <v>1156.1397613979202</v>
      </c>
      <c r="E402" s="192">
        <f>C402/C409</f>
        <v>3.1864242738785364</v>
      </c>
      <c r="F402" s="192">
        <f>D402/D409</f>
        <v>3.1571546706889202</v>
      </c>
      <c r="I402" s="78"/>
    </row>
    <row r="403" spans="2:10">
      <c r="B403" s="78" t="s">
        <v>16</v>
      </c>
      <c r="C403" s="207">
        <f>Model!AV$125</f>
        <v>16724.845000000001</v>
      </c>
      <c r="D403" s="207">
        <f>C403*$J393</f>
        <v>512.26993583166154</v>
      </c>
      <c r="E403" s="191"/>
      <c r="F403" s="191"/>
      <c r="J403" s="256"/>
    </row>
    <row r="404" spans="2:10">
      <c r="B404" s="116" t="s">
        <v>17</v>
      </c>
      <c r="C404" s="208">
        <f>C402-C403</f>
        <v>21021.383999999998</v>
      </c>
      <c r="D404" s="208">
        <f>D402-D403</f>
        <v>643.86982556625867</v>
      </c>
      <c r="E404" s="192">
        <f>C404/C409</f>
        <v>1.7745626522883089</v>
      </c>
      <c r="F404" s="192">
        <f>D404/D409</f>
        <v>1.7582620155233342</v>
      </c>
    </row>
    <row r="405" spans="2:10">
      <c r="B405" s="78" t="s">
        <v>18</v>
      </c>
      <c r="C405" s="207">
        <f>Model!AV$126</f>
        <v>4.6639999999999997</v>
      </c>
      <c r="D405" s="207">
        <f>C405*$J393</f>
        <v>0.14285495505153376</v>
      </c>
      <c r="E405" s="191"/>
      <c r="F405" s="191"/>
    </row>
    <row r="406" spans="2:10">
      <c r="B406" s="116" t="s">
        <v>19</v>
      </c>
      <c r="C406" s="208">
        <f>C404-C405</f>
        <v>21016.719999999998</v>
      </c>
      <c r="D406" s="208">
        <f>D404-D405</f>
        <v>643.72697061120709</v>
      </c>
      <c r="E406" s="192">
        <f>C406/C409</f>
        <v>1.7741689312939977</v>
      </c>
      <c r="F406" s="192">
        <f>D406/D409</f>
        <v>1.7578719111400831</v>
      </c>
    </row>
    <row r="407" spans="2:10">
      <c r="B407" s="75" t="s">
        <v>20</v>
      </c>
      <c r="C407" s="193">
        <f>Model!AV$133</f>
        <v>26009.65</v>
      </c>
      <c r="D407" s="205"/>
    </row>
    <row r="408" spans="2:10">
      <c r="B408" s="75" t="s">
        <v>21</v>
      </c>
      <c r="C408" s="193"/>
      <c r="D408" s="205"/>
    </row>
    <row r="409" spans="2:10">
      <c r="B409" s="78" t="s">
        <v>22</v>
      </c>
      <c r="C409" s="205">
        <f>Model!AV$90</f>
        <v>11845.952000000001</v>
      </c>
      <c r="D409" s="205">
        <f>C409*$J394</f>
        <v>366.19674421767871</v>
      </c>
    </row>
    <row r="410" spans="2:10">
      <c r="B410" s="258" t="s">
        <v>23</v>
      </c>
      <c r="C410" s="259">
        <f>+C402-Model!AV$123</f>
        <v>2.069999999999709</v>
      </c>
    </row>
    <row r="411" spans="2:10" ht="13.5" thickBot="1"/>
    <row r="412" spans="2:10">
      <c r="B412" s="79" t="s">
        <v>75</v>
      </c>
      <c r="C412" s="151" t="s">
        <v>25</v>
      </c>
      <c r="D412" s="80" t="s">
        <v>5</v>
      </c>
      <c r="I412" s="79" t="s">
        <v>75</v>
      </c>
      <c r="J412" s="80" t="s">
        <v>76</v>
      </c>
    </row>
    <row r="413" spans="2:10">
      <c r="B413" s="143" t="s">
        <v>33</v>
      </c>
      <c r="C413" s="203">
        <f>SUM(C414:C415)</f>
        <v>2.0700000000000003</v>
      </c>
      <c r="D413" s="201">
        <f>SUM(D414:D415)</f>
        <v>6.340260655160268E-2</v>
      </c>
      <c r="I413" s="143" t="s">
        <v>33</v>
      </c>
      <c r="J413" s="266">
        <f>C413/C419</f>
        <v>5.4839915266767454E-5</v>
      </c>
    </row>
    <row r="414" spans="2:10">
      <c r="B414" s="142" t="s">
        <v>34</v>
      </c>
      <c r="C414" s="211">
        <v>1.518</v>
      </c>
      <c r="D414" s="197">
        <f>C414*$J393</f>
        <v>4.6495244804508631E-2</v>
      </c>
      <c r="I414" s="143" t="s">
        <v>36</v>
      </c>
      <c r="J414" s="266">
        <f>C416/C419</f>
        <v>0.99994516008473322</v>
      </c>
    </row>
    <row r="415" spans="2:10" ht="13.5" thickBot="1">
      <c r="B415" s="142" t="s">
        <v>35</v>
      </c>
      <c r="C415" s="211">
        <v>0.55200000000000005</v>
      </c>
      <c r="D415" s="197">
        <f>C415*$J393</f>
        <v>1.6907361747094049E-2</v>
      </c>
      <c r="I415" s="83" t="s">
        <v>37</v>
      </c>
      <c r="J415" s="267">
        <f>SUM(J413:J414)</f>
        <v>1</v>
      </c>
    </row>
    <row r="416" spans="2:10">
      <c r="B416" s="143" t="s">
        <v>36</v>
      </c>
      <c r="C416" s="203">
        <f>SUM(C417:C418)</f>
        <v>37744.159</v>
      </c>
      <c r="D416" s="201">
        <f>SUM(D417:D418)</f>
        <v>1156.0763587913686</v>
      </c>
    </row>
    <row r="417" spans="2:4">
      <c r="B417" s="142" t="s">
        <v>34</v>
      </c>
      <c r="C417" s="215">
        <f>6267.302-C414</f>
        <v>6265.7839999999997</v>
      </c>
      <c r="D417" s="197">
        <f>C417*$J393</f>
        <v>191.91644332817739</v>
      </c>
    </row>
    <row r="418" spans="2:4">
      <c r="B418" s="142" t="s">
        <v>35</v>
      </c>
      <c r="C418" s="215">
        <f>31478.927-C415</f>
        <v>31478.375</v>
      </c>
      <c r="D418" s="197">
        <f>C418*$J393</f>
        <v>964.15991546319128</v>
      </c>
    </row>
    <row r="419" spans="2:4" ht="13.5" thickBot="1">
      <c r="B419" s="83" t="s">
        <v>37</v>
      </c>
      <c r="C419" s="199">
        <f>SUM(C413+C416)</f>
        <v>37746.228999999999</v>
      </c>
      <c r="D419" s="200">
        <f>SUM(D413+D416)</f>
        <v>1156.1397613979202</v>
      </c>
    </row>
    <row r="420" spans="2:4">
      <c r="B420" s="258" t="s">
        <v>23</v>
      </c>
      <c r="C420" s="263">
        <f>C419-C402</f>
        <v>0</v>
      </c>
    </row>
    <row r="421" spans="2:4" ht="13.5" thickBot="1">
      <c r="B421" s="258"/>
    </row>
    <row r="422" spans="2:4">
      <c r="B422" s="79" t="s">
        <v>24</v>
      </c>
      <c r="C422" s="151" t="s">
        <v>25</v>
      </c>
      <c r="D422" s="80" t="s">
        <v>5</v>
      </c>
    </row>
    <row r="423" spans="2:4">
      <c r="B423" s="81" t="s">
        <v>26</v>
      </c>
      <c r="C423" s="194">
        <v>0.622</v>
      </c>
      <c r="D423" s="197">
        <f>C423*$J393</f>
        <v>1.9051411244008148E-2</v>
      </c>
    </row>
    <row r="424" spans="2:4">
      <c r="B424" s="81" t="s">
        <v>27</v>
      </c>
      <c r="C424" s="194">
        <v>2350.8090000000002</v>
      </c>
      <c r="D424" s="197">
        <f>C424*$J393</f>
        <v>72.003583625587709</v>
      </c>
    </row>
    <row r="425" spans="2:4">
      <c r="B425" s="81" t="s">
        <v>28</v>
      </c>
      <c r="C425" s="194">
        <v>14449.960999999999</v>
      </c>
      <c r="D425" s="197">
        <f>C425*$J393</f>
        <v>442.59188017826239</v>
      </c>
    </row>
    <row r="426" spans="2:4">
      <c r="B426" s="81" t="s">
        <v>29</v>
      </c>
      <c r="C426" s="194">
        <v>-76.546999999999997</v>
      </c>
      <c r="D426" s="197">
        <f>C426*$J393</f>
        <v>-2.3445793834326234</v>
      </c>
    </row>
    <row r="427" spans="2:4" ht="13.5" thickBot="1">
      <c r="B427" s="83" t="s">
        <v>30</v>
      </c>
      <c r="C427" s="199">
        <f>SUM(C423:C426)</f>
        <v>16724.845000000001</v>
      </c>
      <c r="D427" s="200">
        <f>SUM(D423:D426)</f>
        <v>512.26993583166154</v>
      </c>
    </row>
    <row r="428" spans="2:4">
      <c r="B428" s="258" t="s">
        <v>23</v>
      </c>
      <c r="C428" s="264">
        <f>C427-C403</f>
        <v>0</v>
      </c>
    </row>
    <row r="429" spans="2:4" ht="13.5" thickBot="1">
      <c r="B429" s="258"/>
    </row>
    <row r="430" spans="2:4">
      <c r="B430" s="170" t="s">
        <v>77</v>
      </c>
      <c r="C430" s="148" t="s">
        <v>25</v>
      </c>
      <c r="D430" s="131" t="s">
        <v>5</v>
      </c>
    </row>
    <row r="431" spans="2:4">
      <c r="B431" s="171" t="s">
        <v>40</v>
      </c>
      <c r="C431" s="194">
        <v>3157.5169999999998</v>
      </c>
      <c r="D431" s="197">
        <f>C431*$J393</f>
        <v>96.712467647824553</v>
      </c>
    </row>
    <row r="432" spans="2:4">
      <c r="B432" s="171" t="s">
        <v>41</v>
      </c>
      <c r="C432" s="194">
        <v>31478.375</v>
      </c>
      <c r="D432" s="197">
        <f>C432*$J393</f>
        <v>964.15991546319128</v>
      </c>
    </row>
    <row r="433" spans="1:10">
      <c r="B433" s="171" t="s">
        <v>42</v>
      </c>
      <c r="C433" s="194">
        <v>0</v>
      </c>
      <c r="D433" s="197">
        <f>C433*$J393</f>
        <v>0</v>
      </c>
    </row>
    <row r="434" spans="1:10">
      <c r="B434" s="171" t="s">
        <v>43</v>
      </c>
      <c r="C434" s="195">
        <v>0</v>
      </c>
      <c r="D434" s="197">
        <f>C434*$J393</f>
        <v>0</v>
      </c>
    </row>
    <row r="435" spans="1:10">
      <c r="B435" s="171" t="s">
        <v>44</v>
      </c>
      <c r="C435" s="195">
        <v>0</v>
      </c>
      <c r="D435" s="197">
        <f t="shared" ref="D435:D436" si="0">C435*$J394</f>
        <v>0</v>
      </c>
    </row>
    <row r="436" spans="1:10">
      <c r="B436" s="172" t="s">
        <v>45</v>
      </c>
      <c r="C436" s="195">
        <v>0</v>
      </c>
      <c r="D436" s="197">
        <f t="shared" si="0"/>
        <v>0</v>
      </c>
    </row>
    <row r="437" spans="1:10" ht="13.5" thickBot="1">
      <c r="B437" s="173" t="s">
        <v>46</v>
      </c>
      <c r="C437" s="196">
        <f>SUM(C431:C436)</f>
        <v>34635.892</v>
      </c>
      <c r="D437" s="198">
        <f>SUM(D431:D436)</f>
        <v>1060.8723831110158</v>
      </c>
    </row>
    <row r="438" spans="1:10">
      <c r="B438" s="258" t="s">
        <v>23</v>
      </c>
      <c r="C438" s="264">
        <f>C437-C419+C398+C401+3108.267</f>
        <v>0</v>
      </c>
    </row>
    <row r="439" spans="1:10" ht="13.5" thickBot="1">
      <c r="B439" s="258"/>
    </row>
    <row r="440" spans="1:10">
      <c r="B440" s="79" t="s">
        <v>59</v>
      </c>
      <c r="C440" s="148" t="s">
        <v>25</v>
      </c>
      <c r="D440" s="131" t="s">
        <v>5</v>
      </c>
    </row>
    <row r="441" spans="1:10">
      <c r="B441" s="132" t="s">
        <v>40</v>
      </c>
      <c r="C441" s="194">
        <v>1.518</v>
      </c>
      <c r="D441" s="197">
        <f>C441*J393</f>
        <v>4.6495244804508631E-2</v>
      </c>
    </row>
    <row r="442" spans="1:10">
      <c r="B442" s="132" t="s">
        <v>41</v>
      </c>
      <c r="C442" s="194">
        <v>0.55200000000000005</v>
      </c>
      <c r="D442" s="197">
        <f>C442*J393</f>
        <v>1.6907361747094049E-2</v>
      </c>
    </row>
    <row r="443" spans="1:10">
      <c r="B443" s="132" t="s">
        <v>42</v>
      </c>
      <c r="C443" s="194">
        <v>0</v>
      </c>
      <c r="D443" s="197">
        <f>C443*J393</f>
        <v>0</v>
      </c>
    </row>
    <row r="444" spans="1:10">
      <c r="B444" s="132" t="s">
        <v>43</v>
      </c>
      <c r="C444" s="194">
        <v>0</v>
      </c>
      <c r="D444" s="197">
        <f>C444*J393</f>
        <v>0</v>
      </c>
    </row>
    <row r="445" spans="1:10" ht="13.5" thickBot="1">
      <c r="B445" s="174" t="s">
        <v>46</v>
      </c>
      <c r="C445" s="199">
        <f>SUM(C441:C444)</f>
        <v>2.0700000000000003</v>
      </c>
      <c r="D445" s="200">
        <f>SUM(D441:D444)</f>
        <v>6.340260655160268E-2</v>
      </c>
    </row>
    <row r="446" spans="1:10">
      <c r="B446" s="258" t="s">
        <v>23</v>
      </c>
      <c r="C446" s="265">
        <f>C445-C398-C401</f>
        <v>0</v>
      </c>
    </row>
    <row r="447" spans="1:10">
      <c r="A447" s="245" t="s">
        <v>91</v>
      </c>
      <c r="I447" s="75" t="s">
        <v>92</v>
      </c>
      <c r="J447" s="246">
        <f>Model!AU215</f>
        <v>3.0915723737092688E-2</v>
      </c>
    </row>
    <row r="448" spans="1:10">
      <c r="I448" s="76" t="s">
        <v>93</v>
      </c>
      <c r="J448" s="246">
        <f>Model!AU214</f>
        <v>3.2360574464917899E-2</v>
      </c>
    </row>
    <row r="449" spans="2:10">
      <c r="B449" s="108" t="s">
        <v>94</v>
      </c>
      <c r="C449" s="109" t="s">
        <v>25</v>
      </c>
      <c r="D449" s="109" t="s">
        <v>5</v>
      </c>
      <c r="E449" s="141" t="s">
        <v>57</v>
      </c>
      <c r="F449" s="110" t="s">
        <v>7</v>
      </c>
    </row>
    <row r="450" spans="2:10" ht="13.5" thickBot="1">
      <c r="B450" s="124" t="s">
        <v>10</v>
      </c>
      <c r="C450" s="193">
        <f>SUM(C451:C452)</f>
        <v>6438.3779999999997</v>
      </c>
      <c r="D450" s="193">
        <f>SUM(D451:D452)</f>
        <v>199.04711556297534</v>
      </c>
    </row>
    <row r="451" spans="2:10">
      <c r="B451" s="111" t="s">
        <v>12</v>
      </c>
      <c r="C451" s="204">
        <f>Model!AU111</f>
        <v>6437.0159999999996</v>
      </c>
      <c r="D451" s="205">
        <f>C451*$J447</f>
        <v>199.00500834724542</v>
      </c>
      <c r="I451" s="247" t="s">
        <v>8</v>
      </c>
      <c r="J451" s="248" t="s">
        <v>9</v>
      </c>
    </row>
    <row r="452" spans="2:10" ht="13.5" thickBot="1">
      <c r="B452" s="78" t="s">
        <v>13</v>
      </c>
      <c r="C452" s="204">
        <f>Model!AU116</f>
        <v>1.3620000000000001</v>
      </c>
      <c r="D452" s="205">
        <f>C452*$J447</f>
        <v>4.2107215729920246E-2</v>
      </c>
      <c r="I452" s="268" t="s">
        <v>64</v>
      </c>
      <c r="J452" s="269" t="s">
        <v>95</v>
      </c>
    </row>
    <row r="453" spans="2:10">
      <c r="B453" s="124" t="s">
        <v>14</v>
      </c>
      <c r="C453" s="193">
        <f>SUM(C454:C455)</f>
        <v>27876.01</v>
      </c>
      <c r="D453" s="193">
        <f>SUM(D454:D455)</f>
        <v>861.80702405243312</v>
      </c>
    </row>
    <row r="454" spans="2:10">
      <c r="B454" s="111" t="s">
        <v>12</v>
      </c>
      <c r="C454" s="204">
        <f>Model!AU112</f>
        <v>27875.014999999999</v>
      </c>
      <c r="D454" s="205">
        <f>C454*$J447</f>
        <v>861.77626290731473</v>
      </c>
    </row>
    <row r="455" spans="2:10">
      <c r="B455" s="78" t="s">
        <v>13</v>
      </c>
      <c r="C455" s="204">
        <f>Model!AU117</f>
        <v>0.995</v>
      </c>
      <c r="D455" s="205">
        <f>C455*$J447</f>
        <v>3.0761145118407225E-2</v>
      </c>
      <c r="I455" s="78"/>
    </row>
    <row r="456" spans="2:10">
      <c r="B456" s="116" t="s">
        <v>15</v>
      </c>
      <c r="C456" s="208">
        <f>C450+C453</f>
        <v>34314.387999999999</v>
      </c>
      <c r="D456" s="208">
        <f>D450+D453</f>
        <v>1060.8541396154085</v>
      </c>
      <c r="E456" s="192">
        <f>C456/C463</f>
        <v>2.1752145491390458</v>
      </c>
      <c r="F456" s="192">
        <f>D456/D463</f>
        <v>2.0780945079634261</v>
      </c>
      <c r="I456" s="78"/>
    </row>
    <row r="457" spans="2:10">
      <c r="B457" s="78" t="s">
        <v>16</v>
      </c>
      <c r="C457" s="207">
        <f>Model!AU125</f>
        <v>12662.493</v>
      </c>
      <c r="D457" s="207">
        <f>C457*J447</f>
        <v>391.47013541087</v>
      </c>
      <c r="E457" s="191"/>
      <c r="F457" s="191"/>
      <c r="J457" s="256"/>
    </row>
    <row r="458" spans="2:10">
      <c r="B458" s="116" t="s">
        <v>17</v>
      </c>
      <c r="C458" s="208">
        <f>C456-C457</f>
        <v>21651.894999999997</v>
      </c>
      <c r="D458" s="208">
        <f>D456-D457</f>
        <v>669.38400420453854</v>
      </c>
      <c r="E458" s="192">
        <f>C458/C463</f>
        <v>1.3725297102903584</v>
      </c>
      <c r="F458" s="192">
        <f>D458/D463</f>
        <v>1.3112483336873373</v>
      </c>
    </row>
    <row r="459" spans="2:10">
      <c r="B459" s="78" t="s">
        <v>18</v>
      </c>
      <c r="C459" s="207">
        <f>Model!AU126</f>
        <v>4.5940000000000003</v>
      </c>
      <c r="D459" s="207">
        <f>C459*J447</f>
        <v>0.14202683484820383</v>
      </c>
      <c r="E459" s="191"/>
      <c r="F459" s="191"/>
    </row>
    <row r="460" spans="2:10">
      <c r="B460" s="116" t="s">
        <v>19</v>
      </c>
      <c r="C460" s="208">
        <f>C458-C459</f>
        <v>21647.300999999996</v>
      </c>
      <c r="D460" s="208">
        <f>D458-D459</f>
        <v>669.24197736969029</v>
      </c>
      <c r="E460" s="192">
        <f>C460/C463</f>
        <v>1.3722384932172536</v>
      </c>
      <c r="F460" s="192">
        <f>D460/D463</f>
        <v>1.3109701190162908</v>
      </c>
    </row>
    <row r="461" spans="2:10">
      <c r="B461" s="75" t="s">
        <v>20</v>
      </c>
      <c r="C461" s="193">
        <f>Model!AU133</f>
        <v>23486.438999999998</v>
      </c>
      <c r="D461" s="205"/>
    </row>
    <row r="462" spans="2:10">
      <c r="B462" s="75" t="s">
        <v>21</v>
      </c>
      <c r="C462" s="193"/>
      <c r="D462" s="205"/>
    </row>
    <row r="463" spans="2:10">
      <c r="B463" s="78" t="s">
        <v>22</v>
      </c>
      <c r="C463" s="205">
        <f>Model!AU90</f>
        <v>15775.174000000001</v>
      </c>
      <c r="D463" s="205">
        <f>C463*J448</f>
        <v>510.49369292403679</v>
      </c>
    </row>
    <row r="464" spans="2:10">
      <c r="B464" s="258" t="s">
        <v>23</v>
      </c>
      <c r="C464" s="259">
        <f>+C456-Model!AU123</f>
        <v>2.3569999999963329</v>
      </c>
    </row>
    <row r="465" spans="2:10" ht="13.5" thickBot="1"/>
    <row r="466" spans="2:10">
      <c r="B466" s="79" t="s">
        <v>75</v>
      </c>
      <c r="C466" s="151" t="s">
        <v>25</v>
      </c>
      <c r="D466" s="80" t="s">
        <v>5</v>
      </c>
      <c r="I466" s="79" t="s">
        <v>75</v>
      </c>
      <c r="J466" s="80" t="s">
        <v>76</v>
      </c>
    </row>
    <row r="467" spans="2:10">
      <c r="B467" s="143" t="s">
        <v>33</v>
      </c>
      <c r="C467" s="203">
        <f>SUM(C468:C469)</f>
        <v>2.3570000000000002</v>
      </c>
      <c r="D467" s="201">
        <f>SUM(D468:D469)</f>
        <v>7.2868360848327471E-2</v>
      </c>
      <c r="I467" s="143" t="s">
        <v>33</v>
      </c>
      <c r="J467" s="266">
        <f>C467/C473</f>
        <v>6.8688388089567553E-5</v>
      </c>
    </row>
    <row r="468" spans="2:10">
      <c r="B468" s="142" t="s">
        <v>34</v>
      </c>
      <c r="C468" s="211">
        <v>1.363</v>
      </c>
      <c r="D468" s="197">
        <f>C468*$J447</f>
        <v>4.2138131453657336E-2</v>
      </c>
      <c r="I468" s="143" t="s">
        <v>36</v>
      </c>
      <c r="J468" s="266">
        <f>C470/C473</f>
        <v>0.99993131161191029</v>
      </c>
    </row>
    <row r="469" spans="2:10" ht="13.5" thickBot="1">
      <c r="B469" s="142" t="s">
        <v>35</v>
      </c>
      <c r="C469" s="211">
        <v>0.99399999999999999</v>
      </c>
      <c r="D469" s="197">
        <f>C469*$J447</f>
        <v>3.0730229394670131E-2</v>
      </c>
      <c r="I469" s="83" t="s">
        <v>37</v>
      </c>
      <c r="J469" s="267">
        <f>SUM(J467:J468)</f>
        <v>0.99999999999999989</v>
      </c>
    </row>
    <row r="470" spans="2:10">
      <c r="B470" s="143" t="s">
        <v>36</v>
      </c>
      <c r="C470" s="203">
        <f>SUM(C471:C472)</f>
        <v>34312.031000000003</v>
      </c>
      <c r="D470" s="201">
        <f>SUM(D471:D472)</f>
        <v>1060.7812712545601</v>
      </c>
    </row>
    <row r="471" spans="2:10">
      <c r="B471" s="142" t="s">
        <v>34</v>
      </c>
      <c r="C471" s="215">
        <f>6438.378-C468</f>
        <v>6437.0149999999994</v>
      </c>
      <c r="D471" s="197">
        <f>C471*$J447</f>
        <v>199.00497743152167</v>
      </c>
    </row>
    <row r="472" spans="2:10">
      <c r="B472" s="142" t="s">
        <v>35</v>
      </c>
      <c r="C472" s="215">
        <f>27876.01-C469</f>
        <v>27875.016</v>
      </c>
      <c r="D472" s="197">
        <f>C472*$J447</f>
        <v>861.77629382303849</v>
      </c>
    </row>
    <row r="473" spans="2:10" ht="13.5" thickBot="1">
      <c r="B473" s="83" t="s">
        <v>37</v>
      </c>
      <c r="C473" s="199">
        <f>SUM(C467+C470)</f>
        <v>34314.388000000006</v>
      </c>
      <c r="D473" s="200">
        <f>SUM(D467+D470)</f>
        <v>1060.8541396154085</v>
      </c>
    </row>
    <row r="474" spans="2:10">
      <c r="B474" s="258" t="s">
        <v>23</v>
      </c>
      <c r="C474" s="263">
        <f>C473-C456</f>
        <v>0</v>
      </c>
    </row>
    <row r="475" spans="2:10" ht="13.5" thickBot="1">
      <c r="B475" s="258"/>
    </row>
    <row r="476" spans="2:10">
      <c r="B476" s="79" t="s">
        <v>24</v>
      </c>
      <c r="C476" s="151" t="s">
        <v>25</v>
      </c>
      <c r="D476" s="80" t="s">
        <v>5</v>
      </c>
    </row>
    <row r="477" spans="2:10">
      <c r="B477" s="81" t="s">
        <v>26</v>
      </c>
      <c r="C477" s="194">
        <v>0.56699999999999995</v>
      </c>
      <c r="D477" s="197">
        <f>C477*$J447</f>
        <v>1.7529215358931552E-2</v>
      </c>
    </row>
    <row r="478" spans="2:10">
      <c r="B478" s="81" t="s">
        <v>27</v>
      </c>
      <c r="C478" s="194">
        <v>2998.06</v>
      </c>
      <c r="D478" s="197">
        <f>C478*$J447</f>
        <v>92.687194707228102</v>
      </c>
    </row>
    <row r="479" spans="2:10">
      <c r="B479" s="81" t="s">
        <v>28</v>
      </c>
      <c r="C479" s="194">
        <v>9697.1730000000007</v>
      </c>
      <c r="D479" s="197">
        <f>C479*$J447</f>
        <v>299.79512149879434</v>
      </c>
    </row>
    <row r="480" spans="2:10">
      <c r="B480" s="81" t="s">
        <v>29</v>
      </c>
      <c r="C480" s="194">
        <v>-33.307000000000002</v>
      </c>
      <c r="D480" s="197">
        <f>C480*$J447</f>
        <v>-1.0297100105113461</v>
      </c>
    </row>
    <row r="481" spans="2:4" ht="13.5" thickBot="1">
      <c r="B481" s="83" t="s">
        <v>30</v>
      </c>
      <c r="C481" s="199">
        <f>SUM(C477:C480)</f>
        <v>12662.493</v>
      </c>
      <c r="D481" s="200">
        <f>SUM(D477:D480)</f>
        <v>391.47013541087006</v>
      </c>
    </row>
    <row r="482" spans="2:4">
      <c r="B482" s="258" t="s">
        <v>23</v>
      </c>
      <c r="C482" s="264">
        <f>C481-C457</f>
        <v>0</v>
      </c>
    </row>
    <row r="483" spans="2:4" ht="13.5" thickBot="1">
      <c r="B483" s="258"/>
    </row>
    <row r="484" spans="2:4">
      <c r="B484" s="170" t="s">
        <v>77</v>
      </c>
      <c r="C484" s="148" t="s">
        <v>25</v>
      </c>
      <c r="D484" s="131" t="s">
        <v>5</v>
      </c>
    </row>
    <row r="485" spans="2:4">
      <c r="B485" s="171" t="s">
        <v>40</v>
      </c>
      <c r="C485" s="194">
        <v>4768.9179999999997</v>
      </c>
      <c r="D485" s="197">
        <f>C485*$J447</f>
        <v>147.43455141284858</v>
      </c>
    </row>
    <row r="486" spans="2:4">
      <c r="B486" s="171" t="s">
        <v>41</v>
      </c>
      <c r="C486" s="194">
        <v>19053.816999999999</v>
      </c>
      <c r="D486" s="197">
        <f>C486*$J447</f>
        <v>589.06254250912014</v>
      </c>
    </row>
    <row r="487" spans="2:4">
      <c r="B487" s="171" t="s">
        <v>42</v>
      </c>
      <c r="C487" s="194">
        <v>8821.1980000000003</v>
      </c>
      <c r="D487" s="197">
        <f>C487*$J447</f>
        <v>272.71372039819454</v>
      </c>
    </row>
    <row r="488" spans="2:4">
      <c r="B488" s="171" t="s">
        <v>43</v>
      </c>
      <c r="C488" s="195">
        <v>0</v>
      </c>
      <c r="D488" s="197">
        <f>C488*$J447</f>
        <v>0</v>
      </c>
    </row>
    <row r="489" spans="2:4">
      <c r="B489" s="171" t="s">
        <v>44</v>
      </c>
      <c r="C489" s="195">
        <v>0</v>
      </c>
      <c r="D489" s="197">
        <f t="shared" ref="D489:D490" si="1">C489*$J448</f>
        <v>0</v>
      </c>
    </row>
    <row r="490" spans="2:4">
      <c r="B490" s="172" t="s">
        <v>45</v>
      </c>
      <c r="C490" s="195">
        <v>0</v>
      </c>
      <c r="D490" s="197">
        <f t="shared" si="1"/>
        <v>0</v>
      </c>
    </row>
    <row r="491" spans="2:4" ht="13.5" thickBot="1">
      <c r="B491" s="173" t="s">
        <v>46</v>
      </c>
      <c r="C491" s="196">
        <f>SUM(C485:C490)</f>
        <v>32643.933000000001</v>
      </c>
      <c r="D491" s="198">
        <f>SUM(D485:D490)</f>
        <v>1009.2108143201633</v>
      </c>
    </row>
    <row r="492" spans="2:4">
      <c r="B492" s="258" t="s">
        <v>23</v>
      </c>
      <c r="C492" s="264">
        <f>C491-C473+C452+C455+1668.098</f>
        <v>-5.4569682106375694E-12</v>
      </c>
    </row>
    <row r="493" spans="2:4" ht="13.5" thickBot="1">
      <c r="B493" s="258"/>
    </row>
    <row r="494" spans="2:4">
      <c r="B494" s="79" t="s">
        <v>59</v>
      </c>
      <c r="C494" s="148" t="s">
        <v>25</v>
      </c>
      <c r="D494" s="131" t="s">
        <v>5</v>
      </c>
    </row>
    <row r="495" spans="2:4">
      <c r="B495" s="132" t="s">
        <v>40</v>
      </c>
      <c r="C495" s="194">
        <v>1.3620000000000001</v>
      </c>
      <c r="D495" s="197">
        <f>C495*J447</f>
        <v>4.2107215729920246E-2</v>
      </c>
    </row>
    <row r="496" spans="2:4">
      <c r="B496" s="132" t="s">
        <v>41</v>
      </c>
      <c r="C496" s="194">
        <v>0.995</v>
      </c>
      <c r="D496" s="197">
        <f>C496*J447</f>
        <v>3.0761145118407225E-2</v>
      </c>
    </row>
    <row r="497" spans="1:10">
      <c r="B497" s="132" t="s">
        <v>42</v>
      </c>
      <c r="C497" s="194">
        <v>0</v>
      </c>
      <c r="D497" s="197">
        <f>C497*J447</f>
        <v>0</v>
      </c>
    </row>
    <row r="498" spans="1:10">
      <c r="B498" s="132" t="s">
        <v>43</v>
      </c>
      <c r="C498" s="194">
        <v>0</v>
      </c>
      <c r="D498" s="197">
        <f>C498*J447</f>
        <v>0</v>
      </c>
    </row>
    <row r="499" spans="1:10" ht="13.5" thickBot="1">
      <c r="B499" s="174" t="s">
        <v>46</v>
      </c>
      <c r="C499" s="199">
        <f>SUM(C495:C498)</f>
        <v>2.3570000000000002</v>
      </c>
      <c r="D499" s="200">
        <f>SUM(D495:D498)</f>
        <v>7.2868360848327471E-2</v>
      </c>
    </row>
    <row r="500" spans="1:10">
      <c r="B500" s="258" t="s">
        <v>23</v>
      </c>
      <c r="C500" s="265">
        <f>C499-C452-C455</f>
        <v>0</v>
      </c>
    </row>
    <row r="501" spans="1:10">
      <c r="A501" s="245" t="s">
        <v>96</v>
      </c>
      <c r="I501" s="75" t="s">
        <v>97</v>
      </c>
      <c r="J501" s="246">
        <f>Model!K215</f>
        <v>3.4000000000000002E-2</v>
      </c>
    </row>
    <row r="502" spans="1:10">
      <c r="I502" s="76" t="s">
        <v>98</v>
      </c>
      <c r="J502" s="246">
        <f>Model!K214</f>
        <v>4.3751558278269709E-2</v>
      </c>
    </row>
    <row r="503" spans="1:10">
      <c r="B503" s="108" t="s">
        <v>99</v>
      </c>
      <c r="C503" s="109" t="s">
        <v>25</v>
      </c>
      <c r="D503" s="109" t="s">
        <v>5</v>
      </c>
      <c r="E503" s="141" t="s">
        <v>57</v>
      </c>
      <c r="F503" s="110" t="s">
        <v>7</v>
      </c>
    </row>
    <row r="504" spans="1:10" ht="13.5" thickBot="1">
      <c r="B504" s="124" t="s">
        <v>10</v>
      </c>
      <c r="C504" s="193">
        <f>SUM(C505:C506)</f>
        <v>5460.6489999999994</v>
      </c>
      <c r="D504" s="193">
        <f>SUM(D505:D506)</f>
        <v>185.66206600000001</v>
      </c>
    </row>
    <row r="505" spans="1:10">
      <c r="B505" s="111" t="s">
        <v>12</v>
      </c>
      <c r="C505" s="204">
        <f>Model!K111</f>
        <v>5459.4309999999996</v>
      </c>
      <c r="D505" s="205">
        <f>C505*$J501</f>
        <v>185.620654</v>
      </c>
      <c r="I505" s="247" t="s">
        <v>8</v>
      </c>
      <c r="J505" s="248" t="s">
        <v>9</v>
      </c>
    </row>
    <row r="506" spans="1:10" ht="13.5" thickBot="1">
      <c r="B506" s="78" t="s">
        <v>13</v>
      </c>
      <c r="C506" s="22">
        <f>Model!K116</f>
        <v>1.218</v>
      </c>
      <c r="D506" s="205">
        <f>C506*$J501</f>
        <v>4.1412000000000004E-2</v>
      </c>
      <c r="I506" s="268" t="s">
        <v>64</v>
      </c>
      <c r="J506" s="269" t="s">
        <v>100</v>
      </c>
    </row>
    <row r="507" spans="1:10">
      <c r="B507" s="124" t="s">
        <v>14</v>
      </c>
      <c r="C507" s="193">
        <f>SUM(C508:C509)</f>
        <v>25102.592000000004</v>
      </c>
      <c r="D507" s="193">
        <f>SUM(D508:D509)</f>
        <v>853.48812800000019</v>
      </c>
    </row>
    <row r="508" spans="1:10">
      <c r="B508" s="111" t="s">
        <v>12</v>
      </c>
      <c r="C508" s="22">
        <f>Model!K112</f>
        <v>25101.196000000004</v>
      </c>
      <c r="D508" s="205">
        <f>C508*$J501</f>
        <v>853.4406640000002</v>
      </c>
    </row>
    <row r="509" spans="1:10">
      <c r="B509" s="78" t="s">
        <v>13</v>
      </c>
      <c r="C509" s="22">
        <f>Model!K117</f>
        <v>1.3959999999999999</v>
      </c>
      <c r="D509" s="205">
        <f>C509*$J501</f>
        <v>4.7463999999999999E-2</v>
      </c>
    </row>
    <row r="510" spans="1:10">
      <c r="B510" s="116" t="s">
        <v>15</v>
      </c>
      <c r="C510" s="208">
        <f>C504+C507</f>
        <v>30563.241000000002</v>
      </c>
      <c r="D510" s="208">
        <f>D504+D507</f>
        <v>1039.1501940000003</v>
      </c>
      <c r="E510" s="192">
        <f>C510/C517</f>
        <v>2.8831646886002931</v>
      </c>
      <c r="F510" s="192">
        <f>D510/D517</f>
        <v>2.240551040237984</v>
      </c>
      <c r="I510" s="256"/>
    </row>
    <row r="511" spans="1:10">
      <c r="B511" s="78" t="s">
        <v>16</v>
      </c>
      <c r="C511" s="207">
        <f>Model!K125</f>
        <v>11657.222</v>
      </c>
      <c r="D511" s="207">
        <f>C511*J501</f>
        <v>396.34554800000001</v>
      </c>
      <c r="E511" s="191"/>
      <c r="F511" s="191"/>
      <c r="J511" s="256"/>
    </row>
    <row r="512" spans="1:10">
      <c r="B512" s="116" t="s">
        <v>17</v>
      </c>
      <c r="C512" s="208">
        <f>C510-C511</f>
        <v>18906.019</v>
      </c>
      <c r="D512" s="208">
        <f>D510-D511</f>
        <v>642.80464600000028</v>
      </c>
      <c r="E512" s="192">
        <f>C512/C517</f>
        <v>1.7834877650183178</v>
      </c>
      <c r="F512" s="192">
        <f>D512/D517</f>
        <v>1.3859754120058503</v>
      </c>
    </row>
    <row r="513" spans="2:10">
      <c r="B513" s="78" t="s">
        <v>18</v>
      </c>
      <c r="C513" s="207">
        <f>Model!K126</f>
        <v>4.2300000000000004</v>
      </c>
      <c r="D513" s="207">
        <f>C513*J501</f>
        <v>0.14382000000000003</v>
      </c>
      <c r="E513" s="191"/>
      <c r="F513" s="191"/>
    </row>
    <row r="514" spans="2:10">
      <c r="B514" s="116" t="s">
        <v>19</v>
      </c>
      <c r="C514" s="208">
        <f>C512-C513</f>
        <v>18901.789000000001</v>
      </c>
      <c r="D514" s="208">
        <f>D512-D513</f>
        <v>642.66082600000027</v>
      </c>
      <c r="E514" s="192">
        <f>C514/C517</f>
        <v>1.7830887305496639</v>
      </c>
      <c r="F514" s="192">
        <f>D514/D517</f>
        <v>1.3856653162637067</v>
      </c>
    </row>
    <row r="515" spans="2:10">
      <c r="B515" s="75" t="s">
        <v>20</v>
      </c>
      <c r="C515" s="193">
        <f>Model!K133</f>
        <v>19801.973000000002</v>
      </c>
      <c r="D515" s="205"/>
    </row>
    <row r="516" spans="2:10">
      <c r="B516" s="75" t="s">
        <v>21</v>
      </c>
      <c r="C516" s="193"/>
      <c r="D516" s="205"/>
    </row>
    <row r="517" spans="2:10">
      <c r="B517" s="78" t="s">
        <v>22</v>
      </c>
      <c r="C517" s="205">
        <f>Model!K156</f>
        <v>10600.588</v>
      </c>
      <c r="D517" s="205">
        <f>C517*J502</f>
        <v>463.79224366592655</v>
      </c>
    </row>
    <row r="518" spans="2:10">
      <c r="B518" s="258" t="s">
        <v>23</v>
      </c>
      <c r="C518" s="259">
        <f>+C510-Model!K123</f>
        <v>2.613999999997759</v>
      </c>
    </row>
    <row r="519" spans="2:10" ht="13.5" thickBot="1"/>
    <row r="520" spans="2:10">
      <c r="B520" s="79" t="s">
        <v>75</v>
      </c>
      <c r="C520" s="151" t="s">
        <v>25</v>
      </c>
      <c r="D520" s="80" t="s">
        <v>5</v>
      </c>
      <c r="I520" s="79" t="s">
        <v>75</v>
      </c>
      <c r="J520" s="80" t="s">
        <v>76</v>
      </c>
    </row>
    <row r="521" spans="2:10">
      <c r="B521" s="143" t="s">
        <v>33</v>
      </c>
      <c r="C521" s="203">
        <f>SUM(C522:C523)</f>
        <v>2.6150000000000002</v>
      </c>
      <c r="D521" s="201">
        <f>SUM(D522:D523)</f>
        <v>8.8910000000000003E-2</v>
      </c>
      <c r="I521" s="143" t="s">
        <v>33</v>
      </c>
      <c r="J521" s="266">
        <f>C521/C527</f>
        <v>8.556029774460111E-5</v>
      </c>
    </row>
    <row r="522" spans="2:10">
      <c r="B522" s="142" t="s">
        <v>34</v>
      </c>
      <c r="C522" s="211">
        <v>1.2190000000000001</v>
      </c>
      <c r="D522" s="197">
        <f>C522*$J501</f>
        <v>4.1446000000000004E-2</v>
      </c>
      <c r="I522" s="143" t="s">
        <v>36</v>
      </c>
      <c r="J522" s="266">
        <f>C524/C527</f>
        <v>0.99991443970225535</v>
      </c>
    </row>
    <row r="523" spans="2:10" ht="13.5" thickBot="1">
      <c r="B523" s="142" t="s">
        <v>35</v>
      </c>
      <c r="C523" s="211">
        <v>1.3959999999999999</v>
      </c>
      <c r="D523" s="197">
        <f>C523*$J501</f>
        <v>4.7463999999999999E-2</v>
      </c>
      <c r="I523" s="83" t="s">
        <v>37</v>
      </c>
      <c r="J523" s="267">
        <f>SUM(J521:J522)</f>
        <v>1</v>
      </c>
    </row>
    <row r="524" spans="2:10">
      <c r="B524" s="143" t="s">
        <v>36</v>
      </c>
      <c r="C524" s="203">
        <f>SUM(C525:C526)</f>
        <v>30560.626</v>
      </c>
      <c r="D524" s="201">
        <f>SUM(D525:D526)</f>
        <v>1039.0612840000001</v>
      </c>
    </row>
    <row r="525" spans="2:10">
      <c r="B525" s="142" t="s">
        <v>34</v>
      </c>
      <c r="C525" s="194">
        <f>5460.649-1.219</f>
        <v>5459.43</v>
      </c>
      <c r="D525" s="197">
        <f>C525*$J501</f>
        <v>185.62062000000003</v>
      </c>
    </row>
    <row r="526" spans="2:10">
      <c r="B526" s="142" t="s">
        <v>35</v>
      </c>
      <c r="C526" s="194">
        <f>25102.592-1.396</f>
        <v>25101.196</v>
      </c>
      <c r="D526" s="197">
        <f>C526*$J501</f>
        <v>853.44066400000008</v>
      </c>
    </row>
    <row r="527" spans="2:10" ht="13.5" thickBot="1">
      <c r="B527" s="83" t="s">
        <v>37</v>
      </c>
      <c r="C527" s="199">
        <f>SUM(C521+C524)</f>
        <v>30563.241000000002</v>
      </c>
      <c r="D527" s="200">
        <f>SUM(D521+D524)</f>
        <v>1039.1501940000001</v>
      </c>
    </row>
    <row r="528" spans="2:10">
      <c r="B528" s="258" t="s">
        <v>23</v>
      </c>
      <c r="C528" s="263">
        <f>C527-C510</f>
        <v>0</v>
      </c>
    </row>
    <row r="529" spans="2:4" ht="13.5" thickBot="1">
      <c r="B529" s="258"/>
    </row>
    <row r="530" spans="2:4">
      <c r="B530" s="79" t="s">
        <v>24</v>
      </c>
      <c r="C530" s="151" t="s">
        <v>25</v>
      </c>
      <c r="D530" s="80" t="s">
        <v>5</v>
      </c>
    </row>
    <row r="531" spans="2:4">
      <c r="B531" s="81" t="s">
        <v>26</v>
      </c>
      <c r="C531" s="194">
        <v>0.72699999999999998</v>
      </c>
      <c r="D531" s="197">
        <f>C531*$J501</f>
        <v>2.4718E-2</v>
      </c>
    </row>
    <row r="532" spans="2:4">
      <c r="B532" s="81" t="s">
        <v>27</v>
      </c>
      <c r="C532" s="194">
        <v>2195.8119999999999</v>
      </c>
      <c r="D532" s="197">
        <f>C532*$J501</f>
        <v>74.657607999999996</v>
      </c>
    </row>
    <row r="533" spans="2:4">
      <c r="B533" s="81" t="s">
        <v>28</v>
      </c>
      <c r="C533" s="194">
        <v>9497.5069999999996</v>
      </c>
      <c r="D533" s="197">
        <f>C533*$J501</f>
        <v>322.91523799999999</v>
      </c>
    </row>
    <row r="534" spans="2:4">
      <c r="B534" s="81" t="s">
        <v>29</v>
      </c>
      <c r="C534" s="194">
        <v>-36.823999999999998</v>
      </c>
      <c r="D534" s="197">
        <f>C534*$J501</f>
        <v>-1.252016</v>
      </c>
    </row>
    <row r="535" spans="2:4" ht="13.5" thickBot="1">
      <c r="B535" s="83" t="s">
        <v>30</v>
      </c>
      <c r="C535" s="199">
        <f>SUM(C531:C534)</f>
        <v>11657.221999999998</v>
      </c>
      <c r="D535" s="200">
        <f>SUM(D531:D534)</f>
        <v>396.34554799999995</v>
      </c>
    </row>
    <row r="536" spans="2:4">
      <c r="B536" s="258" t="s">
        <v>23</v>
      </c>
      <c r="C536" s="264">
        <f>C535-C511</f>
        <v>0</v>
      </c>
    </row>
    <row r="537" spans="2:4" ht="13.5" thickBot="1">
      <c r="B537" s="258"/>
    </row>
    <row r="538" spans="2:4">
      <c r="B538" s="170" t="s">
        <v>77</v>
      </c>
      <c r="C538" s="148" t="s">
        <v>25</v>
      </c>
      <c r="D538" s="131" t="s">
        <v>5</v>
      </c>
    </row>
    <row r="539" spans="2:4">
      <c r="B539" s="171" t="s">
        <v>40</v>
      </c>
      <c r="C539" s="194">
        <v>4319.2460000000001</v>
      </c>
      <c r="D539" s="197">
        <f>C539*$J501</f>
        <v>146.854364</v>
      </c>
    </row>
    <row r="540" spans="2:4">
      <c r="B540" s="171" t="s">
        <v>41</v>
      </c>
      <c r="C540" s="194">
        <v>17072.187000000002</v>
      </c>
      <c r="D540" s="197">
        <f>C540*$J501</f>
        <v>580.45435800000007</v>
      </c>
    </row>
    <row r="541" spans="2:4">
      <c r="B541" s="171" t="s">
        <v>42</v>
      </c>
      <c r="C541" s="194">
        <v>8029.009</v>
      </c>
      <c r="D541" s="197">
        <f>C541*$J501</f>
        <v>272.98630600000001</v>
      </c>
    </row>
    <row r="542" spans="2:4">
      <c r="B542" s="171" t="s">
        <v>43</v>
      </c>
      <c r="C542" s="194">
        <v>0</v>
      </c>
      <c r="D542" s="197">
        <f>C542*$J501</f>
        <v>0</v>
      </c>
    </row>
    <row r="543" spans="2:4">
      <c r="B543" s="171" t="s">
        <v>44</v>
      </c>
      <c r="C543" s="195" t="s">
        <v>101</v>
      </c>
      <c r="D543" s="197"/>
    </row>
    <row r="544" spans="2:4">
      <c r="B544" s="172" t="s">
        <v>45</v>
      </c>
      <c r="C544" s="195" t="s">
        <v>101</v>
      </c>
      <c r="D544" s="197"/>
    </row>
    <row r="545" spans="1:10" ht="13.5" thickBot="1">
      <c r="B545" s="173" t="s">
        <v>46</v>
      </c>
      <c r="C545" s="196">
        <f>SUM(C539:C544)</f>
        <v>29420.442000000003</v>
      </c>
      <c r="D545" s="198">
        <f>SUM(D539:D544)</f>
        <v>1000.2950280000001</v>
      </c>
    </row>
    <row r="546" spans="1:10">
      <c r="B546" s="258" t="s">
        <v>23</v>
      </c>
      <c r="C546" s="264">
        <f>C545-C527+C506+C509+1140.185</f>
        <v>0</v>
      </c>
    </row>
    <row r="547" spans="1:10" ht="13.5" thickBot="1">
      <c r="B547" s="258"/>
    </row>
    <row r="548" spans="1:10">
      <c r="B548" s="79" t="s">
        <v>59</v>
      </c>
      <c r="C548" s="148" t="s">
        <v>25</v>
      </c>
      <c r="D548" s="131" t="s">
        <v>5</v>
      </c>
    </row>
    <row r="549" spans="1:10">
      <c r="B549" s="132" t="s">
        <v>40</v>
      </c>
      <c r="C549" s="194">
        <v>1.218</v>
      </c>
      <c r="D549" s="197">
        <f>C549*J501</f>
        <v>4.1412000000000004E-2</v>
      </c>
    </row>
    <row r="550" spans="1:10">
      <c r="B550" s="132" t="s">
        <v>41</v>
      </c>
      <c r="C550" s="194">
        <v>1.3959999999999999</v>
      </c>
      <c r="D550" s="197">
        <f>C550*J501</f>
        <v>4.7463999999999999E-2</v>
      </c>
    </row>
    <row r="551" spans="1:10">
      <c r="B551" s="132" t="s">
        <v>42</v>
      </c>
      <c r="C551" s="194">
        <v>0</v>
      </c>
      <c r="D551" s="197">
        <f>C551*J501</f>
        <v>0</v>
      </c>
    </row>
    <row r="552" spans="1:10">
      <c r="B552" s="132" t="s">
        <v>43</v>
      </c>
      <c r="C552" s="194">
        <v>0</v>
      </c>
      <c r="D552" s="197">
        <f>C552*J501</f>
        <v>0</v>
      </c>
    </row>
    <row r="553" spans="1:10" ht="13.5" thickBot="1">
      <c r="B553" s="174" t="s">
        <v>46</v>
      </c>
      <c r="C553" s="199">
        <f>SUM(C549:C552)</f>
        <v>2.6139999999999999</v>
      </c>
      <c r="D553" s="200">
        <f>SUM(D549:D552)</f>
        <v>8.8876000000000011E-2</v>
      </c>
    </row>
    <row r="554" spans="1:10">
      <c r="B554" s="258" t="s">
        <v>23</v>
      </c>
      <c r="C554" s="265">
        <f>C553-C506-C509</f>
        <v>0</v>
      </c>
    </row>
    <row r="555" spans="1:10">
      <c r="A555" s="245" t="s">
        <v>102</v>
      </c>
      <c r="I555" s="75" t="s">
        <v>103</v>
      </c>
      <c r="J555" s="246">
        <f>Model!AQ215</f>
        <v>3.6486895731398065E-2</v>
      </c>
    </row>
    <row r="556" spans="1:10">
      <c r="I556" s="76" t="s">
        <v>104</v>
      </c>
      <c r="J556" s="246">
        <f>Model!AQ216</f>
        <v>4.9478883054113229E-2</v>
      </c>
    </row>
    <row r="557" spans="1:10">
      <c r="B557" s="108" t="s">
        <v>105</v>
      </c>
      <c r="C557" s="109" t="s">
        <v>25</v>
      </c>
      <c r="D557" s="109" t="s">
        <v>5</v>
      </c>
      <c r="E557" s="141" t="s">
        <v>57</v>
      </c>
      <c r="F557" s="110" t="s">
        <v>7</v>
      </c>
    </row>
    <row r="558" spans="1:10" ht="13.5" thickBot="1">
      <c r="B558" s="124" t="s">
        <v>10</v>
      </c>
      <c r="C558" s="193">
        <f>SUM(C559:C560)</f>
        <v>4982.0219999999999</v>
      </c>
      <c r="D558" s="193">
        <f>SUM(D559:D560)</f>
        <v>181.77851724553125</v>
      </c>
    </row>
    <row r="559" spans="1:10">
      <c r="B559" s="111" t="s">
        <v>12</v>
      </c>
      <c r="C559" s="204">
        <f>1094.307+2679.303+1207.277</f>
        <v>4980.8869999999997</v>
      </c>
      <c r="D559" s="205">
        <f>C559*$J555</f>
        <v>181.73710461887612</v>
      </c>
      <c r="I559" s="247" t="s">
        <v>8</v>
      </c>
      <c r="J559" s="248" t="s">
        <v>9</v>
      </c>
    </row>
    <row r="560" spans="1:10" ht="13.5" thickBot="1">
      <c r="B560" s="78" t="s">
        <v>13</v>
      </c>
      <c r="C560" s="22">
        <v>1.135</v>
      </c>
      <c r="D560" s="205">
        <f>C560*$J555</f>
        <v>4.1412626655136807E-2</v>
      </c>
      <c r="I560" s="268" t="s">
        <v>64</v>
      </c>
      <c r="J560" s="269" t="s">
        <v>106</v>
      </c>
    </row>
    <row r="561" spans="2:10">
      <c r="B561" s="124" t="s">
        <v>14</v>
      </c>
      <c r="C561" s="193">
        <f>SUM(C562:C563)</f>
        <v>23592.388000000003</v>
      </c>
      <c r="D561" s="193">
        <f>SUM(D562:D563)</f>
        <v>860.813001010687</v>
      </c>
    </row>
    <row r="562" spans="2:10">
      <c r="B562" s="111" t="s">
        <v>12</v>
      </c>
      <c r="C562" s="22">
        <f>8512.677+15077.99</f>
        <v>23590.667000000001</v>
      </c>
      <c r="D562" s="205">
        <f>C562*$J555</f>
        <v>860.7502070631333</v>
      </c>
    </row>
    <row r="563" spans="2:10">
      <c r="B563" s="78" t="s">
        <v>13</v>
      </c>
      <c r="C563" s="22">
        <v>1.7210000000000001</v>
      </c>
      <c r="D563" s="205">
        <f>C563*$J555</f>
        <v>6.2793947553736074E-2</v>
      </c>
    </row>
    <row r="564" spans="2:10">
      <c r="B564" s="116" t="s">
        <v>15</v>
      </c>
      <c r="C564" s="208">
        <f>C558+C561</f>
        <v>28574.410000000003</v>
      </c>
      <c r="D564" s="208">
        <f>D558+D561</f>
        <v>1042.5915182562183</v>
      </c>
      <c r="E564" s="192">
        <f>C564/C571</f>
        <v>3.2613500750097475</v>
      </c>
      <c r="F564" s="192">
        <f>D564/D571</f>
        <v>2.4049964911359414</v>
      </c>
      <c r="I564" s="256"/>
    </row>
    <row r="565" spans="2:10">
      <c r="B565" s="78" t="s">
        <v>16</v>
      </c>
      <c r="C565" s="207">
        <f>Model!AQ125</f>
        <v>9682.9500000000007</v>
      </c>
      <c r="D565" s="207">
        <f>C565*J555</f>
        <v>353.3007870223409</v>
      </c>
      <c r="E565" s="191"/>
      <c r="F565" s="191"/>
      <c r="J565" s="256"/>
    </row>
    <row r="566" spans="2:10">
      <c r="B566" s="116" t="s">
        <v>17</v>
      </c>
      <c r="C566" s="208">
        <f>C564-C565</f>
        <v>18891.460000000003</v>
      </c>
      <c r="D566" s="208">
        <f>D564-D565</f>
        <v>689.2907312338773</v>
      </c>
      <c r="E566" s="192">
        <f>C566/C571</f>
        <v>2.1561832593584134</v>
      </c>
      <c r="F566" s="192">
        <f>D566/D571</f>
        <v>1.5900204068057746</v>
      </c>
    </row>
    <row r="567" spans="2:10">
      <c r="B567" s="78" t="s">
        <v>18</v>
      </c>
      <c r="C567" s="207">
        <f>Model!AQ126</f>
        <v>3.5649999999999999</v>
      </c>
      <c r="D567" s="207">
        <f>C567*J555</f>
        <v>0.1300757832824341</v>
      </c>
      <c r="E567" s="191"/>
      <c r="F567" s="191"/>
    </row>
    <row r="568" spans="2:10">
      <c r="B568" s="116" t="s">
        <v>19</v>
      </c>
      <c r="C568" s="208">
        <f>C566-C567</f>
        <v>18887.895000000004</v>
      </c>
      <c r="D568" s="208">
        <f>D566-D567</f>
        <v>689.16065545059485</v>
      </c>
      <c r="E568" s="192">
        <f>C568/C571</f>
        <v>2.1557763668620362</v>
      </c>
      <c r="F568" s="192">
        <f>D568/D571</f>
        <v>1.5897203546790324</v>
      </c>
    </row>
    <row r="569" spans="2:10">
      <c r="B569" s="75" t="s">
        <v>20</v>
      </c>
      <c r="C569" s="193">
        <f>Model!AQ133</f>
        <v>10509.041999999999</v>
      </c>
      <c r="D569" s="205"/>
    </row>
    <row r="570" spans="2:10">
      <c r="B570" s="75" t="s">
        <v>21</v>
      </c>
      <c r="C570" s="193"/>
      <c r="D570" s="205"/>
    </row>
    <row r="571" spans="2:10">
      <c r="B571" s="78" t="s">
        <v>22</v>
      </c>
      <c r="C571" s="205">
        <f>Model!AQ90</f>
        <v>8761.5280000000002</v>
      </c>
      <c r="D571" s="205">
        <f>C571*J556</f>
        <v>433.51061928733856</v>
      </c>
    </row>
    <row r="572" spans="2:10">
      <c r="B572" s="258" t="s">
        <v>23</v>
      </c>
      <c r="C572" s="259">
        <f>+C564-Model!AQ123</f>
        <v>2.8560000000034051</v>
      </c>
    </row>
    <row r="573" spans="2:10" ht="13.5" thickBot="1"/>
    <row r="574" spans="2:10">
      <c r="B574" s="79" t="s">
        <v>75</v>
      </c>
      <c r="C574" s="151" t="s">
        <v>25</v>
      </c>
      <c r="D574" s="80" t="s">
        <v>5</v>
      </c>
      <c r="I574" s="79" t="s">
        <v>75</v>
      </c>
      <c r="J574" s="80" t="s">
        <v>76</v>
      </c>
    </row>
    <row r="575" spans="2:10">
      <c r="B575" s="143" t="s">
        <v>33</v>
      </c>
      <c r="C575" s="203">
        <f>SUM(C576:C577)</f>
        <v>2.8559999999999999</v>
      </c>
      <c r="D575" s="201">
        <f>SUM(D576:D577)</f>
        <v>0.10420657420887289</v>
      </c>
      <c r="I575" s="143" t="s">
        <v>33</v>
      </c>
      <c r="J575" s="266">
        <f>C575/C581</f>
        <v>9.994957026234314E-5</v>
      </c>
    </row>
    <row r="576" spans="2:10">
      <c r="B576" s="142" t="s">
        <v>34</v>
      </c>
      <c r="C576" s="211">
        <v>1.135</v>
      </c>
      <c r="D576" s="197">
        <f>C576*$J555</f>
        <v>4.1412626655136807E-2</v>
      </c>
      <c r="I576" s="143" t="s">
        <v>36</v>
      </c>
      <c r="J576" s="266">
        <f>C578/C581</f>
        <v>0.99990005042973762</v>
      </c>
    </row>
    <row r="577" spans="2:10" ht="13.5" thickBot="1">
      <c r="B577" s="142" t="s">
        <v>35</v>
      </c>
      <c r="C577" s="211">
        <v>1.7210000000000001</v>
      </c>
      <c r="D577" s="197">
        <f>C577*$J555</f>
        <v>6.2793947553736074E-2</v>
      </c>
      <c r="I577" s="83" t="s">
        <v>37</v>
      </c>
      <c r="J577" s="267">
        <f>SUM(J575:J576)</f>
        <v>1</v>
      </c>
    </row>
    <row r="578" spans="2:10">
      <c r="B578" s="143" t="s">
        <v>36</v>
      </c>
      <c r="C578" s="203">
        <f>SUM(C579:C580)</f>
        <v>28571.553999999996</v>
      </c>
      <c r="D578" s="201">
        <f>SUM(D579:D580)</f>
        <v>1042.4873116820092</v>
      </c>
    </row>
    <row r="579" spans="2:10">
      <c r="B579" s="142" t="s">
        <v>34</v>
      </c>
      <c r="C579" s="194">
        <f>4982.022-C576</f>
        <v>4980.8869999999997</v>
      </c>
      <c r="D579" s="197">
        <f>C579*$J555</f>
        <v>181.73710461887612</v>
      </c>
    </row>
    <row r="580" spans="2:10">
      <c r="B580" s="142" t="s">
        <v>35</v>
      </c>
      <c r="C580" s="194">
        <f>23592.388-C577</f>
        <v>23590.666999999998</v>
      </c>
      <c r="D580" s="197">
        <f>C580*$J555</f>
        <v>860.75020706313308</v>
      </c>
    </row>
    <row r="581" spans="2:10" ht="13.5" thickBot="1">
      <c r="B581" s="83" t="s">
        <v>37</v>
      </c>
      <c r="C581" s="199">
        <f>SUM(C575+C578)</f>
        <v>28574.409999999996</v>
      </c>
      <c r="D581" s="200">
        <f>SUM(D575+D578)</f>
        <v>1042.591518256218</v>
      </c>
    </row>
    <row r="582" spans="2:10">
      <c r="B582" s="258" t="s">
        <v>23</v>
      </c>
      <c r="C582" s="263">
        <f>C581-C564</f>
        <v>0</v>
      </c>
    </row>
    <row r="583" spans="2:10" ht="13.5" thickBot="1">
      <c r="B583" s="258"/>
    </row>
    <row r="584" spans="2:10">
      <c r="B584" s="79" t="s">
        <v>24</v>
      </c>
      <c r="C584" s="151" t="s">
        <v>25</v>
      </c>
      <c r="D584" s="80" t="s">
        <v>5</v>
      </c>
    </row>
    <row r="585" spans="2:10">
      <c r="B585" s="81" t="s">
        <v>26</v>
      </c>
      <c r="C585" s="194">
        <v>10.269</v>
      </c>
      <c r="D585" s="197">
        <f>C585*$J555</f>
        <v>0.37468393226572672</v>
      </c>
    </row>
    <row r="586" spans="2:10">
      <c r="B586" s="81" t="s">
        <v>27</v>
      </c>
      <c r="C586" s="194">
        <v>1994.758</v>
      </c>
      <c r="D586" s="197">
        <f>C586*$J555</f>
        <v>72.782527155372151</v>
      </c>
    </row>
    <row r="587" spans="2:10">
      <c r="B587" s="81" t="s">
        <v>28</v>
      </c>
      <c r="C587" s="194">
        <v>7705.268</v>
      </c>
      <c r="D587" s="197">
        <f>C587*$J555</f>
        <v>281.14131009847813</v>
      </c>
    </row>
    <row r="588" spans="2:10">
      <c r="B588" s="81" t="s">
        <v>29</v>
      </c>
      <c r="C588" s="194">
        <v>-27.344999999999999</v>
      </c>
      <c r="D588" s="197">
        <f>C588*$J555</f>
        <v>-0.99773416377508006</v>
      </c>
    </row>
    <row r="589" spans="2:10" ht="13.5" thickBot="1">
      <c r="B589" s="83" t="s">
        <v>30</v>
      </c>
      <c r="C589" s="199">
        <f>SUM(C585:C588)</f>
        <v>9682.9500000000007</v>
      </c>
      <c r="D589" s="200">
        <f>SUM(D585:D588)</f>
        <v>353.3007870223409</v>
      </c>
    </row>
    <row r="590" spans="2:10">
      <c r="B590" s="258" t="s">
        <v>23</v>
      </c>
      <c r="C590" s="264">
        <f>C589-C565</f>
        <v>0</v>
      </c>
    </row>
    <row r="591" spans="2:10" ht="13.5" thickBot="1">
      <c r="B591" s="258"/>
    </row>
    <row r="592" spans="2:10">
      <c r="B592" s="170" t="s">
        <v>77</v>
      </c>
      <c r="C592" s="148" t="s">
        <v>25</v>
      </c>
      <c r="D592" s="131" t="s">
        <v>5</v>
      </c>
    </row>
    <row r="593" spans="2:4">
      <c r="B593" s="171" t="s">
        <v>40</v>
      </c>
      <c r="C593" s="194">
        <v>3886.58</v>
      </c>
      <c r="D593" s="197">
        <f>C593*$J555</f>
        <v>141.80923921173709</v>
      </c>
    </row>
    <row r="594" spans="2:4">
      <c r="B594" s="171" t="s">
        <v>41</v>
      </c>
      <c r="C594" s="194">
        <v>1043.796</v>
      </c>
      <c r="D594" s="197">
        <f>C594*$J555</f>
        <v>38.084875816850378</v>
      </c>
    </row>
    <row r="595" spans="2:4">
      <c r="B595" s="171" t="s">
        <v>42</v>
      </c>
      <c r="C595" s="194">
        <v>22546.870999999999</v>
      </c>
      <c r="D595" s="197">
        <f>C595*$J555</f>
        <v>822.66533124628279</v>
      </c>
    </row>
    <row r="596" spans="2:4">
      <c r="B596" s="171" t="s">
        <v>43</v>
      </c>
      <c r="C596" s="194">
        <v>0</v>
      </c>
      <c r="D596" s="197">
        <f>C596*$J555</f>
        <v>0</v>
      </c>
    </row>
    <row r="597" spans="2:4">
      <c r="B597" s="171" t="s">
        <v>44</v>
      </c>
      <c r="C597" s="195" t="s">
        <v>101</v>
      </c>
      <c r="D597" s="197"/>
    </row>
    <row r="598" spans="2:4">
      <c r="B598" s="172" t="s">
        <v>45</v>
      </c>
      <c r="C598" s="195" t="s">
        <v>101</v>
      </c>
      <c r="D598" s="197"/>
    </row>
    <row r="599" spans="2:4" ht="13.5" thickBot="1">
      <c r="B599" s="173" t="s">
        <v>46</v>
      </c>
      <c r="C599" s="196">
        <f>SUM(C593:C598)</f>
        <v>27477.246999999999</v>
      </c>
      <c r="D599" s="198">
        <f>SUM(D593:D598)</f>
        <v>1002.5594462748702</v>
      </c>
    </row>
    <row r="600" spans="2:4">
      <c r="B600" s="258" t="s">
        <v>23</v>
      </c>
      <c r="C600" s="264">
        <f>C599-C581+C560+C563+1094.307</f>
        <v>3.1832314562052488E-12</v>
      </c>
    </row>
    <row r="601" spans="2:4" ht="13.5" thickBot="1">
      <c r="B601" s="258"/>
    </row>
    <row r="602" spans="2:4">
      <c r="B602" s="79" t="s">
        <v>59</v>
      </c>
      <c r="C602" s="148" t="s">
        <v>25</v>
      </c>
      <c r="D602" s="131" t="s">
        <v>5</v>
      </c>
    </row>
    <row r="603" spans="2:4">
      <c r="B603" s="132" t="s">
        <v>40</v>
      </c>
      <c r="C603" s="194">
        <v>1.135</v>
      </c>
      <c r="D603" s="197">
        <f>C603*J555</f>
        <v>4.1412626655136807E-2</v>
      </c>
    </row>
    <row r="604" spans="2:4">
      <c r="B604" s="132" t="s">
        <v>41</v>
      </c>
      <c r="C604" s="194">
        <v>1.6419999999999999</v>
      </c>
      <c r="D604" s="197">
        <f>C604*J555</f>
        <v>5.9911482790955622E-2</v>
      </c>
    </row>
    <row r="605" spans="2:4">
      <c r="B605" s="132" t="s">
        <v>42</v>
      </c>
      <c r="C605" s="194">
        <v>7.9000000000000001E-2</v>
      </c>
      <c r="D605" s="197">
        <f>C605*J555</f>
        <v>2.8824647627804473E-3</v>
      </c>
    </row>
    <row r="606" spans="2:4">
      <c r="B606" s="132" t="s">
        <v>43</v>
      </c>
      <c r="C606" s="194">
        <v>0</v>
      </c>
      <c r="D606" s="197">
        <f>C606*J555</f>
        <v>0</v>
      </c>
    </row>
    <row r="607" spans="2:4" ht="13.5" thickBot="1">
      <c r="B607" s="174" t="s">
        <v>46</v>
      </c>
      <c r="C607" s="199">
        <f>SUM(C603:C606)</f>
        <v>2.8560000000000003</v>
      </c>
      <c r="D607" s="200">
        <f>SUM(D603:D606)</f>
        <v>0.10420657420887289</v>
      </c>
    </row>
    <row r="608" spans="2:4">
      <c r="B608" s="258" t="s">
        <v>23</v>
      </c>
      <c r="C608" s="265">
        <f>C607-C560-C563</f>
        <v>0</v>
      </c>
    </row>
    <row r="610" spans="1:10">
      <c r="A610" s="245" t="s">
        <v>107</v>
      </c>
      <c r="I610" s="75" t="s">
        <v>108</v>
      </c>
      <c r="J610" s="246">
        <f>Model!AO215</f>
        <v>3.840747255786086E-2</v>
      </c>
    </row>
    <row r="611" spans="1:10">
      <c r="I611" s="76" t="s">
        <v>109</v>
      </c>
      <c r="J611" s="246">
        <f>Model!AO216</f>
        <v>5.2937885017300929E-2</v>
      </c>
    </row>
    <row r="612" spans="1:10">
      <c r="B612" s="108" t="s">
        <v>110</v>
      </c>
      <c r="C612" s="109" t="s">
        <v>25</v>
      </c>
      <c r="D612" s="109" t="s">
        <v>5</v>
      </c>
      <c r="E612" s="141" t="s">
        <v>57</v>
      </c>
      <c r="F612" s="110" t="s">
        <v>7</v>
      </c>
    </row>
    <row r="613" spans="1:10" ht="13.5" thickBot="1">
      <c r="B613" s="124" t="s">
        <v>10</v>
      </c>
      <c r="C613" s="193">
        <f>SUM(C614:C615)</f>
        <v>5289.1540000000005</v>
      </c>
      <c r="D613" s="193">
        <f>SUM(D614:D615)</f>
        <v>203.14303710930002</v>
      </c>
    </row>
    <row r="614" spans="1:10">
      <c r="B614" s="111" t="s">
        <v>12</v>
      </c>
      <c r="C614" s="204">
        <f>1598.56+2567.485+1122.118</f>
        <v>5288.1630000000005</v>
      </c>
      <c r="D614" s="205">
        <f>C614*$J610</f>
        <v>203.10497530399519</v>
      </c>
      <c r="I614" s="247" t="s">
        <v>8</v>
      </c>
      <c r="J614" s="248" t="s">
        <v>9</v>
      </c>
    </row>
    <row r="615" spans="1:10" ht="13.5" thickBot="1">
      <c r="B615" s="78" t="s">
        <v>13</v>
      </c>
      <c r="C615" s="22">
        <v>0.99099999999999999</v>
      </c>
      <c r="D615" s="205">
        <f>C615*$J610</f>
        <v>3.8061805304840109E-2</v>
      </c>
      <c r="I615" s="268" t="s">
        <v>64</v>
      </c>
      <c r="J615" s="269" t="s">
        <v>111</v>
      </c>
    </row>
    <row r="616" spans="1:10">
      <c r="B616" s="124" t="s">
        <v>14</v>
      </c>
      <c r="C616" s="193">
        <f>SUM(C617:C618)</f>
        <v>23317.042000000001</v>
      </c>
      <c r="D616" s="193">
        <f>SUM(D617:D618)</f>
        <v>895.54865074548911</v>
      </c>
    </row>
    <row r="617" spans="1:10">
      <c r="B617" s="111" t="s">
        <v>12</v>
      </c>
      <c r="C617" s="22">
        <f>8039.399+15275.574</f>
        <v>23314.973000000002</v>
      </c>
      <c r="D617" s="205">
        <f>C617*$J610</f>
        <v>895.4691856847669</v>
      </c>
    </row>
    <row r="618" spans="1:10">
      <c r="B618" s="78" t="s">
        <v>13</v>
      </c>
      <c r="C618" s="22">
        <v>2.069</v>
      </c>
      <c r="D618" s="205">
        <f>C618*$J610</f>
        <v>7.9465060722214112E-2</v>
      </c>
    </row>
    <row r="619" spans="1:10">
      <c r="B619" s="116" t="s">
        <v>15</v>
      </c>
      <c r="C619" s="208">
        <f>C613+C616</f>
        <v>28606.196000000004</v>
      </c>
      <c r="D619" s="208">
        <f>D613+D616</f>
        <v>1098.6916878547891</v>
      </c>
      <c r="E619" s="192">
        <f>C619/C626</f>
        <v>3.1021458512580824</v>
      </c>
      <c r="F619" s="192">
        <f>D619/D626</f>
        <v>2.2506675817089792</v>
      </c>
      <c r="I619" s="256"/>
    </row>
    <row r="620" spans="1:10">
      <c r="B620" s="78" t="s">
        <v>16</v>
      </c>
      <c r="C620" s="207">
        <f>Model!AO125</f>
        <v>8758.0139999999992</v>
      </c>
      <c r="D620" s="207">
        <f>C620*J610</f>
        <v>336.37318236636116</v>
      </c>
      <c r="E620" s="191"/>
      <c r="F620" s="191"/>
      <c r="J620" s="256"/>
    </row>
    <row r="621" spans="1:10">
      <c r="B621" s="116" t="s">
        <v>17</v>
      </c>
      <c r="C621" s="208">
        <f>C619-C620</f>
        <v>19848.182000000004</v>
      </c>
      <c r="D621" s="208">
        <f>D619-D620</f>
        <v>762.31850548842795</v>
      </c>
      <c r="E621" s="192">
        <f>C621/C626</f>
        <v>2.1523992720428593</v>
      </c>
      <c r="F621" s="192">
        <f>D621/D626</f>
        <v>1.5616078343048372</v>
      </c>
    </row>
    <row r="622" spans="1:10">
      <c r="B622" s="78" t="s">
        <v>18</v>
      </c>
      <c r="C622" s="207">
        <f>Model!AO126</f>
        <v>3.9569999999999999</v>
      </c>
      <c r="D622" s="207">
        <f>C622*J610</f>
        <v>0.15197836891145541</v>
      </c>
      <c r="E622" s="191"/>
      <c r="F622" s="191"/>
    </row>
    <row r="623" spans="1:10">
      <c r="B623" s="116" t="s">
        <v>19</v>
      </c>
      <c r="C623" s="208">
        <f>C621-C622</f>
        <v>19844.225000000006</v>
      </c>
      <c r="D623" s="208">
        <f>D621-D622</f>
        <v>762.16652711951645</v>
      </c>
      <c r="E623" s="192">
        <f>C623/C626</f>
        <v>2.1519701625194041</v>
      </c>
      <c r="F623" s="192">
        <f>D623/D626</f>
        <v>1.5612965069399256</v>
      </c>
    </row>
    <row r="624" spans="1:10">
      <c r="B624" s="75" t="s">
        <v>20</v>
      </c>
      <c r="C624" s="193">
        <f>Model!AO133</f>
        <v>8639.3240000000005</v>
      </c>
      <c r="D624" s="205"/>
    </row>
    <row r="625" spans="2:10">
      <c r="B625" s="75" t="s">
        <v>21</v>
      </c>
      <c r="C625" s="193">
        <f>C621+C624</f>
        <v>28487.506000000005</v>
      </c>
      <c r="D625" s="205"/>
    </row>
    <row r="626" spans="2:10">
      <c r="B626" s="78" t="s">
        <v>22</v>
      </c>
      <c r="C626" s="205">
        <f>Model!AO90</f>
        <v>9221.4219999999987</v>
      </c>
      <c r="D626" s="205">
        <f>C626*J611</f>
        <v>488.1625775320091</v>
      </c>
    </row>
    <row r="627" spans="2:10">
      <c r="B627" s="258" t="s">
        <v>23</v>
      </c>
      <c r="C627" s="259">
        <f>+C619-Model!AO123</f>
        <v>3.0600000000013097</v>
      </c>
    </row>
    <row r="628" spans="2:10" ht="13.5" thickBot="1"/>
    <row r="629" spans="2:10">
      <c r="B629" s="79" t="s">
        <v>75</v>
      </c>
      <c r="C629" s="151" t="s">
        <v>25</v>
      </c>
      <c r="D629" s="80" t="s">
        <v>5</v>
      </c>
      <c r="I629" s="79" t="s">
        <v>75</v>
      </c>
      <c r="J629" s="80" t="s">
        <v>76</v>
      </c>
    </row>
    <row r="630" spans="2:10">
      <c r="B630" s="143" t="s">
        <v>33</v>
      </c>
      <c r="C630" s="203">
        <f>SUM(C631:C632)</f>
        <v>3.06</v>
      </c>
      <c r="D630" s="201">
        <f>SUM(D631:D632)</f>
        <v>0.11752686602705423</v>
      </c>
      <c r="I630" s="143" t="s">
        <v>33</v>
      </c>
      <c r="J630" s="266">
        <f>C630/C636</f>
        <v>1.0696983268939358E-4</v>
      </c>
    </row>
    <row r="631" spans="2:10">
      <c r="B631" s="142" t="s">
        <v>34</v>
      </c>
      <c r="C631" s="211">
        <v>0.99099999999999999</v>
      </c>
      <c r="D631" s="197">
        <f>C631*$J610</f>
        <v>3.8061805304840109E-2</v>
      </c>
      <c r="I631" s="143" t="s">
        <v>36</v>
      </c>
      <c r="J631" s="266">
        <f>C633/C636</f>
        <v>0.99989303016731057</v>
      </c>
    </row>
    <row r="632" spans="2:10" ht="13.5" thickBot="1">
      <c r="B632" s="142" t="s">
        <v>35</v>
      </c>
      <c r="C632" s="211">
        <v>2.069</v>
      </c>
      <c r="D632" s="197">
        <f>C632*$J610</f>
        <v>7.9465060722214112E-2</v>
      </c>
      <c r="I632" s="83" t="s">
        <v>37</v>
      </c>
      <c r="J632" s="267">
        <f>SUM(J630:J631)</f>
        <v>1</v>
      </c>
    </row>
    <row r="633" spans="2:10">
      <c r="B633" s="143" t="s">
        <v>36</v>
      </c>
      <c r="C633" s="203">
        <f>SUM(C634:C635)</f>
        <v>28603.136000000002</v>
      </c>
      <c r="D633" s="201">
        <f>SUM(D634:D635)</f>
        <v>1098.5741609887621</v>
      </c>
    </row>
    <row r="634" spans="2:10">
      <c r="B634" s="142" t="s">
        <v>34</v>
      </c>
      <c r="C634" s="194">
        <f>5289.154-C631</f>
        <v>5288.1630000000005</v>
      </c>
      <c r="D634" s="197">
        <f>C634*$J610</f>
        <v>203.10497530399519</v>
      </c>
    </row>
    <row r="635" spans="2:10">
      <c r="B635" s="142" t="s">
        <v>35</v>
      </c>
      <c r="C635" s="194">
        <f>23317.042-C632</f>
        <v>23314.973000000002</v>
      </c>
      <c r="D635" s="197">
        <f>C635*$J610</f>
        <v>895.4691856847669</v>
      </c>
    </row>
    <row r="636" spans="2:10" ht="13.5" thickBot="1">
      <c r="B636" s="83" t="s">
        <v>37</v>
      </c>
      <c r="C636" s="199">
        <f>SUM(C630+C633)</f>
        <v>28606.196000000004</v>
      </c>
      <c r="D636" s="200">
        <f>SUM(D630+D633)</f>
        <v>1098.6916878547891</v>
      </c>
    </row>
    <row r="637" spans="2:10">
      <c r="B637" s="258" t="s">
        <v>23</v>
      </c>
      <c r="C637" s="263">
        <f>C636-C619</f>
        <v>0</v>
      </c>
    </row>
    <row r="638" spans="2:10" ht="13.5" thickBot="1">
      <c r="B638" s="258"/>
    </row>
    <row r="639" spans="2:10">
      <c r="B639" s="79" t="s">
        <v>24</v>
      </c>
      <c r="C639" s="151" t="s">
        <v>25</v>
      </c>
      <c r="D639" s="80" t="s">
        <v>5</v>
      </c>
    </row>
    <row r="640" spans="2:10">
      <c r="B640" s="81" t="s">
        <v>26</v>
      </c>
      <c r="C640" s="194">
        <v>1.276</v>
      </c>
      <c r="D640" s="197">
        <f>C640*$J610</f>
        <v>4.9007934983830458E-2</v>
      </c>
    </row>
    <row r="641" spans="2:4">
      <c r="B641" s="81" t="s">
        <v>27</v>
      </c>
      <c r="C641" s="194">
        <v>1699.018</v>
      </c>
      <c r="D641" s="197">
        <f>C641*$J610</f>
        <v>65.25498721031164</v>
      </c>
    </row>
    <row r="642" spans="2:4">
      <c r="B642" s="81" t="s">
        <v>28</v>
      </c>
      <c r="C642" s="194">
        <v>7083.7659999999996</v>
      </c>
      <c r="D642" s="197">
        <f>C642*$J610</f>
        <v>272.06954825130776</v>
      </c>
    </row>
    <row r="643" spans="2:4">
      <c r="B643" s="81" t="s">
        <v>29</v>
      </c>
      <c r="C643" s="194">
        <v>-26.045999999999999</v>
      </c>
      <c r="D643" s="197">
        <f>C643*$J610</f>
        <v>-1.000361030242044</v>
      </c>
    </row>
    <row r="644" spans="2:4" ht="13.5" thickBot="1">
      <c r="B644" s="83" t="s">
        <v>30</v>
      </c>
      <c r="C644" s="199">
        <f>SUM(C640:C643)</f>
        <v>8758.0139999999992</v>
      </c>
      <c r="D644" s="200">
        <f>SUM(D640:D643)</f>
        <v>336.37318236636116</v>
      </c>
    </row>
    <row r="645" spans="2:4">
      <c r="B645" s="258" t="s">
        <v>23</v>
      </c>
      <c r="C645" s="264">
        <f>C644-C620</f>
        <v>0</v>
      </c>
    </row>
    <row r="646" spans="2:4" ht="13.5" thickBot="1">
      <c r="B646" s="258"/>
    </row>
    <row r="647" spans="2:4">
      <c r="B647" s="170" t="s">
        <v>77</v>
      </c>
      <c r="C647" s="148" t="s">
        <v>25</v>
      </c>
      <c r="D647" s="131" t="s">
        <v>5</v>
      </c>
    </row>
    <row r="648" spans="2:4">
      <c r="B648" s="171" t="s">
        <v>40</v>
      </c>
      <c r="C648" s="194">
        <v>3689.6030000000001</v>
      </c>
      <c r="D648" s="197">
        <f>C648*$J610</f>
        <v>141.7083259719011</v>
      </c>
    </row>
    <row r="649" spans="2:4">
      <c r="B649" s="171" t="s">
        <v>41</v>
      </c>
      <c r="C649" s="194">
        <v>2013.462</v>
      </c>
      <c r="D649" s="197">
        <f>C649*$J610</f>
        <v>77.331986511295639</v>
      </c>
    </row>
    <row r="650" spans="2:4">
      <c r="B650" s="171" t="s">
        <v>42</v>
      </c>
      <c r="C650" s="194">
        <v>21301.510999999999</v>
      </c>
      <c r="D650" s="197">
        <f>C650*$J610</f>
        <v>818.13719917347123</v>
      </c>
    </row>
    <row r="651" spans="2:4">
      <c r="B651" s="171" t="s">
        <v>43</v>
      </c>
      <c r="C651" s="194">
        <v>0</v>
      </c>
      <c r="D651" s="197">
        <f>C651*$J610</f>
        <v>0</v>
      </c>
    </row>
    <row r="652" spans="2:4">
      <c r="B652" s="171" t="s">
        <v>44</v>
      </c>
      <c r="C652" s="195" t="s">
        <v>101</v>
      </c>
      <c r="D652" s="197"/>
    </row>
    <row r="653" spans="2:4">
      <c r="B653" s="172" t="s">
        <v>45</v>
      </c>
      <c r="C653" s="195" t="s">
        <v>101</v>
      </c>
      <c r="D653" s="197"/>
    </row>
    <row r="654" spans="2:4" ht="13.5" thickBot="1">
      <c r="B654" s="173" t="s">
        <v>46</v>
      </c>
      <c r="C654" s="196">
        <f>SUM(C648:C653)</f>
        <v>27004.576000000001</v>
      </c>
      <c r="D654" s="198">
        <f>SUM(D648:D653)</f>
        <v>1037.177511656668</v>
      </c>
    </row>
    <row r="655" spans="2:4">
      <c r="B655" s="258" t="s">
        <v>23</v>
      </c>
      <c r="C655" s="264">
        <f>C654-C636+C615+C618+1598.56</f>
        <v>-2.7284841053187847E-12</v>
      </c>
    </row>
    <row r="656" spans="2:4" ht="13.5" thickBot="1">
      <c r="B656" s="258"/>
    </row>
    <row r="657" spans="1:10">
      <c r="B657" s="79" t="s">
        <v>59</v>
      </c>
      <c r="C657" s="148" t="s">
        <v>25</v>
      </c>
      <c r="D657" s="131" t="s">
        <v>5</v>
      </c>
    </row>
    <row r="658" spans="1:10">
      <c r="B658" s="132" t="s">
        <v>40</v>
      </c>
      <c r="C658" s="194">
        <v>0.99099999999999999</v>
      </c>
      <c r="D658" s="197">
        <f>C658*J610</f>
        <v>3.8061805304840109E-2</v>
      </c>
    </row>
    <row r="659" spans="1:10">
      <c r="B659" s="132" t="s">
        <v>41</v>
      </c>
      <c r="C659" s="194">
        <v>1.5</v>
      </c>
      <c r="D659" s="197">
        <f>C659*J610</f>
        <v>5.7611208836791286E-2</v>
      </c>
    </row>
    <row r="660" spans="1:10">
      <c r="B660" s="132" t="s">
        <v>42</v>
      </c>
      <c r="C660" s="194">
        <v>0.56899999999999995</v>
      </c>
      <c r="D660" s="197">
        <f>C660*J610</f>
        <v>2.1853851885422826E-2</v>
      </c>
    </row>
    <row r="661" spans="1:10">
      <c r="B661" s="132" t="s">
        <v>43</v>
      </c>
      <c r="C661" s="194">
        <v>0</v>
      </c>
      <c r="D661" s="197">
        <f>C661*J610</f>
        <v>0</v>
      </c>
    </row>
    <row r="662" spans="1:10" ht="13.5" thickBot="1">
      <c r="B662" s="174" t="s">
        <v>46</v>
      </c>
      <c r="C662" s="199">
        <f>SUM(C658:C661)</f>
        <v>3.06</v>
      </c>
      <c r="D662" s="200">
        <f>SUM(D658:D661)</f>
        <v>0.11752686602705423</v>
      </c>
    </row>
    <row r="663" spans="1:10">
      <c r="B663" s="258" t="s">
        <v>23</v>
      </c>
      <c r="C663" s="265">
        <f>C662-C615-C618</f>
        <v>0</v>
      </c>
    </row>
    <row r="667" spans="1:10">
      <c r="A667" s="245" t="s">
        <v>112</v>
      </c>
      <c r="I667" s="75" t="s">
        <v>113</v>
      </c>
      <c r="J667" s="246">
        <f>Model!AM215</f>
        <v>5.2134925186382353E-2</v>
      </c>
    </row>
    <row r="668" spans="1:10">
      <c r="I668" s="76" t="s">
        <v>114</v>
      </c>
      <c r="J668" s="246">
        <f>Model!AM216</f>
        <v>5.6058212372156656E-2</v>
      </c>
    </row>
    <row r="669" spans="1:10">
      <c r="B669" s="108" t="s">
        <v>115</v>
      </c>
      <c r="C669" s="109" t="s">
        <v>25</v>
      </c>
      <c r="D669" s="109" t="s">
        <v>5</v>
      </c>
      <c r="E669" s="141" t="s">
        <v>57</v>
      </c>
      <c r="F669" s="110" t="s">
        <v>7</v>
      </c>
    </row>
    <row r="670" spans="1:10" ht="13.5" thickBot="1">
      <c r="B670" s="124" t="s">
        <v>10</v>
      </c>
      <c r="C670" s="193">
        <f>SUM(C671:C672)</f>
        <v>12373.188000000002</v>
      </c>
      <c r="D670" s="193">
        <f>SUM(D671:D672)</f>
        <v>645.07523069704393</v>
      </c>
    </row>
    <row r="671" spans="1:10">
      <c r="B671" s="111" t="s">
        <v>12</v>
      </c>
      <c r="C671" s="204">
        <f>10256.886+846.966+1268.448</f>
        <v>12372.300000000001</v>
      </c>
      <c r="D671" s="205">
        <f>C671*$J667</f>
        <v>645.02893488347843</v>
      </c>
      <c r="I671" s="247" t="s">
        <v>8</v>
      </c>
      <c r="J671" s="248" t="s">
        <v>9</v>
      </c>
    </row>
    <row r="672" spans="1:10" ht="13.5" thickBot="1">
      <c r="B672" s="78" t="s">
        <v>13</v>
      </c>
      <c r="C672" s="22">
        <v>0.88800000000000001</v>
      </c>
      <c r="D672" s="205">
        <f>C672*$J667</f>
        <v>4.6295813565507528E-2</v>
      </c>
      <c r="I672" s="268" t="s">
        <v>64</v>
      </c>
      <c r="J672" s="269" t="s">
        <v>116</v>
      </c>
    </row>
    <row r="673" spans="2:10">
      <c r="B673" s="124" t="s">
        <v>14</v>
      </c>
      <c r="C673" s="193">
        <f>SUM(C674:C675)</f>
        <v>12830.369999999999</v>
      </c>
      <c r="D673" s="193">
        <f>SUM(D674:D675)</f>
        <v>668.91038006360452</v>
      </c>
    </row>
    <row r="674" spans="2:10">
      <c r="B674" s="111" t="s">
        <v>12</v>
      </c>
      <c r="C674" s="22">
        <f>1332.721+11495.292</f>
        <v>12828.012999999999</v>
      </c>
      <c r="D674" s="205">
        <f>C674*$J667</f>
        <v>668.78749804494021</v>
      </c>
    </row>
    <row r="675" spans="2:10">
      <c r="B675" s="78" t="s">
        <v>13</v>
      </c>
      <c r="C675" s="22">
        <v>2.3570000000000002</v>
      </c>
      <c r="D675" s="205">
        <f>C675*$J667</f>
        <v>0.12288201866430322</v>
      </c>
    </row>
    <row r="676" spans="2:10">
      <c r="B676" s="116" t="s">
        <v>15</v>
      </c>
      <c r="C676" s="208">
        <f>C670+C673</f>
        <v>25203.558000000001</v>
      </c>
      <c r="D676" s="208">
        <f>D670+D673</f>
        <v>1313.9856107606483</v>
      </c>
      <c r="E676" s="192">
        <f>C676/C683</f>
        <v>3.8388399201268468</v>
      </c>
      <c r="F676" s="192">
        <f>D676/D683</f>
        <v>3.5701750656914766</v>
      </c>
      <c r="I676" s="256"/>
    </row>
    <row r="677" spans="2:10">
      <c r="B677" s="78" t="s">
        <v>16</v>
      </c>
      <c r="C677" s="207">
        <f>Model!AM125</f>
        <v>9861.4920000000002</v>
      </c>
      <c r="D677" s="207">
        <f>C677*J667</f>
        <v>514.12814764610812</v>
      </c>
      <c r="E677" s="191"/>
      <c r="F677" s="191"/>
      <c r="J677" s="256"/>
    </row>
    <row r="678" spans="2:10">
      <c r="B678" s="116" t="s">
        <v>17</v>
      </c>
      <c r="C678" s="208">
        <f>C676-C677</f>
        <v>15342.066000000001</v>
      </c>
      <c r="D678" s="208">
        <f>D676-D677</f>
        <v>799.85746311454022</v>
      </c>
      <c r="E678" s="192">
        <f>C678/C683</f>
        <v>2.3368024236110161</v>
      </c>
      <c r="F678" s="192">
        <f>D678/D683</f>
        <v>2.1732590886331589</v>
      </c>
    </row>
    <row r="679" spans="2:10">
      <c r="B679" s="78" t="s">
        <v>18</v>
      </c>
      <c r="C679" s="207">
        <f>Model!AM126</f>
        <v>3.2</v>
      </c>
      <c r="D679" s="207">
        <f>C679*J667</f>
        <v>0.16683176059642355</v>
      </c>
      <c r="E679" s="191"/>
      <c r="F679" s="191"/>
    </row>
    <row r="680" spans="2:10">
      <c r="B680" s="116" t="s">
        <v>19</v>
      </c>
      <c r="C680" s="208">
        <f>C678-C679</f>
        <v>15338.866</v>
      </c>
      <c r="D680" s="208">
        <f>D678-D679</f>
        <v>799.69063135394379</v>
      </c>
      <c r="E680" s="192">
        <f>C680/C683</f>
        <v>2.3363150206917771</v>
      </c>
      <c r="F680" s="192">
        <f>D680/D683</f>
        <v>2.1728057970697132</v>
      </c>
    </row>
    <row r="681" spans="2:10">
      <c r="B681" s="75" t="s">
        <v>20</v>
      </c>
      <c r="C681" s="193">
        <f>Model!AM133</f>
        <v>8722.4419999999991</v>
      </c>
      <c r="D681" s="205"/>
    </row>
    <row r="682" spans="2:10">
      <c r="B682" s="75" t="s">
        <v>21</v>
      </c>
      <c r="C682" s="193">
        <f>C678+C681</f>
        <v>24064.508000000002</v>
      </c>
      <c r="D682" s="205"/>
    </row>
    <row r="683" spans="2:10">
      <c r="B683" s="78" t="s">
        <v>22</v>
      </c>
      <c r="C683" s="205">
        <f>Model!AM90</f>
        <v>6565.41</v>
      </c>
      <c r="D683" s="205">
        <f>C683*J668</f>
        <v>368.04514809028103</v>
      </c>
    </row>
    <row r="684" spans="2:10">
      <c r="B684" s="258" t="s">
        <v>23</v>
      </c>
      <c r="C684" s="259">
        <f>+C676-Model!AM123</f>
        <v>3.2449999999989814</v>
      </c>
    </row>
    <row r="685" spans="2:10" ht="13.5" thickBot="1"/>
    <row r="686" spans="2:10">
      <c r="B686" s="79" t="s">
        <v>75</v>
      </c>
      <c r="C686" s="151" t="s">
        <v>25</v>
      </c>
      <c r="D686" s="80" t="s">
        <v>5</v>
      </c>
      <c r="I686" s="79" t="s">
        <v>75</v>
      </c>
      <c r="J686" s="80" t="s">
        <v>76</v>
      </c>
    </row>
    <row r="687" spans="2:10">
      <c r="B687" s="143" t="s">
        <v>33</v>
      </c>
      <c r="C687" s="203">
        <f>SUM(C688:C689)</f>
        <v>3.2450000000000001</v>
      </c>
      <c r="D687" s="201">
        <f>SUM(D688:D689)</f>
        <v>0.16917783222981075</v>
      </c>
      <c r="I687" s="143" t="s">
        <v>33</v>
      </c>
      <c r="J687" s="266">
        <f>C687/C693</f>
        <v>1.2875166276126568E-4</v>
      </c>
    </row>
    <row r="688" spans="2:10">
      <c r="B688" s="142" t="s">
        <v>34</v>
      </c>
      <c r="C688" s="211">
        <v>0.88800000000000001</v>
      </c>
      <c r="D688" s="197">
        <f>C688*$J667</f>
        <v>4.6295813565507528E-2</v>
      </c>
      <c r="I688" s="143" t="s">
        <v>36</v>
      </c>
      <c r="J688" s="266">
        <f>C690/C693</f>
        <v>0.99987124833723873</v>
      </c>
    </row>
    <row r="689" spans="2:10" ht="13.5" thickBot="1">
      <c r="B689" s="142" t="s">
        <v>35</v>
      </c>
      <c r="C689" s="211">
        <v>2.3570000000000002</v>
      </c>
      <c r="D689" s="197">
        <f>C689*$J667</f>
        <v>0.12288201866430322</v>
      </c>
      <c r="I689" s="83" t="s">
        <v>37</v>
      </c>
      <c r="J689" s="267">
        <f>SUM(J687:J688)</f>
        <v>1</v>
      </c>
    </row>
    <row r="690" spans="2:10">
      <c r="B690" s="143" t="s">
        <v>36</v>
      </c>
      <c r="C690" s="203">
        <f>SUM(C691:C692)</f>
        <v>25200.313000000002</v>
      </c>
      <c r="D690" s="201">
        <f>SUM(D691:D692)</f>
        <v>1313.8164329284186</v>
      </c>
    </row>
    <row r="691" spans="2:10">
      <c r="B691" s="142" t="s">
        <v>34</v>
      </c>
      <c r="C691" s="194">
        <f>12373.188-C688</f>
        <v>12372.3</v>
      </c>
      <c r="D691" s="197">
        <f>C691*$J667</f>
        <v>645.02893488347831</v>
      </c>
    </row>
    <row r="692" spans="2:10">
      <c r="B692" s="142" t="s">
        <v>35</v>
      </c>
      <c r="C692" s="194">
        <f>12830.37-C689</f>
        <v>12828.013000000001</v>
      </c>
      <c r="D692" s="197">
        <f>C692*$J667</f>
        <v>668.78749804494032</v>
      </c>
    </row>
    <row r="693" spans="2:10" ht="13.5" thickBot="1">
      <c r="B693" s="83" t="s">
        <v>37</v>
      </c>
      <c r="C693" s="199">
        <f>SUM(C687+C690)</f>
        <v>25203.558000000001</v>
      </c>
      <c r="D693" s="200">
        <f>SUM(D687+D690)</f>
        <v>1313.9856107606483</v>
      </c>
    </row>
    <row r="694" spans="2:10">
      <c r="B694" s="258" t="s">
        <v>23</v>
      </c>
      <c r="C694" s="263">
        <f>C693-C676</f>
        <v>0</v>
      </c>
    </row>
    <row r="695" spans="2:10" ht="13.5" thickBot="1">
      <c r="B695" s="258"/>
    </row>
    <row r="696" spans="2:10">
      <c r="B696" s="79" t="s">
        <v>24</v>
      </c>
      <c r="C696" s="151" t="s">
        <v>25</v>
      </c>
      <c r="D696" s="80" t="s">
        <v>5</v>
      </c>
    </row>
    <row r="697" spans="2:10">
      <c r="B697" s="81" t="s">
        <v>26</v>
      </c>
      <c r="C697" s="194">
        <v>0.75900000000000001</v>
      </c>
      <c r="D697" s="197">
        <f>C697*$J667</f>
        <v>3.9570408216464209E-2</v>
      </c>
    </row>
    <row r="698" spans="2:10">
      <c r="B698" s="81" t="s">
        <v>27</v>
      </c>
      <c r="C698" s="194">
        <v>1591.8779999999999</v>
      </c>
      <c r="D698" s="197">
        <f>C698*$J667</f>
        <v>82.992440435847968</v>
      </c>
    </row>
    <row r="699" spans="2:10">
      <c r="B699" s="81" t="s">
        <v>28</v>
      </c>
      <c r="C699" s="194">
        <v>8284.4249999999993</v>
      </c>
      <c r="D699" s="197">
        <f>C699*$J667</f>
        <v>431.90787758719557</v>
      </c>
    </row>
    <row r="700" spans="2:10">
      <c r="B700" s="81" t="s">
        <v>29</v>
      </c>
      <c r="C700" s="194">
        <v>-15.57</v>
      </c>
      <c r="D700" s="197">
        <f>C700*$J667</f>
        <v>-0.81174078515197323</v>
      </c>
    </row>
    <row r="701" spans="2:10" ht="13.5" thickBot="1">
      <c r="B701" s="83" t="s">
        <v>30</v>
      </c>
      <c r="C701" s="199">
        <f>SUM(C697:C700)</f>
        <v>9861.4920000000002</v>
      </c>
      <c r="D701" s="200">
        <f>SUM(D697:D700)</f>
        <v>514.128147646108</v>
      </c>
    </row>
    <row r="702" spans="2:10">
      <c r="B702" s="258" t="s">
        <v>23</v>
      </c>
      <c r="C702" s="264">
        <f>C701-C677</f>
        <v>0</v>
      </c>
    </row>
    <row r="703" spans="2:10" ht="13.5" thickBot="1">
      <c r="B703" s="258"/>
    </row>
    <row r="704" spans="2:10">
      <c r="B704" s="170" t="s">
        <v>77</v>
      </c>
      <c r="C704" s="148" t="s">
        <v>25</v>
      </c>
      <c r="D704" s="131" t="s">
        <v>5</v>
      </c>
    </row>
    <row r="705" spans="2:4">
      <c r="B705" s="171" t="s">
        <v>40</v>
      </c>
      <c r="C705" s="194">
        <v>11103.852000000001</v>
      </c>
      <c r="D705" s="197">
        <f>C705*$J667</f>
        <v>578.89849330066215</v>
      </c>
    </row>
    <row r="706" spans="2:4">
      <c r="B706" s="171" t="s">
        <v>41</v>
      </c>
      <c r="C706" s="194">
        <v>1998.6369999999999</v>
      </c>
      <c r="D706" s="197">
        <f>C706*$J667</f>
        <v>104.19879046973567</v>
      </c>
    </row>
    <row r="707" spans="2:4">
      <c r="B707" s="171" t="s">
        <v>42</v>
      </c>
      <c r="C707" s="194">
        <v>10829.376</v>
      </c>
      <c r="D707" s="197">
        <f>C707*$J667</f>
        <v>564.58870757520458</v>
      </c>
    </row>
    <row r="708" spans="2:4">
      <c r="B708" s="171" t="s">
        <v>43</v>
      </c>
      <c r="C708" s="194">
        <v>0</v>
      </c>
      <c r="D708" s="197">
        <f>C708*$J667</f>
        <v>0</v>
      </c>
    </row>
    <row r="709" spans="2:4">
      <c r="B709" s="171" t="s">
        <v>44</v>
      </c>
      <c r="C709" s="195" t="s">
        <v>101</v>
      </c>
      <c r="D709" s="197"/>
    </row>
    <row r="710" spans="2:4">
      <c r="B710" s="172" t="s">
        <v>45</v>
      </c>
      <c r="C710" s="195" t="s">
        <v>101</v>
      </c>
      <c r="D710" s="197"/>
    </row>
    <row r="711" spans="2:4" ht="13.5" thickBot="1">
      <c r="B711" s="173" t="s">
        <v>46</v>
      </c>
      <c r="C711" s="196">
        <f>SUM(C705:C710)</f>
        <v>23931.865000000002</v>
      </c>
      <c r="D711" s="198">
        <f>SUM(D705:D710)</f>
        <v>1247.6859913456024</v>
      </c>
    </row>
    <row r="712" spans="2:4">
      <c r="B712" s="258" t="s">
        <v>23</v>
      </c>
      <c r="C712" s="264">
        <f>C711-C693+C672+C675+1268.448</f>
        <v>0</v>
      </c>
    </row>
    <row r="713" spans="2:4" ht="13.5" thickBot="1">
      <c r="B713" s="258"/>
    </row>
    <row r="714" spans="2:4">
      <c r="B714" s="79" t="s">
        <v>59</v>
      </c>
      <c r="C714" s="148" t="s">
        <v>25</v>
      </c>
      <c r="D714" s="131" t="s">
        <v>5</v>
      </c>
    </row>
    <row r="715" spans="2:4">
      <c r="B715" s="132" t="s">
        <v>40</v>
      </c>
      <c r="C715" s="194">
        <v>0.88800000000000001</v>
      </c>
      <c r="D715" s="197">
        <f>C715*J667</f>
        <v>4.6295813565507528E-2</v>
      </c>
    </row>
    <row r="716" spans="2:4">
      <c r="B716" s="132" t="s">
        <v>41</v>
      </c>
      <c r="C716" s="194">
        <v>1.32</v>
      </c>
      <c r="D716" s="197">
        <f>C716*J667</f>
        <v>6.8818101246024707E-2</v>
      </c>
    </row>
    <row r="717" spans="2:4">
      <c r="B717" s="132" t="s">
        <v>42</v>
      </c>
      <c r="C717" s="194">
        <v>1.0369999999999999</v>
      </c>
      <c r="D717" s="197">
        <f>C717*J667</f>
        <v>5.4063917418278498E-2</v>
      </c>
    </row>
    <row r="718" spans="2:4">
      <c r="B718" s="132" t="s">
        <v>43</v>
      </c>
      <c r="C718" s="194">
        <v>0</v>
      </c>
      <c r="D718" s="197">
        <f>C718*J667</f>
        <v>0</v>
      </c>
    </row>
    <row r="719" spans="2:4" ht="13.5" thickBot="1">
      <c r="B719" s="174" t="s">
        <v>46</v>
      </c>
      <c r="C719" s="199">
        <f>SUM(C715:C718)</f>
        <v>3.2450000000000001</v>
      </c>
      <c r="D719" s="200">
        <f>SUM(D715:D718)</f>
        <v>0.16917783222981075</v>
      </c>
    </row>
    <row r="720" spans="2:4">
      <c r="B720" s="258" t="s">
        <v>23</v>
      </c>
      <c r="C720" s="265">
        <f>C719-C672-C675</f>
        <v>0</v>
      </c>
    </row>
    <row r="725" spans="1:10">
      <c r="A725" s="245" t="s">
        <v>117</v>
      </c>
      <c r="I725" s="75" t="s">
        <v>118</v>
      </c>
      <c r="J725" s="246">
        <f>Model!AK215</f>
        <v>5.3503116556539415E-2</v>
      </c>
    </row>
    <row r="726" spans="1:10">
      <c r="I726" s="76" t="s">
        <v>119</v>
      </c>
      <c r="J726" s="246">
        <f>Model!AK216</f>
        <v>6.1384530918586283E-2</v>
      </c>
    </row>
    <row r="727" spans="1:10">
      <c r="B727" s="108" t="s">
        <v>120</v>
      </c>
      <c r="C727" s="109" t="s">
        <v>25</v>
      </c>
      <c r="D727" s="109" t="s">
        <v>5</v>
      </c>
      <c r="E727" s="141" t="s">
        <v>57</v>
      </c>
      <c r="F727" s="110" t="s">
        <v>7</v>
      </c>
    </row>
    <row r="728" spans="1:10">
      <c r="B728" s="124" t="s">
        <v>10</v>
      </c>
      <c r="C728" s="193">
        <f>SUM(C729:C730)</f>
        <v>11401.487000000001</v>
      </c>
      <c r="D728" s="193">
        <f>SUM(D729:D730)</f>
        <v>610.01508787886894</v>
      </c>
    </row>
    <row r="729" spans="1:10">
      <c r="B729" s="111" t="s">
        <v>12</v>
      </c>
      <c r="C729" s="204">
        <f>925.081+9655.778+812.749</f>
        <v>11393.608</v>
      </c>
      <c r="D729" s="205">
        <f>C729*$J725</f>
        <v>609.59353682351991</v>
      </c>
    </row>
    <row r="730" spans="1:10">
      <c r="B730" s="78" t="s">
        <v>13</v>
      </c>
      <c r="C730" s="204">
        <v>7.8789999999999996</v>
      </c>
      <c r="D730" s="205">
        <f>C730*$J725</f>
        <v>0.42155105534897402</v>
      </c>
    </row>
    <row r="731" spans="1:10">
      <c r="B731" s="124" t="s">
        <v>14</v>
      </c>
      <c r="C731" s="193">
        <f>SUM(C732:C733)</f>
        <v>12349.130999999999</v>
      </c>
      <c r="D731" s="193">
        <f>SUM(D732:D733)</f>
        <v>660.71699526497412</v>
      </c>
    </row>
    <row r="732" spans="1:10">
      <c r="B732" s="111" t="s">
        <v>12</v>
      </c>
      <c r="C732" s="204">
        <f>1315.059+11031.399</f>
        <v>12346.457999999999</v>
      </c>
      <c r="D732" s="205">
        <f>C732*$J725</f>
        <v>660.57398143441844</v>
      </c>
    </row>
    <row r="733" spans="1:10">
      <c r="B733" s="78" t="s">
        <v>13</v>
      </c>
      <c r="C733" s="204">
        <v>2.673</v>
      </c>
      <c r="D733" s="205">
        <f>C733*$J725</f>
        <v>0.14301383055562986</v>
      </c>
    </row>
    <row r="734" spans="1:10">
      <c r="B734" s="116" t="s">
        <v>15</v>
      </c>
      <c r="C734" s="208">
        <f>C728+C731</f>
        <v>23750.618000000002</v>
      </c>
      <c r="D734" s="208">
        <f>D728+D731</f>
        <v>1270.7320831438431</v>
      </c>
      <c r="E734" s="192">
        <f>C734/C741</f>
        <v>4.3443436562617928</v>
      </c>
      <c r="F734" s="192">
        <f>D734/D741</f>
        <v>3.7865553670339986</v>
      </c>
    </row>
    <row r="735" spans="1:10">
      <c r="B735" s="78" t="s">
        <v>16</v>
      </c>
      <c r="C735" s="207">
        <f>Model!AK125</f>
        <v>9254.8340000000007</v>
      </c>
      <c r="D735" s="207">
        <f>C735*J725</f>
        <v>495.16246221342396</v>
      </c>
      <c r="E735" s="191"/>
      <c r="F735" s="191"/>
    </row>
    <row r="736" spans="1:10">
      <c r="B736" s="116" t="s">
        <v>17</v>
      </c>
      <c r="C736" s="208">
        <f>C734-C735</f>
        <v>14495.784000000001</v>
      </c>
      <c r="D736" s="208">
        <f>D734-D735</f>
        <v>775.56962093041909</v>
      </c>
      <c r="E736" s="192">
        <f>C736/C741</f>
        <v>2.651495942671521</v>
      </c>
      <c r="F736" s="192">
        <f>D736/D741</f>
        <v>2.311059388204785</v>
      </c>
    </row>
    <row r="737" spans="2:10">
      <c r="B737" s="78" t="s">
        <v>18</v>
      </c>
      <c r="C737" s="207">
        <f>Model!AK126</f>
        <v>210.49700000000001</v>
      </c>
      <c r="D737" s="207">
        <f>C737*J725</f>
        <v>11.262245525801879</v>
      </c>
      <c r="E737" s="191"/>
      <c r="F737" s="191"/>
    </row>
    <row r="738" spans="2:10">
      <c r="B738" s="116" t="s">
        <v>19</v>
      </c>
      <c r="C738" s="208">
        <f>C736-C737</f>
        <v>14285.287000000002</v>
      </c>
      <c r="D738" s="208">
        <f>D736-D737</f>
        <v>764.30737540461723</v>
      </c>
      <c r="E738" s="192">
        <f>C738/C741</f>
        <v>2.6129928895462453</v>
      </c>
      <c r="F738" s="192">
        <f>D738/D741</f>
        <v>2.2774999016644957</v>
      </c>
    </row>
    <row r="739" spans="2:10">
      <c r="B739" s="75" t="s">
        <v>20</v>
      </c>
      <c r="C739" s="193">
        <f>Model!AK133</f>
        <v>7682.4920000000002</v>
      </c>
      <c r="D739" s="205"/>
    </row>
    <row r="740" spans="2:10">
      <c r="B740" s="75" t="s">
        <v>21</v>
      </c>
      <c r="C740" s="193">
        <f>C736+C739</f>
        <v>22178.276000000002</v>
      </c>
      <c r="D740" s="205"/>
    </row>
    <row r="741" spans="2:10">
      <c r="B741" s="78" t="s">
        <v>22</v>
      </c>
      <c r="C741" s="205">
        <f>Model!AK90</f>
        <v>5467.0209999999997</v>
      </c>
      <c r="D741" s="205">
        <f>C741*J726</f>
        <v>335.59051960706046</v>
      </c>
    </row>
    <row r="742" spans="2:10">
      <c r="B742" s="258" t="s">
        <v>23</v>
      </c>
      <c r="C742" s="259">
        <f>+C734-Model!AK123</f>
        <v>10.552000000003318</v>
      </c>
    </row>
    <row r="743" spans="2:10" ht="13.5" thickBot="1"/>
    <row r="744" spans="2:10">
      <c r="B744" s="79" t="s">
        <v>75</v>
      </c>
      <c r="C744" s="151" t="s">
        <v>25</v>
      </c>
      <c r="D744" s="80" t="s">
        <v>5</v>
      </c>
      <c r="I744" s="79" t="s">
        <v>75</v>
      </c>
      <c r="J744" s="80" t="s">
        <v>76</v>
      </c>
    </row>
    <row r="745" spans="2:10">
      <c r="B745" s="143" t="s">
        <v>33</v>
      </c>
      <c r="C745" s="203">
        <f>SUM(C746:C747)</f>
        <v>7.8789999999999996</v>
      </c>
      <c r="D745" s="201">
        <f>SUM(D746:D747)</f>
        <v>0.42155105534897402</v>
      </c>
      <c r="I745" s="143" t="s">
        <v>33</v>
      </c>
      <c r="J745" s="266">
        <f>C745/C751</f>
        <v>3.3173873622993725E-4</v>
      </c>
    </row>
    <row r="746" spans="2:10">
      <c r="B746" s="142" t="s">
        <v>34</v>
      </c>
      <c r="C746" s="202">
        <v>7.8789999999999996</v>
      </c>
      <c r="D746" s="197">
        <f>C746*$J725</f>
        <v>0.42155105534897402</v>
      </c>
      <c r="I746" s="143" t="s">
        <v>36</v>
      </c>
      <c r="J746" s="266">
        <f>C748/C751</f>
        <v>0.99966826126377006</v>
      </c>
    </row>
    <row r="747" spans="2:10" ht="13.5" thickBot="1">
      <c r="B747" s="142" t="s">
        <v>35</v>
      </c>
      <c r="C747" s="202">
        <v>0</v>
      </c>
      <c r="D747" s="197">
        <f>C747*$J725</f>
        <v>0</v>
      </c>
      <c r="I747" s="83" t="s">
        <v>37</v>
      </c>
      <c r="J747" s="267">
        <f>SUM(J745:J746)</f>
        <v>1</v>
      </c>
    </row>
    <row r="748" spans="2:10">
      <c r="B748" s="143" t="s">
        <v>36</v>
      </c>
      <c r="C748" s="203">
        <f>SUM(C749:C750)</f>
        <v>23742.738999999998</v>
      </c>
      <c r="D748" s="201">
        <f>SUM(D749:D750)</f>
        <v>1270.3105320884938</v>
      </c>
    </row>
    <row r="749" spans="2:10">
      <c r="B749" s="142" t="s">
        <v>34</v>
      </c>
      <c r="C749" s="194">
        <f>11401.487-C746</f>
        <v>11393.607999999998</v>
      </c>
      <c r="D749" s="197">
        <f>C749*$J725</f>
        <v>609.5935368235198</v>
      </c>
    </row>
    <row r="750" spans="2:10">
      <c r="B750" s="142" t="s">
        <v>35</v>
      </c>
      <c r="C750" s="194">
        <f>12349.131-C747</f>
        <v>12349.130999999999</v>
      </c>
      <c r="D750" s="197">
        <f>C750*$J725</f>
        <v>660.71699526497412</v>
      </c>
    </row>
    <row r="751" spans="2:10" ht="13.5" thickBot="1">
      <c r="B751" s="83" t="s">
        <v>37</v>
      </c>
      <c r="C751" s="199">
        <f>SUM(C745+C748)</f>
        <v>23750.617999999999</v>
      </c>
      <c r="D751" s="200">
        <f>SUM(D745+D748)</f>
        <v>1270.7320831438428</v>
      </c>
    </row>
    <row r="752" spans="2:10">
      <c r="B752" s="258" t="s">
        <v>23</v>
      </c>
      <c r="C752" s="263">
        <f>C751-C734</f>
        <v>0</v>
      </c>
    </row>
    <row r="753" spans="2:11" ht="13.5" thickBot="1">
      <c r="B753" s="258"/>
    </row>
    <row r="754" spans="2:11">
      <c r="B754" s="79" t="s">
        <v>24</v>
      </c>
      <c r="C754" s="151" t="s">
        <v>25</v>
      </c>
      <c r="D754" s="80" t="s">
        <v>5</v>
      </c>
    </row>
    <row r="755" spans="2:11">
      <c r="B755" s="81" t="s">
        <v>26</v>
      </c>
      <c r="C755" s="194">
        <v>4.5880000000000001</v>
      </c>
      <c r="D755" s="197">
        <f>C755*$J725</f>
        <v>0.24547229876140284</v>
      </c>
    </row>
    <row r="756" spans="2:11">
      <c r="B756" s="81" t="s">
        <v>27</v>
      </c>
      <c r="C756" s="194">
        <v>1299.3820000000001</v>
      </c>
      <c r="D756" s="197">
        <f>C756*$J725</f>
        <v>69.520986597469303</v>
      </c>
    </row>
    <row r="757" spans="2:11">
      <c r="B757" s="81" t="s">
        <v>28</v>
      </c>
      <c r="C757" s="194">
        <v>7968.3289999999997</v>
      </c>
      <c r="D757" s="197">
        <f>C757*$J725</f>
        <v>426.33043524785313</v>
      </c>
    </row>
    <row r="758" spans="2:11">
      <c r="B758" s="81" t="s">
        <v>29</v>
      </c>
      <c r="C758" s="194">
        <v>-17.465</v>
      </c>
      <c r="D758" s="197">
        <f>C758*$J725</f>
        <v>-0.93443193065996089</v>
      </c>
    </row>
    <row r="759" spans="2:11" ht="13.5" thickBot="1">
      <c r="B759" s="83" t="s">
        <v>30</v>
      </c>
      <c r="C759" s="199">
        <f>SUM(C755:C758)</f>
        <v>9254.8339999999989</v>
      </c>
      <c r="D759" s="200">
        <f>SUM(D755:D758)</f>
        <v>495.16246221342385</v>
      </c>
    </row>
    <row r="760" spans="2:11">
      <c r="B760" s="258" t="s">
        <v>23</v>
      </c>
      <c r="C760" s="264">
        <f>C759-C735</f>
        <v>0</v>
      </c>
      <c r="K760" s="262"/>
    </row>
    <row r="761" spans="2:11" ht="13.5" thickBot="1">
      <c r="B761" s="258"/>
      <c r="K761" s="262"/>
    </row>
    <row r="762" spans="2:11">
      <c r="B762" s="170" t="s">
        <v>77</v>
      </c>
      <c r="C762" s="148" t="s">
        <v>25</v>
      </c>
      <c r="D762" s="131" t="s">
        <v>5</v>
      </c>
      <c r="K762" s="262"/>
    </row>
    <row r="763" spans="2:11">
      <c r="B763" s="171" t="s">
        <v>40</v>
      </c>
      <c r="C763" s="194">
        <v>10468.527</v>
      </c>
      <c r="D763" s="197">
        <f>C763*$J725</f>
        <v>560.09882025627985</v>
      </c>
    </row>
    <row r="764" spans="2:11">
      <c r="B764" s="171" t="s">
        <v>41</v>
      </c>
      <c r="C764" s="194">
        <v>1520.1369999999999</v>
      </c>
      <c r="D764" s="197">
        <f>C764*$J725</f>
        <v>81.332067092908147</v>
      </c>
    </row>
    <row r="765" spans="2:11">
      <c r="B765" s="171" t="s">
        <v>42</v>
      </c>
      <c r="C765" s="194">
        <v>10800.834999999999</v>
      </c>
      <c r="D765" s="197">
        <f>C765*$J725</f>
        <v>577.87833391295032</v>
      </c>
    </row>
    <row r="766" spans="2:11">
      <c r="B766" s="171" t="s">
        <v>43</v>
      </c>
      <c r="C766" s="194">
        <v>25.486000000000001</v>
      </c>
      <c r="D766" s="197">
        <f>C766*$J725</f>
        <v>1.3635804285599635</v>
      </c>
    </row>
    <row r="767" spans="2:11">
      <c r="B767" s="171" t="s">
        <v>44</v>
      </c>
      <c r="C767" s="195" t="s">
        <v>101</v>
      </c>
      <c r="D767" s="197"/>
    </row>
    <row r="768" spans="2:11">
      <c r="B768" s="172" t="s">
        <v>45</v>
      </c>
      <c r="C768" s="195" t="s">
        <v>101</v>
      </c>
      <c r="D768" s="197"/>
    </row>
    <row r="769" spans="1:10" ht="13.5" thickBot="1">
      <c r="B769" s="173" t="s">
        <v>46</v>
      </c>
      <c r="C769" s="196">
        <f>SUM(C763:C768)</f>
        <v>22814.985000000001</v>
      </c>
      <c r="D769" s="198">
        <f>SUM(D763:D768)</f>
        <v>1220.6728016906982</v>
      </c>
    </row>
    <row r="770" spans="1:10">
      <c r="B770" s="258" t="s">
        <v>23</v>
      </c>
      <c r="C770" s="264">
        <f>C769-C751+C730+C733+925.081</f>
        <v>2.0463630789890885E-12</v>
      </c>
    </row>
    <row r="771" spans="1:10" ht="13.5" thickBot="1">
      <c r="B771" s="258"/>
    </row>
    <row r="772" spans="1:10">
      <c r="B772" s="79" t="s">
        <v>59</v>
      </c>
      <c r="C772" s="148" t="s">
        <v>25</v>
      </c>
      <c r="D772" s="131" t="s">
        <v>5</v>
      </c>
    </row>
    <row r="773" spans="1:10">
      <c r="B773" s="132" t="s">
        <v>40</v>
      </c>
      <c r="C773" s="194">
        <v>7.8789999999999996</v>
      </c>
      <c r="D773" s="197">
        <f>C773*J725</f>
        <v>0.42155105534897402</v>
      </c>
    </row>
    <row r="774" spans="1:10">
      <c r="B774" s="132" t="s">
        <v>41</v>
      </c>
      <c r="C774" s="194">
        <v>1.2390000000000001</v>
      </c>
      <c r="D774" s="197">
        <f>C774*J725</f>
        <v>6.6290361413552337E-2</v>
      </c>
    </row>
    <row r="775" spans="1:10">
      <c r="B775" s="132" t="s">
        <v>42</v>
      </c>
      <c r="C775" s="194">
        <v>1.4339999999999999</v>
      </c>
      <c r="D775" s="197">
        <f>C775*J725</f>
        <v>7.6723469142077519E-2</v>
      </c>
    </row>
    <row r="776" spans="1:10">
      <c r="B776" s="132" t="s">
        <v>43</v>
      </c>
      <c r="C776" s="194">
        <v>0</v>
      </c>
      <c r="D776" s="197">
        <f>C776*J725</f>
        <v>0</v>
      </c>
    </row>
    <row r="777" spans="1:10" ht="13.5" thickBot="1">
      <c r="B777" s="174" t="s">
        <v>46</v>
      </c>
      <c r="C777" s="199">
        <f>SUM(C773:C776)</f>
        <v>10.552</v>
      </c>
      <c r="D777" s="200">
        <f>SUM(D773:D776)</f>
        <v>0.56456488590460385</v>
      </c>
    </row>
    <row r="778" spans="1:10">
      <c r="B778" s="258" t="s">
        <v>23</v>
      </c>
      <c r="C778" s="265">
        <f>C777-C730-C733</f>
        <v>0</v>
      </c>
    </row>
    <row r="783" spans="1:10">
      <c r="A783" s="245" t="s">
        <v>121</v>
      </c>
      <c r="I783" s="75" t="s">
        <v>122</v>
      </c>
      <c r="J783" s="246">
        <f>Model!AJ215</f>
        <v>5.3461641272387068E-2</v>
      </c>
    </row>
    <row r="784" spans="1:10">
      <c r="I784" s="76" t="s">
        <v>123</v>
      </c>
      <c r="J784" s="246">
        <f>Model!AJ216</f>
        <v>7.1416136189970475E-2</v>
      </c>
    </row>
    <row r="785" spans="2:6">
      <c r="B785" s="108" t="s">
        <v>124</v>
      </c>
      <c r="C785" s="109" t="s">
        <v>25</v>
      </c>
      <c r="D785" s="109" t="s">
        <v>5</v>
      </c>
      <c r="E785" s="141" t="s">
        <v>57</v>
      </c>
      <c r="F785" s="110" t="s">
        <v>7</v>
      </c>
    </row>
    <row r="786" spans="2:6">
      <c r="B786" s="124" t="s">
        <v>10</v>
      </c>
      <c r="C786" s="193">
        <f>SUM(C787:C788)</f>
        <v>11432.567000000001</v>
      </c>
      <c r="D786" s="193">
        <f>SUM(D787:D788)</f>
        <v>611.20379577653046</v>
      </c>
    </row>
    <row r="787" spans="2:6">
      <c r="B787" s="111" t="s">
        <v>12</v>
      </c>
      <c r="C787" s="204">
        <f>1463.691+9136.15+818.905</f>
        <v>11418.746000000001</v>
      </c>
      <c r="D787" s="205">
        <f>C787*$J$783</f>
        <v>610.4649024325048</v>
      </c>
    </row>
    <row r="788" spans="2:6">
      <c r="B788" s="78" t="s">
        <v>13</v>
      </c>
      <c r="C788" s="204">
        <v>13.821</v>
      </c>
      <c r="D788" s="205">
        <f>C788*$J$783</f>
        <v>0.73889334402566165</v>
      </c>
    </row>
    <row r="789" spans="2:6">
      <c r="B789" s="124" t="s">
        <v>14</v>
      </c>
      <c r="C789" s="193">
        <f>SUM(C790:C791)</f>
        <v>12796.732</v>
      </c>
      <c r="D789" s="193">
        <f>SUM(D790:D791)</f>
        <v>684.13429564287628</v>
      </c>
    </row>
    <row r="790" spans="2:6">
      <c r="B790" s="111" t="s">
        <v>12</v>
      </c>
      <c r="C790" s="204">
        <f>1258.034+11538.698</f>
        <v>12796.732</v>
      </c>
      <c r="D790" s="205">
        <f>C790*$J$783</f>
        <v>684.13429564287628</v>
      </c>
    </row>
    <row r="791" spans="2:6">
      <c r="B791" s="78" t="s">
        <v>13</v>
      </c>
      <c r="C791" s="204">
        <v>0</v>
      </c>
      <c r="D791" s="205">
        <f>C791*$J$783</f>
        <v>0</v>
      </c>
    </row>
    <row r="792" spans="2:6">
      <c r="B792" s="116" t="s">
        <v>15</v>
      </c>
      <c r="C792" s="206">
        <f>C786+C789</f>
        <v>24229.298999999999</v>
      </c>
      <c r="D792" s="206">
        <f>D786+D789</f>
        <v>1295.3380914194067</v>
      </c>
      <c r="E792" s="190">
        <f>C792/C799</f>
        <v>5.4260633253123212</v>
      </c>
      <c r="F792" s="190">
        <f>D792/D799</f>
        <v>4.0619146665602184</v>
      </c>
    </row>
    <row r="793" spans="2:6">
      <c r="B793" s="78" t="s">
        <v>16</v>
      </c>
      <c r="C793" s="207">
        <f>Model!AJ125</f>
        <v>3765.4110000000001</v>
      </c>
      <c r="D793" s="207">
        <f>C793*J783</f>
        <v>201.30505212510027</v>
      </c>
      <c r="E793" s="191"/>
      <c r="F793" s="191"/>
    </row>
    <row r="794" spans="2:6">
      <c r="B794" s="116" t="s">
        <v>17</v>
      </c>
      <c r="C794" s="208">
        <f>C792-C793</f>
        <v>20463.887999999999</v>
      </c>
      <c r="D794" s="208">
        <f>D792-D793</f>
        <v>1094.0330392943065</v>
      </c>
      <c r="E794" s="192">
        <f>C794/C799</f>
        <v>4.5828132365735765</v>
      </c>
      <c r="F794" s="192">
        <f>D794/D799</f>
        <v>3.4306632974418965</v>
      </c>
    </row>
    <row r="795" spans="2:6">
      <c r="B795" s="78" t="s">
        <v>18</v>
      </c>
      <c r="C795" s="207">
        <f>Model!AJ126</f>
        <v>5721.3459999999995</v>
      </c>
      <c r="D795" s="207">
        <f>C795*J783</f>
        <v>305.87254744720661</v>
      </c>
      <c r="E795" s="191"/>
      <c r="F795" s="191"/>
    </row>
    <row r="796" spans="2:6">
      <c r="B796" s="116" t="s">
        <v>19</v>
      </c>
      <c r="C796" s="208">
        <f>C794-C795</f>
        <v>14742.541999999999</v>
      </c>
      <c r="D796" s="208">
        <f>D794-D795</f>
        <v>788.16049184709982</v>
      </c>
      <c r="E796" s="192">
        <f>C796/C799</f>
        <v>3.301538623468907</v>
      </c>
      <c r="F796" s="192">
        <f>D796/D799</f>
        <v>2.4715097028675905</v>
      </c>
    </row>
    <row r="797" spans="2:6">
      <c r="B797" s="75" t="s">
        <v>20</v>
      </c>
      <c r="C797" s="193">
        <f>Model!AJ133</f>
        <v>4550.8500000000004</v>
      </c>
      <c r="D797" s="205"/>
    </row>
    <row r="798" spans="2:6">
      <c r="B798" s="75" t="s">
        <v>21</v>
      </c>
      <c r="C798" s="193">
        <f>C794+C797</f>
        <v>25014.737999999998</v>
      </c>
      <c r="D798" s="205"/>
    </row>
    <row r="799" spans="2:6">
      <c r="B799" s="78" t="s">
        <v>22</v>
      </c>
      <c r="C799" s="205">
        <f>Model!AJ90</f>
        <v>4465.3549999999996</v>
      </c>
      <c r="D799" s="205">
        <f>C799*J784</f>
        <v>318.89840081656558</v>
      </c>
    </row>
    <row r="800" spans="2:6">
      <c r="B800" s="258" t="s">
        <v>23</v>
      </c>
      <c r="C800" s="259">
        <f>+C792-Model!AJ123</f>
        <v>13.820999999996275</v>
      </c>
    </row>
    <row r="801" spans="2:10" ht="13.5" thickBot="1"/>
    <row r="802" spans="2:10">
      <c r="B802" s="79" t="s">
        <v>75</v>
      </c>
      <c r="C802" s="151" t="s">
        <v>25</v>
      </c>
      <c r="D802" s="80" t="s">
        <v>5</v>
      </c>
      <c r="I802" s="79" t="s">
        <v>75</v>
      </c>
      <c r="J802" s="80" t="s">
        <v>76</v>
      </c>
    </row>
    <row r="803" spans="2:10">
      <c r="B803" s="143" t="s">
        <v>33</v>
      </c>
      <c r="C803" s="203">
        <f>SUM(C804:C805)</f>
        <v>13.821</v>
      </c>
      <c r="D803" s="201">
        <f>SUM(D804:D805)</f>
        <v>0.73889334402566165</v>
      </c>
      <c r="I803" s="143" t="s">
        <v>33</v>
      </c>
      <c r="J803" s="266">
        <f>C803/C809</f>
        <v>5.7042508741173242E-4</v>
      </c>
    </row>
    <row r="804" spans="2:10">
      <c r="B804" s="142" t="s">
        <v>34</v>
      </c>
      <c r="C804" s="202">
        <v>13.821</v>
      </c>
      <c r="D804" s="197">
        <f>C804*$J$783</f>
        <v>0.73889334402566165</v>
      </c>
      <c r="I804" s="143" t="s">
        <v>36</v>
      </c>
      <c r="J804" s="266">
        <f>C806/C809</f>
        <v>0.99942957491258833</v>
      </c>
    </row>
    <row r="805" spans="2:10" ht="13.5" thickBot="1">
      <c r="B805" s="142" t="s">
        <v>35</v>
      </c>
      <c r="C805" s="202">
        <v>0</v>
      </c>
      <c r="D805" s="197">
        <f>C805*$J$783</f>
        <v>0</v>
      </c>
      <c r="I805" s="83" t="s">
        <v>37</v>
      </c>
      <c r="J805" s="267">
        <f>SUM(J803:J804)</f>
        <v>1</v>
      </c>
    </row>
    <row r="806" spans="2:10">
      <c r="B806" s="143" t="s">
        <v>36</v>
      </c>
      <c r="C806" s="203">
        <f>SUM(C807:C808)</f>
        <v>24215.477999999999</v>
      </c>
      <c r="D806" s="201">
        <f>SUM(D807:D808)</f>
        <v>1294.5991980753811</v>
      </c>
    </row>
    <row r="807" spans="2:10">
      <c r="B807" s="142" t="s">
        <v>34</v>
      </c>
      <c r="C807" s="194">
        <f>11432.567-C804</f>
        <v>11418.745999999999</v>
      </c>
      <c r="D807" s="197">
        <f>C807*$J$783</f>
        <v>610.46490243250469</v>
      </c>
    </row>
    <row r="808" spans="2:10">
      <c r="B808" s="142" t="s">
        <v>35</v>
      </c>
      <c r="C808" s="194">
        <f>12796.732-C805</f>
        <v>12796.732</v>
      </c>
      <c r="D808" s="197">
        <f>C808*$J$783</f>
        <v>684.13429564287628</v>
      </c>
    </row>
    <row r="809" spans="2:10" ht="13.5" thickBot="1">
      <c r="B809" s="83" t="s">
        <v>37</v>
      </c>
      <c r="C809" s="199">
        <f>SUM(C803+C806)</f>
        <v>24229.298999999999</v>
      </c>
      <c r="D809" s="200">
        <f>SUM(D803+D806)</f>
        <v>1295.3380914194067</v>
      </c>
    </row>
    <row r="810" spans="2:10">
      <c r="B810" s="258" t="s">
        <v>23</v>
      </c>
      <c r="C810" s="263">
        <f>C809-C792</f>
        <v>0</v>
      </c>
    </row>
    <row r="811" spans="2:10" ht="13.5" thickBot="1">
      <c r="B811" s="258"/>
    </row>
    <row r="812" spans="2:10">
      <c r="B812" s="79" t="s">
        <v>24</v>
      </c>
      <c r="C812" s="151" t="s">
        <v>25</v>
      </c>
      <c r="D812" s="80" t="s">
        <v>5</v>
      </c>
    </row>
    <row r="813" spans="2:10">
      <c r="B813" s="81" t="s">
        <v>26</v>
      </c>
      <c r="C813" s="194">
        <v>0.36099999999999999</v>
      </c>
      <c r="D813" s="197">
        <f>C813*$J$783</f>
        <v>1.9299652499331733E-2</v>
      </c>
    </row>
    <row r="814" spans="2:10">
      <c r="B814" s="81" t="s">
        <v>27</v>
      </c>
      <c r="C814" s="194">
        <v>1643.5740000000001</v>
      </c>
      <c r="D814" s="197">
        <f>C814*$J$783</f>
        <v>87.868163592622309</v>
      </c>
    </row>
    <row r="815" spans="2:10">
      <c r="B815" s="81" t="s">
        <v>28</v>
      </c>
      <c r="C815" s="194">
        <v>2134.5430000000001</v>
      </c>
      <c r="D815" s="197">
        <f>C815*$J$783</f>
        <v>114.11617214648491</v>
      </c>
    </row>
    <row r="816" spans="2:10">
      <c r="B816" s="81" t="s">
        <v>29</v>
      </c>
      <c r="C816" s="194">
        <v>-13.067</v>
      </c>
      <c r="D816" s="197">
        <f>C816*$J$783</f>
        <v>-0.69858326650628189</v>
      </c>
    </row>
    <row r="817" spans="2:11" ht="13.5" thickBot="1">
      <c r="B817" s="83" t="s">
        <v>30</v>
      </c>
      <c r="C817" s="199">
        <f>SUM(C813:C816)</f>
        <v>3765.4110000000001</v>
      </c>
      <c r="D817" s="200">
        <f>SUM(D813:D816)</f>
        <v>201.30505212510027</v>
      </c>
    </row>
    <row r="818" spans="2:11">
      <c r="B818" s="258" t="s">
        <v>23</v>
      </c>
      <c r="C818" s="264">
        <f>C817-C793</f>
        <v>0</v>
      </c>
    </row>
    <row r="819" spans="2:11" ht="13.5" thickBot="1">
      <c r="B819" s="258"/>
      <c r="K819" s="262"/>
    </row>
    <row r="820" spans="2:11">
      <c r="B820" s="170" t="s">
        <v>77</v>
      </c>
      <c r="C820" s="148" t="s">
        <v>25</v>
      </c>
      <c r="D820" s="131" t="s">
        <v>5</v>
      </c>
      <c r="K820" s="262"/>
    </row>
    <row r="821" spans="2:11">
      <c r="B821" s="171" t="s">
        <v>40</v>
      </c>
      <c r="C821" s="194">
        <v>10073.739</v>
      </c>
      <c r="D821" s="197">
        <f>C821*$J$783</f>
        <v>538.55862068965519</v>
      </c>
      <c r="K821" s="262"/>
    </row>
    <row r="822" spans="2:11">
      <c r="B822" s="171" t="s">
        <v>41</v>
      </c>
      <c r="C822" s="194">
        <v>1883.8230000000001</v>
      </c>
      <c r="D822" s="197">
        <f>C822*$J$783</f>
        <v>100.71226944667202</v>
      </c>
    </row>
    <row r="823" spans="2:11">
      <c r="B823" s="171" t="s">
        <v>42</v>
      </c>
      <c r="C823" s="194">
        <v>827.38599999999997</v>
      </c>
      <c r="D823" s="197">
        <f>C823*$J$783</f>
        <v>44.233413525795243</v>
      </c>
    </row>
    <row r="824" spans="2:11">
      <c r="B824" s="171" t="s">
        <v>43</v>
      </c>
      <c r="C824" s="194">
        <v>10085.522999999999</v>
      </c>
      <c r="D824" s="197">
        <f>C824*$J$783</f>
        <v>539.18861267040904</v>
      </c>
    </row>
    <row r="825" spans="2:11">
      <c r="B825" s="171" t="s">
        <v>44</v>
      </c>
      <c r="C825" s="195" t="s">
        <v>101</v>
      </c>
      <c r="D825" s="197"/>
    </row>
    <row r="826" spans="2:11">
      <c r="B826" s="172" t="s">
        <v>45</v>
      </c>
      <c r="C826" s="195" t="s">
        <v>101</v>
      </c>
      <c r="D826" s="197"/>
    </row>
    <row r="827" spans="2:11" ht="13.5" thickBot="1">
      <c r="B827" s="173" t="s">
        <v>46</v>
      </c>
      <c r="C827" s="196">
        <f>SUM(C821:C826)</f>
        <v>22870.470999999998</v>
      </c>
      <c r="D827" s="198">
        <f>SUM(D821:D826)</f>
        <v>1222.6929163325317</v>
      </c>
    </row>
    <row r="828" spans="2:11">
      <c r="B828" s="258" t="s">
        <v>23</v>
      </c>
      <c r="C828" s="264">
        <f>C827-C809+C788+C791+1345.007</f>
        <v>0</v>
      </c>
    </row>
    <row r="829" spans="2:11" ht="13.5" thickBot="1">
      <c r="B829" s="258"/>
    </row>
    <row r="830" spans="2:11">
      <c r="B830" s="79" t="s">
        <v>59</v>
      </c>
      <c r="C830" s="148" t="s">
        <v>25</v>
      </c>
      <c r="D830" s="131" t="s">
        <v>5</v>
      </c>
    </row>
    <row r="831" spans="2:11">
      <c r="B831" s="132" t="s">
        <v>40</v>
      </c>
      <c r="C831" s="194">
        <v>13.821</v>
      </c>
      <c r="D831" s="197">
        <f>C831*J783</f>
        <v>0.73889334402566165</v>
      </c>
    </row>
    <row r="832" spans="2:11">
      <c r="B832" s="132" t="s">
        <v>41</v>
      </c>
      <c r="C832" s="194">
        <v>0</v>
      </c>
      <c r="D832" s="197">
        <f t="shared" ref="D832:D834" si="2">C832*J784</f>
        <v>0</v>
      </c>
    </row>
    <row r="833" spans="1:10">
      <c r="B833" s="132" t="s">
        <v>42</v>
      </c>
      <c r="C833" s="194">
        <v>0</v>
      </c>
      <c r="D833" s="197">
        <f t="shared" si="2"/>
        <v>0</v>
      </c>
    </row>
    <row r="834" spans="1:10">
      <c r="B834" s="132" t="s">
        <v>43</v>
      </c>
      <c r="C834" s="194">
        <v>0</v>
      </c>
      <c r="D834" s="197">
        <f t="shared" si="2"/>
        <v>0</v>
      </c>
    </row>
    <row r="835" spans="1:10" ht="13.5" thickBot="1">
      <c r="B835" s="174" t="s">
        <v>46</v>
      </c>
      <c r="C835" s="199">
        <f>SUM(C831:C834)</f>
        <v>13.821</v>
      </c>
      <c r="D835" s="200">
        <f>SUM(D831:D834)</f>
        <v>0.73889334402566165</v>
      </c>
    </row>
    <row r="836" spans="1:10">
      <c r="B836" s="258" t="s">
        <v>23</v>
      </c>
      <c r="C836" s="265">
        <f>C835-C788-C791</f>
        <v>0</v>
      </c>
    </row>
    <row r="842" spans="1:10">
      <c r="A842" s="245" t="s">
        <v>125</v>
      </c>
      <c r="I842" s="75" t="s">
        <v>126</v>
      </c>
      <c r="J842" s="246">
        <f>Model!AI215</f>
        <v>6.0107713021734947E-2</v>
      </c>
    </row>
    <row r="843" spans="1:10">
      <c r="I843" s="76" t="s">
        <v>127</v>
      </c>
      <c r="J843" s="246">
        <f>Model!AI216</f>
        <v>8.6486633569871893E-2</v>
      </c>
    </row>
    <row r="844" spans="1:10">
      <c r="B844" s="108" t="s">
        <v>128</v>
      </c>
      <c r="C844" s="109" t="s">
        <v>25</v>
      </c>
      <c r="D844" s="109" t="s">
        <v>5</v>
      </c>
      <c r="E844" s="141" t="s">
        <v>57</v>
      </c>
      <c r="F844" s="110" t="s">
        <v>7</v>
      </c>
    </row>
    <row r="845" spans="1:10">
      <c r="B845" s="124" t="s">
        <v>10</v>
      </c>
      <c r="C845" s="193">
        <f>SUM(C846:C847)</f>
        <v>10678.21</v>
      </c>
      <c r="D845" s="193">
        <f>SUM(D846:D847)</f>
        <v>641.84278226582035</v>
      </c>
    </row>
    <row r="846" spans="1:10">
      <c r="B846" s="111" t="s">
        <v>12</v>
      </c>
      <c r="C846" s="204">
        <f>1277.648+8656.566+723.935</f>
        <v>10658.148999999999</v>
      </c>
      <c r="D846" s="205">
        <f>C846*$J$842</f>
        <v>640.6369614348913</v>
      </c>
    </row>
    <row r="847" spans="1:10">
      <c r="B847" s="78" t="s">
        <v>13</v>
      </c>
      <c r="C847" s="204">
        <v>20.061</v>
      </c>
      <c r="D847" s="205">
        <f>C847*$J$842</f>
        <v>1.2058208309290248</v>
      </c>
    </row>
    <row r="848" spans="1:10">
      <c r="B848" s="124" t="s">
        <v>14</v>
      </c>
      <c r="C848" s="193">
        <f>SUM(C849:C850)</f>
        <v>11412.432000000001</v>
      </c>
      <c r="D848" s="193">
        <f>SUM(D849:D850)</f>
        <v>685.9751875360646</v>
      </c>
    </row>
    <row r="849" spans="2:10">
      <c r="B849" s="111" t="s">
        <v>12</v>
      </c>
      <c r="C849" s="204">
        <f>1211.906+10200.526</f>
        <v>11412.432000000001</v>
      </c>
      <c r="D849" s="205">
        <f>C849*$J$842</f>
        <v>685.9751875360646</v>
      </c>
    </row>
    <row r="850" spans="2:10">
      <c r="B850" s="78" t="s">
        <v>13</v>
      </c>
      <c r="C850" s="204">
        <v>0</v>
      </c>
      <c r="D850" s="205">
        <f>C850*$J$842</f>
        <v>0</v>
      </c>
    </row>
    <row r="851" spans="2:10">
      <c r="B851" s="116" t="s">
        <v>15</v>
      </c>
      <c r="C851" s="206">
        <f>C845+C848</f>
        <v>22090.642</v>
      </c>
      <c r="D851" s="206">
        <f>D845+D848</f>
        <v>1327.8179698018848</v>
      </c>
      <c r="E851" s="190">
        <f>C851/C858</f>
        <v>5.6668608581106987</v>
      </c>
      <c r="F851" s="190">
        <f>D851/D858</f>
        <v>3.9384357112042587</v>
      </c>
    </row>
    <row r="852" spans="2:10">
      <c r="B852" s="78" t="s">
        <v>16</v>
      </c>
      <c r="C852" s="207">
        <f>Model!AI125</f>
        <v>3324.0520000000001</v>
      </c>
      <c r="D852" s="207">
        <f>C852*J842</f>
        <v>199.8011636853241</v>
      </c>
      <c r="E852" s="191"/>
      <c r="F852" s="191"/>
    </row>
    <row r="853" spans="2:10">
      <c r="B853" s="116" t="s">
        <v>17</v>
      </c>
      <c r="C853" s="208">
        <f>C851-C852</f>
        <v>18766.59</v>
      </c>
      <c r="D853" s="208">
        <f>D851-D852</f>
        <v>1128.0168061165607</v>
      </c>
      <c r="E853" s="192">
        <f>C853/C858</f>
        <v>4.8141495530646718</v>
      </c>
      <c r="F853" s="192">
        <f>D853/D858</f>
        <v>3.3458062573975318</v>
      </c>
    </row>
    <row r="854" spans="2:10">
      <c r="B854" s="78" t="s">
        <v>18</v>
      </c>
      <c r="C854" s="207">
        <f>Model!AI126</f>
        <v>6366.1260000000002</v>
      </c>
      <c r="D854" s="207">
        <f>C854*J842</f>
        <v>382.65327466820543</v>
      </c>
      <c r="E854" s="191"/>
      <c r="F854" s="191"/>
    </row>
    <row r="855" spans="2:10">
      <c r="B855" s="116" t="s">
        <v>19</v>
      </c>
      <c r="C855" s="208">
        <f>C853-C854</f>
        <v>12400.464</v>
      </c>
      <c r="D855" s="208">
        <f>D853-D854</f>
        <v>745.36353144835527</v>
      </c>
      <c r="E855" s="192">
        <f>C855/C858</f>
        <v>3.1810621015003018</v>
      </c>
      <c r="F855" s="192">
        <f>D855/D858</f>
        <v>2.2108198690243044</v>
      </c>
    </row>
    <row r="856" spans="2:10">
      <c r="B856" s="75" t="s">
        <v>20</v>
      </c>
      <c r="C856" s="193">
        <f>Model!AI133</f>
        <v>4233.107</v>
      </c>
      <c r="D856" s="205"/>
    </row>
    <row r="857" spans="2:10">
      <c r="B857" s="75" t="s">
        <v>21</v>
      </c>
      <c r="C857" s="193">
        <f>C853+C856</f>
        <v>22999.697</v>
      </c>
      <c r="D857" s="205"/>
    </row>
    <row r="858" spans="2:10">
      <c r="B858" s="78" t="s">
        <v>22</v>
      </c>
      <c r="C858" s="205">
        <f>Model!AI90</f>
        <v>3898.2150000000001</v>
      </c>
      <c r="D858" s="205">
        <f>C858*J843</f>
        <v>337.14349228157818</v>
      </c>
    </row>
    <row r="859" spans="2:10">
      <c r="B859" s="258" t="s">
        <v>23</v>
      </c>
      <c r="C859" s="259">
        <f>+C851-Model!AI123</f>
        <v>20.061000000001513</v>
      </c>
    </row>
    <row r="860" spans="2:10" ht="13.5" thickBot="1"/>
    <row r="861" spans="2:10">
      <c r="B861" s="79" t="s">
        <v>75</v>
      </c>
      <c r="C861" s="151" t="s">
        <v>25</v>
      </c>
      <c r="D861" s="80" t="s">
        <v>5</v>
      </c>
      <c r="I861" s="79" t="s">
        <v>75</v>
      </c>
      <c r="J861" s="80" t="s">
        <v>76</v>
      </c>
    </row>
    <row r="862" spans="2:10">
      <c r="B862" s="143" t="s">
        <v>33</v>
      </c>
      <c r="C862" s="203">
        <f>SUM(C863:C864)</f>
        <v>20.061</v>
      </c>
      <c r="D862" s="201">
        <f>SUM(D863:D864)</f>
        <v>1.2058208309290248</v>
      </c>
      <c r="I862" s="143" t="s">
        <v>33</v>
      </c>
      <c r="J862" s="266">
        <f>C862/C868</f>
        <v>9.0812209079301539E-4</v>
      </c>
    </row>
    <row r="863" spans="2:10">
      <c r="B863" s="142" t="s">
        <v>34</v>
      </c>
      <c r="C863" s="202">
        <v>20.061</v>
      </c>
      <c r="D863" s="197">
        <f>C863*$J$842</f>
        <v>1.2058208309290248</v>
      </c>
      <c r="I863" s="143" t="s">
        <v>36</v>
      </c>
      <c r="J863" s="266">
        <f>C865/C868</f>
        <v>0.99909187790920695</v>
      </c>
    </row>
    <row r="864" spans="2:10" ht="13.5" thickBot="1">
      <c r="B864" s="142" t="s">
        <v>35</v>
      </c>
      <c r="C864" s="202">
        <v>0</v>
      </c>
      <c r="D864" s="197">
        <f>C864*$J$842</f>
        <v>0</v>
      </c>
      <c r="I864" s="83" t="s">
        <v>37</v>
      </c>
      <c r="J864" s="267">
        <f>SUM(J862:J863)</f>
        <v>1</v>
      </c>
    </row>
    <row r="865" spans="2:11">
      <c r="B865" s="143" t="s">
        <v>36</v>
      </c>
      <c r="C865" s="203">
        <f>SUM(C866:C867)</f>
        <v>22070.580999999998</v>
      </c>
      <c r="D865" s="201">
        <f>SUM(D866:D867)</f>
        <v>1326.6121489709558</v>
      </c>
    </row>
    <row r="866" spans="2:11">
      <c r="B866" s="142" t="s">
        <v>34</v>
      </c>
      <c r="C866" s="194">
        <f>10678.21-C863</f>
        <v>10658.148999999999</v>
      </c>
      <c r="D866" s="197">
        <f t="shared" ref="D866:D867" si="3">C866*$J$842</f>
        <v>640.6369614348913</v>
      </c>
    </row>
    <row r="867" spans="2:11">
      <c r="B867" s="142" t="s">
        <v>35</v>
      </c>
      <c r="C867" s="194">
        <f>11412.432-C864</f>
        <v>11412.432000000001</v>
      </c>
      <c r="D867" s="197">
        <f t="shared" si="3"/>
        <v>685.9751875360646</v>
      </c>
    </row>
    <row r="868" spans="2:11" ht="13.5" thickBot="1">
      <c r="B868" s="83" t="s">
        <v>37</v>
      </c>
      <c r="C868" s="199">
        <f>SUM(C862+C865)</f>
        <v>22090.642</v>
      </c>
      <c r="D868" s="200">
        <f>SUM(D862+D865)</f>
        <v>1327.8179698018848</v>
      </c>
    </row>
    <row r="869" spans="2:11">
      <c r="B869" s="258" t="s">
        <v>23</v>
      </c>
      <c r="C869" s="263">
        <f>C868-C851</f>
        <v>0</v>
      </c>
    </row>
    <row r="870" spans="2:11" ht="13.5" thickBot="1">
      <c r="B870" s="258"/>
    </row>
    <row r="871" spans="2:11">
      <c r="B871" s="79" t="s">
        <v>24</v>
      </c>
      <c r="C871" s="151" t="s">
        <v>25</v>
      </c>
      <c r="D871" s="80" t="s">
        <v>5</v>
      </c>
    </row>
    <row r="872" spans="2:11">
      <c r="B872" s="81" t="s">
        <v>26</v>
      </c>
      <c r="C872" s="194">
        <v>0.40699999999999997</v>
      </c>
      <c r="D872" s="197">
        <f t="shared" ref="D872:D875" si="4">C872*$J$842</f>
        <v>2.4463839199846123E-2</v>
      </c>
    </row>
    <row r="873" spans="2:11">
      <c r="B873" s="81" t="s">
        <v>27</v>
      </c>
      <c r="C873" s="194">
        <v>1760.4580000000001</v>
      </c>
      <c r="D873" s="197">
        <f t="shared" si="4"/>
        <v>105.81710425081747</v>
      </c>
    </row>
    <row r="874" spans="2:11">
      <c r="B874" s="81" t="s">
        <v>28</v>
      </c>
      <c r="C874" s="194">
        <v>1579.29</v>
      </c>
      <c r="D874" s="197">
        <f t="shared" si="4"/>
        <v>94.92751009809578</v>
      </c>
    </row>
    <row r="875" spans="2:11">
      <c r="B875" s="81" t="s">
        <v>29</v>
      </c>
      <c r="C875" s="194">
        <v>-16.103000000000002</v>
      </c>
      <c r="D875" s="197">
        <f t="shared" si="4"/>
        <v>-0.96791450278899793</v>
      </c>
    </row>
    <row r="876" spans="2:11" ht="13.5" thickBot="1">
      <c r="B876" s="83" t="s">
        <v>30</v>
      </c>
      <c r="C876" s="199">
        <f>SUM(C872:C875)</f>
        <v>3324.0519999999997</v>
      </c>
      <c r="D876" s="200">
        <f>SUM(D872:D875)</f>
        <v>199.8011636853241</v>
      </c>
    </row>
    <row r="877" spans="2:11">
      <c r="B877" s="258" t="s">
        <v>23</v>
      </c>
      <c r="C877" s="264">
        <f>C876-C852</f>
        <v>0</v>
      </c>
    </row>
    <row r="878" spans="2:11" ht="13.5" thickBot="1">
      <c r="B878" s="258"/>
      <c r="K878" s="262"/>
    </row>
    <row r="879" spans="2:11">
      <c r="B879" s="170" t="s">
        <v>77</v>
      </c>
      <c r="C879" s="148" t="s">
        <v>25</v>
      </c>
      <c r="D879" s="131" t="s">
        <v>5</v>
      </c>
      <c r="K879" s="262"/>
    </row>
    <row r="880" spans="2:11">
      <c r="B880" s="171" t="s">
        <v>40</v>
      </c>
      <c r="C880" s="194">
        <v>9380.5010000000002</v>
      </c>
      <c r="D880" s="197">
        <f t="shared" ref="D880:D883" si="5">C880*$J$842</f>
        <v>563.84046210809765</v>
      </c>
      <c r="K880" s="262"/>
    </row>
    <row r="881" spans="2:4">
      <c r="B881" s="171" t="s">
        <v>41</v>
      </c>
      <c r="C881" s="194">
        <v>1722.5619999999999</v>
      </c>
      <c r="D881" s="197">
        <f t="shared" si="5"/>
        <v>103.53926235814579</v>
      </c>
    </row>
    <row r="882" spans="2:4">
      <c r="B882" s="171" t="s">
        <v>42</v>
      </c>
      <c r="C882" s="194">
        <v>738.69200000000001</v>
      </c>
      <c r="D882" s="197">
        <f t="shared" si="5"/>
        <v>44.40108674745143</v>
      </c>
    </row>
    <row r="883" spans="2:4">
      <c r="B883" s="171" t="s">
        <v>43</v>
      </c>
      <c r="C883" s="194">
        <v>8951.1779999999999</v>
      </c>
      <c r="D883" s="197">
        <f t="shared" si="5"/>
        <v>538.0348384304674</v>
      </c>
    </row>
    <row r="884" spans="2:4">
      <c r="B884" s="171" t="s">
        <v>44</v>
      </c>
      <c r="C884" s="195" t="s">
        <v>101</v>
      </c>
      <c r="D884" s="197"/>
    </row>
    <row r="885" spans="2:4">
      <c r="B885" s="172" t="s">
        <v>45</v>
      </c>
      <c r="C885" s="195" t="s">
        <v>101</v>
      </c>
      <c r="D885" s="197"/>
    </row>
    <row r="886" spans="2:4" ht="13.5" thickBot="1">
      <c r="B886" s="173" t="s">
        <v>46</v>
      </c>
      <c r="C886" s="196">
        <f>SUM(C880:C885)</f>
        <v>20792.933000000001</v>
      </c>
      <c r="D886" s="198">
        <f>SUM(D880:D885)</f>
        <v>1249.8156496441625</v>
      </c>
    </row>
    <row r="887" spans="2:4">
      <c r="B887" s="258" t="s">
        <v>23</v>
      </c>
      <c r="C887" s="264">
        <f>C886-C868+C847+C850+1277.648</f>
        <v>0</v>
      </c>
    </row>
    <row r="888" spans="2:4" ht="13.5" thickBot="1">
      <c r="B888" s="258"/>
    </row>
    <row r="889" spans="2:4">
      <c r="B889" s="79" t="s">
        <v>59</v>
      </c>
      <c r="C889" s="148" t="s">
        <v>25</v>
      </c>
      <c r="D889" s="131" t="s">
        <v>5</v>
      </c>
    </row>
    <row r="890" spans="2:4">
      <c r="B890" s="132" t="s">
        <v>40</v>
      </c>
      <c r="C890" s="194">
        <v>20.061</v>
      </c>
      <c r="D890" s="197">
        <f>C890*J842</f>
        <v>1.2058208309290248</v>
      </c>
    </row>
    <row r="891" spans="2:4">
      <c r="B891" s="132" t="s">
        <v>41</v>
      </c>
      <c r="C891" s="194">
        <v>0</v>
      </c>
      <c r="D891" s="197">
        <f t="shared" ref="D891:D893" si="6">C891*J843</f>
        <v>0</v>
      </c>
    </row>
    <row r="892" spans="2:4">
      <c r="B892" s="132" t="s">
        <v>42</v>
      </c>
      <c r="C892" s="194">
        <v>0</v>
      </c>
      <c r="D892" s="197">
        <f t="shared" si="6"/>
        <v>0</v>
      </c>
    </row>
    <row r="893" spans="2:4">
      <c r="B893" s="132" t="s">
        <v>43</v>
      </c>
      <c r="C893" s="194">
        <v>0</v>
      </c>
      <c r="D893" s="197">
        <f t="shared" si="6"/>
        <v>0</v>
      </c>
    </row>
    <row r="894" spans="2:4" ht="13.5" thickBot="1">
      <c r="B894" s="174" t="s">
        <v>46</v>
      </c>
      <c r="C894" s="199">
        <f>SUM(C890:C893)</f>
        <v>20.061</v>
      </c>
      <c r="D894" s="200">
        <f>SUM(D890:D893)</f>
        <v>1.2058208309290248</v>
      </c>
    </row>
    <row r="895" spans="2:4">
      <c r="B895" s="258" t="s">
        <v>23</v>
      </c>
      <c r="C895" s="265">
        <f>C894-C847-C850</f>
        <v>0</v>
      </c>
    </row>
    <row r="901" spans="1:10">
      <c r="A901" s="245" t="s">
        <v>129</v>
      </c>
      <c r="I901" s="75" t="s">
        <v>130</v>
      </c>
      <c r="J901" s="246">
        <f>Model!AH215</f>
        <v>6.8166325835037497E-2</v>
      </c>
    </row>
    <row r="902" spans="1:10">
      <c r="I902" s="76" t="s">
        <v>131</v>
      </c>
      <c r="J902" s="246">
        <f>Model!AH216</f>
        <v>0.10039276992745037</v>
      </c>
    </row>
    <row r="903" spans="1:10">
      <c r="B903" s="108" t="s">
        <v>132</v>
      </c>
      <c r="C903" s="109" t="s">
        <v>25</v>
      </c>
      <c r="D903" s="109" t="s">
        <v>5</v>
      </c>
      <c r="E903" s="141" t="s">
        <v>57</v>
      </c>
      <c r="F903" s="110" t="s">
        <v>7</v>
      </c>
    </row>
    <row r="904" spans="1:10">
      <c r="B904" s="124" t="s">
        <v>10</v>
      </c>
      <c r="C904" s="156">
        <f>SUM(C905:C906)</f>
        <v>3004.645</v>
      </c>
      <c r="D904" s="157">
        <f>SUM(D905:D906)</f>
        <v>204.81561008861624</v>
      </c>
    </row>
    <row r="905" spans="1:10">
      <c r="B905" s="111" t="s">
        <v>12</v>
      </c>
      <c r="C905" s="22">
        <f>707.289+1624.323+647.136</f>
        <v>2978.748</v>
      </c>
      <c r="D905" s="159">
        <f>C905*$J$901</f>
        <v>203.05030674846628</v>
      </c>
    </row>
    <row r="906" spans="1:10">
      <c r="B906" s="78" t="s">
        <v>13</v>
      </c>
      <c r="C906" s="22">
        <f>25.897</f>
        <v>25.896999999999998</v>
      </c>
      <c r="D906" s="159">
        <f>C906*$J$901</f>
        <v>1.765303340149966</v>
      </c>
    </row>
    <row r="907" spans="1:10">
      <c r="B907" s="124" t="s">
        <v>14</v>
      </c>
      <c r="C907" s="156">
        <f>SUM(C908:C909)</f>
        <v>16865.506999999998</v>
      </c>
      <c r="D907" s="157">
        <f>SUM(D908:D909)</f>
        <v>1149.6596455351057</v>
      </c>
    </row>
    <row r="908" spans="1:10">
      <c r="B908" s="111" t="s">
        <v>12</v>
      </c>
      <c r="C908" s="22">
        <f>7751.662+9113.845</f>
        <v>16865.506999999998</v>
      </c>
      <c r="D908" s="159">
        <f>C908*$J$901</f>
        <v>1149.6596455351057</v>
      </c>
    </row>
    <row r="909" spans="1:10">
      <c r="B909" s="78" t="s">
        <v>13</v>
      </c>
      <c r="C909" s="22">
        <v>0</v>
      </c>
      <c r="D909" s="159">
        <f>C909*$J$901</f>
        <v>0</v>
      </c>
    </row>
    <row r="910" spans="1:10">
      <c r="B910" s="116" t="s">
        <v>15</v>
      </c>
      <c r="C910" s="160">
        <f>C904+C907</f>
        <v>19870.151999999998</v>
      </c>
      <c r="D910" s="160">
        <f>D904+D907</f>
        <v>1354.475255623722</v>
      </c>
      <c r="E910" s="190">
        <f>C910/C917</f>
        <v>6.3778741138610329</v>
      </c>
      <c r="F910" s="190">
        <f>D910/D917</f>
        <v>4.3305533385968156</v>
      </c>
    </row>
    <row r="911" spans="1:10">
      <c r="B911" s="78" t="s">
        <v>16</v>
      </c>
      <c r="C911" s="161">
        <f>Model!AH125</f>
        <v>2985.1129999999998</v>
      </c>
      <c r="D911" s="161">
        <f>C911*J901</f>
        <v>203.48418541240628</v>
      </c>
      <c r="E911" s="191"/>
      <c r="F911" s="191"/>
    </row>
    <row r="912" spans="1:10">
      <c r="B912" s="116" t="s">
        <v>17</v>
      </c>
      <c r="C912" s="162">
        <f>C910-C911</f>
        <v>16885.038999999997</v>
      </c>
      <c r="D912" s="162">
        <f>D910-D911</f>
        <v>1150.9910702113157</v>
      </c>
      <c r="E912" s="192">
        <f>C912/C917</f>
        <v>5.4197196453068894</v>
      </c>
      <c r="F912" s="192">
        <f>D912/D917</f>
        <v>3.679969937511673</v>
      </c>
    </row>
    <row r="913" spans="2:10">
      <c r="B913" s="78" t="s">
        <v>18</v>
      </c>
      <c r="C913" s="161">
        <f>Model!AH126</f>
        <v>6345.1080000000002</v>
      </c>
      <c r="D913" s="161">
        <f>C913*J901</f>
        <v>432.52269938650312</v>
      </c>
      <c r="E913" s="191"/>
      <c r="F913" s="191"/>
    </row>
    <row r="914" spans="2:10">
      <c r="B914" s="116" t="s">
        <v>19</v>
      </c>
      <c r="C914" s="162">
        <f>C912-C913</f>
        <v>10539.930999999997</v>
      </c>
      <c r="D914" s="162">
        <f>D912-D913</f>
        <v>718.46837082481261</v>
      </c>
      <c r="E914" s="192">
        <f>C914/C917</f>
        <v>3.3830819757584853</v>
      </c>
      <c r="F914" s="192">
        <f>D914/D917</f>
        <v>2.2971003634310438</v>
      </c>
    </row>
    <row r="915" spans="2:10">
      <c r="B915" s="75" t="s">
        <v>20</v>
      </c>
      <c r="C915" s="157">
        <f>Model!AH133</f>
        <v>4094.808</v>
      </c>
    </row>
    <row r="916" spans="2:10">
      <c r="B916" s="75" t="s">
        <v>21</v>
      </c>
      <c r="C916" s="156">
        <f>C912+C915</f>
        <v>20979.846999999998</v>
      </c>
    </row>
    <row r="917" spans="2:10">
      <c r="B917" s="78" t="s">
        <v>22</v>
      </c>
      <c r="C917" s="159">
        <f>Model!AH90</f>
        <v>3115.482</v>
      </c>
      <c r="D917" s="159">
        <f>C917*J902</f>
        <v>312.77186763911294</v>
      </c>
    </row>
    <row r="918" spans="2:10">
      <c r="B918" s="258" t="s">
        <v>23</v>
      </c>
      <c r="C918" s="259">
        <f>+C910-Model!AH123</f>
        <v>25.897000000000844</v>
      </c>
    </row>
    <row r="919" spans="2:10" ht="13.5" thickBot="1"/>
    <row r="920" spans="2:10">
      <c r="B920" s="79" t="s">
        <v>75</v>
      </c>
      <c r="C920" s="151" t="s">
        <v>25</v>
      </c>
      <c r="D920" s="80" t="s">
        <v>5</v>
      </c>
      <c r="I920" s="79" t="s">
        <v>75</v>
      </c>
      <c r="J920" s="80" t="s">
        <v>76</v>
      </c>
    </row>
    <row r="921" spans="2:10">
      <c r="B921" s="143" t="s">
        <v>33</v>
      </c>
      <c r="C921" s="165">
        <f>SUM(C922:C923)</f>
        <v>25.896999999999998</v>
      </c>
      <c r="D921" s="163">
        <f>SUM(D922:D923)</f>
        <v>1.765303340149966</v>
      </c>
      <c r="I921" s="143" t="s">
        <v>33</v>
      </c>
      <c r="J921" s="266">
        <f>C921/C927</f>
        <v>1.3033116203640513E-3</v>
      </c>
    </row>
    <row r="922" spans="2:10">
      <c r="B922" s="142" t="s">
        <v>34</v>
      </c>
      <c r="C922" s="153">
        <v>25.896999999999998</v>
      </c>
      <c r="D922" s="164">
        <f>C922*$J$901</f>
        <v>1.765303340149966</v>
      </c>
      <c r="I922" s="143" t="s">
        <v>36</v>
      </c>
      <c r="J922" s="266">
        <f>C924/C927</f>
        <v>0.99869668837963588</v>
      </c>
    </row>
    <row r="923" spans="2:10" ht="13.5" thickBot="1">
      <c r="B923" s="142" t="s">
        <v>35</v>
      </c>
      <c r="C923" s="153">
        <v>0</v>
      </c>
      <c r="D923" s="164">
        <f>C923*$J$901</f>
        <v>0</v>
      </c>
      <c r="I923" s="83" t="s">
        <v>37</v>
      </c>
      <c r="J923" s="267">
        <f>SUM(J921:J922)</f>
        <v>0.99999999999999989</v>
      </c>
    </row>
    <row r="924" spans="2:10">
      <c r="B924" s="143" t="s">
        <v>36</v>
      </c>
      <c r="C924" s="165">
        <f>SUM(C925:C926)</f>
        <v>19844.255000000001</v>
      </c>
      <c r="D924" s="163">
        <f>SUM(D925:D926)</f>
        <v>1352.7099522835722</v>
      </c>
    </row>
    <row r="925" spans="2:10">
      <c r="B925" s="142" t="s">
        <v>34</v>
      </c>
      <c r="C925" s="166">
        <f>3004.645-C922</f>
        <v>2978.748</v>
      </c>
      <c r="D925" s="164">
        <f>C925*$J$901</f>
        <v>203.05030674846628</v>
      </c>
    </row>
    <row r="926" spans="2:10">
      <c r="B926" s="142" t="s">
        <v>35</v>
      </c>
      <c r="C926" s="166">
        <f>16865.507-C923</f>
        <v>16865.507000000001</v>
      </c>
      <c r="D926" s="164">
        <f>C926*$J$901</f>
        <v>1149.6596455351059</v>
      </c>
    </row>
    <row r="927" spans="2:10" ht="13.5" thickBot="1">
      <c r="B927" s="83" t="s">
        <v>37</v>
      </c>
      <c r="C927" s="167">
        <f>SUM(C921+C924)</f>
        <v>19870.152000000002</v>
      </c>
      <c r="D927" s="168">
        <f>SUM(D921+D924)</f>
        <v>1354.4752556237222</v>
      </c>
    </row>
    <row r="928" spans="2:10">
      <c r="B928" s="258" t="s">
        <v>23</v>
      </c>
      <c r="C928" s="263">
        <f>C927-C910</f>
        <v>0</v>
      </c>
    </row>
    <row r="929" spans="2:11" ht="13.5" thickBot="1">
      <c r="B929" s="258"/>
    </row>
    <row r="930" spans="2:11">
      <c r="B930" s="79" t="s">
        <v>24</v>
      </c>
      <c r="C930" s="151" t="s">
        <v>25</v>
      </c>
      <c r="D930" s="80" t="s">
        <v>5</v>
      </c>
    </row>
    <row r="931" spans="2:11">
      <c r="B931" s="81" t="s">
        <v>26</v>
      </c>
      <c r="C931" s="169">
        <v>0.252</v>
      </c>
      <c r="D931" s="178">
        <f>C931*$J$901</f>
        <v>1.7177914110429449E-2</v>
      </c>
    </row>
    <row r="932" spans="2:11">
      <c r="B932" s="81" t="s">
        <v>27</v>
      </c>
      <c r="C932" s="169">
        <v>1838.4739999999999</v>
      </c>
      <c r="D932" s="178">
        <f t="shared" ref="D932:D934" si="7">C932*$J$901</f>
        <v>125.32201772324473</v>
      </c>
    </row>
    <row r="933" spans="2:11">
      <c r="B933" s="81" t="s">
        <v>28</v>
      </c>
      <c r="C933" s="169">
        <v>1158.7529999999999</v>
      </c>
      <c r="D933" s="178">
        <f t="shared" si="7"/>
        <v>78.987934560327204</v>
      </c>
    </row>
    <row r="934" spans="2:11">
      <c r="B934" s="81" t="s">
        <v>29</v>
      </c>
      <c r="C934" s="169">
        <v>-12.366</v>
      </c>
      <c r="D934" s="178">
        <f t="shared" si="7"/>
        <v>-0.84294478527607364</v>
      </c>
    </row>
    <row r="935" spans="2:11" ht="13.5" thickBot="1">
      <c r="B935" s="83" t="s">
        <v>30</v>
      </c>
      <c r="C935" s="180">
        <f>SUM(C931:C934)</f>
        <v>2985.1129999999998</v>
      </c>
      <c r="D935" s="181">
        <f>SUM(D931:D934)</f>
        <v>203.4841854124063</v>
      </c>
    </row>
    <row r="936" spans="2:11">
      <c r="B936" s="258" t="s">
        <v>23</v>
      </c>
      <c r="C936" s="264">
        <f>C935-C911</f>
        <v>0</v>
      </c>
      <c r="K936" s="262"/>
    </row>
    <row r="937" spans="2:11" ht="13.5" thickBot="1">
      <c r="B937" s="258"/>
      <c r="K937" s="262"/>
    </row>
    <row r="938" spans="2:11">
      <c r="B938" s="170" t="s">
        <v>77</v>
      </c>
      <c r="C938" s="148" t="s">
        <v>25</v>
      </c>
      <c r="D938" s="131" t="s">
        <v>5</v>
      </c>
      <c r="K938" s="262"/>
    </row>
    <row r="939" spans="2:11">
      <c r="B939" s="171" t="s">
        <v>40</v>
      </c>
      <c r="C939" s="176">
        <v>2271.4589999999998</v>
      </c>
      <c r="D939" s="179">
        <f>C939*$J$901</f>
        <v>154.83701431492844</v>
      </c>
    </row>
    <row r="940" spans="2:11">
      <c r="B940" s="171" t="s">
        <v>41</v>
      </c>
      <c r="C940" s="176">
        <v>7476.6229999999996</v>
      </c>
      <c r="D940" s="179">
        <f t="shared" ref="D940:D942" si="8">C940*$J$901</f>
        <v>509.65391956373554</v>
      </c>
    </row>
    <row r="941" spans="2:11">
      <c r="B941" s="171" t="s">
        <v>42</v>
      </c>
      <c r="C941" s="176">
        <v>1289.981</v>
      </c>
      <c r="D941" s="179">
        <f t="shared" si="8"/>
        <v>87.933265167007505</v>
      </c>
    </row>
    <row r="942" spans="2:11">
      <c r="B942" s="171" t="s">
        <v>43</v>
      </c>
      <c r="C942" s="176">
        <v>8098.9030000000002</v>
      </c>
      <c r="D942" s="179">
        <f t="shared" si="8"/>
        <v>552.07246080436266</v>
      </c>
    </row>
    <row r="943" spans="2:11">
      <c r="B943" s="171" t="s">
        <v>44</v>
      </c>
      <c r="C943" s="177" t="s">
        <v>101</v>
      </c>
      <c r="D943" s="179"/>
    </row>
    <row r="944" spans="2:11">
      <c r="B944" s="172" t="s">
        <v>45</v>
      </c>
      <c r="C944" s="177" t="s">
        <v>101</v>
      </c>
      <c r="D944" s="179"/>
    </row>
    <row r="945" spans="2:4" ht="13.5" thickBot="1">
      <c r="B945" s="173" t="s">
        <v>46</v>
      </c>
      <c r="C945" s="182">
        <f>SUM(C939:C944)</f>
        <v>19136.966</v>
      </c>
      <c r="D945" s="183">
        <f>SUM(D939:D944)</f>
        <v>1304.4966598500341</v>
      </c>
    </row>
    <row r="946" spans="2:4">
      <c r="B946" s="258" t="s">
        <v>23</v>
      </c>
      <c r="C946" s="264">
        <f>C945-C927+C906+C909+707.289</f>
        <v>-1.4779288903810084E-12</v>
      </c>
    </row>
    <row r="947" spans="2:4" ht="13.5" thickBot="1">
      <c r="B947" s="258"/>
    </row>
    <row r="948" spans="2:4">
      <c r="B948" s="79" t="s">
        <v>59</v>
      </c>
      <c r="C948" s="148" t="s">
        <v>25</v>
      </c>
      <c r="D948" s="131" t="s">
        <v>5</v>
      </c>
    </row>
    <row r="949" spans="2:4">
      <c r="B949" s="132" t="s">
        <v>40</v>
      </c>
      <c r="C949" s="169">
        <v>25.896999999999998</v>
      </c>
      <c r="D949" s="178">
        <f>C949*J901</f>
        <v>1.765303340149966</v>
      </c>
    </row>
    <row r="950" spans="2:4">
      <c r="B950" s="132" t="s">
        <v>41</v>
      </c>
      <c r="C950" s="175">
        <v>0</v>
      </c>
      <c r="D950" s="178">
        <f t="shared" ref="D950:D952" si="9">C950*J902</f>
        <v>0</v>
      </c>
    </row>
    <row r="951" spans="2:4">
      <c r="B951" s="132" t="s">
        <v>42</v>
      </c>
      <c r="C951" s="175">
        <v>0</v>
      </c>
      <c r="D951" s="178">
        <f t="shared" si="9"/>
        <v>0</v>
      </c>
    </row>
    <row r="952" spans="2:4">
      <c r="B952" s="132" t="s">
        <v>43</v>
      </c>
      <c r="C952" s="175">
        <v>0</v>
      </c>
      <c r="D952" s="178">
        <f t="shared" si="9"/>
        <v>0</v>
      </c>
    </row>
    <row r="953" spans="2:4" ht="13.5" thickBot="1">
      <c r="B953" s="174" t="s">
        <v>46</v>
      </c>
      <c r="C953" s="184">
        <f>SUM(C949:C952)</f>
        <v>25.896999999999998</v>
      </c>
      <c r="D953" s="185">
        <f>SUM(D949:D952)</f>
        <v>1.765303340149966</v>
      </c>
    </row>
    <row r="954" spans="2:4">
      <c r="B954" s="258" t="s">
        <v>23</v>
      </c>
      <c r="C954" s="265">
        <f>C953-C906-C909</f>
        <v>0</v>
      </c>
    </row>
    <row r="955" spans="2:4">
      <c r="B955" s="258"/>
    </row>
    <row r="956" spans="2:4">
      <c r="B956" s="258"/>
    </row>
    <row r="957" spans="2:4">
      <c r="B957" s="258"/>
    </row>
    <row r="958" spans="2:4">
      <c r="B958" s="258"/>
    </row>
    <row r="959" spans="2:4">
      <c r="B959" s="258"/>
    </row>
    <row r="960" spans="2:4">
      <c r="B960" s="258"/>
    </row>
    <row r="963" spans="1:10">
      <c r="A963" s="7" t="s">
        <v>133</v>
      </c>
      <c r="I963" s="75" t="s">
        <v>134</v>
      </c>
      <c r="J963" s="71">
        <f>Model!AG215</f>
        <v>7.5200600000000006E-2</v>
      </c>
    </row>
    <row r="964" spans="1:10">
      <c r="I964" s="76" t="s">
        <v>135</v>
      </c>
      <c r="J964" s="71">
        <f>Model!AG216</f>
        <v>0.11520253333333333</v>
      </c>
    </row>
    <row r="965" spans="1:10">
      <c r="I965" s="76"/>
      <c r="J965" s="71"/>
    </row>
    <row r="967" spans="1:10">
      <c r="B967" s="108" t="s">
        <v>136</v>
      </c>
      <c r="C967" s="109" t="s">
        <v>25</v>
      </c>
      <c r="D967" s="109" t="s">
        <v>5</v>
      </c>
      <c r="E967" s="141" t="s">
        <v>57</v>
      </c>
      <c r="F967" s="110" t="s">
        <v>7</v>
      </c>
    </row>
    <row r="968" spans="1:10">
      <c r="B968" s="124" t="s">
        <v>10</v>
      </c>
      <c r="C968" s="125">
        <f>SUM(C969:C970)</f>
        <v>2863.0490000000004</v>
      </c>
      <c r="D968" s="125">
        <f>SUM(D969:D970)</f>
        <v>215.30300262940005</v>
      </c>
      <c r="E968" s="123"/>
      <c r="F968" s="123"/>
    </row>
    <row r="969" spans="1:10">
      <c r="B969" s="111" t="s">
        <v>12</v>
      </c>
      <c r="C969" s="22">
        <f>759.909+1499.536+579.253</f>
        <v>2838.6980000000003</v>
      </c>
      <c r="D969" s="113">
        <f>C969*$J$963</f>
        <v>213.47179281880005</v>
      </c>
      <c r="E969" s="114"/>
      <c r="F969" s="114"/>
    </row>
    <row r="970" spans="1:10">
      <c r="B970" s="78" t="s">
        <v>13</v>
      </c>
      <c r="C970" s="22">
        <v>24.350999999999999</v>
      </c>
      <c r="D970" s="113">
        <f>C970*$J$963</f>
        <v>1.8312098106000001</v>
      </c>
      <c r="E970" s="114"/>
      <c r="F970" s="114"/>
    </row>
    <row r="971" spans="1:10">
      <c r="B971" s="124" t="s">
        <v>14</v>
      </c>
      <c r="C971" s="125">
        <f>SUM(C972:C973)</f>
        <v>15313.776</v>
      </c>
      <c r="D971" s="125">
        <f>SUM(D972:D973)</f>
        <v>1151.6051434655999</v>
      </c>
      <c r="E971" s="114"/>
      <c r="F971" s="114"/>
    </row>
    <row r="972" spans="1:10">
      <c r="B972" s="111" t="s">
        <v>12</v>
      </c>
      <c r="C972" s="22">
        <f>7148.942+8157.834</f>
        <v>15306.776</v>
      </c>
      <c r="D972" s="113">
        <f t="shared" ref="D972:D973" si="10">C972*$J$963</f>
        <v>1151.0787392656</v>
      </c>
      <c r="E972" s="114"/>
      <c r="F972" s="114"/>
    </row>
    <row r="973" spans="1:10">
      <c r="B973" s="78" t="s">
        <v>13</v>
      </c>
      <c r="C973" s="22">
        <v>7</v>
      </c>
      <c r="D973" s="113">
        <f t="shared" si="10"/>
        <v>0.52640419999999999</v>
      </c>
      <c r="E973" s="114"/>
      <c r="F973" s="115"/>
    </row>
    <row r="974" spans="1:10">
      <c r="B974" s="116" t="s">
        <v>15</v>
      </c>
      <c r="C974" s="117">
        <f>C968+C971</f>
        <v>18176.825000000001</v>
      </c>
      <c r="D974" s="117">
        <f>D968+D971</f>
        <v>1366.9081460949999</v>
      </c>
      <c r="E974" s="118">
        <f>C974/C981</f>
        <v>7.8067106490021523</v>
      </c>
      <c r="F974" s="118">
        <f>D974/D981</f>
        <v>5.0959758248778488</v>
      </c>
      <c r="H974" s="270"/>
    </row>
    <row r="975" spans="1:10">
      <c r="B975" s="78" t="s">
        <v>16</v>
      </c>
      <c r="C975" s="34">
        <f>Model!AG125</f>
        <v>3004.8339999999998</v>
      </c>
      <c r="D975" s="113">
        <f>C975*$J$963</f>
        <v>225.96531970040002</v>
      </c>
      <c r="E975" s="119"/>
      <c r="F975" s="119"/>
      <c r="J975" s="256"/>
    </row>
    <row r="976" spans="1:10">
      <c r="B976" s="116" t="s">
        <v>17</v>
      </c>
      <c r="C976" s="117">
        <f>C974-C975</f>
        <v>15171.991000000002</v>
      </c>
      <c r="D976" s="117">
        <f>D974-D975</f>
        <v>1140.9428263945999</v>
      </c>
      <c r="E976" s="118">
        <f>C976/C981</f>
        <v>6.5161734079667282</v>
      </c>
      <c r="F976" s="118">
        <f>D976/D981</f>
        <v>4.2535535964759692</v>
      </c>
      <c r="G976" s="271"/>
    </row>
    <row r="977" spans="2:10">
      <c r="B977" s="78" t="s">
        <v>18</v>
      </c>
      <c r="C977" s="34">
        <f>Model!AG126</f>
        <v>6414.8689999999997</v>
      </c>
      <c r="D977" s="113">
        <f>C977*$J$963</f>
        <v>482.40199772139999</v>
      </c>
      <c r="E977" s="119"/>
      <c r="F977" s="119"/>
      <c r="J977" s="256"/>
    </row>
    <row r="978" spans="2:10">
      <c r="B978" s="116" t="s">
        <v>19</v>
      </c>
      <c r="C978" s="117">
        <f>C976-C977</f>
        <v>8757.122000000003</v>
      </c>
      <c r="D978" s="117">
        <f>D976-D977</f>
        <v>658.54082867319994</v>
      </c>
      <c r="E978" s="118">
        <f>C978/C981</f>
        <v>3.7610703504055873</v>
      </c>
      <c r="F978" s="118">
        <f>D978/D981</f>
        <v>2.4551087446518278</v>
      </c>
      <c r="G978" s="271"/>
    </row>
    <row r="979" spans="2:10">
      <c r="B979" s="75" t="s">
        <v>20</v>
      </c>
      <c r="C979" s="120">
        <f>+Model!AG133</f>
        <v>4313.902</v>
      </c>
      <c r="D979" s="78"/>
      <c r="E979" s="121"/>
      <c r="F979" s="78"/>
    </row>
    <row r="980" spans="2:10">
      <c r="B980" s="75" t="s">
        <v>21</v>
      </c>
      <c r="C980" s="120">
        <f>C976+C979</f>
        <v>19485.893000000004</v>
      </c>
      <c r="D980" s="122"/>
      <c r="E980" s="121"/>
      <c r="F980" s="78"/>
    </row>
    <row r="981" spans="2:10">
      <c r="B981" s="78" t="s">
        <v>22</v>
      </c>
      <c r="C981" s="23">
        <f>Model!AG90</f>
        <v>2328.3589999999999</v>
      </c>
      <c r="D981" s="23">
        <f>C981*J964</f>
        <v>268.23285530946663</v>
      </c>
      <c r="E981" s="78"/>
      <c r="F981" s="78"/>
      <c r="I981" s="262"/>
      <c r="J981" s="262"/>
    </row>
    <row r="982" spans="2:10">
      <c r="B982" s="258" t="s">
        <v>23</v>
      </c>
      <c r="C982" s="272">
        <f>+C974-Model!AG123</f>
        <v>6760.8950000000004</v>
      </c>
      <c r="D982" s="273"/>
      <c r="E982" s="77"/>
      <c r="F982" s="78"/>
    </row>
    <row r="983" spans="2:10" ht="13.5" thickBot="1"/>
    <row r="984" spans="2:10">
      <c r="B984" s="79" t="s">
        <v>75</v>
      </c>
      <c r="C984" s="151" t="s">
        <v>25</v>
      </c>
      <c r="D984" s="80" t="s">
        <v>5</v>
      </c>
      <c r="I984" s="79" t="s">
        <v>75</v>
      </c>
      <c r="J984" s="80" t="s">
        <v>76</v>
      </c>
    </row>
    <row r="985" spans="2:10">
      <c r="B985" s="143" t="s">
        <v>33</v>
      </c>
      <c r="C985" s="152">
        <f>SUM(C986:C987)</f>
        <v>31.350999999999999</v>
      </c>
      <c r="D985" s="144">
        <f>SUM(D986:D987)</f>
        <v>2.3576140105999999</v>
      </c>
      <c r="I985" s="143" t="s">
        <v>33</v>
      </c>
      <c r="J985" s="155">
        <f>C985/C991</f>
        <v>1.7247786673415188E-3</v>
      </c>
    </row>
    <row r="986" spans="2:10">
      <c r="B986" s="142" t="s">
        <v>34</v>
      </c>
      <c r="C986" s="153">
        <v>24.350999999999999</v>
      </c>
      <c r="D986" s="82">
        <f>+C986*$J$963</f>
        <v>1.8312098106000001</v>
      </c>
      <c r="I986" s="143" t="s">
        <v>36</v>
      </c>
      <c r="J986" s="155">
        <f>C988/C991</f>
        <v>0.99827522133265856</v>
      </c>
    </row>
    <row r="987" spans="2:10" ht="13.5" thickBot="1">
      <c r="B987" s="142" t="s">
        <v>35</v>
      </c>
      <c r="C987" s="153">
        <v>7</v>
      </c>
      <c r="D987" s="82">
        <f>+C987*$J$963</f>
        <v>0.52640419999999999</v>
      </c>
      <c r="I987" s="83" t="s">
        <v>37</v>
      </c>
      <c r="J987" s="129">
        <f>+J985+J986</f>
        <v>1</v>
      </c>
    </row>
    <row r="988" spans="2:10">
      <c r="B988" s="143" t="s">
        <v>36</v>
      </c>
      <c r="C988" s="152">
        <f>SUM(C989:C990)</f>
        <v>18145.473999999998</v>
      </c>
      <c r="D988" s="144">
        <f>SUM(D989:D990)</f>
        <v>1364.5505320843999</v>
      </c>
      <c r="I988" s="262"/>
    </row>
    <row r="989" spans="2:10">
      <c r="B989" s="142" t="s">
        <v>34</v>
      </c>
      <c r="C989" s="153">
        <f>2863.049-C986</f>
        <v>2838.6979999999999</v>
      </c>
      <c r="D989" s="82">
        <f t="shared" ref="D989:D990" si="11">+C989*$J$963</f>
        <v>213.4717928188</v>
      </c>
      <c r="I989" s="262"/>
    </row>
    <row r="990" spans="2:10">
      <c r="B990" s="142" t="s">
        <v>35</v>
      </c>
      <c r="C990" s="153">
        <f>15313.776-C987</f>
        <v>15306.776</v>
      </c>
      <c r="D990" s="82">
        <f t="shared" si="11"/>
        <v>1151.0787392656</v>
      </c>
      <c r="I990" s="262"/>
    </row>
    <row r="991" spans="2:10" ht="13.5" thickBot="1">
      <c r="B991" s="83" t="s">
        <v>37</v>
      </c>
      <c r="C991" s="154">
        <f>+C985+C988</f>
        <v>18176.824999999997</v>
      </c>
      <c r="D991" s="84">
        <f>+D985+D988</f>
        <v>1366.9081460949999</v>
      </c>
      <c r="I991" s="245"/>
    </row>
    <row r="992" spans="2:10">
      <c r="B992" s="258" t="s">
        <v>23</v>
      </c>
      <c r="C992" s="272">
        <f>+C991-C974</f>
        <v>0</v>
      </c>
      <c r="D992" s="86"/>
      <c r="I992" s="274"/>
    </row>
    <row r="993" spans="2:11" ht="13.5" thickBot="1">
      <c r="I993" s="274"/>
    </row>
    <row r="994" spans="2:11">
      <c r="B994" s="79" t="s">
        <v>24</v>
      </c>
      <c r="C994" s="151" t="s">
        <v>25</v>
      </c>
      <c r="D994" s="80" t="s">
        <v>5</v>
      </c>
    </row>
    <row r="995" spans="2:11">
      <c r="B995" s="81" t="s">
        <v>26</v>
      </c>
      <c r="C995" s="153">
        <v>1.758</v>
      </c>
      <c r="D995" s="82">
        <f t="shared" ref="D995:D998" si="12">+C995*$J$963</f>
        <v>0.13220265480000001</v>
      </c>
      <c r="K995" s="262"/>
    </row>
    <row r="996" spans="2:11">
      <c r="B996" s="81" t="s">
        <v>27</v>
      </c>
      <c r="C996" s="153">
        <v>1584.1420000000001</v>
      </c>
      <c r="D996" s="82">
        <f t="shared" si="12"/>
        <v>119.12842888520001</v>
      </c>
      <c r="K996" s="262"/>
    </row>
    <row r="997" spans="2:11">
      <c r="B997" s="81" t="s">
        <v>28</v>
      </c>
      <c r="C997" s="153">
        <v>1434.4269999999999</v>
      </c>
      <c r="D997" s="82">
        <f t="shared" si="12"/>
        <v>107.86977105620001</v>
      </c>
      <c r="K997" s="262"/>
    </row>
    <row r="998" spans="2:11">
      <c r="B998" s="81" t="s">
        <v>29</v>
      </c>
      <c r="C998" s="153">
        <v>-15.493</v>
      </c>
      <c r="D998" s="82">
        <f t="shared" si="12"/>
        <v>-1.1650828958000001</v>
      </c>
    </row>
    <row r="999" spans="2:11" ht="13.5" thickBot="1">
      <c r="B999" s="83" t="s">
        <v>30</v>
      </c>
      <c r="C999" s="154">
        <f>SUM(C995:C998)</f>
        <v>3004.8340000000003</v>
      </c>
      <c r="D999" s="84">
        <f>SUM(D995:D998)</f>
        <v>225.96531970040002</v>
      </c>
    </row>
    <row r="1000" spans="2:11">
      <c r="B1000" s="258" t="s">
        <v>23</v>
      </c>
      <c r="C1000" s="272">
        <f>C999-C975</f>
        <v>0</v>
      </c>
      <c r="D1000" s="86"/>
    </row>
    <row r="1001" spans="2:11" ht="13.5" thickBot="1"/>
    <row r="1002" spans="2:11">
      <c r="B1002" s="79" t="s">
        <v>77</v>
      </c>
      <c r="C1002" s="148" t="s">
        <v>25</v>
      </c>
      <c r="D1002" s="131" t="s">
        <v>5</v>
      </c>
    </row>
    <row r="1003" spans="2:11">
      <c r="B1003" s="132" t="s">
        <v>40</v>
      </c>
      <c r="C1003" s="149">
        <v>2078.7890000000002</v>
      </c>
      <c r="D1003" s="82">
        <f t="shared" ref="D1003:D1008" si="13">+C1003*$J$963</f>
        <v>156.32618007340002</v>
      </c>
    </row>
    <row r="1004" spans="2:11">
      <c r="B1004" s="132" t="s">
        <v>41</v>
      </c>
      <c r="C1004" s="149">
        <v>7472.7849999999999</v>
      </c>
      <c r="D1004" s="82">
        <f t="shared" si="13"/>
        <v>561.95791567100002</v>
      </c>
    </row>
    <row r="1005" spans="2:11">
      <c r="B1005" s="132" t="s">
        <v>42</v>
      </c>
      <c r="C1005" s="149">
        <v>590.20600000000002</v>
      </c>
      <c r="D1005" s="82">
        <f t="shared" si="13"/>
        <v>44.383845323600006</v>
      </c>
    </row>
    <row r="1006" spans="2:11">
      <c r="B1006" s="132" t="s">
        <v>43</v>
      </c>
      <c r="C1006" s="149">
        <v>7223.4960000000001</v>
      </c>
      <c r="D1006" s="82">
        <f t="shared" si="13"/>
        <v>543.21123329760007</v>
      </c>
    </row>
    <row r="1007" spans="2:11">
      <c r="B1007" s="132" t="s">
        <v>44</v>
      </c>
      <c r="C1007" s="149">
        <v>20.289000000000001</v>
      </c>
      <c r="D1007" s="82">
        <f t="shared" si="13"/>
        <v>1.5257449734000001</v>
      </c>
    </row>
    <row r="1008" spans="2:11">
      <c r="B1008" s="81" t="s">
        <v>45</v>
      </c>
      <c r="C1008" s="149">
        <v>0</v>
      </c>
      <c r="D1008" s="82">
        <f t="shared" si="13"/>
        <v>0</v>
      </c>
    </row>
    <row r="1009" spans="1:10" ht="13.5" thickBot="1">
      <c r="B1009" s="134" t="s">
        <v>46</v>
      </c>
      <c r="C1009" s="150">
        <f>+SUM(C1003:C1008)</f>
        <v>17385.565000000002</v>
      </c>
      <c r="D1009" s="135">
        <f>+SUM(D1003:D1008)</f>
        <v>1307.4049193390001</v>
      </c>
    </row>
    <row r="1010" spans="1:10">
      <c r="B1010" s="258" t="s">
        <v>23</v>
      </c>
      <c r="C1010" s="272">
        <f>+C1009-C991+C970+C973+759.909</f>
        <v>5.2295945351943374E-12</v>
      </c>
    </row>
    <row r="1012" spans="1:10" ht="13.5" thickBot="1"/>
    <row r="1013" spans="1:10">
      <c r="B1013" s="79" t="s">
        <v>59</v>
      </c>
      <c r="C1013" s="148" t="s">
        <v>25</v>
      </c>
      <c r="D1013" s="131" t="s">
        <v>5</v>
      </c>
    </row>
    <row r="1014" spans="1:10">
      <c r="B1014" s="132" t="s">
        <v>40</v>
      </c>
      <c r="C1014" s="149">
        <v>24.350999999999999</v>
      </c>
      <c r="D1014" s="82">
        <f t="shared" ref="D1014:D1017" si="14">+C1014*$J$963</f>
        <v>1.8312098106000001</v>
      </c>
    </row>
    <row r="1015" spans="1:10">
      <c r="B1015" s="132" t="s">
        <v>41</v>
      </c>
      <c r="C1015" s="149">
        <v>7</v>
      </c>
      <c r="D1015" s="82">
        <f t="shared" si="14"/>
        <v>0.52640419999999999</v>
      </c>
    </row>
    <row r="1016" spans="1:10">
      <c r="B1016" s="132" t="s">
        <v>42</v>
      </c>
      <c r="C1016" s="149">
        <v>0</v>
      </c>
      <c r="D1016" s="82">
        <f t="shared" si="14"/>
        <v>0</v>
      </c>
    </row>
    <row r="1017" spans="1:10">
      <c r="B1017" s="132" t="s">
        <v>43</v>
      </c>
      <c r="C1017" s="149">
        <v>0</v>
      </c>
      <c r="D1017" s="82">
        <f t="shared" si="14"/>
        <v>0</v>
      </c>
    </row>
    <row r="1018" spans="1:10" ht="13.5" thickBot="1">
      <c r="B1018" s="134" t="s">
        <v>46</v>
      </c>
      <c r="C1018" s="150">
        <f>+SUM(C1014:C1017)</f>
        <v>31.350999999999999</v>
      </c>
      <c r="D1018" s="135">
        <f>+SUM(D1014:D1017)</f>
        <v>2.3576140105999999</v>
      </c>
    </row>
    <row r="1019" spans="1:10">
      <c r="B1019" s="258" t="s">
        <v>23</v>
      </c>
      <c r="C1019" s="130">
        <f>C1018-C970-C973</f>
        <v>0</v>
      </c>
    </row>
    <row r="1020" spans="1:10">
      <c r="B1020" s="258"/>
      <c r="C1020" s="130"/>
    </row>
    <row r="1022" spans="1:10">
      <c r="A1022" s="7" t="s">
        <v>137</v>
      </c>
      <c r="I1022" s="75" t="s">
        <v>138</v>
      </c>
      <c r="J1022" s="71">
        <f>Model!AF215</f>
        <v>0.11201700000000001</v>
      </c>
    </row>
    <row r="1023" spans="1:10">
      <c r="I1023" s="76" t="s">
        <v>139</v>
      </c>
      <c r="J1023" s="71">
        <f>Model!AF216</f>
        <v>0.12493320833333332</v>
      </c>
    </row>
    <row r="1024" spans="1:10">
      <c r="I1024" s="76"/>
      <c r="J1024" s="71"/>
    </row>
    <row r="1026" spans="2:10">
      <c r="B1026" s="108" t="s">
        <v>140</v>
      </c>
      <c r="C1026" s="109" t="s">
        <v>25</v>
      </c>
      <c r="D1026" s="109" t="s">
        <v>5</v>
      </c>
      <c r="E1026" s="141" t="s">
        <v>57</v>
      </c>
      <c r="F1026" s="110" t="s">
        <v>7</v>
      </c>
    </row>
    <row r="1027" spans="2:10">
      <c r="B1027" s="124" t="s">
        <v>10</v>
      </c>
      <c r="C1027" s="125">
        <f>SUM(C1028:C1029)</f>
        <v>2176.5009999999997</v>
      </c>
      <c r="D1027" s="125">
        <f>SUM(D1028:D1029)</f>
        <v>243.805112517</v>
      </c>
      <c r="E1027" s="123"/>
      <c r="F1027" s="123"/>
    </row>
    <row r="1028" spans="2:10">
      <c r="B1028" s="111" t="s">
        <v>12</v>
      </c>
      <c r="C1028" s="22">
        <f>33.25+690.318+1037.494+392.536</f>
        <v>2153.598</v>
      </c>
      <c r="D1028" s="113">
        <f>C1028*$J$1022</f>
        <v>241.23958716600001</v>
      </c>
      <c r="E1028" s="114"/>
      <c r="F1028" s="114"/>
    </row>
    <row r="1029" spans="2:10">
      <c r="B1029" s="78" t="s">
        <v>13</v>
      </c>
      <c r="C1029" s="22">
        <v>22.902999999999999</v>
      </c>
      <c r="D1029" s="113">
        <f>C1029*$J$1022</f>
        <v>2.5655253509999998</v>
      </c>
      <c r="E1029" s="114"/>
      <c r="F1029" s="114"/>
    </row>
    <row r="1030" spans="2:10">
      <c r="B1030" s="124" t="s">
        <v>14</v>
      </c>
      <c r="C1030" s="125">
        <f>SUM(C1031:C1032)</f>
        <v>10558.358999999999</v>
      </c>
      <c r="D1030" s="125">
        <f>SUM(D1031:D1032)</f>
        <v>1182.715700103</v>
      </c>
      <c r="E1030" s="114"/>
      <c r="F1030" s="114"/>
    </row>
    <row r="1031" spans="2:10">
      <c r="B1031" s="111" t="s">
        <v>12</v>
      </c>
      <c r="C1031" s="22">
        <f>5019.26+5525.557</f>
        <v>10544.816999999999</v>
      </c>
      <c r="D1031" s="113">
        <f>C1031*$J$1022</f>
        <v>1181.198765889</v>
      </c>
      <c r="E1031" s="114"/>
      <c r="F1031" s="114"/>
    </row>
    <row r="1032" spans="2:10">
      <c r="B1032" s="78" t="s">
        <v>13</v>
      </c>
      <c r="C1032" s="22">
        <v>13.542</v>
      </c>
      <c r="D1032" s="113">
        <f>C1032*$J$1022</f>
        <v>1.5169342139999999</v>
      </c>
      <c r="E1032" s="114"/>
      <c r="F1032" s="115"/>
    </row>
    <row r="1033" spans="2:10">
      <c r="B1033" s="116" t="s">
        <v>15</v>
      </c>
      <c r="C1033" s="117">
        <f>C1027+C1030</f>
        <v>12734.859999999999</v>
      </c>
      <c r="D1033" s="117">
        <f>D1027+D1030</f>
        <v>1426.52081262</v>
      </c>
      <c r="E1033" s="118">
        <f>C1033/C1040</f>
        <v>6.5793338964705752</v>
      </c>
      <c r="F1033" s="118">
        <f>D1033/D1040</f>
        <v>5.8991300624776075</v>
      </c>
      <c r="H1033" s="270"/>
    </row>
    <row r="1034" spans="2:10">
      <c r="B1034" s="78" t="s">
        <v>16</v>
      </c>
      <c r="C1034" s="34">
        <f>Model!AF125</f>
        <v>2862.6089999999999</v>
      </c>
      <c r="D1034" s="113">
        <f>C1034*$J$1022</f>
        <v>320.660872353</v>
      </c>
      <c r="E1034" s="119"/>
      <c r="F1034" s="119"/>
      <c r="J1034" s="256"/>
    </row>
    <row r="1035" spans="2:10">
      <c r="B1035" s="116" t="s">
        <v>17</v>
      </c>
      <c r="C1035" s="117">
        <f>C1033-C1034</f>
        <v>9872.2509999999984</v>
      </c>
      <c r="D1035" s="117">
        <f>D1033-D1034</f>
        <v>1105.859940267</v>
      </c>
      <c r="E1035" s="118">
        <f>C1035/C1040</f>
        <v>5.1003965209484461</v>
      </c>
      <c r="F1035" s="118">
        <f>D1035/D1040</f>
        <v>4.5730924924517913</v>
      </c>
      <c r="G1035" s="271"/>
    </row>
    <row r="1036" spans="2:10">
      <c r="B1036" s="78" t="s">
        <v>18</v>
      </c>
      <c r="C1036" s="34">
        <f>Model!AF126</f>
        <v>4277.96</v>
      </c>
      <c r="D1036" s="113">
        <f>C1036*$J$1022</f>
        <v>479.20424532000004</v>
      </c>
      <c r="E1036" s="119"/>
      <c r="F1036" s="119"/>
      <c r="J1036" s="256"/>
    </row>
    <row r="1037" spans="2:10">
      <c r="B1037" s="116" t="s">
        <v>19</v>
      </c>
      <c r="C1037" s="117">
        <f>C1035-C1036</f>
        <v>5594.2909999999983</v>
      </c>
      <c r="D1037" s="117">
        <f>D1035-D1036</f>
        <v>626.65569494699992</v>
      </c>
      <c r="E1037" s="118">
        <f>C1037/C1040</f>
        <v>2.8902326686763939</v>
      </c>
      <c r="F1037" s="118">
        <f>D1037/D1040</f>
        <v>2.5914262281915867</v>
      </c>
      <c r="G1037" s="271"/>
    </row>
    <row r="1038" spans="2:10">
      <c r="B1038" s="75" t="s">
        <v>20</v>
      </c>
      <c r="C1038" s="120">
        <f>+Model!AF133</f>
        <v>3714.0410000000002</v>
      </c>
      <c r="D1038" s="78"/>
      <c r="E1038" s="121"/>
      <c r="F1038" s="78"/>
    </row>
    <row r="1039" spans="2:10">
      <c r="B1039" s="75" t="s">
        <v>21</v>
      </c>
      <c r="C1039" s="120">
        <f>C1035+C1038</f>
        <v>13586.291999999998</v>
      </c>
      <c r="D1039" s="122"/>
      <c r="E1039" s="121"/>
      <c r="F1039" s="78"/>
    </row>
    <row r="1040" spans="2:10">
      <c r="B1040" s="78" t="s">
        <v>22</v>
      </c>
      <c r="C1040" s="23">
        <f>Model!AF90</f>
        <v>1935.585</v>
      </c>
      <c r="D1040" s="23">
        <f>C1040*J1023</f>
        <v>241.81884405187498</v>
      </c>
      <c r="E1040" s="78"/>
      <c r="F1040" s="78"/>
      <c r="I1040" s="262"/>
      <c r="J1040" s="262"/>
    </row>
    <row r="1041" spans="2:11">
      <c r="B1041" s="258" t="s">
        <v>23</v>
      </c>
      <c r="C1041" s="272">
        <f>+C1033-Model!AF123</f>
        <v>36.444999999999709</v>
      </c>
      <c r="D1041" s="273"/>
      <c r="E1041" s="77"/>
      <c r="F1041" s="78"/>
    </row>
    <row r="1042" spans="2:11" ht="13.5" thickBot="1"/>
    <row r="1043" spans="2:11">
      <c r="B1043" s="79" t="s">
        <v>75</v>
      </c>
      <c r="C1043" s="151" t="s">
        <v>25</v>
      </c>
      <c r="D1043" s="80" t="s">
        <v>5</v>
      </c>
      <c r="I1043" s="79" t="s">
        <v>75</v>
      </c>
      <c r="J1043" s="80" t="s">
        <v>76</v>
      </c>
    </row>
    <row r="1044" spans="2:11">
      <c r="B1044" s="143" t="s">
        <v>33</v>
      </c>
      <c r="C1044" s="152">
        <f>SUM(C1045:C1046)</f>
        <v>36.445</v>
      </c>
      <c r="D1044" s="144">
        <f>SUM(D1045:D1046)</f>
        <v>4.0824595649999997</v>
      </c>
      <c r="I1044" s="143" t="s">
        <v>33</v>
      </c>
      <c r="J1044" s="155">
        <f>C1044/C1050</f>
        <v>2.861829654978539E-3</v>
      </c>
    </row>
    <row r="1045" spans="2:11">
      <c r="B1045" s="142" t="s">
        <v>34</v>
      </c>
      <c r="C1045" s="153">
        <v>22.902999999999999</v>
      </c>
      <c r="D1045" s="82">
        <f>+C1045*$J$1022</f>
        <v>2.5655253509999998</v>
      </c>
      <c r="I1045" s="143" t="s">
        <v>36</v>
      </c>
      <c r="J1045" s="155">
        <f>C1047/C1050</f>
        <v>0.9971381703450215</v>
      </c>
    </row>
    <row r="1046" spans="2:11" ht="13.5" thickBot="1">
      <c r="B1046" s="142" t="s">
        <v>35</v>
      </c>
      <c r="C1046" s="153">
        <v>13.542</v>
      </c>
      <c r="D1046" s="82">
        <f>+C1046*$J$1022</f>
        <v>1.5169342139999999</v>
      </c>
      <c r="I1046" s="83" t="s">
        <v>37</v>
      </c>
      <c r="J1046" s="129">
        <f>+J1044+J1045</f>
        <v>1</v>
      </c>
    </row>
    <row r="1047" spans="2:11">
      <c r="B1047" s="143" t="s">
        <v>36</v>
      </c>
      <c r="C1047" s="152">
        <f>SUM(C1048:C1049)</f>
        <v>12698.415000000001</v>
      </c>
      <c r="D1047" s="144">
        <f>SUM(D1048:D1049)</f>
        <v>1422.4383530550003</v>
      </c>
      <c r="I1047" s="262"/>
    </row>
    <row r="1048" spans="2:11">
      <c r="B1048" s="142" t="s">
        <v>34</v>
      </c>
      <c r="C1048" s="153">
        <f>2176.501-C1045</f>
        <v>2153.5980000000004</v>
      </c>
      <c r="D1048" s="82">
        <f>+C1048*$J$1022</f>
        <v>241.23958716600006</v>
      </c>
      <c r="I1048" s="262"/>
    </row>
    <row r="1049" spans="2:11">
      <c r="B1049" s="142" t="s">
        <v>35</v>
      </c>
      <c r="C1049" s="153">
        <f>10558.359-C1046</f>
        <v>10544.817000000001</v>
      </c>
      <c r="D1049" s="82">
        <f>+C1049*$J$1022</f>
        <v>1181.1987658890002</v>
      </c>
      <c r="I1049" s="262"/>
    </row>
    <row r="1050" spans="2:11" ht="13.5" thickBot="1">
      <c r="B1050" s="83" t="s">
        <v>37</v>
      </c>
      <c r="C1050" s="154">
        <f>+C1044+C1047</f>
        <v>12734.86</v>
      </c>
      <c r="D1050" s="84">
        <f>+D1044+D1047</f>
        <v>1426.5208126200002</v>
      </c>
      <c r="I1050" s="245"/>
    </row>
    <row r="1051" spans="2:11">
      <c r="B1051" s="258" t="s">
        <v>23</v>
      </c>
      <c r="C1051" s="272">
        <f>+C1050-C1033</f>
        <v>0</v>
      </c>
      <c r="D1051" s="86"/>
      <c r="I1051" s="274"/>
    </row>
    <row r="1052" spans="2:11" ht="13.5" thickBot="1">
      <c r="I1052" s="274"/>
    </row>
    <row r="1053" spans="2:11">
      <c r="B1053" s="79" t="s">
        <v>24</v>
      </c>
      <c r="C1053" s="151" t="s">
        <v>25</v>
      </c>
      <c r="D1053" s="80" t="s">
        <v>5</v>
      </c>
    </row>
    <row r="1054" spans="2:11">
      <c r="B1054" s="81" t="s">
        <v>26</v>
      </c>
      <c r="C1054" s="153">
        <v>1.3380000000000001</v>
      </c>
      <c r="D1054" s="82">
        <f>+C1054*$J$1022</f>
        <v>0.14987874600000001</v>
      </c>
      <c r="K1054" s="262"/>
    </row>
    <row r="1055" spans="2:11">
      <c r="B1055" s="81" t="s">
        <v>27</v>
      </c>
      <c r="C1055" s="153">
        <v>1002.217</v>
      </c>
      <c r="D1055" s="82">
        <f>+C1055*$J$1022</f>
        <v>112.26534168900001</v>
      </c>
      <c r="K1055" s="262"/>
    </row>
    <row r="1056" spans="2:11">
      <c r="B1056" s="81" t="s">
        <v>28</v>
      </c>
      <c r="C1056" s="153">
        <v>1876.5630000000001</v>
      </c>
      <c r="D1056" s="82">
        <f>+C1056*$J$1022</f>
        <v>210.20695757100003</v>
      </c>
      <c r="K1056" s="262"/>
    </row>
    <row r="1057" spans="2:4">
      <c r="B1057" s="81" t="s">
        <v>29</v>
      </c>
      <c r="C1057" s="153">
        <v>-17.509</v>
      </c>
      <c r="D1057" s="82">
        <f>+C1057*$J$1022</f>
        <v>-1.9613056530000001</v>
      </c>
    </row>
    <row r="1058" spans="2:4" ht="13.5" thickBot="1">
      <c r="B1058" s="83" t="s">
        <v>30</v>
      </c>
      <c r="C1058" s="154">
        <f>SUM(C1054:C1057)</f>
        <v>2862.6089999999999</v>
      </c>
      <c r="D1058" s="84">
        <f>SUM(D1054:D1057)</f>
        <v>320.660872353</v>
      </c>
    </row>
    <row r="1059" spans="2:4">
      <c r="B1059" s="258" t="s">
        <v>23</v>
      </c>
      <c r="C1059" s="272">
        <f>C1058-C1034</f>
        <v>0</v>
      </c>
      <c r="D1059" s="86"/>
    </row>
    <row r="1060" spans="2:4" ht="13.5" thickBot="1"/>
    <row r="1061" spans="2:4">
      <c r="B1061" s="79" t="s">
        <v>77</v>
      </c>
      <c r="C1061" s="148" t="s">
        <v>25</v>
      </c>
      <c r="D1061" s="131" t="s">
        <v>5</v>
      </c>
    </row>
    <row r="1062" spans="2:4">
      <c r="B1062" s="132" t="s">
        <v>40</v>
      </c>
      <c r="C1062" s="149">
        <v>1463.28</v>
      </c>
      <c r="D1062" s="82">
        <f t="shared" ref="D1062:D1067" si="15">+C1062*$J$1022</f>
        <v>163.91223576000002</v>
      </c>
    </row>
    <row r="1063" spans="2:4">
      <c r="B1063" s="132" t="s">
        <v>41</v>
      </c>
      <c r="C1063" s="149">
        <v>5138.0309999999999</v>
      </c>
      <c r="D1063" s="82">
        <f t="shared" si="15"/>
        <v>575.54681852700003</v>
      </c>
    </row>
    <row r="1064" spans="2:4">
      <c r="B1064" s="132" t="s">
        <v>42</v>
      </c>
      <c r="C1064" s="149">
        <v>444.73899999999998</v>
      </c>
      <c r="D1064" s="82">
        <f t="shared" si="15"/>
        <v>49.818328563000001</v>
      </c>
    </row>
    <row r="1065" spans="2:4">
      <c r="B1065" s="132" t="s">
        <v>43</v>
      </c>
      <c r="C1065" s="149">
        <v>386.78699999999998</v>
      </c>
      <c r="D1065" s="82">
        <f t="shared" si="15"/>
        <v>43.326719378999996</v>
      </c>
    </row>
    <row r="1066" spans="2:4">
      <c r="B1066" s="132" t="s">
        <v>44</v>
      </c>
      <c r="C1066" s="149">
        <v>4575.26</v>
      </c>
      <c r="D1066" s="82">
        <f t="shared" si="15"/>
        <v>512.50689942000008</v>
      </c>
    </row>
    <row r="1067" spans="2:4">
      <c r="B1067" s="81" t="s">
        <v>45</v>
      </c>
      <c r="C1067" s="149">
        <v>0</v>
      </c>
      <c r="D1067" s="82">
        <f t="shared" si="15"/>
        <v>0</v>
      </c>
    </row>
    <row r="1068" spans="2:4" ht="13.5" thickBot="1">
      <c r="B1068" s="134" t="s">
        <v>46</v>
      </c>
      <c r="C1068" s="150">
        <f>+SUM(C1062:C1067)</f>
        <v>12008.097</v>
      </c>
      <c r="D1068" s="135">
        <f>+SUM(D1062:D1067)</f>
        <v>1345.1110016490002</v>
      </c>
    </row>
    <row r="1069" spans="2:4">
      <c r="B1069" s="258" t="s">
        <v>23</v>
      </c>
      <c r="C1069" s="272">
        <f>+C1068-C1050+C1029+C1032+690.318</f>
        <v>0</v>
      </c>
    </row>
    <row r="1071" spans="2:4" ht="13.5" thickBot="1"/>
    <row r="1072" spans="2:4">
      <c r="B1072" s="79" t="s">
        <v>59</v>
      </c>
      <c r="C1072" s="148" t="s">
        <v>25</v>
      </c>
      <c r="D1072" s="131" t="s">
        <v>5</v>
      </c>
    </row>
    <row r="1073" spans="1:10">
      <c r="B1073" s="132" t="s">
        <v>40</v>
      </c>
      <c r="C1073" s="149">
        <v>22.902999999999999</v>
      </c>
      <c r="D1073" s="82">
        <f>+C1073*$J$1022</f>
        <v>2.5655253509999998</v>
      </c>
    </row>
    <row r="1074" spans="1:10">
      <c r="B1074" s="132" t="s">
        <v>41</v>
      </c>
      <c r="C1074" s="149">
        <v>13.542</v>
      </c>
      <c r="D1074" s="82">
        <f>+C1074*$J$1022</f>
        <v>1.5169342139999999</v>
      </c>
    </row>
    <row r="1075" spans="1:10">
      <c r="B1075" s="132" t="s">
        <v>42</v>
      </c>
      <c r="C1075" s="149">
        <v>0</v>
      </c>
      <c r="D1075" s="82">
        <f>+C1075*$J$1022</f>
        <v>0</v>
      </c>
    </row>
    <row r="1076" spans="1:10">
      <c r="B1076" s="132" t="s">
        <v>43</v>
      </c>
      <c r="C1076" s="149">
        <v>0</v>
      </c>
      <c r="D1076" s="82">
        <f>+C1076*$J$1022</f>
        <v>0</v>
      </c>
    </row>
    <row r="1077" spans="1:10" ht="13.5" thickBot="1">
      <c r="B1077" s="134" t="s">
        <v>46</v>
      </c>
      <c r="C1077" s="150">
        <f>+SUM(C1073:C1076)</f>
        <v>36.445</v>
      </c>
      <c r="D1077" s="135">
        <f>+SUM(D1073:D1076)</f>
        <v>4.0824595649999997</v>
      </c>
    </row>
    <row r="1078" spans="1:10">
      <c r="B1078" s="258" t="s">
        <v>23</v>
      </c>
      <c r="C1078" s="130">
        <f>C1077-C1029-C1032</f>
        <v>0</v>
      </c>
    </row>
    <row r="1079" spans="1:10">
      <c r="B1079" s="258"/>
      <c r="C1079" s="130"/>
    </row>
    <row r="1081" spans="1:10">
      <c r="A1081" s="7" t="s">
        <v>141</v>
      </c>
      <c r="I1081" s="75" t="s">
        <v>142</v>
      </c>
      <c r="J1081" s="71">
        <f>Model!AE215</f>
        <v>0.114842</v>
      </c>
    </row>
    <row r="1082" spans="1:10">
      <c r="I1082" s="76" t="s">
        <v>143</v>
      </c>
      <c r="J1082" s="71">
        <f>Model!AE216</f>
        <v>0.13030029166666665</v>
      </c>
    </row>
    <row r="1083" spans="1:10">
      <c r="I1083" s="76"/>
      <c r="J1083" s="71"/>
    </row>
    <row r="1085" spans="1:10">
      <c r="B1085" s="108" t="s">
        <v>144</v>
      </c>
      <c r="C1085" s="109" t="s">
        <v>25</v>
      </c>
      <c r="D1085" s="109" t="s">
        <v>5</v>
      </c>
      <c r="E1085" s="141" t="s">
        <v>57</v>
      </c>
      <c r="F1085" s="110" t="s">
        <v>7</v>
      </c>
    </row>
    <row r="1086" spans="1:10">
      <c r="B1086" s="124" t="s">
        <v>10</v>
      </c>
      <c r="C1086" s="125">
        <f>SUM(C1087:C1088)</f>
        <v>894.08</v>
      </c>
      <c r="D1086" s="125">
        <f>SUM(D1087:D1088)</f>
        <v>102.67793536000001</v>
      </c>
      <c r="E1086" s="123"/>
      <c r="F1086" s="123"/>
    </row>
    <row r="1087" spans="1:10">
      <c r="B1087" s="111" t="s">
        <v>12</v>
      </c>
      <c r="C1087" s="22">
        <f>1.319+494.091+377.089</f>
        <v>872.49900000000002</v>
      </c>
      <c r="D1087" s="113">
        <f>C1087*$J$1081</f>
        <v>100.199530158</v>
      </c>
      <c r="E1087" s="114"/>
      <c r="F1087" s="114"/>
    </row>
    <row r="1088" spans="1:10">
      <c r="B1088" s="78" t="s">
        <v>13</v>
      </c>
      <c r="C1088" s="22">
        <v>21.581</v>
      </c>
      <c r="D1088" s="113">
        <f>C1088*$J$1081</f>
        <v>2.4784052019999998</v>
      </c>
      <c r="E1088" s="114"/>
      <c r="F1088" s="114"/>
    </row>
    <row r="1089" spans="2:10">
      <c r="B1089" s="124" t="s">
        <v>14</v>
      </c>
      <c r="C1089" s="125">
        <f>SUM(C1090:C1091)</f>
        <v>9910.9169999999995</v>
      </c>
      <c r="D1089" s="125">
        <f>SUM(D1090:D1091)</f>
        <v>1138.189530114</v>
      </c>
      <c r="E1089" s="114"/>
      <c r="F1089" s="114"/>
    </row>
    <row r="1090" spans="2:10">
      <c r="B1090" s="111" t="s">
        <v>12</v>
      </c>
      <c r="C1090" s="22">
        <f>4582.72+5308.538</f>
        <v>9891.2579999999998</v>
      </c>
      <c r="D1090" s="113">
        <f t="shared" ref="D1090:D1091" si="16">C1090*$J$1081</f>
        <v>1135.9318512360001</v>
      </c>
      <c r="E1090" s="114"/>
      <c r="F1090" s="114"/>
    </row>
    <row r="1091" spans="2:10">
      <c r="B1091" s="78" t="s">
        <v>13</v>
      </c>
      <c r="C1091" s="22">
        <v>19.658999999999999</v>
      </c>
      <c r="D1091" s="113">
        <f t="shared" si="16"/>
        <v>2.2576788779999997</v>
      </c>
      <c r="E1091" s="114"/>
      <c r="F1091" s="115"/>
    </row>
    <row r="1092" spans="2:10">
      <c r="B1092" s="116" t="s">
        <v>15</v>
      </c>
      <c r="C1092" s="117">
        <f>C1086+C1089</f>
        <v>10804.996999999999</v>
      </c>
      <c r="D1092" s="117">
        <f>D1086+D1089</f>
        <v>1240.867465474</v>
      </c>
      <c r="E1092" s="118">
        <f>C1092/C1099</f>
        <v>6.6071626432571451</v>
      </c>
      <c r="F1092" s="118">
        <f>D1092/D1099</f>
        <v>5.8233159924004045</v>
      </c>
      <c r="H1092" s="270"/>
    </row>
    <row r="1093" spans="2:10">
      <c r="B1093" s="78" t="s">
        <v>16</v>
      </c>
      <c r="C1093" s="34">
        <f>Model!AE125</f>
        <v>2762.136</v>
      </c>
      <c r="D1093" s="113">
        <f>C1093*$J$1081</f>
        <v>317.209222512</v>
      </c>
      <c r="E1093" s="119"/>
      <c r="F1093" s="119"/>
      <c r="J1093" s="256"/>
    </row>
    <row r="1094" spans="2:10">
      <c r="B1094" s="116" t="s">
        <v>17</v>
      </c>
      <c r="C1094" s="117">
        <f>C1092-C1093</f>
        <v>8042.860999999999</v>
      </c>
      <c r="D1094" s="117">
        <f>D1092-D1093</f>
        <v>923.65824296200003</v>
      </c>
      <c r="E1094" s="118">
        <f>C1094/C1099</f>
        <v>4.9181402590032928</v>
      </c>
      <c r="F1094" s="118">
        <f>D1094/D1099</f>
        <v>4.3346722896779619</v>
      </c>
      <c r="G1094" s="271"/>
    </row>
    <row r="1095" spans="2:10">
      <c r="B1095" s="78" t="s">
        <v>18</v>
      </c>
      <c r="C1095" s="34">
        <f>Model!AE126</f>
        <v>6005.89</v>
      </c>
      <c r="D1095" s="113">
        <f>C1095*$J$1081</f>
        <v>689.72841937999999</v>
      </c>
      <c r="E1095" s="119"/>
      <c r="F1095" s="119"/>
      <c r="J1095" s="256"/>
    </row>
    <row r="1096" spans="2:10">
      <c r="B1096" s="116" t="s">
        <v>19</v>
      </c>
      <c r="C1096" s="117">
        <f>C1094-C1095</f>
        <v>2036.9709999999986</v>
      </c>
      <c r="D1096" s="117">
        <f>D1094-D1095</f>
        <v>233.92982358200004</v>
      </c>
      <c r="E1096" s="118">
        <f>C1096/C1099</f>
        <v>1.2455902298351533</v>
      </c>
      <c r="F1096" s="118">
        <f>D1096/D1099</f>
        <v>1.097818518631319</v>
      </c>
      <c r="G1096" s="271"/>
    </row>
    <row r="1097" spans="2:10">
      <c r="B1097" s="75" t="s">
        <v>20</v>
      </c>
      <c r="C1097" s="120">
        <f>+Model!AE133</f>
        <v>7103.4759999999997</v>
      </c>
      <c r="D1097" s="78"/>
      <c r="E1097" s="121"/>
      <c r="F1097" s="78"/>
    </row>
    <row r="1098" spans="2:10">
      <c r="B1098" s="75" t="s">
        <v>21</v>
      </c>
      <c r="C1098" s="120">
        <f>C1094+C1097</f>
        <v>15146.337</v>
      </c>
      <c r="D1098" s="122"/>
      <c r="E1098" s="121"/>
      <c r="F1098" s="78"/>
    </row>
    <row r="1099" spans="2:10">
      <c r="B1099" s="78" t="s">
        <v>22</v>
      </c>
      <c r="C1099" s="23">
        <f>Model!AE90</f>
        <v>1635.346</v>
      </c>
      <c r="D1099" s="23">
        <f>C1099*J1082</f>
        <v>213.08606077591665</v>
      </c>
      <c r="E1099" s="78"/>
      <c r="F1099" s="78"/>
      <c r="I1099" s="262"/>
      <c r="J1099" s="262"/>
    </row>
    <row r="1100" spans="2:10">
      <c r="B1100" s="258" t="s">
        <v>23</v>
      </c>
      <c r="C1100" s="272">
        <f>+C1092-Model!AE123</f>
        <v>41.239999999999782</v>
      </c>
      <c r="D1100" s="273"/>
      <c r="E1100" s="77"/>
      <c r="F1100" s="78"/>
    </row>
    <row r="1101" spans="2:10" ht="13.5" thickBot="1"/>
    <row r="1102" spans="2:10">
      <c r="B1102" s="79" t="s">
        <v>75</v>
      </c>
      <c r="C1102" s="151" t="s">
        <v>25</v>
      </c>
      <c r="D1102" s="80" t="s">
        <v>5</v>
      </c>
      <c r="I1102" s="79" t="s">
        <v>75</v>
      </c>
      <c r="J1102" s="80" t="s">
        <v>76</v>
      </c>
    </row>
    <row r="1103" spans="2:10">
      <c r="B1103" s="143" t="s">
        <v>33</v>
      </c>
      <c r="C1103" s="152">
        <f>SUM(C1104:C1105)</f>
        <v>41.239999999999995</v>
      </c>
      <c r="D1103" s="144">
        <f>SUM(D1104:D1105)</f>
        <v>4.7360840799999995</v>
      </c>
      <c r="I1103" s="143" t="s">
        <v>33</v>
      </c>
      <c r="J1103" s="128">
        <f>C1103/C1109</f>
        <v>3.8167525636517989E-3</v>
      </c>
    </row>
    <row r="1104" spans="2:10">
      <c r="B1104" s="142" t="s">
        <v>34</v>
      </c>
      <c r="C1104" s="153">
        <v>21.581</v>
      </c>
      <c r="D1104" s="82">
        <f>+C1104*$J$1081</f>
        <v>2.4784052019999998</v>
      </c>
      <c r="I1104" s="143" t="s">
        <v>36</v>
      </c>
      <c r="J1104" s="128">
        <f>C1106/C1109</f>
        <v>0.99618324743634823</v>
      </c>
    </row>
    <row r="1105" spans="2:11" ht="13.5" thickBot="1">
      <c r="B1105" s="142" t="s">
        <v>35</v>
      </c>
      <c r="C1105" s="153">
        <v>19.658999999999999</v>
      </c>
      <c r="D1105" s="82">
        <f>+C1105*$J$1081</f>
        <v>2.2576788779999997</v>
      </c>
      <c r="I1105" s="83" t="s">
        <v>37</v>
      </c>
      <c r="J1105" s="129">
        <f>+J1103+J1104</f>
        <v>1</v>
      </c>
    </row>
    <row r="1106" spans="2:11">
      <c r="B1106" s="143" t="s">
        <v>36</v>
      </c>
      <c r="C1106" s="152">
        <f>SUM(C1107:C1108)</f>
        <v>10763.757</v>
      </c>
      <c r="D1106" s="144">
        <f>SUM(D1107:D1108)</f>
        <v>1236.1313813940001</v>
      </c>
      <c r="I1106" s="262"/>
    </row>
    <row r="1107" spans="2:11">
      <c r="B1107" s="142" t="s">
        <v>34</v>
      </c>
      <c r="C1107" s="153">
        <f>894.08-C1104</f>
        <v>872.49900000000002</v>
      </c>
      <c r="D1107" s="82">
        <f t="shared" ref="D1107:D1108" si="17">+C1107*$J$1081</f>
        <v>100.199530158</v>
      </c>
      <c r="I1107" s="262"/>
    </row>
    <row r="1108" spans="2:11">
      <c r="B1108" s="142" t="s">
        <v>35</v>
      </c>
      <c r="C1108" s="153">
        <f>9910.917-C1105</f>
        <v>9891.2579999999998</v>
      </c>
      <c r="D1108" s="82">
        <f t="shared" si="17"/>
        <v>1135.9318512360001</v>
      </c>
      <c r="I1108" s="262"/>
    </row>
    <row r="1109" spans="2:11" ht="13.5" thickBot="1">
      <c r="B1109" s="83" t="s">
        <v>37</v>
      </c>
      <c r="C1109" s="154">
        <f>+C1103+C1106</f>
        <v>10804.996999999999</v>
      </c>
      <c r="D1109" s="84">
        <f>+D1103+D1106</f>
        <v>1240.867465474</v>
      </c>
      <c r="I1109" s="245"/>
    </row>
    <row r="1110" spans="2:11">
      <c r="B1110" s="258" t="s">
        <v>23</v>
      </c>
      <c r="C1110" s="272">
        <f>+C1109-C1092</f>
        <v>0</v>
      </c>
      <c r="D1110" s="86"/>
      <c r="I1110" s="274"/>
    </row>
    <row r="1111" spans="2:11" ht="13.5" thickBot="1">
      <c r="I1111" s="274"/>
    </row>
    <row r="1112" spans="2:11">
      <c r="B1112" s="79" t="s">
        <v>24</v>
      </c>
      <c r="C1112" s="151" t="s">
        <v>25</v>
      </c>
      <c r="D1112" s="80" t="s">
        <v>5</v>
      </c>
    </row>
    <row r="1113" spans="2:11">
      <c r="B1113" s="81" t="s">
        <v>26</v>
      </c>
      <c r="C1113" s="153">
        <v>0.81599999999999995</v>
      </c>
      <c r="D1113" s="82">
        <f>+C1113*$J$1081</f>
        <v>9.3711071999999992E-2</v>
      </c>
      <c r="K1113" s="262"/>
    </row>
    <row r="1114" spans="2:11">
      <c r="B1114" s="81" t="s">
        <v>27</v>
      </c>
      <c r="C1114" s="153">
        <v>796.92700000000002</v>
      </c>
      <c r="D1114" s="82">
        <f>+C1114*$J$1081</f>
        <v>91.520690533999996</v>
      </c>
      <c r="K1114" s="262"/>
    </row>
    <row r="1115" spans="2:11">
      <c r="B1115" s="81" t="s">
        <v>28</v>
      </c>
      <c r="C1115" s="153">
        <v>1982.433</v>
      </c>
      <c r="D1115" s="82">
        <f>+C1115*$J$1081</f>
        <v>227.66657058600001</v>
      </c>
      <c r="K1115" s="262"/>
    </row>
    <row r="1116" spans="2:11">
      <c r="B1116" s="81" t="s">
        <v>29</v>
      </c>
      <c r="C1116" s="153">
        <v>-18.04</v>
      </c>
      <c r="D1116" s="82">
        <f>+C1116*$J$1081</f>
        <v>-2.0717496799999999</v>
      </c>
    </row>
    <row r="1117" spans="2:11" ht="13.5" thickBot="1">
      <c r="B1117" s="83" t="s">
        <v>30</v>
      </c>
      <c r="C1117" s="154">
        <f>SUM(C1113:C1116)</f>
        <v>2762.136</v>
      </c>
      <c r="D1117" s="84">
        <f>SUM(D1113:D1116)</f>
        <v>317.20922251200005</v>
      </c>
    </row>
    <row r="1118" spans="2:11">
      <c r="B1118" s="258" t="s">
        <v>23</v>
      </c>
      <c r="C1118" s="272">
        <f>C1117-C1093</f>
        <v>0</v>
      </c>
      <c r="D1118" s="86"/>
    </row>
    <row r="1119" spans="2:11" ht="13.5" thickBot="1"/>
    <row r="1120" spans="2:11">
      <c r="B1120" s="79" t="s">
        <v>77</v>
      </c>
      <c r="C1120" s="148" t="s">
        <v>25</v>
      </c>
      <c r="D1120" s="131" t="s">
        <v>5</v>
      </c>
    </row>
    <row r="1121" spans="2:4">
      <c r="B1121" s="132" t="s">
        <v>40</v>
      </c>
      <c r="C1121" s="149">
        <v>872.49900000000002</v>
      </c>
      <c r="D1121" s="82">
        <f>+C1121*$J$1081</f>
        <v>100.199530158</v>
      </c>
    </row>
    <row r="1122" spans="2:4">
      <c r="B1122" s="132" t="s">
        <v>41</v>
      </c>
      <c r="C1122" s="149">
        <v>4781.0910000000003</v>
      </c>
      <c r="D1122" s="82">
        <f t="shared" ref="D1122:D1126" si="18">+C1122*$J$1081</f>
        <v>549.07005262200005</v>
      </c>
    </row>
    <row r="1123" spans="2:4">
      <c r="B1123" s="132" t="s">
        <v>42</v>
      </c>
      <c r="C1123" s="149">
        <v>397.23200000000003</v>
      </c>
      <c r="D1123" s="82">
        <f t="shared" si="18"/>
        <v>45.618917344000003</v>
      </c>
    </row>
    <row r="1124" spans="2:4">
      <c r="B1124" s="132" t="s">
        <v>43</v>
      </c>
      <c r="C1124" s="149">
        <v>362.66500000000002</v>
      </c>
      <c r="D1124" s="82">
        <f t="shared" si="18"/>
        <v>41.649173930000003</v>
      </c>
    </row>
    <row r="1125" spans="2:4">
      <c r="B1125" s="132" t="s">
        <v>44</v>
      </c>
      <c r="C1125" s="149">
        <v>4350.2700000000004</v>
      </c>
      <c r="D1125" s="82">
        <f t="shared" si="18"/>
        <v>499.59370734000004</v>
      </c>
    </row>
    <row r="1126" spans="2:4">
      <c r="B1126" s="81" t="s">
        <v>45</v>
      </c>
      <c r="C1126" s="149">
        <v>0</v>
      </c>
      <c r="D1126" s="82">
        <f t="shared" si="18"/>
        <v>0</v>
      </c>
    </row>
    <row r="1127" spans="2:4" ht="13.5" thickBot="1">
      <c r="B1127" s="134" t="s">
        <v>46</v>
      </c>
      <c r="C1127" s="150">
        <f>+SUM(C1121:C1126)</f>
        <v>10763.757000000001</v>
      </c>
      <c r="D1127" s="135">
        <f>+SUM(D1121:D1126)</f>
        <v>1236.1313813940001</v>
      </c>
    </row>
    <row r="1128" spans="2:4">
      <c r="B1128" s="258" t="s">
        <v>23</v>
      </c>
      <c r="C1128" s="272">
        <f>+C1127-C1109+C1088+C1091</f>
        <v>2.035704937952687E-12</v>
      </c>
    </row>
    <row r="1130" spans="2:4" ht="13.5" thickBot="1"/>
    <row r="1131" spans="2:4">
      <c r="B1131" s="79" t="s">
        <v>59</v>
      </c>
      <c r="C1131" s="148" t="s">
        <v>25</v>
      </c>
      <c r="D1131" s="131" t="s">
        <v>5</v>
      </c>
    </row>
    <row r="1132" spans="2:4">
      <c r="B1132" s="132" t="s">
        <v>40</v>
      </c>
      <c r="C1132" s="149">
        <v>21.581</v>
      </c>
      <c r="D1132" s="82">
        <f>+C1132*$J$1081</f>
        <v>2.4784052019999998</v>
      </c>
    </row>
    <row r="1133" spans="2:4">
      <c r="B1133" s="132" t="s">
        <v>41</v>
      </c>
      <c r="C1133" s="149">
        <v>19.658999999999999</v>
      </c>
      <c r="D1133" s="82">
        <f t="shared" ref="D1133:D1135" si="19">+C1133*$J$1081</f>
        <v>2.2576788779999997</v>
      </c>
    </row>
    <row r="1134" spans="2:4">
      <c r="B1134" s="132" t="s">
        <v>42</v>
      </c>
      <c r="C1134" s="149">
        <v>0</v>
      </c>
      <c r="D1134" s="82">
        <f t="shared" si="19"/>
        <v>0</v>
      </c>
    </row>
    <row r="1135" spans="2:4">
      <c r="B1135" s="132" t="s">
        <v>43</v>
      </c>
      <c r="C1135" s="149">
        <v>0</v>
      </c>
      <c r="D1135" s="82">
        <f t="shared" si="19"/>
        <v>0</v>
      </c>
    </row>
    <row r="1136" spans="2:4" ht="13.5" thickBot="1">
      <c r="B1136" s="134" t="s">
        <v>46</v>
      </c>
      <c r="C1136" s="150">
        <f>+SUM(C1132:C1135)</f>
        <v>41.239999999999995</v>
      </c>
      <c r="D1136" s="135">
        <f>+SUM(D1132:D1135)</f>
        <v>4.7360840799999995</v>
      </c>
    </row>
    <row r="1137" spans="1:10">
      <c r="B1137" s="258" t="s">
        <v>23</v>
      </c>
      <c r="C1137" s="130">
        <f>C1136-C1088-C1091</f>
        <v>0</v>
      </c>
    </row>
    <row r="1139" spans="1:10">
      <c r="A1139" s="7" t="s">
        <v>145</v>
      </c>
      <c r="I1139" s="75" t="s">
        <v>146</v>
      </c>
      <c r="J1139" s="71">
        <f>Model!AD215</f>
        <v>0.12107</v>
      </c>
    </row>
    <row r="1140" spans="1:10">
      <c r="I1140" s="76" t="s">
        <v>147</v>
      </c>
      <c r="J1140" s="71">
        <f>Model!AD216</f>
        <v>0.13696404166666667</v>
      </c>
    </row>
    <row r="1141" spans="1:10">
      <c r="I1141" s="76"/>
      <c r="J1141" s="71"/>
    </row>
    <row r="1143" spans="1:10">
      <c r="B1143" s="108" t="s">
        <v>148</v>
      </c>
      <c r="C1143" s="109" t="s">
        <v>25</v>
      </c>
      <c r="D1143" s="109" t="s">
        <v>5</v>
      </c>
      <c r="E1143" s="141" t="s">
        <v>57</v>
      </c>
      <c r="F1143" s="110" t="s">
        <v>7</v>
      </c>
    </row>
    <row r="1144" spans="1:10">
      <c r="B1144" s="124" t="s">
        <v>10</v>
      </c>
      <c r="C1144" s="125">
        <f>SUM(C1145:C1146)</f>
        <v>859.125</v>
      </c>
      <c r="D1144" s="125">
        <f>SUM(D1145:D1146)</f>
        <v>104.01426375</v>
      </c>
      <c r="E1144" s="123"/>
      <c r="F1144" s="123"/>
    </row>
    <row r="1145" spans="1:10">
      <c r="B1145" s="111" t="s">
        <v>12</v>
      </c>
      <c r="C1145" s="22">
        <f>0+470.663+368.139</f>
        <v>838.80200000000002</v>
      </c>
      <c r="D1145" s="113">
        <f>C1145*$J$1139</f>
        <v>101.55375814</v>
      </c>
      <c r="E1145" s="114"/>
      <c r="F1145" s="114"/>
    </row>
    <row r="1146" spans="1:10">
      <c r="B1146" s="78" t="s">
        <v>13</v>
      </c>
      <c r="C1146" s="22">
        <v>20.323</v>
      </c>
      <c r="D1146" s="113">
        <f>C1146*$J$1139</f>
        <v>2.4605056099999998</v>
      </c>
      <c r="E1146" s="114"/>
      <c r="F1146" s="114"/>
    </row>
    <row r="1147" spans="1:10">
      <c r="B1147" s="124" t="s">
        <v>14</v>
      </c>
      <c r="C1147" s="125">
        <f>SUM(C1148:C1149)</f>
        <v>9729.7089999999989</v>
      </c>
      <c r="D1147" s="125">
        <f>SUM(D1148:D1149)</f>
        <v>1177.9758686299997</v>
      </c>
      <c r="E1147" s="114"/>
      <c r="F1147" s="114"/>
    </row>
    <row r="1148" spans="1:10">
      <c r="B1148" s="111" t="s">
        <v>12</v>
      </c>
      <c r="C1148" s="22">
        <f>4525.666+5178.668</f>
        <v>9704.3339999999989</v>
      </c>
      <c r="D1148" s="113">
        <f>C1148*$J$1139</f>
        <v>1174.9037173799998</v>
      </c>
      <c r="E1148" s="114"/>
      <c r="F1148" s="114"/>
    </row>
    <row r="1149" spans="1:10">
      <c r="B1149" s="78" t="s">
        <v>13</v>
      </c>
      <c r="C1149" s="22">
        <v>25.375</v>
      </c>
      <c r="D1149" s="113">
        <f>C1149*$J$1139</f>
        <v>3.0721512500000001</v>
      </c>
      <c r="E1149" s="114"/>
      <c r="F1149" s="115"/>
    </row>
    <row r="1150" spans="1:10">
      <c r="B1150" s="116" t="s">
        <v>15</v>
      </c>
      <c r="C1150" s="117">
        <f>C1144+C1147</f>
        <v>10588.833999999999</v>
      </c>
      <c r="D1150" s="117">
        <f>D1144+D1147</f>
        <v>1281.9901323799997</v>
      </c>
      <c r="E1150" s="118">
        <f>C1150/C1157</f>
        <v>6.3654443948164294</v>
      </c>
      <c r="F1150" s="118">
        <f>D1150/D1157</f>
        <v>5.6267641017487859</v>
      </c>
      <c r="H1150" s="270"/>
    </row>
    <row r="1151" spans="1:10">
      <c r="B1151" s="78" t="s">
        <v>16</v>
      </c>
      <c r="C1151" s="34">
        <f>Model!AD125</f>
        <v>3367.634</v>
      </c>
      <c r="D1151" s="113">
        <f>C1151*$J$1139</f>
        <v>407.71944838000002</v>
      </c>
      <c r="E1151" s="119"/>
      <c r="F1151" s="119"/>
      <c r="J1151" s="256"/>
    </row>
    <row r="1152" spans="1:10">
      <c r="B1152" s="116" t="s">
        <v>17</v>
      </c>
      <c r="C1152" s="117">
        <f>C1150-C1151</f>
        <v>7221.1999999999989</v>
      </c>
      <c r="D1152" s="117">
        <f>D1150-D1151</f>
        <v>874.27068399999973</v>
      </c>
      <c r="E1152" s="118">
        <f>C1152/C1157</f>
        <v>4.3410017631637627</v>
      </c>
      <c r="F1152" s="118">
        <f>D1152/D1157</f>
        <v>3.8372486462200022</v>
      </c>
      <c r="G1152" s="271"/>
    </row>
    <row r="1153" spans="2:10">
      <c r="B1153" s="78" t="s">
        <v>18</v>
      </c>
      <c r="C1153" s="34">
        <f>Model!AD126</f>
        <v>5597.49</v>
      </c>
      <c r="D1153" s="113">
        <f>C1153*$J$1139</f>
        <v>677.68811429999994</v>
      </c>
      <c r="E1153" s="119"/>
      <c r="F1153" s="119"/>
      <c r="J1153" s="256"/>
    </row>
    <row r="1154" spans="2:10">
      <c r="B1154" s="116" t="s">
        <v>19</v>
      </c>
      <c r="C1154" s="117">
        <f>C1152-C1153</f>
        <v>1623.7099999999991</v>
      </c>
      <c r="D1154" s="117">
        <f>D1152-D1153</f>
        <v>196.58256969999979</v>
      </c>
      <c r="E1154" s="118">
        <f>C1154/C1157</f>
        <v>0.97608818103177186</v>
      </c>
      <c r="F1154" s="118">
        <f>D1154/D1157</f>
        <v>0.86281767564308909</v>
      </c>
      <c r="G1154" s="271"/>
    </row>
    <row r="1155" spans="2:10">
      <c r="B1155" s="75" t="s">
        <v>20</v>
      </c>
      <c r="C1155" s="120">
        <f>+Model!AD133</f>
        <v>7099.3559999999998</v>
      </c>
      <c r="D1155" s="78"/>
      <c r="E1155" s="121"/>
      <c r="F1155" s="78"/>
    </row>
    <row r="1156" spans="2:10">
      <c r="B1156" s="75" t="s">
        <v>21</v>
      </c>
      <c r="C1156" s="120">
        <f>C1152+C1155</f>
        <v>14320.555999999999</v>
      </c>
      <c r="D1156" s="122"/>
      <c r="E1156" s="121"/>
      <c r="F1156" s="78"/>
    </row>
    <row r="1157" spans="2:10">
      <c r="B1157" s="78" t="s">
        <v>22</v>
      </c>
      <c r="C1157" s="23">
        <f>Model!AD90</f>
        <v>1663.4870000000001</v>
      </c>
      <c r="D1157" s="23">
        <f>C1157*J1140</f>
        <v>227.83790277995837</v>
      </c>
      <c r="E1157" s="78"/>
      <c r="F1157" s="78"/>
      <c r="I1157" s="262"/>
      <c r="J1157" s="262"/>
    </row>
    <row r="1158" spans="2:10">
      <c r="B1158" s="258" t="s">
        <v>23</v>
      </c>
      <c r="C1158" s="272">
        <f>+C1150-Model!AD123</f>
        <v>45.69800000000032</v>
      </c>
      <c r="D1158" s="273"/>
      <c r="E1158" s="77"/>
      <c r="F1158" s="78"/>
    </row>
    <row r="1159" spans="2:10" ht="13.5" thickBot="1"/>
    <row r="1160" spans="2:10">
      <c r="B1160" s="79" t="s">
        <v>75</v>
      </c>
      <c r="C1160" s="80" t="s">
        <v>25</v>
      </c>
      <c r="D1160" s="80" t="s">
        <v>5</v>
      </c>
      <c r="I1160" s="79" t="s">
        <v>75</v>
      </c>
      <c r="J1160" s="80" t="s">
        <v>76</v>
      </c>
    </row>
    <row r="1161" spans="2:10">
      <c r="B1161" s="143" t="s">
        <v>33</v>
      </c>
      <c r="C1161" s="144">
        <f>SUM(C1162:C1163)</f>
        <v>45.698</v>
      </c>
      <c r="D1161" s="144">
        <f>SUM(D1162:D1163)</f>
        <v>5.5326568599999995</v>
      </c>
      <c r="I1161" s="143" t="s">
        <v>33</v>
      </c>
      <c r="J1161" s="128">
        <f>C1161/C1167</f>
        <v>4.3156781945963077E-3</v>
      </c>
    </row>
    <row r="1162" spans="2:10">
      <c r="B1162" s="142" t="s">
        <v>34</v>
      </c>
      <c r="C1162" s="85">
        <v>20.323</v>
      </c>
      <c r="D1162" s="82">
        <f>+C1162*$J$1139</f>
        <v>2.4605056099999998</v>
      </c>
      <c r="I1162" s="143" t="s">
        <v>36</v>
      </c>
      <c r="J1162" s="128">
        <f>C1164/C1167</f>
        <v>0.99568432180540367</v>
      </c>
    </row>
    <row r="1163" spans="2:10" ht="13.5" thickBot="1">
      <c r="B1163" s="142" t="s">
        <v>35</v>
      </c>
      <c r="C1163" s="85">
        <v>25.375</v>
      </c>
      <c r="D1163" s="82">
        <f>+C1163*$J$1139</f>
        <v>3.0721512500000001</v>
      </c>
      <c r="I1163" s="83" t="s">
        <v>37</v>
      </c>
      <c r="J1163" s="129">
        <f>+J1161+J1162</f>
        <v>1</v>
      </c>
    </row>
    <row r="1164" spans="2:10">
      <c r="B1164" s="143" t="s">
        <v>36</v>
      </c>
      <c r="C1164" s="144">
        <f>SUM(C1165:C1166)</f>
        <v>10543.136</v>
      </c>
      <c r="D1164" s="144">
        <f>SUM(D1165:D1166)</f>
        <v>1276.4574755199999</v>
      </c>
      <c r="I1164" s="262"/>
    </row>
    <row r="1165" spans="2:10">
      <c r="B1165" s="142" t="s">
        <v>34</v>
      </c>
      <c r="C1165" s="85">
        <f>859.125-C1162</f>
        <v>838.80200000000002</v>
      </c>
      <c r="D1165" s="82">
        <f>+C1165*$J$1139</f>
        <v>101.55375814</v>
      </c>
      <c r="I1165" s="262"/>
    </row>
    <row r="1166" spans="2:10">
      <c r="B1166" s="142" t="s">
        <v>35</v>
      </c>
      <c r="C1166" s="85">
        <f>9729.709-C1163</f>
        <v>9704.3340000000007</v>
      </c>
      <c r="D1166" s="82">
        <f>+C1166*$J$1139</f>
        <v>1174.90371738</v>
      </c>
      <c r="I1166" s="262"/>
    </row>
    <row r="1167" spans="2:10" ht="13.5" thickBot="1">
      <c r="B1167" s="83" t="s">
        <v>37</v>
      </c>
      <c r="C1167" s="84">
        <f>+C1161+C1164</f>
        <v>10588.834000000001</v>
      </c>
      <c r="D1167" s="84">
        <f>+D1161+D1164</f>
        <v>1281.99013238</v>
      </c>
      <c r="I1167" s="245"/>
    </row>
    <row r="1168" spans="2:10">
      <c r="B1168" s="258" t="s">
        <v>23</v>
      </c>
      <c r="C1168" s="272">
        <f>+C1167-C1150</f>
        <v>0</v>
      </c>
      <c r="D1168" s="86"/>
      <c r="I1168" s="274"/>
    </row>
    <row r="1169" spans="2:9" ht="13.5" thickBot="1">
      <c r="I1169" s="274"/>
    </row>
    <row r="1170" spans="2:9">
      <c r="B1170" s="79" t="s">
        <v>24</v>
      </c>
      <c r="C1170" s="80" t="s">
        <v>25</v>
      </c>
      <c r="D1170" s="80" t="s">
        <v>5</v>
      </c>
    </row>
    <row r="1171" spans="2:9">
      <c r="B1171" s="81" t="s">
        <v>26</v>
      </c>
      <c r="C1171" s="85">
        <v>0.377</v>
      </c>
      <c r="D1171" s="82">
        <f>+C1171*$J$1139</f>
        <v>4.5643389999999999E-2</v>
      </c>
    </row>
    <row r="1172" spans="2:9">
      <c r="B1172" s="81" t="s">
        <v>27</v>
      </c>
      <c r="C1172" s="85">
        <v>831.33100000000002</v>
      </c>
      <c r="D1172" s="82">
        <f t="shared" ref="D1172:D1174" si="20">+C1172*$J$1139</f>
        <v>100.64924417</v>
      </c>
    </row>
    <row r="1173" spans="2:9">
      <c r="B1173" s="81" t="s">
        <v>28</v>
      </c>
      <c r="C1173" s="85">
        <v>2557.6999999999998</v>
      </c>
      <c r="D1173" s="82">
        <f t="shared" si="20"/>
        <v>309.66073899999998</v>
      </c>
    </row>
    <row r="1174" spans="2:9">
      <c r="B1174" s="81" t="s">
        <v>29</v>
      </c>
      <c r="C1174" s="85">
        <v>-21.774000000000001</v>
      </c>
      <c r="D1174" s="82">
        <f t="shared" si="20"/>
        <v>-2.6361781799999999</v>
      </c>
    </row>
    <row r="1175" spans="2:9" ht="13.5" thickBot="1">
      <c r="B1175" s="83" t="s">
        <v>30</v>
      </c>
      <c r="C1175" s="84">
        <f>SUM(C1171:C1174)</f>
        <v>3367.634</v>
      </c>
      <c r="D1175" s="84">
        <f>SUM(D1171:D1174)</f>
        <v>407.71944837999996</v>
      </c>
    </row>
    <row r="1176" spans="2:9">
      <c r="B1176" s="258" t="s">
        <v>23</v>
      </c>
      <c r="C1176" s="272">
        <f>C1175-C1151</f>
        <v>0</v>
      </c>
      <c r="D1176" s="86"/>
    </row>
    <row r="1177" spans="2:9" ht="13.5" thickBot="1"/>
    <row r="1178" spans="2:9">
      <c r="B1178" s="79" t="s">
        <v>77</v>
      </c>
      <c r="C1178" s="136" t="s">
        <v>25</v>
      </c>
      <c r="D1178" s="131" t="s">
        <v>5</v>
      </c>
    </row>
    <row r="1179" spans="2:9">
      <c r="B1179" s="132" t="s">
        <v>40</v>
      </c>
      <c r="C1179" s="137">
        <v>838.80200000000002</v>
      </c>
      <c r="D1179" s="82">
        <f>+C1179*$J$1139</f>
        <v>101.55375814</v>
      </c>
    </row>
    <row r="1180" spans="2:9">
      <c r="B1180" s="132" t="s">
        <v>41</v>
      </c>
      <c r="C1180" s="137">
        <v>794.25199999999995</v>
      </c>
      <c r="D1180" s="82">
        <f t="shared" ref="D1180:D1184" si="21">+C1180*$J$1139</f>
        <v>96.160089639999995</v>
      </c>
    </row>
    <row r="1181" spans="2:9">
      <c r="B1181" s="132" t="s">
        <v>42</v>
      </c>
      <c r="C1181" s="137">
        <v>4275.5159999999996</v>
      </c>
      <c r="D1181" s="82">
        <f t="shared" si="21"/>
        <v>517.63672211999994</v>
      </c>
    </row>
    <row r="1182" spans="2:9">
      <c r="B1182" s="132" t="s">
        <v>43</v>
      </c>
      <c r="C1182" s="137">
        <v>353.82</v>
      </c>
      <c r="D1182" s="82">
        <f t="shared" si="21"/>
        <v>42.836987399999998</v>
      </c>
    </row>
    <row r="1183" spans="2:9">
      <c r="B1183" s="132" t="s">
        <v>44</v>
      </c>
      <c r="C1183" s="137">
        <v>4280.7460000000001</v>
      </c>
      <c r="D1183" s="82">
        <f t="shared" si="21"/>
        <v>518.26991822000002</v>
      </c>
    </row>
    <row r="1184" spans="2:9">
      <c r="B1184" s="81" t="s">
        <v>45</v>
      </c>
      <c r="C1184" s="137">
        <v>0</v>
      </c>
      <c r="D1184" s="82">
        <f t="shared" si="21"/>
        <v>0</v>
      </c>
    </row>
    <row r="1185" spans="1:10" ht="13.5" thickBot="1">
      <c r="B1185" s="134" t="s">
        <v>46</v>
      </c>
      <c r="C1185" s="138">
        <f>+SUM(C1179:C1184)</f>
        <v>10543.135999999999</v>
      </c>
      <c r="D1185" s="135">
        <f>+SUM(D1179:D1184)</f>
        <v>1276.4574755200001</v>
      </c>
    </row>
    <row r="1186" spans="1:10">
      <c r="B1186" s="258" t="s">
        <v>23</v>
      </c>
      <c r="C1186" s="272">
        <f>+C1185-C1167+C1146+C1149</f>
        <v>-2.1387336346379016E-12</v>
      </c>
    </row>
    <row r="1188" spans="1:10" ht="13.5" thickBot="1"/>
    <row r="1189" spans="1:10">
      <c r="B1189" s="79" t="s">
        <v>59</v>
      </c>
      <c r="C1189" s="136" t="s">
        <v>25</v>
      </c>
      <c r="D1189" s="131" t="s">
        <v>5</v>
      </c>
    </row>
    <row r="1190" spans="1:10">
      <c r="B1190" s="132" t="s">
        <v>40</v>
      </c>
      <c r="C1190" s="137">
        <v>20.323</v>
      </c>
      <c r="D1190" s="82">
        <f>+C1190*$J$1139</f>
        <v>2.4605056099999998</v>
      </c>
    </row>
    <row r="1191" spans="1:10">
      <c r="B1191" s="132" t="s">
        <v>41</v>
      </c>
      <c r="C1191" s="137">
        <v>25.375</v>
      </c>
      <c r="D1191" s="82">
        <f t="shared" ref="D1191:D1193" si="22">+C1191*$J$1139</f>
        <v>3.0721512500000001</v>
      </c>
    </row>
    <row r="1192" spans="1:10">
      <c r="B1192" s="132" t="s">
        <v>42</v>
      </c>
      <c r="C1192" s="137">
        <v>0</v>
      </c>
      <c r="D1192" s="82">
        <f t="shared" si="22"/>
        <v>0</v>
      </c>
    </row>
    <row r="1193" spans="1:10">
      <c r="B1193" s="132" t="s">
        <v>43</v>
      </c>
      <c r="C1193" s="137">
        <v>0</v>
      </c>
      <c r="D1193" s="82">
        <f t="shared" si="22"/>
        <v>0</v>
      </c>
    </row>
    <row r="1194" spans="1:10" ht="13.5" thickBot="1">
      <c r="B1194" s="134" t="s">
        <v>46</v>
      </c>
      <c r="C1194" s="138">
        <f>+SUM(C1190:C1193)</f>
        <v>45.698</v>
      </c>
      <c r="D1194" s="135">
        <f>+SUM(D1190:D1193)</f>
        <v>5.5326568599999995</v>
      </c>
    </row>
    <row r="1195" spans="1:10">
      <c r="B1195" s="258" t="s">
        <v>23</v>
      </c>
      <c r="C1195" s="130">
        <f>C1194-C1146-C1149</f>
        <v>0</v>
      </c>
    </row>
    <row r="1198" spans="1:10">
      <c r="A1198" s="7" t="s">
        <v>149</v>
      </c>
      <c r="I1198" s="75" t="s">
        <v>150</v>
      </c>
      <c r="J1198" s="71">
        <f>Model!AC215</f>
        <v>0.13551299999999999</v>
      </c>
    </row>
    <row r="1199" spans="1:10">
      <c r="I1199" s="76" t="s">
        <v>151</v>
      </c>
      <c r="J1199" s="71">
        <f>Model!AC216</f>
        <v>0.14519262499999999</v>
      </c>
    </row>
    <row r="1200" spans="1:10">
      <c r="I1200" s="76"/>
      <c r="J1200" s="71"/>
    </row>
    <row r="1202" spans="2:10">
      <c r="B1202" s="108" t="s">
        <v>152</v>
      </c>
      <c r="C1202" s="109" t="s">
        <v>25</v>
      </c>
      <c r="D1202" s="109" t="s">
        <v>5</v>
      </c>
      <c r="E1202" s="141" t="s">
        <v>57</v>
      </c>
      <c r="F1202" s="110" t="s">
        <v>7</v>
      </c>
    </row>
    <row r="1203" spans="2:10">
      <c r="B1203" s="124" t="s">
        <v>10</v>
      </c>
      <c r="C1203" s="125">
        <f>SUM(C1204:C1205)</f>
        <v>780.13099999999997</v>
      </c>
      <c r="D1203" s="125">
        <f>SUM(D1204:D1205)</f>
        <v>105.71789220300001</v>
      </c>
      <c r="E1203" s="123"/>
      <c r="F1203" s="123"/>
    </row>
    <row r="1204" spans="2:10">
      <c r="B1204" s="111" t="s">
        <v>12</v>
      </c>
      <c r="C1204" s="22">
        <f>11.408+431.144+318.467</f>
        <v>761.01900000000001</v>
      </c>
      <c r="D1204" s="113">
        <f>C1204*$J$1198</f>
        <v>103.127967747</v>
      </c>
      <c r="E1204" s="114"/>
      <c r="F1204" s="114"/>
    </row>
    <row r="1205" spans="2:10">
      <c r="B1205" s="78" t="s">
        <v>13</v>
      </c>
      <c r="C1205" s="22">
        <v>19.111999999999998</v>
      </c>
      <c r="D1205" s="113">
        <f>C1205*$J$1198</f>
        <v>2.5899244559999999</v>
      </c>
      <c r="E1205" s="114"/>
      <c r="F1205" s="114"/>
    </row>
    <row r="1206" spans="2:10">
      <c r="B1206" s="124" t="s">
        <v>14</v>
      </c>
      <c r="C1206" s="125">
        <f>SUM(C1207:C1208)</f>
        <v>8607.9509999999991</v>
      </c>
      <c r="D1206" s="125">
        <f>SUM(D1207:D1208)</f>
        <v>1166.4892638629999</v>
      </c>
      <c r="E1206" s="114"/>
      <c r="F1206" s="114"/>
    </row>
    <row r="1207" spans="2:10">
      <c r="B1207" s="111" t="s">
        <v>12</v>
      </c>
      <c r="C1207" s="22">
        <f>4097.309+4479.923</f>
        <v>8577.232</v>
      </c>
      <c r="D1207" s="113">
        <f>C1207*$J$1198</f>
        <v>1162.3264400159999</v>
      </c>
      <c r="E1207" s="114"/>
      <c r="F1207" s="114"/>
    </row>
    <row r="1208" spans="2:10">
      <c r="B1208" s="78" t="s">
        <v>13</v>
      </c>
      <c r="C1208" s="22">
        <v>30.719000000000001</v>
      </c>
      <c r="D1208" s="113">
        <f>C1208*$J$1198</f>
        <v>4.1628238470000003</v>
      </c>
      <c r="E1208" s="114"/>
      <c r="F1208" s="115"/>
    </row>
    <row r="1209" spans="2:10">
      <c r="B1209" s="116" t="s">
        <v>15</v>
      </c>
      <c r="C1209" s="117">
        <f>C1203+C1206</f>
        <v>9388.0819999999985</v>
      </c>
      <c r="D1209" s="117">
        <f>D1203+D1206</f>
        <v>1272.2071560659999</v>
      </c>
      <c r="E1209" s="118">
        <f>C1209/C1216</f>
        <v>5.7909943052841424</v>
      </c>
      <c r="F1209" s="118">
        <f>D1209/D1216</f>
        <v>5.4049233650260824</v>
      </c>
      <c r="H1209" s="270"/>
    </row>
    <row r="1210" spans="2:10">
      <c r="B1210" s="78" t="s">
        <v>16</v>
      </c>
      <c r="C1210" s="34">
        <f>Model!AC125</f>
        <v>3824.32</v>
      </c>
      <c r="D1210" s="113">
        <f>C1210*$J$1198</f>
        <v>518.24507616000005</v>
      </c>
      <c r="E1210" s="119"/>
      <c r="F1210" s="119"/>
      <c r="J1210" s="256"/>
    </row>
    <row r="1211" spans="2:10">
      <c r="B1211" s="116" t="s">
        <v>17</v>
      </c>
      <c r="C1211" s="117">
        <f>C1209-C1210</f>
        <v>5563.7619999999988</v>
      </c>
      <c r="D1211" s="117">
        <f>D1209-D1210</f>
        <v>753.96207990599987</v>
      </c>
      <c r="E1211" s="118">
        <f>C1211/C1216</f>
        <v>3.4319804682102597</v>
      </c>
      <c r="F1211" s="118">
        <f>D1211/D1216</f>
        <v>3.2031790126294428</v>
      </c>
      <c r="G1211" s="271"/>
    </row>
    <row r="1212" spans="2:10">
      <c r="B1212" s="78" t="s">
        <v>18</v>
      </c>
      <c r="C1212" s="34">
        <f>Model!AC126</f>
        <v>3639.4740000000002</v>
      </c>
      <c r="D1212" s="113">
        <f>C1212*$J$1198</f>
        <v>493.19604016199997</v>
      </c>
      <c r="E1212" s="119"/>
      <c r="F1212" s="119"/>
      <c r="J1212" s="256"/>
    </row>
    <row r="1213" spans="2:10">
      <c r="B1213" s="116" t="s">
        <v>19</v>
      </c>
      <c r="C1213" s="117">
        <f>C1211-C1212</f>
        <v>1924.2879999999986</v>
      </c>
      <c r="D1213" s="117">
        <f>D1211-D1212</f>
        <v>260.7660397439999</v>
      </c>
      <c r="E1213" s="118">
        <f>C1213/C1216</f>
        <v>1.1869880183967936</v>
      </c>
      <c r="F1213" s="118">
        <f>D1213/D1216</f>
        <v>1.1078545300562253</v>
      </c>
      <c r="G1213" s="271"/>
    </row>
    <row r="1214" spans="2:10">
      <c r="B1214" s="75" t="s">
        <v>20</v>
      </c>
      <c r="C1214" s="120">
        <f>+Model!AC133</f>
        <v>6473.5609999999997</v>
      </c>
      <c r="D1214" s="78"/>
      <c r="E1214" s="121"/>
      <c r="F1214" s="78"/>
    </row>
    <row r="1215" spans="2:10">
      <c r="B1215" s="75" t="s">
        <v>21</v>
      </c>
      <c r="C1215" s="120">
        <f>C1211+C1214</f>
        <v>12037.322999999999</v>
      </c>
      <c r="D1215" s="122"/>
      <c r="E1215" s="121"/>
      <c r="F1215" s="78"/>
    </row>
    <row r="1216" spans="2:10">
      <c r="B1216" s="78" t="s">
        <v>22</v>
      </c>
      <c r="C1216" s="23">
        <f>Model!AC90</f>
        <v>1621.152</v>
      </c>
      <c r="D1216" s="23">
        <f>C1216*J1199</f>
        <v>235.37931440399998</v>
      </c>
      <c r="E1216" s="78"/>
      <c r="F1216" s="78"/>
      <c r="I1216" s="262"/>
      <c r="J1216" s="262"/>
    </row>
    <row r="1217" spans="2:10">
      <c r="B1217" s="258" t="s">
        <v>23</v>
      </c>
      <c r="C1217" s="272">
        <f>+C1209-Model!AC123</f>
        <v>49.830999999998312</v>
      </c>
      <c r="D1217" s="273"/>
      <c r="E1217" s="77"/>
      <c r="F1217" s="78"/>
    </row>
    <row r="1218" spans="2:10" ht="13.5" thickBot="1"/>
    <row r="1219" spans="2:10">
      <c r="B1219" s="79" t="s">
        <v>75</v>
      </c>
      <c r="C1219" s="80" t="s">
        <v>25</v>
      </c>
      <c r="D1219" s="80" t="s">
        <v>5</v>
      </c>
      <c r="I1219" s="79" t="s">
        <v>75</v>
      </c>
      <c r="J1219" s="80" t="s">
        <v>76</v>
      </c>
    </row>
    <row r="1220" spans="2:10">
      <c r="B1220" s="143" t="s">
        <v>33</v>
      </c>
      <c r="C1220" s="144">
        <f>SUM(C1221:C1222)</f>
        <v>49.840999999999994</v>
      </c>
      <c r="D1220" s="144">
        <f>SUM(D1221:D1222)</f>
        <v>6.7541034329999992</v>
      </c>
      <c r="I1220" s="143" t="s">
        <v>33</v>
      </c>
      <c r="J1220" s="128">
        <f>C1220/C1226</f>
        <v>5.3089651326010991E-3</v>
      </c>
    </row>
    <row r="1221" spans="2:10">
      <c r="B1221" s="142" t="s">
        <v>34</v>
      </c>
      <c r="C1221" s="85">
        <v>19.111999999999998</v>
      </c>
      <c r="D1221" s="82">
        <f>+C1221*$J$1198</f>
        <v>2.5899244559999999</v>
      </c>
      <c r="I1221" s="143" t="s">
        <v>36</v>
      </c>
      <c r="J1221" s="128">
        <f>C1223/C1226</f>
        <v>0.99469103486739885</v>
      </c>
    </row>
    <row r="1222" spans="2:10" ht="13.5" thickBot="1">
      <c r="B1222" s="142" t="s">
        <v>35</v>
      </c>
      <c r="C1222" s="85">
        <v>30.728999999999999</v>
      </c>
      <c r="D1222" s="82">
        <f>+C1222*$J$1198</f>
        <v>4.1641789769999997</v>
      </c>
      <c r="I1222" s="83" t="s">
        <v>37</v>
      </c>
      <c r="J1222" s="129">
        <f>+J1220+J1221</f>
        <v>1</v>
      </c>
    </row>
    <row r="1223" spans="2:10">
      <c r="B1223" s="143" t="s">
        <v>36</v>
      </c>
      <c r="C1223" s="144">
        <f>SUM(C1224:C1225)</f>
        <v>9338.241</v>
      </c>
      <c r="D1223" s="144">
        <f>SUM(D1224:D1225)</f>
        <v>1265.453052633</v>
      </c>
      <c r="I1223" s="262"/>
    </row>
    <row r="1224" spans="2:10">
      <c r="B1224" s="142" t="s">
        <v>34</v>
      </c>
      <c r="C1224" s="85">
        <f>780.131-C1221</f>
        <v>761.01900000000001</v>
      </c>
      <c r="D1224" s="82">
        <f>+C1224*$J$1198</f>
        <v>103.127967747</v>
      </c>
      <c r="I1224" s="262"/>
    </row>
    <row r="1225" spans="2:10">
      <c r="B1225" s="142" t="s">
        <v>35</v>
      </c>
      <c r="C1225" s="85">
        <f>8607.951-C1222</f>
        <v>8577.2219999999998</v>
      </c>
      <c r="D1225" s="82">
        <f>+C1225*$J$1198</f>
        <v>1162.325084886</v>
      </c>
      <c r="I1225" s="262"/>
    </row>
    <row r="1226" spans="2:10" ht="13.5" thickBot="1">
      <c r="B1226" s="83" t="s">
        <v>37</v>
      </c>
      <c r="C1226" s="84">
        <f>+C1220+C1223</f>
        <v>9388.0820000000003</v>
      </c>
      <c r="D1226" s="84">
        <f>+D1220+D1223</f>
        <v>1272.2071560659999</v>
      </c>
      <c r="I1226" s="245"/>
    </row>
    <row r="1227" spans="2:10">
      <c r="B1227" s="258" t="s">
        <v>23</v>
      </c>
      <c r="C1227" s="272">
        <f>+C1226-C1209</f>
        <v>0</v>
      </c>
      <c r="D1227" s="86"/>
      <c r="I1227" s="274"/>
    </row>
    <row r="1228" spans="2:10" ht="13.5" thickBot="1">
      <c r="I1228" s="274"/>
    </row>
    <row r="1229" spans="2:10">
      <c r="B1229" s="79" t="s">
        <v>24</v>
      </c>
      <c r="C1229" s="80" t="s">
        <v>25</v>
      </c>
      <c r="D1229" s="80" t="s">
        <v>5</v>
      </c>
    </row>
    <row r="1230" spans="2:10">
      <c r="B1230" s="81" t="s">
        <v>26</v>
      </c>
      <c r="C1230" s="85">
        <v>0.438</v>
      </c>
      <c r="D1230" s="82">
        <f>+C1230*$J$1198</f>
        <v>5.9354694E-2</v>
      </c>
    </row>
    <row r="1231" spans="2:10">
      <c r="B1231" s="81" t="s">
        <v>27</v>
      </c>
      <c r="C1231" s="85">
        <v>666.00599999999997</v>
      </c>
      <c r="D1231" s="82">
        <f>+C1231*$J$1198</f>
        <v>90.252471077999999</v>
      </c>
    </row>
    <row r="1232" spans="2:10">
      <c r="B1232" s="81" t="s">
        <v>28</v>
      </c>
      <c r="C1232" s="85">
        <v>3174.6060000000002</v>
      </c>
      <c r="D1232" s="82">
        <f>+C1232*$J$1198</f>
        <v>430.20038287800003</v>
      </c>
    </row>
    <row r="1233" spans="2:4">
      <c r="B1233" s="81" t="s">
        <v>29</v>
      </c>
      <c r="C1233" s="85">
        <v>-16.73</v>
      </c>
      <c r="D1233" s="82">
        <f>+C1233*$J$1198</f>
        <v>-2.2671324899999998</v>
      </c>
    </row>
    <row r="1234" spans="2:4" ht="13.5" thickBot="1">
      <c r="B1234" s="83" t="s">
        <v>30</v>
      </c>
      <c r="C1234" s="84">
        <f>SUM(C1230:C1233)</f>
        <v>3824.32</v>
      </c>
      <c r="D1234" s="84">
        <f>SUM(D1230:D1233)</f>
        <v>518.24507616000005</v>
      </c>
    </row>
    <row r="1235" spans="2:4">
      <c r="B1235" s="258" t="s">
        <v>23</v>
      </c>
      <c r="C1235" s="272">
        <f>C1234-C1210</f>
        <v>0</v>
      </c>
      <c r="D1235" s="86"/>
    </row>
    <row r="1236" spans="2:4" ht="13.5" thickBot="1"/>
    <row r="1237" spans="2:4">
      <c r="B1237" s="79" t="s">
        <v>77</v>
      </c>
      <c r="C1237" s="136" t="s">
        <v>25</v>
      </c>
      <c r="D1237" s="131" t="s">
        <v>5</v>
      </c>
    </row>
    <row r="1238" spans="2:4">
      <c r="B1238" s="132" t="s">
        <v>40</v>
      </c>
      <c r="C1238" s="137">
        <v>761.01900000000001</v>
      </c>
      <c r="D1238" s="82">
        <f t="shared" ref="D1238:D1243" si="23">+C1238*$J$1198</f>
        <v>103.127967747</v>
      </c>
    </row>
    <row r="1239" spans="2:4">
      <c r="B1239" s="132" t="s">
        <v>41</v>
      </c>
      <c r="C1239" s="137">
        <v>703.48599999999999</v>
      </c>
      <c r="D1239" s="82">
        <f t="shared" si="23"/>
        <v>95.331498318000001</v>
      </c>
    </row>
    <row r="1240" spans="2:4">
      <c r="B1240" s="132" t="s">
        <v>42</v>
      </c>
      <c r="C1240" s="137">
        <v>3866.8310000000001</v>
      </c>
      <c r="D1240" s="82">
        <f t="shared" si="23"/>
        <v>524.00586930299994</v>
      </c>
    </row>
    <row r="1241" spans="2:4">
      <c r="B1241" s="132" t="s">
        <v>43</v>
      </c>
      <c r="C1241" s="137">
        <v>309.00799999999998</v>
      </c>
      <c r="D1241" s="82">
        <f t="shared" si="23"/>
        <v>41.874601103999993</v>
      </c>
    </row>
    <row r="1242" spans="2:4">
      <c r="B1242" s="132" t="s">
        <v>44</v>
      </c>
      <c r="C1242" s="137">
        <v>3688.8530000000001</v>
      </c>
      <c r="D1242" s="82">
        <f t="shared" si="23"/>
        <v>499.88753658899998</v>
      </c>
    </row>
    <row r="1243" spans="2:4">
      <c r="B1243" s="81" t="s">
        <v>45</v>
      </c>
      <c r="C1243" s="137">
        <v>9.0540000000000003</v>
      </c>
      <c r="D1243" s="82">
        <f t="shared" si="23"/>
        <v>1.2269347019999999</v>
      </c>
    </row>
    <row r="1244" spans="2:4" ht="13.5" thickBot="1">
      <c r="B1244" s="134" t="s">
        <v>46</v>
      </c>
      <c r="C1244" s="138">
        <f>+SUM(C1238:C1243)</f>
        <v>9338.2510000000002</v>
      </c>
      <c r="D1244" s="135">
        <f>+SUM(D1238:D1243)</f>
        <v>1265.4544077630001</v>
      </c>
    </row>
    <row r="1245" spans="2:4">
      <c r="B1245" s="258" t="s">
        <v>23</v>
      </c>
      <c r="C1245" s="272">
        <f>+C1244-C1226+C1205+C1208</f>
        <v>-1.3145040611561853E-13</v>
      </c>
    </row>
    <row r="1247" spans="2:4" ht="13.5" thickBot="1"/>
    <row r="1248" spans="2:4">
      <c r="B1248" s="79" t="s">
        <v>59</v>
      </c>
      <c r="C1248" s="136" t="s">
        <v>25</v>
      </c>
      <c r="D1248" s="131" t="s">
        <v>5</v>
      </c>
    </row>
    <row r="1249" spans="1:10">
      <c r="B1249" s="132" t="s">
        <v>40</v>
      </c>
      <c r="C1249" s="137">
        <v>19.111999999999998</v>
      </c>
      <c r="D1249" s="82">
        <f>+C1249*$J$1198</f>
        <v>2.5899244559999999</v>
      </c>
    </row>
    <row r="1250" spans="1:10">
      <c r="B1250" s="132" t="s">
        <v>41</v>
      </c>
      <c r="C1250" s="137">
        <v>26.567</v>
      </c>
      <c r="D1250" s="82">
        <f>+C1250*$J$1198</f>
        <v>3.600173871</v>
      </c>
    </row>
    <row r="1251" spans="1:10">
      <c r="B1251" s="132" t="s">
        <v>42</v>
      </c>
      <c r="C1251" s="137">
        <v>4.1520000000000001</v>
      </c>
      <c r="D1251" s="82">
        <f>+C1251*$J$1198</f>
        <v>0.562649976</v>
      </c>
    </row>
    <row r="1252" spans="1:10">
      <c r="B1252" s="132" t="s">
        <v>43</v>
      </c>
      <c r="C1252" s="137">
        <v>0</v>
      </c>
      <c r="D1252" s="82">
        <f>+C1252*$J$1198</f>
        <v>0</v>
      </c>
    </row>
    <row r="1253" spans="1:10" ht="13.5" thickBot="1">
      <c r="B1253" s="134" t="s">
        <v>46</v>
      </c>
      <c r="C1253" s="138">
        <f>+SUM(C1249:C1252)</f>
        <v>49.831000000000003</v>
      </c>
      <c r="D1253" s="135">
        <f>+SUM(D1249:D1252)</f>
        <v>6.7527483029999997</v>
      </c>
    </row>
    <row r="1254" spans="1:10">
      <c r="B1254" s="258" t="s">
        <v>23</v>
      </c>
      <c r="C1254" s="130">
        <f>C1253-C1205-C1208</f>
        <v>0</v>
      </c>
    </row>
    <row r="1257" spans="1:10">
      <c r="A1257" s="7" t="s">
        <v>153</v>
      </c>
      <c r="I1257" s="75" t="s">
        <v>154</v>
      </c>
      <c r="J1257" s="71">
        <f>+Model!AB215</f>
        <v>0.12955</v>
      </c>
    </row>
    <row r="1258" spans="1:10">
      <c r="I1258" s="76" t="s">
        <v>155</v>
      </c>
      <c r="J1258" s="71">
        <f>+Model!AB216</f>
        <v>0.15518400000000002</v>
      </c>
    </row>
    <row r="1259" spans="1:10">
      <c r="I1259" s="76"/>
      <c r="J1259" s="71"/>
    </row>
    <row r="1261" spans="1:10">
      <c r="B1261" s="108" t="s">
        <v>152</v>
      </c>
      <c r="C1261" s="109" t="s">
        <v>25</v>
      </c>
      <c r="D1261" s="109" t="s">
        <v>5</v>
      </c>
      <c r="E1261" s="141" t="s">
        <v>57</v>
      </c>
      <c r="F1261" s="110" t="s">
        <v>7</v>
      </c>
    </row>
    <row r="1262" spans="1:10">
      <c r="B1262" s="124" t="s">
        <v>10</v>
      </c>
      <c r="C1262" s="125">
        <f>SUM(C1263:C1264)</f>
        <v>4067.04</v>
      </c>
      <c r="D1262" s="125">
        <f>SUM(D1263:D1264)</f>
        <v>526.88503200000002</v>
      </c>
      <c r="E1262" s="123"/>
      <c r="F1262" s="123"/>
    </row>
    <row r="1263" spans="1:10">
      <c r="B1263" s="111" t="s">
        <v>12</v>
      </c>
      <c r="C1263" s="112">
        <f>69.362+3980.636</f>
        <v>4049.998</v>
      </c>
      <c r="D1263" s="113">
        <f>C1263*$J$1257</f>
        <v>524.67724090000002</v>
      </c>
      <c r="E1263" s="114"/>
      <c r="F1263" s="114"/>
    </row>
    <row r="1264" spans="1:10">
      <c r="B1264" s="78" t="s">
        <v>13</v>
      </c>
      <c r="C1264" s="112">
        <v>17.042000000000002</v>
      </c>
      <c r="D1264" s="113">
        <f>C1264*$J$1257</f>
        <v>2.2077911000000001</v>
      </c>
      <c r="E1264" s="114"/>
      <c r="F1264" s="114"/>
    </row>
    <row r="1265" spans="2:10">
      <c r="B1265" s="124" t="s">
        <v>14</v>
      </c>
      <c r="C1265" s="125">
        <f>SUM(C1266:C1267)</f>
        <v>4392.0820000000003</v>
      </c>
      <c r="D1265" s="125">
        <f>SUM(D1266:D1267)</f>
        <v>568.9942231</v>
      </c>
      <c r="E1265" s="114"/>
      <c r="F1265" s="114"/>
    </row>
    <row r="1266" spans="2:10">
      <c r="B1266" s="111" t="s">
        <v>12</v>
      </c>
      <c r="C1266" s="112">
        <v>4356.3680000000004</v>
      </c>
      <c r="D1266" s="113">
        <f>C1266*$J$1257</f>
        <v>564.36747439999999</v>
      </c>
      <c r="E1266" s="114"/>
      <c r="F1266" s="114"/>
    </row>
    <row r="1267" spans="2:10">
      <c r="B1267" s="78" t="s">
        <v>13</v>
      </c>
      <c r="C1267" s="112">
        <v>35.713999999999999</v>
      </c>
      <c r="D1267" s="113">
        <f>C1267*$J$1257</f>
        <v>4.6267486999999994</v>
      </c>
      <c r="E1267" s="114"/>
      <c r="F1267" s="115"/>
    </row>
    <row r="1268" spans="2:10">
      <c r="B1268" s="116" t="s">
        <v>15</v>
      </c>
      <c r="C1268" s="117">
        <f>C1262+C1265</f>
        <v>8459.1219999999994</v>
      </c>
      <c r="D1268" s="117">
        <f>D1262+D1265</f>
        <v>1095.8792551000001</v>
      </c>
      <c r="E1268" s="118">
        <f>C1268/C1275</f>
        <v>5.5597362334595459</v>
      </c>
      <c r="F1268" s="118">
        <f>D1268/D1275</f>
        <v>4.6413536772134005</v>
      </c>
      <c r="H1268" s="270"/>
    </row>
    <row r="1269" spans="2:10">
      <c r="B1269" s="78" t="s">
        <v>16</v>
      </c>
      <c r="C1269" s="34">
        <f>Model!AB125</f>
        <v>3532.3679999999999</v>
      </c>
      <c r="D1269" s="113">
        <f>C1269*$J$1257</f>
        <v>457.61827439999996</v>
      </c>
      <c r="E1269" s="119"/>
      <c r="F1269" s="119"/>
      <c r="J1269" s="256"/>
    </row>
    <row r="1270" spans="2:10">
      <c r="B1270" s="116" t="s">
        <v>17</v>
      </c>
      <c r="C1270" s="117">
        <f>C1268-C1269</f>
        <v>4926.753999999999</v>
      </c>
      <c r="D1270" s="117">
        <f>D1268-D1269</f>
        <v>638.26098070000012</v>
      </c>
      <c r="E1270" s="118">
        <f>C1270/C1275</f>
        <v>3.2380964274001189</v>
      </c>
      <c r="F1270" s="118">
        <f>D1270/D1275</f>
        <v>2.7032129096407203</v>
      </c>
      <c r="G1270" s="271"/>
    </row>
    <row r="1271" spans="2:10">
      <c r="B1271" s="78" t="s">
        <v>18</v>
      </c>
      <c r="C1271" s="34">
        <f>+Model!AB126</f>
        <v>2374.6410000000001</v>
      </c>
      <c r="D1271" s="113">
        <f>C1271*$J$1257</f>
        <v>307.63474155</v>
      </c>
      <c r="E1271" s="119"/>
      <c r="F1271" s="119"/>
      <c r="J1271" s="256"/>
    </row>
    <row r="1272" spans="2:10">
      <c r="B1272" s="116" t="s">
        <v>19</v>
      </c>
      <c r="C1272" s="117">
        <f>C1270-C1271</f>
        <v>2552.1129999999989</v>
      </c>
      <c r="D1272" s="117">
        <f>D1270-D1271</f>
        <v>330.62623915000012</v>
      </c>
      <c r="E1272" s="118">
        <f>C1272/C1275</f>
        <v>1.6773697220566315</v>
      </c>
      <c r="F1272" s="118">
        <f>D1272/D1275</f>
        <v>1.4002941507657798</v>
      </c>
      <c r="G1272" s="271"/>
    </row>
    <row r="1273" spans="2:10">
      <c r="B1273" s="75" t="s">
        <v>20</v>
      </c>
      <c r="C1273" s="120">
        <f>+Model!AB133</f>
        <v>6139.3760000000002</v>
      </c>
      <c r="D1273" s="78"/>
      <c r="E1273" s="121"/>
      <c r="F1273" s="78"/>
    </row>
    <row r="1274" spans="2:10">
      <c r="B1274" s="75" t="s">
        <v>21</v>
      </c>
      <c r="C1274" s="120">
        <f>C1270+C1273</f>
        <v>11066.13</v>
      </c>
      <c r="D1274" s="122"/>
      <c r="E1274" s="121"/>
      <c r="F1274" s="78"/>
    </row>
    <row r="1275" spans="2:10">
      <c r="B1275" s="78" t="s">
        <v>22</v>
      </c>
      <c r="C1275" s="23">
        <f>+Model!AB90</f>
        <v>1521.4970000000001</v>
      </c>
      <c r="D1275" s="23">
        <f>C1275*J1258</f>
        <v>236.11199044800003</v>
      </c>
      <c r="E1275" s="78"/>
      <c r="F1275" s="78"/>
      <c r="I1275" s="262"/>
      <c r="J1275" s="262"/>
    </row>
    <row r="1276" spans="2:10">
      <c r="B1276" s="258" t="s">
        <v>23</v>
      </c>
      <c r="C1276" s="272">
        <f>+C1268-Model!AB123</f>
        <v>52.755999999999403</v>
      </c>
      <c r="D1276" s="273"/>
      <c r="E1276" s="77"/>
      <c r="F1276" s="78"/>
    </row>
    <row r="1277" spans="2:10" ht="13.5" thickBot="1"/>
    <row r="1278" spans="2:10">
      <c r="B1278" s="79" t="s">
        <v>75</v>
      </c>
      <c r="C1278" s="80" t="s">
        <v>25</v>
      </c>
      <c r="D1278" s="80" t="s">
        <v>5</v>
      </c>
      <c r="I1278" s="79" t="s">
        <v>75</v>
      </c>
      <c r="J1278" s="80" t="s">
        <v>76</v>
      </c>
    </row>
    <row r="1279" spans="2:10">
      <c r="B1279" s="143" t="s">
        <v>33</v>
      </c>
      <c r="C1279" s="144">
        <f>SUM(C1280:C1281)</f>
        <v>114.001</v>
      </c>
      <c r="D1279" s="144">
        <f>SUM(D1280:D1281)</f>
        <v>14.768829550000001</v>
      </c>
      <c r="I1279" s="143" t="s">
        <v>33</v>
      </c>
      <c r="J1279" s="128">
        <f>C1279/C1285</f>
        <v>1.3476630427458417E-2</v>
      </c>
    </row>
    <row r="1280" spans="2:10">
      <c r="B1280" s="142" t="s">
        <v>34</v>
      </c>
      <c r="C1280" s="85">
        <v>78.286000000000001</v>
      </c>
      <c r="D1280" s="82">
        <f>+C1280*$J$1257</f>
        <v>10.141951300000001</v>
      </c>
      <c r="I1280" s="143" t="s">
        <v>36</v>
      </c>
      <c r="J1280" s="128">
        <f>C1282/C1285</f>
        <v>0.98652336957254161</v>
      </c>
    </row>
    <row r="1281" spans="2:10" ht="13.5" thickBot="1">
      <c r="B1281" s="142" t="s">
        <v>35</v>
      </c>
      <c r="C1281" s="85">
        <v>35.715000000000003</v>
      </c>
      <c r="D1281" s="82">
        <f>+C1281*$J$1257</f>
        <v>4.6268782500000007</v>
      </c>
      <c r="I1281" s="83" t="s">
        <v>37</v>
      </c>
      <c r="J1281" s="129">
        <f>+J1279+J1280</f>
        <v>1</v>
      </c>
    </row>
    <row r="1282" spans="2:10">
      <c r="B1282" s="143" t="s">
        <v>36</v>
      </c>
      <c r="C1282" s="144">
        <f>SUM(C1283:C1284)</f>
        <v>8345.1610000000001</v>
      </c>
      <c r="D1282" s="144">
        <f>SUM(D1283:D1284)</f>
        <v>1081.1156075499998</v>
      </c>
      <c r="I1282" s="262"/>
    </row>
    <row r="1283" spans="2:10">
      <c r="B1283" s="142" t="s">
        <v>34</v>
      </c>
      <c r="C1283" s="85">
        <f>3012.098+923.034+53.622</f>
        <v>3988.7539999999999</v>
      </c>
      <c r="D1283" s="82">
        <f t="shared" ref="D1283:D1284" si="24">+C1283*$J$1257</f>
        <v>516.74308069999995</v>
      </c>
      <c r="I1283" s="262"/>
    </row>
    <row r="1284" spans="2:10">
      <c r="B1284" s="142" t="s">
        <v>35</v>
      </c>
      <c r="C1284" s="85">
        <f>3254.691+828.693+273.023</f>
        <v>4356.4070000000002</v>
      </c>
      <c r="D1284" s="82">
        <f t="shared" si="24"/>
        <v>564.37252684999999</v>
      </c>
      <c r="I1284" s="262"/>
    </row>
    <row r="1285" spans="2:10" ht="13.5" thickBot="1">
      <c r="B1285" s="83" t="s">
        <v>37</v>
      </c>
      <c r="C1285" s="84">
        <f>+C1279+C1282</f>
        <v>8459.1620000000003</v>
      </c>
      <c r="D1285" s="84">
        <f>+D1279+D1282</f>
        <v>1095.8844370999998</v>
      </c>
      <c r="I1285" s="245"/>
    </row>
    <row r="1286" spans="2:10">
      <c r="B1286" s="258" t="s">
        <v>23</v>
      </c>
      <c r="C1286" s="272">
        <f>+C1285-C1268</f>
        <v>4.0000000000873115E-2</v>
      </c>
      <c r="D1286" s="86"/>
      <c r="I1286" s="274"/>
    </row>
    <row r="1287" spans="2:10" ht="13.5" thickBot="1">
      <c r="I1287" s="274"/>
    </row>
    <row r="1288" spans="2:10">
      <c r="B1288" s="79" t="s">
        <v>24</v>
      </c>
      <c r="C1288" s="80" t="s">
        <v>25</v>
      </c>
      <c r="D1288" s="80" t="s">
        <v>5</v>
      </c>
    </row>
    <row r="1289" spans="2:10">
      <c r="B1289" s="81" t="s">
        <v>26</v>
      </c>
      <c r="C1289" s="85">
        <v>1.306</v>
      </c>
      <c r="D1289" s="82">
        <f t="shared" ref="D1289:D1292" si="25">+C1289*$J$1257</f>
        <v>0.16919230000000002</v>
      </c>
    </row>
    <row r="1290" spans="2:10">
      <c r="B1290" s="81" t="s">
        <v>27</v>
      </c>
      <c r="C1290" s="85">
        <v>634.96600000000001</v>
      </c>
      <c r="D1290" s="82">
        <f t="shared" si="25"/>
        <v>82.259845299999995</v>
      </c>
    </row>
    <row r="1291" spans="2:10">
      <c r="B1291" s="81" t="s">
        <v>28</v>
      </c>
      <c r="C1291" s="85">
        <v>2909.0309999999999</v>
      </c>
      <c r="D1291" s="82">
        <f t="shared" si="25"/>
        <v>376.86496604999996</v>
      </c>
    </row>
    <row r="1292" spans="2:10">
      <c r="B1292" s="81" t="s">
        <v>29</v>
      </c>
      <c r="C1292" s="85">
        <v>-12.935</v>
      </c>
      <c r="D1292" s="82">
        <f t="shared" si="25"/>
        <v>-1.6757292500000001</v>
      </c>
    </row>
    <row r="1293" spans="2:10" ht="13.5" thickBot="1">
      <c r="B1293" s="83" t="s">
        <v>30</v>
      </c>
      <c r="C1293" s="84">
        <f>SUM(C1289:C1292)</f>
        <v>3532.3679999999999</v>
      </c>
      <c r="D1293" s="84">
        <f>SUM(D1289:D1292)</f>
        <v>457.61827439999996</v>
      </c>
    </row>
    <row r="1294" spans="2:10">
      <c r="B1294" s="258" t="s">
        <v>23</v>
      </c>
      <c r="C1294" s="272">
        <f>C1293-C1269</f>
        <v>0</v>
      </c>
      <c r="D1294" s="86"/>
    </row>
    <row r="1295" spans="2:10" ht="13.5" thickBot="1"/>
    <row r="1296" spans="2:10">
      <c r="B1296" s="79" t="s">
        <v>77</v>
      </c>
      <c r="C1296" s="136" t="s">
        <v>25</v>
      </c>
      <c r="D1296" s="131" t="s">
        <v>5</v>
      </c>
    </row>
    <row r="1297" spans="2:4">
      <c r="B1297" s="132" t="s">
        <v>40</v>
      </c>
      <c r="C1297" s="137">
        <v>4049.998</v>
      </c>
      <c r="D1297" s="82">
        <f t="shared" ref="D1297:D1302" si="26">+C1297*$J$1257</f>
        <v>524.67724090000002</v>
      </c>
    </row>
    <row r="1298" spans="2:4">
      <c r="B1298" s="132" t="s">
        <v>41</v>
      </c>
      <c r="C1298" s="137">
        <v>376.51</v>
      </c>
      <c r="D1298" s="82">
        <f t="shared" si="26"/>
        <v>48.776870500000001</v>
      </c>
    </row>
    <row r="1299" spans="2:4">
      <c r="B1299" s="132" t="s">
        <v>42</v>
      </c>
      <c r="C1299" s="137">
        <v>3828.1779999999999</v>
      </c>
      <c r="D1299" s="82">
        <f t="shared" si="26"/>
        <v>495.94045989999995</v>
      </c>
    </row>
    <row r="1300" spans="2:4">
      <c r="B1300" s="132" t="s">
        <v>43</v>
      </c>
      <c r="C1300" s="137">
        <v>60.671999999999997</v>
      </c>
      <c r="D1300" s="82">
        <f t="shared" si="26"/>
        <v>7.8600575999999993</v>
      </c>
    </row>
    <row r="1301" spans="2:4">
      <c r="B1301" s="132" t="s">
        <v>44</v>
      </c>
      <c r="C1301" s="137">
        <v>60.671999999999997</v>
      </c>
      <c r="D1301" s="82">
        <f t="shared" si="26"/>
        <v>7.8600575999999993</v>
      </c>
    </row>
    <row r="1302" spans="2:4">
      <c r="B1302" s="81" t="s">
        <v>45</v>
      </c>
      <c r="C1302" s="137">
        <v>30.335999999999999</v>
      </c>
      <c r="D1302" s="82">
        <f t="shared" si="26"/>
        <v>3.9300287999999997</v>
      </c>
    </row>
    <row r="1303" spans="2:4" ht="13.5" thickBot="1">
      <c r="B1303" s="134" t="s">
        <v>46</v>
      </c>
      <c r="C1303" s="138">
        <f>+SUM(C1297:C1302)</f>
        <v>8406.366</v>
      </c>
      <c r="D1303" s="135">
        <f>+SUM(D1297:D1302)</f>
        <v>1089.0447152999996</v>
      </c>
    </row>
    <row r="1304" spans="2:4">
      <c r="B1304" s="258" t="s">
        <v>23</v>
      </c>
      <c r="C1304" s="272">
        <f>+C1303-C1285+C1264+C1267</f>
        <v>-4.0000000000276259E-2</v>
      </c>
    </row>
    <row r="1306" spans="2:4" ht="13.5" thickBot="1"/>
    <row r="1307" spans="2:4">
      <c r="B1307" s="79" t="s">
        <v>59</v>
      </c>
      <c r="C1307" s="136" t="s">
        <v>25</v>
      </c>
      <c r="D1307" s="131" t="s">
        <v>5</v>
      </c>
    </row>
    <row r="1308" spans="2:4">
      <c r="B1308" s="132" t="s">
        <v>40</v>
      </c>
      <c r="C1308" s="137">
        <v>17.042000000000002</v>
      </c>
      <c r="D1308" s="82">
        <f t="shared" ref="D1308:D1311" si="27">+C1308*$J$1257</f>
        <v>2.2077911000000001</v>
      </c>
    </row>
    <row r="1309" spans="2:4">
      <c r="B1309" s="132" t="s">
        <v>41</v>
      </c>
      <c r="C1309" s="137">
        <v>22.172000000000001</v>
      </c>
      <c r="D1309" s="82">
        <f t="shared" si="27"/>
        <v>2.8723825999999999</v>
      </c>
    </row>
    <row r="1310" spans="2:4">
      <c r="B1310" s="132" t="s">
        <v>42</v>
      </c>
      <c r="C1310" s="137">
        <v>13.542</v>
      </c>
      <c r="D1310" s="82">
        <f t="shared" si="27"/>
        <v>1.7543660999999999</v>
      </c>
    </row>
    <row r="1311" spans="2:4">
      <c r="B1311" s="132" t="s">
        <v>43</v>
      </c>
      <c r="C1311" s="137">
        <v>0</v>
      </c>
      <c r="D1311" s="82">
        <f t="shared" si="27"/>
        <v>0</v>
      </c>
    </row>
    <row r="1312" spans="2:4" ht="13.5" thickBot="1">
      <c r="B1312" s="134" t="s">
        <v>46</v>
      </c>
      <c r="C1312" s="138">
        <f>+SUM(C1308:C1311)</f>
        <v>52.756</v>
      </c>
      <c r="D1312" s="135">
        <f>+SUM(D1308:D1311)</f>
        <v>6.8345397999999999</v>
      </c>
    </row>
    <row r="1313" spans="1:10">
      <c r="B1313" s="258" t="s">
        <v>23</v>
      </c>
      <c r="C1313" s="130">
        <f>C1312-C1264-C1267</f>
        <v>0</v>
      </c>
    </row>
    <row r="1316" spans="1:10">
      <c r="A1316" s="7" t="s">
        <v>156</v>
      </c>
      <c r="I1316" s="75" t="s">
        <v>157</v>
      </c>
      <c r="J1316" s="71">
        <f>+Model!AA215</f>
        <v>0.145924</v>
      </c>
    </row>
    <row r="1317" spans="1:10">
      <c r="I1317" s="76" t="s">
        <v>158</v>
      </c>
      <c r="J1317" s="71">
        <f>+Model!AA216</f>
        <v>0.16460400000000003</v>
      </c>
    </row>
    <row r="1318" spans="1:10">
      <c r="I1318" s="76"/>
      <c r="J1318" s="71"/>
    </row>
    <row r="1320" spans="1:10">
      <c r="B1320" s="108" t="s">
        <v>159</v>
      </c>
      <c r="C1320" s="109" t="s">
        <v>25</v>
      </c>
      <c r="D1320" s="109" t="s">
        <v>5</v>
      </c>
      <c r="E1320" s="141" t="s">
        <v>57</v>
      </c>
      <c r="F1320" s="110" t="s">
        <v>7</v>
      </c>
    </row>
    <row r="1321" spans="1:10">
      <c r="B1321" s="124" t="s">
        <v>10</v>
      </c>
      <c r="C1321" s="125">
        <f>SUM(C1322:C1323)</f>
        <v>3480.1179999999999</v>
      </c>
      <c r="D1321" s="125">
        <f>SUM(D1322:D1323)</f>
        <v>507.83273903200001</v>
      </c>
      <c r="E1321" s="123"/>
      <c r="F1321" s="123"/>
    </row>
    <row r="1322" spans="1:10">
      <c r="B1322" s="111" t="s">
        <v>12</v>
      </c>
      <c r="C1322" s="112">
        <f>115.995+3347.15</f>
        <v>3463.145</v>
      </c>
      <c r="D1322" s="113">
        <f>C1322*$J$1316</f>
        <v>505.35597098</v>
      </c>
      <c r="E1322" s="114"/>
      <c r="F1322" s="114"/>
    </row>
    <row r="1323" spans="1:10">
      <c r="B1323" s="78" t="s">
        <v>13</v>
      </c>
      <c r="C1323" s="112">
        <v>16.972999999999999</v>
      </c>
      <c r="D1323" s="113">
        <f>C1323*$J$1316</f>
        <v>2.4767680519999997</v>
      </c>
      <c r="E1323" s="114"/>
      <c r="F1323" s="114"/>
    </row>
    <row r="1324" spans="1:10">
      <c r="B1324" s="124" t="s">
        <v>14</v>
      </c>
      <c r="C1324" s="125">
        <f>SUM(C1325:C1326)</f>
        <v>3753.105</v>
      </c>
      <c r="D1324" s="125">
        <f>SUM(D1325:D1326)</f>
        <v>547.66809402000001</v>
      </c>
      <c r="E1324" s="114"/>
      <c r="F1324" s="114"/>
    </row>
    <row r="1325" spans="1:10">
      <c r="B1325" s="111" t="s">
        <v>12</v>
      </c>
      <c r="C1325" s="112">
        <v>3712.7220000000002</v>
      </c>
      <c r="D1325" s="113">
        <f>C1325*$J$1316</f>
        <v>541.77524512800005</v>
      </c>
      <c r="E1325" s="114"/>
      <c r="F1325" s="114"/>
    </row>
    <row r="1326" spans="1:10">
      <c r="B1326" s="78" t="s">
        <v>13</v>
      </c>
      <c r="C1326" s="112">
        <v>40.383000000000003</v>
      </c>
      <c r="D1326" s="113">
        <f>C1326*$J$1316</f>
        <v>5.8928488919999999</v>
      </c>
      <c r="E1326" s="114"/>
      <c r="F1326" s="115"/>
    </row>
    <row r="1327" spans="1:10">
      <c r="B1327" s="116" t="s">
        <v>15</v>
      </c>
      <c r="C1327" s="117">
        <f>C1321+C1324</f>
        <v>7233.223</v>
      </c>
      <c r="D1327" s="117">
        <f>D1321+D1324</f>
        <v>1055.500833052</v>
      </c>
      <c r="E1327" s="118">
        <f>C1327/C1334</f>
        <v>4.9894826080538373</v>
      </c>
      <c r="F1327" s="118">
        <f>D1327/D1334</f>
        <v>4.4232537489833055</v>
      </c>
      <c r="H1327" s="270"/>
    </row>
    <row r="1328" spans="1:10">
      <c r="B1328" s="78" t="s">
        <v>16</v>
      </c>
      <c r="C1328" s="34">
        <f>Model!AA125</f>
        <v>2956</v>
      </c>
      <c r="D1328" s="113">
        <f>C1328*$J$1316</f>
        <v>431.35134399999998</v>
      </c>
      <c r="E1328" s="119"/>
      <c r="F1328" s="119"/>
      <c r="J1328" s="256"/>
    </row>
    <row r="1329" spans="2:10">
      <c r="B1329" s="116" t="s">
        <v>17</v>
      </c>
      <c r="C1329" s="117">
        <f>C1327-C1328</f>
        <v>4277.223</v>
      </c>
      <c r="D1329" s="117">
        <f>D1327-D1328</f>
        <v>624.14948905200004</v>
      </c>
      <c r="E1329" s="118">
        <f>C1329/C1334</f>
        <v>2.9504316083256192</v>
      </c>
      <c r="F1329" s="118">
        <f>D1329/D1334</f>
        <v>2.6156033997552162</v>
      </c>
      <c r="G1329" s="271"/>
    </row>
    <row r="1330" spans="2:10">
      <c r="B1330" s="78" t="s">
        <v>18</v>
      </c>
      <c r="C1330" s="34">
        <f>+Model!AA126</f>
        <v>3605.7280000000001</v>
      </c>
      <c r="D1330" s="113">
        <f>C1330*$J$1316</f>
        <v>526.16225267200002</v>
      </c>
      <c r="E1330" s="119"/>
      <c r="F1330" s="119"/>
      <c r="J1330" s="256"/>
    </row>
    <row r="1331" spans="2:10">
      <c r="B1331" s="116" t="s">
        <v>19</v>
      </c>
      <c r="C1331" s="117">
        <f>C1329-C1330</f>
        <v>671.49499999999989</v>
      </c>
      <c r="D1331" s="117">
        <f>D1329-D1330</f>
        <v>97.987236380000013</v>
      </c>
      <c r="E1331" s="118">
        <f>C1331/C1334</f>
        <v>0.46319775069773339</v>
      </c>
      <c r="F1331" s="118">
        <f>D1331/D1334</f>
        <v>0.41063199298204206</v>
      </c>
      <c r="G1331" s="271"/>
    </row>
    <row r="1332" spans="2:10">
      <c r="B1332" s="75" t="s">
        <v>20</v>
      </c>
      <c r="C1332" s="120">
        <f>+Model!AA133</f>
        <v>5628.7820000000002</v>
      </c>
      <c r="D1332" s="78"/>
      <c r="E1332" s="121"/>
      <c r="F1332" s="78"/>
    </row>
    <row r="1333" spans="2:10">
      <c r="B1333" s="75" t="s">
        <v>21</v>
      </c>
      <c r="C1333" s="120">
        <f>C1329+C1332</f>
        <v>9906.005000000001</v>
      </c>
      <c r="D1333" s="122"/>
      <c r="E1333" s="121"/>
      <c r="F1333" s="78"/>
    </row>
    <row r="1334" spans="2:10">
      <c r="B1334" s="78" t="s">
        <v>22</v>
      </c>
      <c r="C1334" s="23">
        <f>+Model!AA90</f>
        <v>1449.694</v>
      </c>
      <c r="D1334" s="23">
        <f>C1334*J1317</f>
        <v>238.62543117600003</v>
      </c>
      <c r="E1334" s="78"/>
      <c r="F1334" s="78"/>
      <c r="I1334" s="262"/>
      <c r="J1334" s="262"/>
    </row>
    <row r="1335" spans="2:10">
      <c r="B1335" s="258" t="s">
        <v>23</v>
      </c>
      <c r="C1335" s="272">
        <f>+C1327-Model!AA123</f>
        <v>57.355999999999767</v>
      </c>
      <c r="D1335" s="273"/>
      <c r="E1335" s="77"/>
      <c r="F1335" s="78"/>
    </row>
    <row r="1336" spans="2:10" ht="13.5" thickBot="1"/>
    <row r="1337" spans="2:10">
      <c r="B1337" s="79" t="s">
        <v>75</v>
      </c>
      <c r="C1337" s="80" t="s">
        <v>25</v>
      </c>
      <c r="D1337" s="80" t="s">
        <v>5</v>
      </c>
      <c r="I1337" s="79" t="s">
        <v>75</v>
      </c>
      <c r="J1337" s="80" t="s">
        <v>76</v>
      </c>
    </row>
    <row r="1338" spans="2:10">
      <c r="B1338" s="143" t="s">
        <v>33</v>
      </c>
      <c r="C1338" s="144">
        <f>SUM(C1339:C1340)</f>
        <v>159.48000000000002</v>
      </c>
      <c r="D1338" s="144">
        <f>SUM(D1339:D1340)</f>
        <v>23.271959520000003</v>
      </c>
      <c r="I1338" s="143" t="s">
        <v>33</v>
      </c>
      <c r="J1338" s="128">
        <f>C1338/C1344</f>
        <v>2.2048262579489119E-2</v>
      </c>
    </row>
    <row r="1339" spans="2:10">
      <c r="B1339" s="142" t="s">
        <v>34</v>
      </c>
      <c r="C1339" s="85">
        <v>119.096</v>
      </c>
      <c r="D1339" s="82">
        <f>+C1339*$J$1316</f>
        <v>17.378964704000001</v>
      </c>
      <c r="I1339" s="143" t="s">
        <v>36</v>
      </c>
      <c r="J1339" s="128">
        <f>C1341/C1344</f>
        <v>0.97795173742051089</v>
      </c>
    </row>
    <row r="1340" spans="2:10" ht="13.5" thickBot="1">
      <c r="B1340" s="142" t="s">
        <v>35</v>
      </c>
      <c r="C1340" s="85">
        <f>40.384</f>
        <v>40.384</v>
      </c>
      <c r="D1340" s="82">
        <f>+C1340*$J$1316</f>
        <v>5.8929948159999999</v>
      </c>
      <c r="I1340" s="83" t="s">
        <v>37</v>
      </c>
      <c r="J1340" s="129">
        <f>+J1338+J1339</f>
        <v>1</v>
      </c>
    </row>
    <row r="1341" spans="2:10">
      <c r="B1341" s="143" t="s">
        <v>36</v>
      </c>
      <c r="C1341" s="144">
        <f>SUM(C1342:C1343)</f>
        <v>7073.7430000000004</v>
      </c>
      <c r="D1341" s="144">
        <f>SUM(D1342:D1343)</f>
        <v>1032.2288735320001</v>
      </c>
      <c r="I1341" s="262"/>
    </row>
    <row r="1342" spans="2:10">
      <c r="B1342" s="142" t="s">
        <v>34</v>
      </c>
      <c r="C1342" s="85">
        <f>2521.675+797.306+36.444+5.597</f>
        <v>3361.0220000000004</v>
      </c>
      <c r="D1342" s="82">
        <f>+C1342*$J$1316</f>
        <v>490.45377432800007</v>
      </c>
      <c r="I1342" s="262"/>
    </row>
    <row r="1343" spans="2:10">
      <c r="B1343" s="142" t="s">
        <v>35</v>
      </c>
      <c r="C1343" s="85">
        <f>2727.554+717.561+267.606</f>
        <v>3712.7210000000005</v>
      </c>
      <c r="D1343" s="82">
        <f>+C1343*$J$1316</f>
        <v>541.77509920400007</v>
      </c>
      <c r="I1343" s="262"/>
    </row>
    <row r="1344" spans="2:10" ht="13.5" thickBot="1">
      <c r="B1344" s="83" t="s">
        <v>37</v>
      </c>
      <c r="C1344" s="84">
        <f>+C1338+C1341</f>
        <v>7233.223</v>
      </c>
      <c r="D1344" s="84">
        <f>+D1338+D1341</f>
        <v>1055.5008330520002</v>
      </c>
      <c r="I1344" s="245"/>
    </row>
    <row r="1345" spans="2:9">
      <c r="B1345" s="258" t="s">
        <v>23</v>
      </c>
      <c r="C1345" s="272">
        <f>+C1344-C1327</f>
        <v>0</v>
      </c>
      <c r="D1345" s="86"/>
      <c r="I1345" s="274"/>
    </row>
    <row r="1346" spans="2:9" ht="13.5" thickBot="1">
      <c r="I1346" s="274"/>
    </row>
    <row r="1347" spans="2:9">
      <c r="B1347" s="79" t="s">
        <v>24</v>
      </c>
      <c r="C1347" s="80" t="s">
        <v>25</v>
      </c>
      <c r="D1347" s="80" t="s">
        <v>5</v>
      </c>
    </row>
    <row r="1348" spans="2:9">
      <c r="B1348" s="81" t="s">
        <v>26</v>
      </c>
      <c r="C1348" s="85">
        <v>1.42</v>
      </c>
      <c r="D1348" s="82">
        <f>+C1348*$J$1316</f>
        <v>0.20721207999999999</v>
      </c>
    </row>
    <row r="1349" spans="2:9">
      <c r="B1349" s="81" t="s">
        <v>27</v>
      </c>
      <c r="C1349" s="85">
        <v>505.37</v>
      </c>
      <c r="D1349" s="82">
        <f>+C1349*$J$1316</f>
        <v>73.745611879999998</v>
      </c>
    </row>
    <row r="1350" spans="2:9">
      <c r="B1350" s="81" t="s">
        <v>28</v>
      </c>
      <c r="C1350" s="85">
        <v>2462.3240000000001</v>
      </c>
      <c r="D1350" s="82">
        <f>+C1350*$J$1316</f>
        <v>359.31216737599999</v>
      </c>
    </row>
    <row r="1351" spans="2:9">
      <c r="B1351" s="81" t="s">
        <v>29</v>
      </c>
      <c r="C1351" s="85">
        <v>-13.114000000000001</v>
      </c>
      <c r="D1351" s="82">
        <f>+C1351*$J$1316</f>
        <v>-1.9136473360000001</v>
      </c>
    </row>
    <row r="1352" spans="2:9" ht="13.5" thickBot="1">
      <c r="B1352" s="83" t="s">
        <v>30</v>
      </c>
      <c r="C1352" s="84">
        <f>SUM(C1348:C1351)</f>
        <v>2956</v>
      </c>
      <c r="D1352" s="84">
        <f>SUM(D1348:D1351)</f>
        <v>431.35134399999998</v>
      </c>
    </row>
    <row r="1353" spans="2:9">
      <c r="B1353" s="258" t="s">
        <v>23</v>
      </c>
      <c r="C1353" s="272">
        <f>C1352-C1328</f>
        <v>0</v>
      </c>
      <c r="D1353" s="86"/>
    </row>
    <row r="1354" spans="2:9" ht="13.5" thickBot="1"/>
    <row r="1355" spans="2:9">
      <c r="B1355" s="79" t="s">
        <v>77</v>
      </c>
      <c r="C1355" s="136" t="s">
        <v>25</v>
      </c>
      <c r="D1355" s="131" t="s">
        <v>5</v>
      </c>
    </row>
    <row r="1356" spans="2:9">
      <c r="B1356" s="132" t="s">
        <v>40</v>
      </c>
      <c r="C1356" s="137">
        <v>3463.145</v>
      </c>
      <c r="D1356" s="133">
        <f t="shared" ref="D1356:D1361" si="28">+C1356*$J$1316</f>
        <v>505.35597098</v>
      </c>
    </row>
    <row r="1357" spans="2:9">
      <c r="B1357" s="132" t="s">
        <v>41</v>
      </c>
      <c r="C1357" s="137">
        <v>336.637</v>
      </c>
      <c r="D1357" s="133">
        <f t="shared" si="28"/>
        <v>49.123417588000002</v>
      </c>
    </row>
    <row r="1358" spans="2:9">
      <c r="B1358" s="132" t="s">
        <v>42</v>
      </c>
      <c r="C1358" s="137">
        <v>3206.8389999999999</v>
      </c>
      <c r="D1358" s="133">
        <f t="shared" si="28"/>
        <v>467.95477423599999</v>
      </c>
    </row>
    <row r="1359" spans="2:9">
      <c r="B1359" s="132" t="s">
        <v>43</v>
      </c>
      <c r="C1359" s="137">
        <v>70.653000000000006</v>
      </c>
      <c r="D1359" s="133">
        <f t="shared" si="28"/>
        <v>10.309968372</v>
      </c>
    </row>
    <row r="1360" spans="2:9">
      <c r="B1360" s="132" t="s">
        <v>44</v>
      </c>
      <c r="C1360" s="137">
        <v>56.338000000000001</v>
      </c>
      <c r="D1360" s="133">
        <f t="shared" si="28"/>
        <v>8.2210663119999996</v>
      </c>
    </row>
    <row r="1361" spans="2:4">
      <c r="B1361" s="81" t="s">
        <v>45</v>
      </c>
      <c r="C1361" s="137">
        <v>42.255000000000003</v>
      </c>
      <c r="D1361" s="133">
        <f t="shared" si="28"/>
        <v>6.16601862</v>
      </c>
    </row>
    <row r="1362" spans="2:4" ht="13.5" thickBot="1">
      <c r="B1362" s="134" t="s">
        <v>46</v>
      </c>
      <c r="C1362" s="138">
        <f>+SUM(C1356:C1361)</f>
        <v>7175.8670000000002</v>
      </c>
      <c r="D1362" s="135">
        <f>+SUM(D1356:D1361)</f>
        <v>1047.1312161079998</v>
      </c>
    </row>
    <row r="1363" spans="2:4">
      <c r="B1363" s="258" t="s">
        <v>23</v>
      </c>
      <c r="C1363" s="272">
        <f>+C1362-C1344+C1323+C1326</f>
        <v>2.3447910280083306E-13</v>
      </c>
    </row>
    <row r="1365" spans="2:4" ht="13.5" thickBot="1"/>
    <row r="1366" spans="2:4">
      <c r="B1366" s="79" t="s">
        <v>59</v>
      </c>
      <c r="C1366" s="136" t="s">
        <v>25</v>
      </c>
      <c r="D1366" s="131" t="s">
        <v>5</v>
      </c>
    </row>
    <row r="1367" spans="2:4">
      <c r="B1367" s="132" t="s">
        <v>40</v>
      </c>
      <c r="C1367" s="137">
        <v>16.972999999999999</v>
      </c>
      <c r="D1367" s="133">
        <f>+C1367*$J$1316</f>
        <v>2.4767680519999997</v>
      </c>
    </row>
    <row r="1368" spans="2:4">
      <c r="B1368" s="132" t="s">
        <v>41</v>
      </c>
      <c r="C1368" s="137">
        <v>20.725000000000001</v>
      </c>
      <c r="D1368" s="133">
        <f>+C1368*$J$1316</f>
        <v>3.0242749</v>
      </c>
    </row>
    <row r="1369" spans="2:4">
      <c r="B1369" s="132" t="s">
        <v>42</v>
      </c>
      <c r="C1369" s="137">
        <v>19.658000000000001</v>
      </c>
      <c r="D1369" s="133">
        <f>+C1369*$J$1316</f>
        <v>2.868573992</v>
      </c>
    </row>
    <row r="1370" spans="2:4">
      <c r="B1370" s="132" t="s">
        <v>43</v>
      </c>
      <c r="C1370" s="137">
        <v>0</v>
      </c>
      <c r="D1370" s="133">
        <f>+C1370*$J$1316</f>
        <v>0</v>
      </c>
    </row>
    <row r="1371" spans="2:4" ht="13.5" thickBot="1">
      <c r="B1371" s="134" t="s">
        <v>46</v>
      </c>
      <c r="C1371" s="138">
        <f>+SUM(C1367:C1370)</f>
        <v>57.356000000000002</v>
      </c>
      <c r="D1371" s="135">
        <f>+SUM(D1367:D1370)</f>
        <v>8.3696169440000006</v>
      </c>
    </row>
    <row r="1372" spans="2:4">
      <c r="B1372" s="258" t="s">
        <v>23</v>
      </c>
      <c r="C1372" s="130">
        <f>C1371-C1323-C1326</f>
        <v>0</v>
      </c>
    </row>
  </sheetData>
  <pageMargins left="0.7" right="0.7" top="0.75" bottom="0.75" header="0.3" footer="0.3"/>
  <pageSetup orientation="portrait" horizontalDpi="90" verticalDpi="90" r:id="rId1"/>
  <ignoredErrors>
    <ignoredError sqref="C1324:D1327 C1329:D1329 D1328 C1330:D1330 C1271 D1206:F1206 D1209 C1212:D1212 E1208:F1208 E1207:F1207 D1211 D1213 D1223" formula="1"/>
    <ignoredError sqref="E1209:F1213" evalError="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U287"/>
  <sheetViews>
    <sheetView showGridLines="0" zoomScaleNormal="100" workbookViewId="0">
      <pane xSplit="2" ySplit="6" topLeftCell="M7" activePane="bottomRight" state="frozen"/>
      <selection pane="bottomRight" activeCell="N11" sqref="N11"/>
      <selection pane="bottomLeft" activeCell="I29" sqref="I29"/>
      <selection pane="topRight" activeCell="I29" sqref="I29"/>
    </sheetView>
  </sheetViews>
  <sheetFormatPr defaultColWidth="11.42578125" defaultRowHeight="15" outlineLevelCol="1"/>
  <cols>
    <col min="1" max="1" width="2.7109375" style="11" customWidth="1"/>
    <col min="2" max="2" width="50.7109375" style="11" customWidth="1"/>
    <col min="3" max="10" width="12.7109375" style="11" hidden="1" customWidth="1" outlineLevel="1"/>
    <col min="11" max="11" width="12.7109375" style="11" hidden="1" customWidth="1" outlineLevel="1" collapsed="1"/>
    <col min="12" max="12" width="12.7109375" style="11" hidden="1" customWidth="1" outlineLevel="1"/>
    <col min="13" max="13" width="12.7109375" style="11" customWidth="1" collapsed="1"/>
    <col min="14" max="16" width="12.7109375" style="11" customWidth="1"/>
    <col min="17" max="17" width="12.7109375" customWidth="1"/>
    <col min="18" max="33" width="12.7109375" style="11" hidden="1" customWidth="1" outlineLevel="1"/>
    <col min="34" max="34" width="12.7109375" style="11" hidden="1" customWidth="1" outlineLevel="1" collapsed="1"/>
    <col min="35" max="46" width="12.7109375" style="11" hidden="1" customWidth="1" outlineLevel="1"/>
    <col min="47" max="47" width="12.7109375" style="11" hidden="1" customWidth="1" outlineLevel="1" collapsed="1"/>
    <col min="48" max="50" width="12.7109375" style="11" hidden="1" customWidth="1" outlineLevel="1"/>
    <col min="51" max="51" width="12.7109375" style="11" customWidth="1" collapsed="1"/>
    <col min="52" max="68" width="12.7109375" style="11" customWidth="1"/>
    <col min="69" max="71" width="12.7109375" style="11" hidden="1" customWidth="1"/>
    <col min="72" max="78" width="12.7109375" style="11" customWidth="1"/>
    <col min="79" max="294" width="11.42578125" style="11"/>
    <col min="295" max="295" width="3.5703125" style="11" customWidth="1"/>
    <col min="296" max="296" width="13.42578125" style="11" customWidth="1"/>
    <col min="297" max="304" width="11.42578125" style="11" customWidth="1"/>
    <col min="305" max="305" width="9.5703125" style="11" bestFit="1" customWidth="1"/>
    <col min="306" max="309" width="0" style="11" hidden="1" customWidth="1"/>
    <col min="310" max="318" width="11.42578125" style="11" customWidth="1"/>
    <col min="319" max="550" width="11.42578125" style="11"/>
    <col min="551" max="551" width="3.5703125" style="11" customWidth="1"/>
    <col min="552" max="552" width="13.42578125" style="11" customWidth="1"/>
    <col min="553" max="560" width="11.42578125" style="11" customWidth="1"/>
    <col min="561" max="561" width="9.5703125" style="11" bestFit="1" customWidth="1"/>
    <col min="562" max="565" width="0" style="11" hidden="1" customWidth="1"/>
    <col min="566" max="574" width="11.42578125" style="11" customWidth="1"/>
    <col min="575" max="806" width="11.42578125" style="11"/>
    <col min="807" max="807" width="3.5703125" style="11" customWidth="1"/>
    <col min="808" max="808" width="13.42578125" style="11" customWidth="1"/>
    <col min="809" max="816" width="11.42578125" style="11" customWidth="1"/>
    <col min="817" max="817" width="9.5703125" style="11" bestFit="1" customWidth="1"/>
    <col min="818" max="821" width="0" style="11" hidden="1" customWidth="1"/>
    <col min="822" max="830" width="11.42578125" style="11" customWidth="1"/>
    <col min="831" max="1062" width="11.42578125" style="11"/>
    <col min="1063" max="1063" width="3.5703125" style="11" customWidth="1"/>
    <col min="1064" max="1064" width="13.42578125" style="11" customWidth="1"/>
    <col min="1065" max="1072" width="11.42578125" style="11" customWidth="1"/>
    <col min="1073" max="1073" width="9.5703125" style="11" bestFit="1" customWidth="1"/>
    <col min="1074" max="1077" width="0" style="11" hidden="1" customWidth="1"/>
    <col min="1078" max="1086" width="11.42578125" style="11" customWidth="1"/>
    <col min="1087" max="1318" width="11.42578125" style="11"/>
    <col min="1319" max="1319" width="3.5703125" style="11" customWidth="1"/>
    <col min="1320" max="1320" width="13.42578125" style="11" customWidth="1"/>
    <col min="1321" max="1328" width="11.42578125" style="11" customWidth="1"/>
    <col min="1329" max="1329" width="9.5703125" style="11" bestFit="1" customWidth="1"/>
    <col min="1330" max="1333" width="0" style="11" hidden="1" customWidth="1"/>
    <col min="1334" max="1342" width="11.42578125" style="11" customWidth="1"/>
    <col min="1343" max="1574" width="11.42578125" style="11"/>
    <col min="1575" max="1575" width="3.5703125" style="11" customWidth="1"/>
    <col min="1576" max="1576" width="13.42578125" style="11" customWidth="1"/>
    <col min="1577" max="1584" width="11.42578125" style="11" customWidth="1"/>
    <col min="1585" max="1585" width="9.5703125" style="11" bestFit="1" customWidth="1"/>
    <col min="1586" max="1589" width="0" style="11" hidden="1" customWidth="1"/>
    <col min="1590" max="1598" width="11.42578125" style="11" customWidth="1"/>
    <col min="1599" max="1830" width="11.42578125" style="11"/>
    <col min="1831" max="1831" width="3.5703125" style="11" customWidth="1"/>
    <col min="1832" max="1832" width="13.42578125" style="11" customWidth="1"/>
    <col min="1833" max="1840" width="11.42578125" style="11" customWidth="1"/>
    <col min="1841" max="1841" width="9.5703125" style="11" bestFit="1" customWidth="1"/>
    <col min="1842" max="1845" width="0" style="11" hidden="1" customWidth="1"/>
    <col min="1846" max="1854" width="11.42578125" style="11" customWidth="1"/>
    <col min="1855" max="2086" width="11.42578125" style="11"/>
    <col min="2087" max="2087" width="3.5703125" style="11" customWidth="1"/>
    <col min="2088" max="2088" width="13.42578125" style="11" customWidth="1"/>
    <col min="2089" max="2096" width="11.42578125" style="11" customWidth="1"/>
    <col min="2097" max="2097" width="9.5703125" style="11" bestFit="1" customWidth="1"/>
    <col min="2098" max="2101" width="0" style="11" hidden="1" customWidth="1"/>
    <col min="2102" max="2110" width="11.42578125" style="11" customWidth="1"/>
    <col min="2111" max="2342" width="11.42578125" style="11"/>
    <col min="2343" max="2343" width="3.5703125" style="11" customWidth="1"/>
    <col min="2344" max="2344" width="13.42578125" style="11" customWidth="1"/>
    <col min="2345" max="2352" width="11.42578125" style="11" customWidth="1"/>
    <col min="2353" max="2353" width="9.5703125" style="11" bestFit="1" customWidth="1"/>
    <col min="2354" max="2357" width="0" style="11" hidden="1" customWidth="1"/>
    <col min="2358" max="2366" width="11.42578125" style="11" customWidth="1"/>
    <col min="2367" max="2598" width="11.42578125" style="11"/>
    <col min="2599" max="2599" width="3.5703125" style="11" customWidth="1"/>
    <col min="2600" max="2600" width="13.42578125" style="11" customWidth="1"/>
    <col min="2601" max="2608" width="11.42578125" style="11" customWidth="1"/>
    <col min="2609" max="2609" width="9.5703125" style="11" bestFit="1" customWidth="1"/>
    <col min="2610" max="2613" width="0" style="11" hidden="1" customWidth="1"/>
    <col min="2614" max="2622" width="11.42578125" style="11" customWidth="1"/>
    <col min="2623" max="2854" width="11.42578125" style="11"/>
    <col min="2855" max="2855" width="3.5703125" style="11" customWidth="1"/>
    <col min="2856" max="2856" width="13.42578125" style="11" customWidth="1"/>
    <col min="2857" max="2864" width="11.42578125" style="11" customWidth="1"/>
    <col min="2865" max="2865" width="9.5703125" style="11" bestFit="1" customWidth="1"/>
    <col min="2866" max="2869" width="0" style="11" hidden="1" customWidth="1"/>
    <col min="2870" max="2878" width="11.42578125" style="11" customWidth="1"/>
    <col min="2879" max="3110" width="11.42578125" style="11"/>
    <col min="3111" max="3111" width="3.5703125" style="11" customWidth="1"/>
    <col min="3112" max="3112" width="13.42578125" style="11" customWidth="1"/>
    <col min="3113" max="3120" width="11.42578125" style="11" customWidth="1"/>
    <col min="3121" max="3121" width="9.5703125" style="11" bestFit="1" customWidth="1"/>
    <col min="3122" max="3125" width="0" style="11" hidden="1" customWidth="1"/>
    <col min="3126" max="3134" width="11.42578125" style="11" customWidth="1"/>
    <col min="3135" max="3366" width="11.42578125" style="11"/>
    <col min="3367" max="3367" width="3.5703125" style="11" customWidth="1"/>
    <col min="3368" max="3368" width="13.42578125" style="11" customWidth="1"/>
    <col min="3369" max="3376" width="11.42578125" style="11" customWidth="1"/>
    <col min="3377" max="3377" width="9.5703125" style="11" bestFit="1" customWidth="1"/>
    <col min="3378" max="3381" width="0" style="11" hidden="1" customWidth="1"/>
    <col min="3382" max="3390" width="11.42578125" style="11" customWidth="1"/>
    <col min="3391" max="3622" width="11.42578125" style="11"/>
    <col min="3623" max="3623" width="3.5703125" style="11" customWidth="1"/>
    <col min="3624" max="3624" width="13.42578125" style="11" customWidth="1"/>
    <col min="3625" max="3632" width="11.42578125" style="11" customWidth="1"/>
    <col min="3633" max="3633" width="9.5703125" style="11" bestFit="1" customWidth="1"/>
    <col min="3634" max="3637" width="0" style="11" hidden="1" customWidth="1"/>
    <col min="3638" max="3646" width="11.42578125" style="11" customWidth="1"/>
    <col min="3647" max="3878" width="11.42578125" style="11"/>
    <col min="3879" max="3879" width="3.5703125" style="11" customWidth="1"/>
    <col min="3880" max="3880" width="13.42578125" style="11" customWidth="1"/>
    <col min="3881" max="3888" width="11.42578125" style="11" customWidth="1"/>
    <col min="3889" max="3889" width="9.5703125" style="11" bestFit="1" customWidth="1"/>
    <col min="3890" max="3893" width="0" style="11" hidden="1" customWidth="1"/>
    <col min="3894" max="3902" width="11.42578125" style="11" customWidth="1"/>
    <col min="3903" max="4134" width="11.42578125" style="11"/>
    <col min="4135" max="4135" width="3.5703125" style="11" customWidth="1"/>
    <col min="4136" max="4136" width="13.42578125" style="11" customWidth="1"/>
    <col min="4137" max="4144" width="11.42578125" style="11" customWidth="1"/>
    <col min="4145" max="4145" width="9.5703125" style="11" bestFit="1" customWidth="1"/>
    <col min="4146" max="4149" width="0" style="11" hidden="1" customWidth="1"/>
    <col min="4150" max="4158" width="11.42578125" style="11" customWidth="1"/>
    <col min="4159" max="4390" width="11.42578125" style="11"/>
    <col min="4391" max="4391" width="3.5703125" style="11" customWidth="1"/>
    <col min="4392" max="4392" width="13.42578125" style="11" customWidth="1"/>
    <col min="4393" max="4400" width="11.42578125" style="11" customWidth="1"/>
    <col min="4401" max="4401" width="9.5703125" style="11" bestFit="1" customWidth="1"/>
    <col min="4402" max="4405" width="0" style="11" hidden="1" customWidth="1"/>
    <col min="4406" max="4414" width="11.42578125" style="11" customWidth="1"/>
    <col min="4415" max="4646" width="11.42578125" style="11"/>
    <col min="4647" max="4647" width="3.5703125" style="11" customWidth="1"/>
    <col min="4648" max="4648" width="13.42578125" style="11" customWidth="1"/>
    <col min="4649" max="4656" width="11.42578125" style="11" customWidth="1"/>
    <col min="4657" max="4657" width="9.5703125" style="11" bestFit="1" customWidth="1"/>
    <col min="4658" max="4661" width="0" style="11" hidden="1" customWidth="1"/>
    <col min="4662" max="4670" width="11.42578125" style="11" customWidth="1"/>
    <col min="4671" max="4902" width="11.42578125" style="11"/>
    <col min="4903" max="4903" width="3.5703125" style="11" customWidth="1"/>
    <col min="4904" max="4904" width="13.42578125" style="11" customWidth="1"/>
    <col min="4905" max="4912" width="11.42578125" style="11" customWidth="1"/>
    <col min="4913" max="4913" width="9.5703125" style="11" bestFit="1" customWidth="1"/>
    <col min="4914" max="4917" width="0" style="11" hidden="1" customWidth="1"/>
    <col min="4918" max="4926" width="11.42578125" style="11" customWidth="1"/>
    <col min="4927" max="5158" width="11.42578125" style="11"/>
    <col min="5159" max="5159" width="3.5703125" style="11" customWidth="1"/>
    <col min="5160" max="5160" width="13.42578125" style="11" customWidth="1"/>
    <col min="5161" max="5168" width="11.42578125" style="11" customWidth="1"/>
    <col min="5169" max="5169" width="9.5703125" style="11" bestFit="1" customWidth="1"/>
    <col min="5170" max="5173" width="0" style="11" hidden="1" customWidth="1"/>
    <col min="5174" max="5182" width="11.42578125" style="11" customWidth="1"/>
    <col min="5183" max="5414" width="11.42578125" style="11"/>
    <col min="5415" max="5415" width="3.5703125" style="11" customWidth="1"/>
    <col min="5416" max="5416" width="13.42578125" style="11" customWidth="1"/>
    <col min="5417" max="5424" width="11.42578125" style="11" customWidth="1"/>
    <col min="5425" max="5425" width="9.5703125" style="11" bestFit="1" customWidth="1"/>
    <col min="5426" max="5429" width="0" style="11" hidden="1" customWidth="1"/>
    <col min="5430" max="5438" width="11.42578125" style="11" customWidth="1"/>
    <col min="5439" max="5670" width="11.42578125" style="11"/>
    <col min="5671" max="5671" width="3.5703125" style="11" customWidth="1"/>
    <col min="5672" max="5672" width="13.42578125" style="11" customWidth="1"/>
    <col min="5673" max="5680" width="11.42578125" style="11" customWidth="1"/>
    <col min="5681" max="5681" width="9.5703125" style="11" bestFit="1" customWidth="1"/>
    <col min="5682" max="5685" width="0" style="11" hidden="1" customWidth="1"/>
    <col min="5686" max="5694" width="11.42578125" style="11" customWidth="1"/>
    <col min="5695" max="5926" width="11.42578125" style="11"/>
    <col min="5927" max="5927" width="3.5703125" style="11" customWidth="1"/>
    <col min="5928" max="5928" width="13.42578125" style="11" customWidth="1"/>
    <col min="5929" max="5936" width="11.42578125" style="11" customWidth="1"/>
    <col min="5937" max="5937" width="9.5703125" style="11" bestFit="1" customWidth="1"/>
    <col min="5938" max="5941" width="0" style="11" hidden="1" customWidth="1"/>
    <col min="5942" max="5950" width="11.42578125" style="11" customWidth="1"/>
    <col min="5951" max="6182" width="11.42578125" style="11"/>
    <col min="6183" max="6183" width="3.5703125" style="11" customWidth="1"/>
    <col min="6184" max="6184" width="13.42578125" style="11" customWidth="1"/>
    <col min="6185" max="6192" width="11.42578125" style="11" customWidth="1"/>
    <col min="6193" max="6193" width="9.5703125" style="11" bestFit="1" customWidth="1"/>
    <col min="6194" max="6197" width="0" style="11" hidden="1" customWidth="1"/>
    <col min="6198" max="6206" width="11.42578125" style="11" customWidth="1"/>
    <col min="6207" max="6438" width="11.42578125" style="11"/>
    <col min="6439" max="6439" width="3.5703125" style="11" customWidth="1"/>
    <col min="6440" max="6440" width="13.42578125" style="11" customWidth="1"/>
    <col min="6441" max="6448" width="11.42578125" style="11" customWidth="1"/>
    <col min="6449" max="6449" width="9.5703125" style="11" bestFit="1" customWidth="1"/>
    <col min="6450" max="6453" width="0" style="11" hidden="1" customWidth="1"/>
    <col min="6454" max="6462" width="11.42578125" style="11" customWidth="1"/>
    <col min="6463" max="6694" width="11.42578125" style="11"/>
    <col min="6695" max="6695" width="3.5703125" style="11" customWidth="1"/>
    <col min="6696" max="6696" width="13.42578125" style="11" customWidth="1"/>
    <col min="6697" max="6704" width="11.42578125" style="11" customWidth="1"/>
    <col min="6705" max="6705" width="9.5703125" style="11" bestFit="1" customWidth="1"/>
    <col min="6706" max="6709" width="0" style="11" hidden="1" customWidth="1"/>
    <col min="6710" max="6718" width="11.42578125" style="11" customWidth="1"/>
    <col min="6719" max="6950" width="11.42578125" style="11"/>
    <col min="6951" max="6951" width="3.5703125" style="11" customWidth="1"/>
    <col min="6952" max="6952" width="13.42578125" style="11" customWidth="1"/>
    <col min="6953" max="6960" width="11.42578125" style="11" customWidth="1"/>
    <col min="6961" max="6961" width="9.5703125" style="11" bestFit="1" customWidth="1"/>
    <col min="6962" max="6965" width="0" style="11" hidden="1" customWidth="1"/>
    <col min="6966" max="6974" width="11.42578125" style="11" customWidth="1"/>
    <col min="6975" max="7206" width="11.42578125" style="11"/>
    <col min="7207" max="7207" width="3.5703125" style="11" customWidth="1"/>
    <col min="7208" max="7208" width="13.42578125" style="11" customWidth="1"/>
    <col min="7209" max="7216" width="11.42578125" style="11" customWidth="1"/>
    <col min="7217" max="7217" width="9.5703125" style="11" bestFit="1" customWidth="1"/>
    <col min="7218" max="7221" width="0" style="11" hidden="1" customWidth="1"/>
    <col min="7222" max="7230" width="11.42578125" style="11" customWidth="1"/>
    <col min="7231" max="7462" width="11.42578125" style="11"/>
    <col min="7463" max="7463" width="3.5703125" style="11" customWidth="1"/>
    <col min="7464" max="7464" width="13.42578125" style="11" customWidth="1"/>
    <col min="7465" max="7472" width="11.42578125" style="11" customWidth="1"/>
    <col min="7473" max="7473" width="9.5703125" style="11" bestFit="1" customWidth="1"/>
    <col min="7474" max="7477" width="0" style="11" hidden="1" customWidth="1"/>
    <col min="7478" max="7486" width="11.42578125" style="11" customWidth="1"/>
    <col min="7487" max="7718" width="11.42578125" style="11"/>
    <col min="7719" max="7719" width="3.5703125" style="11" customWidth="1"/>
    <col min="7720" max="7720" width="13.42578125" style="11" customWidth="1"/>
    <col min="7721" max="7728" width="11.42578125" style="11" customWidth="1"/>
    <col min="7729" max="7729" width="9.5703125" style="11" bestFit="1" customWidth="1"/>
    <col min="7730" max="7733" width="0" style="11" hidden="1" customWidth="1"/>
    <col min="7734" max="7742" width="11.42578125" style="11" customWidth="1"/>
    <col min="7743" max="7974" width="11.42578125" style="11"/>
    <col min="7975" max="7975" width="3.5703125" style="11" customWidth="1"/>
    <col min="7976" max="7976" width="13.42578125" style="11" customWidth="1"/>
    <col min="7977" max="7984" width="11.42578125" style="11" customWidth="1"/>
    <col min="7985" max="7985" width="9.5703125" style="11" bestFit="1" customWidth="1"/>
    <col min="7986" max="7989" width="0" style="11" hidden="1" customWidth="1"/>
    <col min="7990" max="7998" width="11.42578125" style="11" customWidth="1"/>
    <col min="7999" max="8230" width="11.42578125" style="11"/>
    <col min="8231" max="8231" width="3.5703125" style="11" customWidth="1"/>
    <col min="8232" max="8232" width="13.42578125" style="11" customWidth="1"/>
    <col min="8233" max="8240" width="11.42578125" style="11" customWidth="1"/>
    <col min="8241" max="8241" width="9.5703125" style="11" bestFit="1" customWidth="1"/>
    <col min="8242" max="8245" width="0" style="11" hidden="1" customWidth="1"/>
    <col min="8246" max="8254" width="11.42578125" style="11" customWidth="1"/>
    <col min="8255" max="8486" width="11.42578125" style="11"/>
    <col min="8487" max="8487" width="3.5703125" style="11" customWidth="1"/>
    <col min="8488" max="8488" width="13.42578125" style="11" customWidth="1"/>
    <col min="8489" max="8496" width="11.42578125" style="11" customWidth="1"/>
    <col min="8497" max="8497" width="9.5703125" style="11" bestFit="1" customWidth="1"/>
    <col min="8498" max="8501" width="0" style="11" hidden="1" customWidth="1"/>
    <col min="8502" max="8510" width="11.42578125" style="11" customWidth="1"/>
    <col min="8511" max="8742" width="11.42578125" style="11"/>
    <col min="8743" max="8743" width="3.5703125" style="11" customWidth="1"/>
    <col min="8744" max="8744" width="13.42578125" style="11" customWidth="1"/>
    <col min="8745" max="8752" width="11.42578125" style="11" customWidth="1"/>
    <col min="8753" max="8753" width="9.5703125" style="11" bestFit="1" customWidth="1"/>
    <col min="8754" max="8757" width="0" style="11" hidden="1" customWidth="1"/>
    <col min="8758" max="8766" width="11.42578125" style="11" customWidth="1"/>
    <col min="8767" max="8998" width="11.42578125" style="11"/>
    <col min="8999" max="8999" width="3.5703125" style="11" customWidth="1"/>
    <col min="9000" max="9000" width="13.42578125" style="11" customWidth="1"/>
    <col min="9001" max="9008" width="11.42578125" style="11" customWidth="1"/>
    <col min="9009" max="9009" width="9.5703125" style="11" bestFit="1" customWidth="1"/>
    <col min="9010" max="9013" width="0" style="11" hidden="1" customWidth="1"/>
    <col min="9014" max="9022" width="11.42578125" style="11" customWidth="1"/>
    <col min="9023" max="9254" width="11.42578125" style="11"/>
    <col min="9255" max="9255" width="3.5703125" style="11" customWidth="1"/>
    <col min="9256" max="9256" width="13.42578125" style="11" customWidth="1"/>
    <col min="9257" max="9264" width="11.42578125" style="11" customWidth="1"/>
    <col min="9265" max="9265" width="9.5703125" style="11" bestFit="1" customWidth="1"/>
    <col min="9266" max="9269" width="0" style="11" hidden="1" customWidth="1"/>
    <col min="9270" max="9278" width="11.42578125" style="11" customWidth="1"/>
    <col min="9279" max="9510" width="11.42578125" style="11"/>
    <col min="9511" max="9511" width="3.5703125" style="11" customWidth="1"/>
    <col min="9512" max="9512" width="13.42578125" style="11" customWidth="1"/>
    <col min="9513" max="9520" width="11.42578125" style="11" customWidth="1"/>
    <col min="9521" max="9521" width="9.5703125" style="11" bestFit="1" customWidth="1"/>
    <col min="9522" max="9525" width="0" style="11" hidden="1" customWidth="1"/>
    <col min="9526" max="9534" width="11.42578125" style="11" customWidth="1"/>
    <col min="9535" max="9766" width="11.42578125" style="11"/>
    <col min="9767" max="9767" width="3.5703125" style="11" customWidth="1"/>
    <col min="9768" max="9768" width="13.42578125" style="11" customWidth="1"/>
    <col min="9769" max="9776" width="11.42578125" style="11" customWidth="1"/>
    <col min="9777" max="9777" width="9.5703125" style="11" bestFit="1" customWidth="1"/>
    <col min="9778" max="9781" width="0" style="11" hidden="1" customWidth="1"/>
    <col min="9782" max="9790" width="11.42578125" style="11" customWidth="1"/>
    <col min="9791" max="10022" width="11.42578125" style="11"/>
    <col min="10023" max="10023" width="3.5703125" style="11" customWidth="1"/>
    <col min="10024" max="10024" width="13.42578125" style="11" customWidth="1"/>
    <col min="10025" max="10032" width="11.42578125" style="11" customWidth="1"/>
    <col min="10033" max="10033" width="9.5703125" style="11" bestFit="1" customWidth="1"/>
    <col min="10034" max="10037" width="0" style="11" hidden="1" customWidth="1"/>
    <col min="10038" max="10046" width="11.42578125" style="11" customWidth="1"/>
    <col min="10047" max="10278" width="11.42578125" style="11"/>
    <col min="10279" max="10279" width="3.5703125" style="11" customWidth="1"/>
    <col min="10280" max="10280" width="13.42578125" style="11" customWidth="1"/>
    <col min="10281" max="10288" width="11.42578125" style="11" customWidth="1"/>
    <col min="10289" max="10289" width="9.5703125" style="11" bestFit="1" customWidth="1"/>
    <col min="10290" max="10293" width="0" style="11" hidden="1" customWidth="1"/>
    <col min="10294" max="10302" width="11.42578125" style="11" customWidth="1"/>
    <col min="10303" max="10534" width="11.42578125" style="11"/>
    <col min="10535" max="10535" width="3.5703125" style="11" customWidth="1"/>
    <col min="10536" max="10536" width="13.42578125" style="11" customWidth="1"/>
    <col min="10537" max="10544" width="11.42578125" style="11" customWidth="1"/>
    <col min="10545" max="10545" width="9.5703125" style="11" bestFit="1" customWidth="1"/>
    <col min="10546" max="10549" width="0" style="11" hidden="1" customWidth="1"/>
    <col min="10550" max="10558" width="11.42578125" style="11" customWidth="1"/>
    <col min="10559" max="10790" width="11.42578125" style="11"/>
    <col min="10791" max="10791" width="3.5703125" style="11" customWidth="1"/>
    <col min="10792" max="10792" width="13.42578125" style="11" customWidth="1"/>
    <col min="10793" max="10800" width="11.42578125" style="11" customWidth="1"/>
    <col min="10801" max="10801" width="9.5703125" style="11" bestFit="1" customWidth="1"/>
    <col min="10802" max="10805" width="0" style="11" hidden="1" customWidth="1"/>
    <col min="10806" max="10814" width="11.42578125" style="11" customWidth="1"/>
    <col min="10815" max="11046" width="11.42578125" style="11"/>
    <col min="11047" max="11047" width="3.5703125" style="11" customWidth="1"/>
    <col min="11048" max="11048" width="13.42578125" style="11" customWidth="1"/>
    <col min="11049" max="11056" width="11.42578125" style="11" customWidth="1"/>
    <col min="11057" max="11057" width="9.5703125" style="11" bestFit="1" customWidth="1"/>
    <col min="11058" max="11061" width="0" style="11" hidden="1" customWidth="1"/>
    <col min="11062" max="11070" width="11.42578125" style="11" customWidth="1"/>
    <col min="11071" max="11302" width="11.42578125" style="11"/>
    <col min="11303" max="11303" width="3.5703125" style="11" customWidth="1"/>
    <col min="11304" max="11304" width="13.42578125" style="11" customWidth="1"/>
    <col min="11305" max="11312" width="11.42578125" style="11" customWidth="1"/>
    <col min="11313" max="11313" width="9.5703125" style="11" bestFit="1" customWidth="1"/>
    <col min="11314" max="11317" width="0" style="11" hidden="1" customWidth="1"/>
    <col min="11318" max="11326" width="11.42578125" style="11" customWidth="1"/>
    <col min="11327" max="11558" width="11.42578125" style="11"/>
    <col min="11559" max="11559" width="3.5703125" style="11" customWidth="1"/>
    <col min="11560" max="11560" width="13.42578125" style="11" customWidth="1"/>
    <col min="11561" max="11568" width="11.42578125" style="11" customWidth="1"/>
    <col min="11569" max="11569" width="9.5703125" style="11" bestFit="1" customWidth="1"/>
    <col min="11570" max="11573" width="0" style="11" hidden="1" customWidth="1"/>
    <col min="11574" max="11582" width="11.42578125" style="11" customWidth="1"/>
    <col min="11583" max="11814" width="11.42578125" style="11"/>
    <col min="11815" max="11815" width="3.5703125" style="11" customWidth="1"/>
    <col min="11816" max="11816" width="13.42578125" style="11" customWidth="1"/>
    <col min="11817" max="11824" width="11.42578125" style="11" customWidth="1"/>
    <col min="11825" max="11825" width="9.5703125" style="11" bestFit="1" customWidth="1"/>
    <col min="11826" max="11829" width="0" style="11" hidden="1" customWidth="1"/>
    <col min="11830" max="11838" width="11.42578125" style="11" customWidth="1"/>
    <col min="11839" max="12070" width="11.42578125" style="11"/>
    <col min="12071" max="12071" width="3.5703125" style="11" customWidth="1"/>
    <col min="12072" max="12072" width="13.42578125" style="11" customWidth="1"/>
    <col min="12073" max="12080" width="11.42578125" style="11" customWidth="1"/>
    <col min="12081" max="12081" width="9.5703125" style="11" bestFit="1" customWidth="1"/>
    <col min="12082" max="12085" width="0" style="11" hidden="1" customWidth="1"/>
    <col min="12086" max="12094" width="11.42578125" style="11" customWidth="1"/>
    <col min="12095" max="12326" width="11.42578125" style="11"/>
    <col min="12327" max="12327" width="3.5703125" style="11" customWidth="1"/>
    <col min="12328" max="12328" width="13.42578125" style="11" customWidth="1"/>
    <col min="12329" max="12336" width="11.42578125" style="11" customWidth="1"/>
    <col min="12337" max="12337" width="9.5703125" style="11" bestFit="1" customWidth="1"/>
    <col min="12338" max="12341" width="0" style="11" hidden="1" customWidth="1"/>
    <col min="12342" max="12350" width="11.42578125" style="11" customWidth="1"/>
    <col min="12351" max="12582" width="11.42578125" style="11"/>
    <col min="12583" max="12583" width="3.5703125" style="11" customWidth="1"/>
    <col min="12584" max="12584" width="13.42578125" style="11" customWidth="1"/>
    <col min="12585" max="12592" width="11.42578125" style="11" customWidth="1"/>
    <col min="12593" max="12593" width="9.5703125" style="11" bestFit="1" customWidth="1"/>
    <col min="12594" max="12597" width="0" style="11" hidden="1" customWidth="1"/>
    <col min="12598" max="12606" width="11.42578125" style="11" customWidth="1"/>
    <col min="12607" max="12838" width="11.42578125" style="11"/>
    <col min="12839" max="12839" width="3.5703125" style="11" customWidth="1"/>
    <col min="12840" max="12840" width="13.42578125" style="11" customWidth="1"/>
    <col min="12841" max="12848" width="11.42578125" style="11" customWidth="1"/>
    <col min="12849" max="12849" width="9.5703125" style="11" bestFit="1" customWidth="1"/>
    <col min="12850" max="12853" width="0" style="11" hidden="1" customWidth="1"/>
    <col min="12854" max="12862" width="11.42578125" style="11" customWidth="1"/>
    <col min="12863" max="13094" width="11.42578125" style="11"/>
    <col min="13095" max="13095" width="3.5703125" style="11" customWidth="1"/>
    <col min="13096" max="13096" width="13.42578125" style="11" customWidth="1"/>
    <col min="13097" max="13104" width="11.42578125" style="11" customWidth="1"/>
    <col min="13105" max="13105" width="9.5703125" style="11" bestFit="1" customWidth="1"/>
    <col min="13106" max="13109" width="0" style="11" hidden="1" customWidth="1"/>
    <col min="13110" max="13118" width="11.42578125" style="11" customWidth="1"/>
    <col min="13119" max="13350" width="11.42578125" style="11"/>
    <col min="13351" max="13351" width="3.5703125" style="11" customWidth="1"/>
    <col min="13352" max="13352" width="13.42578125" style="11" customWidth="1"/>
    <col min="13353" max="13360" width="11.42578125" style="11" customWidth="1"/>
    <col min="13361" max="13361" width="9.5703125" style="11" bestFit="1" customWidth="1"/>
    <col min="13362" max="13365" width="0" style="11" hidden="1" customWidth="1"/>
    <col min="13366" max="13374" width="11.42578125" style="11" customWidth="1"/>
    <col min="13375" max="13606" width="11.42578125" style="11"/>
    <col min="13607" max="13607" width="3.5703125" style="11" customWidth="1"/>
    <col min="13608" max="13608" width="13.42578125" style="11" customWidth="1"/>
    <col min="13609" max="13616" width="11.42578125" style="11" customWidth="1"/>
    <col min="13617" max="13617" width="9.5703125" style="11" bestFit="1" customWidth="1"/>
    <col min="13618" max="13621" width="0" style="11" hidden="1" customWidth="1"/>
    <col min="13622" max="13630" width="11.42578125" style="11" customWidth="1"/>
    <col min="13631" max="13862" width="11.42578125" style="11"/>
    <col min="13863" max="13863" width="3.5703125" style="11" customWidth="1"/>
    <col min="13864" max="13864" width="13.42578125" style="11" customWidth="1"/>
    <col min="13865" max="13872" width="11.42578125" style="11" customWidth="1"/>
    <col min="13873" max="13873" width="9.5703125" style="11" bestFit="1" customWidth="1"/>
    <col min="13874" max="13877" width="0" style="11" hidden="1" customWidth="1"/>
    <col min="13878" max="13886" width="11.42578125" style="11" customWidth="1"/>
    <col min="13887" max="14118" width="11.42578125" style="11"/>
    <col min="14119" max="14119" width="3.5703125" style="11" customWidth="1"/>
    <col min="14120" max="14120" width="13.42578125" style="11" customWidth="1"/>
    <col min="14121" max="14128" width="11.42578125" style="11" customWidth="1"/>
    <col min="14129" max="14129" width="9.5703125" style="11" bestFit="1" customWidth="1"/>
    <col min="14130" max="14133" width="0" style="11" hidden="1" customWidth="1"/>
    <col min="14134" max="14142" width="11.42578125" style="11" customWidth="1"/>
    <col min="14143" max="14374" width="11.42578125" style="11"/>
    <col min="14375" max="14375" width="3.5703125" style="11" customWidth="1"/>
    <col min="14376" max="14376" width="13.42578125" style="11" customWidth="1"/>
    <col min="14377" max="14384" width="11.42578125" style="11" customWidth="1"/>
    <col min="14385" max="14385" width="9.5703125" style="11" bestFit="1" customWidth="1"/>
    <col min="14386" max="14389" width="0" style="11" hidden="1" customWidth="1"/>
    <col min="14390" max="14398" width="11.42578125" style="11" customWidth="1"/>
    <col min="14399" max="14630" width="11.42578125" style="11"/>
    <col min="14631" max="14631" width="3.5703125" style="11" customWidth="1"/>
    <col min="14632" max="14632" width="13.42578125" style="11" customWidth="1"/>
    <col min="14633" max="14640" width="11.42578125" style="11" customWidth="1"/>
    <col min="14641" max="14641" width="9.5703125" style="11" bestFit="1" customWidth="1"/>
    <col min="14642" max="14645" width="0" style="11" hidden="1" customWidth="1"/>
    <col min="14646" max="14654" width="11.42578125" style="11" customWidth="1"/>
    <col min="14655" max="14886" width="11.42578125" style="11"/>
    <col min="14887" max="14887" width="3.5703125" style="11" customWidth="1"/>
    <col min="14888" max="14888" width="13.42578125" style="11" customWidth="1"/>
    <col min="14889" max="14896" width="11.42578125" style="11" customWidth="1"/>
    <col min="14897" max="14897" width="9.5703125" style="11" bestFit="1" customWidth="1"/>
    <col min="14898" max="14901" width="0" style="11" hidden="1" customWidth="1"/>
    <col min="14902" max="14910" width="11.42578125" style="11" customWidth="1"/>
    <col min="14911" max="15142" width="11.42578125" style="11"/>
    <col min="15143" max="15143" width="3.5703125" style="11" customWidth="1"/>
    <col min="15144" max="15144" width="13.42578125" style="11" customWidth="1"/>
    <col min="15145" max="15152" width="11.42578125" style="11" customWidth="1"/>
    <col min="15153" max="15153" width="9.5703125" style="11" bestFit="1" customWidth="1"/>
    <col min="15154" max="15157" width="0" style="11" hidden="1" customWidth="1"/>
    <col min="15158" max="15166" width="11.42578125" style="11" customWidth="1"/>
    <col min="15167" max="15398" width="11.42578125" style="11"/>
    <col min="15399" max="15399" width="3.5703125" style="11" customWidth="1"/>
    <col min="15400" max="15400" width="13.42578125" style="11" customWidth="1"/>
    <col min="15401" max="15408" width="11.42578125" style="11" customWidth="1"/>
    <col min="15409" max="15409" width="9.5703125" style="11" bestFit="1" customWidth="1"/>
    <col min="15410" max="15413" width="0" style="11" hidden="1" customWidth="1"/>
    <col min="15414" max="15422" width="11.42578125" style="11" customWidth="1"/>
    <col min="15423" max="15654" width="11.42578125" style="11"/>
    <col min="15655" max="15655" width="3.5703125" style="11" customWidth="1"/>
    <col min="15656" max="15656" width="13.42578125" style="11" customWidth="1"/>
    <col min="15657" max="15664" width="11.42578125" style="11" customWidth="1"/>
    <col min="15665" max="15665" width="9.5703125" style="11" bestFit="1" customWidth="1"/>
    <col min="15666" max="15669" width="0" style="11" hidden="1" customWidth="1"/>
    <col min="15670" max="15678" width="11.42578125" style="11" customWidth="1"/>
    <col min="15679" max="15910" width="11.42578125" style="11"/>
    <col min="15911" max="15911" width="3.5703125" style="11" customWidth="1"/>
    <col min="15912" max="15912" width="13.42578125" style="11" customWidth="1"/>
    <col min="15913" max="15920" width="11.42578125" style="11" customWidth="1"/>
    <col min="15921" max="15921" width="9.5703125" style="11" bestFit="1" customWidth="1"/>
    <col min="15922" max="15925" width="0" style="11" hidden="1" customWidth="1"/>
    <col min="15926" max="15934" width="11.42578125" style="11" customWidth="1"/>
    <col min="15935" max="16166" width="11.42578125" style="11"/>
    <col min="16167" max="16167" width="3.5703125" style="11" customWidth="1"/>
    <col min="16168" max="16168" width="13.42578125" style="11" customWidth="1"/>
    <col min="16169" max="16176" width="11.42578125" style="11" customWidth="1"/>
    <col min="16177" max="16177" width="9.5703125" style="11" bestFit="1" customWidth="1"/>
    <col min="16178" max="16181" width="0" style="11" hidden="1" customWidth="1"/>
    <col min="16182" max="16190" width="11.42578125" style="11" customWidth="1"/>
    <col min="16191" max="16384" width="11.42578125" style="11"/>
  </cols>
  <sheetData>
    <row r="2" spans="2:71" s="1" customFormat="1" ht="21">
      <c r="B2" s="2" t="s">
        <v>160</v>
      </c>
      <c r="C2" s="3" t="s">
        <v>161</v>
      </c>
      <c r="D2" s="3" t="s">
        <v>161</v>
      </c>
      <c r="E2" s="3" t="s">
        <v>161</v>
      </c>
      <c r="F2" s="3" t="s">
        <v>161</v>
      </c>
      <c r="G2" s="3" t="s">
        <v>161</v>
      </c>
      <c r="H2" s="3" t="s">
        <v>161</v>
      </c>
      <c r="I2" s="3" t="s">
        <v>161</v>
      </c>
      <c r="J2" s="3" t="s">
        <v>161</v>
      </c>
      <c r="K2" s="3" t="s">
        <v>161</v>
      </c>
      <c r="L2" s="3" t="s">
        <v>161</v>
      </c>
      <c r="M2" s="3" t="s">
        <v>161</v>
      </c>
      <c r="N2" s="3" t="s">
        <v>161</v>
      </c>
      <c r="O2" s="3" t="s">
        <v>161</v>
      </c>
      <c r="P2" s="3" t="s">
        <v>162</v>
      </c>
      <c r="R2" s="3" t="s">
        <v>163</v>
      </c>
      <c r="S2" s="3" t="s">
        <v>163</v>
      </c>
      <c r="T2" s="3" t="s">
        <v>163</v>
      </c>
      <c r="U2" s="3" t="s">
        <v>163</v>
      </c>
      <c r="V2" s="4" t="s">
        <v>163</v>
      </c>
      <c r="W2" s="3" t="s">
        <v>163</v>
      </c>
      <c r="X2" s="3" t="s">
        <v>163</v>
      </c>
      <c r="Y2" s="3" t="s">
        <v>163</v>
      </c>
      <c r="Z2" s="4" t="s">
        <v>163</v>
      </c>
      <c r="AA2" s="3" t="s">
        <v>163</v>
      </c>
      <c r="AB2" s="3" t="s">
        <v>163</v>
      </c>
      <c r="AC2" s="3" t="s">
        <v>163</v>
      </c>
      <c r="AD2" s="4" t="s">
        <v>163</v>
      </c>
      <c r="AE2" s="3" t="s">
        <v>163</v>
      </c>
      <c r="AF2" s="3" t="s">
        <v>163</v>
      </c>
      <c r="AG2" s="3" t="s">
        <v>163</v>
      </c>
      <c r="AH2" s="4" t="s">
        <v>163</v>
      </c>
      <c r="AI2" s="4" t="s">
        <v>163</v>
      </c>
      <c r="AJ2" s="3" t="s">
        <v>163</v>
      </c>
      <c r="AK2" s="3" t="s">
        <v>163</v>
      </c>
      <c r="AL2" s="3" t="s">
        <v>163</v>
      </c>
      <c r="AM2" s="4" t="s">
        <v>163</v>
      </c>
      <c r="AN2" s="4" t="s">
        <v>163</v>
      </c>
      <c r="AO2" s="4" t="s">
        <v>163</v>
      </c>
      <c r="AP2" s="4" t="s">
        <v>163</v>
      </c>
      <c r="AQ2" s="3" t="s">
        <v>163</v>
      </c>
      <c r="AR2" s="3" t="s">
        <v>163</v>
      </c>
      <c r="AS2" s="3" t="s">
        <v>163</v>
      </c>
      <c r="AT2" s="3" t="s">
        <v>163</v>
      </c>
      <c r="AU2" s="4" t="s">
        <v>163</v>
      </c>
      <c r="AV2" s="4" t="s">
        <v>163</v>
      </c>
      <c r="AW2" s="3" t="s">
        <v>163</v>
      </c>
      <c r="AX2" s="3" t="s">
        <v>163</v>
      </c>
      <c r="AY2" s="4" t="s">
        <v>163</v>
      </c>
      <c r="AZ2" s="4" t="s">
        <v>163</v>
      </c>
      <c r="BA2" s="3" t="s">
        <v>163</v>
      </c>
      <c r="BB2" s="3" t="s">
        <v>163</v>
      </c>
      <c r="BC2" s="4" t="s">
        <v>163</v>
      </c>
      <c r="BD2" s="233"/>
      <c r="BE2" s="4" t="s">
        <v>163</v>
      </c>
      <c r="BF2" s="4" t="s">
        <v>163</v>
      </c>
      <c r="BG2" s="4" t="s">
        <v>163</v>
      </c>
      <c r="BH2" s="4" t="s">
        <v>163</v>
      </c>
      <c r="BI2" s="4" t="s">
        <v>163</v>
      </c>
      <c r="BJ2" s="233"/>
      <c r="BK2" s="4" t="s">
        <v>164</v>
      </c>
      <c r="BL2" s="4" t="s">
        <v>164</v>
      </c>
      <c r="BM2" s="233"/>
      <c r="BN2" s="4" t="s">
        <v>165</v>
      </c>
      <c r="BO2" s="4" t="s">
        <v>165</v>
      </c>
      <c r="BP2" s="233"/>
      <c r="BQ2" s="3" t="s">
        <v>163</v>
      </c>
      <c r="BR2" s="3" t="s">
        <v>163</v>
      </c>
      <c r="BS2" s="3" t="s">
        <v>163</v>
      </c>
    </row>
    <row r="3" spans="2:71" s="1" customFormat="1" ht="12.75">
      <c r="B3" s="5" t="s">
        <v>166</v>
      </c>
      <c r="C3" s="6">
        <v>42735</v>
      </c>
      <c r="D3" s="6">
        <v>43100</v>
      </c>
      <c r="E3" s="6">
        <v>43465</v>
      </c>
      <c r="F3" s="6">
        <v>43830</v>
      </c>
      <c r="G3" s="6">
        <v>44196</v>
      </c>
      <c r="H3" s="6">
        <v>44561</v>
      </c>
      <c r="I3" s="6">
        <v>44926</v>
      </c>
      <c r="J3" s="6">
        <v>44926</v>
      </c>
      <c r="K3" s="6">
        <v>45291</v>
      </c>
      <c r="L3" s="6">
        <v>45291</v>
      </c>
      <c r="M3" s="6">
        <v>45657</v>
      </c>
      <c r="N3" s="6">
        <v>45657</v>
      </c>
      <c r="O3" s="6">
        <v>46022</v>
      </c>
      <c r="P3" s="6">
        <f>BC3</f>
        <v>46112</v>
      </c>
      <c r="R3" s="6">
        <v>43190</v>
      </c>
      <c r="S3" s="6">
        <v>43281</v>
      </c>
      <c r="T3" s="6">
        <v>43373</v>
      </c>
      <c r="U3" s="6">
        <v>43465</v>
      </c>
      <c r="V3" s="6">
        <v>43555</v>
      </c>
      <c r="W3" s="6">
        <v>43646</v>
      </c>
      <c r="X3" s="6">
        <v>43738</v>
      </c>
      <c r="Y3" s="6">
        <v>43830</v>
      </c>
      <c r="Z3" s="6">
        <v>43921</v>
      </c>
      <c r="AA3" s="6">
        <v>44012</v>
      </c>
      <c r="AB3" s="6">
        <v>44104</v>
      </c>
      <c r="AC3" s="6">
        <v>44196</v>
      </c>
      <c r="AD3" s="6">
        <v>44286</v>
      </c>
      <c r="AE3" s="6">
        <v>44377</v>
      </c>
      <c r="AF3" s="6">
        <v>44469</v>
      </c>
      <c r="AG3" s="6">
        <v>44561</v>
      </c>
      <c r="AH3" s="6">
        <v>44651</v>
      </c>
      <c r="AI3" s="6">
        <v>44742</v>
      </c>
      <c r="AJ3" s="6">
        <v>44834</v>
      </c>
      <c r="AK3" s="6">
        <v>44926</v>
      </c>
      <c r="AL3" s="6">
        <v>44926</v>
      </c>
      <c r="AM3" s="6">
        <v>45016</v>
      </c>
      <c r="AN3" s="6">
        <v>45016</v>
      </c>
      <c r="AO3" s="6">
        <v>45107</v>
      </c>
      <c r="AP3" s="6">
        <v>45107</v>
      </c>
      <c r="AQ3" s="6">
        <v>45199</v>
      </c>
      <c r="AR3" s="6">
        <v>45199</v>
      </c>
      <c r="AS3" s="6">
        <v>45291</v>
      </c>
      <c r="AT3" s="6">
        <v>45291</v>
      </c>
      <c r="AU3" s="6">
        <v>45382</v>
      </c>
      <c r="AV3" s="6">
        <v>45473</v>
      </c>
      <c r="AW3" s="6">
        <v>45565</v>
      </c>
      <c r="AX3" s="6">
        <v>45657</v>
      </c>
      <c r="AY3" s="6">
        <v>45747</v>
      </c>
      <c r="AZ3" s="6">
        <v>45838</v>
      </c>
      <c r="BA3" s="6">
        <v>45930</v>
      </c>
      <c r="BB3" s="6">
        <v>46022</v>
      </c>
      <c r="BC3" s="6">
        <v>46112</v>
      </c>
      <c r="BD3" s="234"/>
      <c r="BE3" s="6">
        <v>45382</v>
      </c>
      <c r="BF3" s="6">
        <v>45473</v>
      </c>
      <c r="BG3" s="6">
        <v>45565</v>
      </c>
      <c r="BH3" s="6">
        <v>45656</v>
      </c>
      <c r="BI3" s="6">
        <v>45747</v>
      </c>
      <c r="BJ3" s="234"/>
      <c r="BK3" s="6">
        <v>45473</v>
      </c>
      <c r="BL3" s="6">
        <v>45838</v>
      </c>
      <c r="BM3" s="234"/>
      <c r="BN3" s="6">
        <v>45565</v>
      </c>
      <c r="BO3" s="6">
        <v>45930</v>
      </c>
      <c r="BP3" s="234"/>
      <c r="BQ3" s="6">
        <v>44104</v>
      </c>
      <c r="BR3" s="6">
        <v>44286</v>
      </c>
      <c r="BS3" s="6">
        <v>44377</v>
      </c>
    </row>
    <row r="4" spans="2:71" s="7" customFormat="1" ht="12.75">
      <c r="B4" s="107"/>
      <c r="C4" s="6" t="s">
        <v>167</v>
      </c>
      <c r="D4" s="6" t="s">
        <v>167</v>
      </c>
      <c r="E4" s="6" t="s">
        <v>167</v>
      </c>
      <c r="F4" s="6" t="s">
        <v>167</v>
      </c>
      <c r="G4" s="6" t="s">
        <v>167</v>
      </c>
      <c r="H4" s="6" t="s">
        <v>167</v>
      </c>
      <c r="I4" s="6" t="s">
        <v>167</v>
      </c>
      <c r="J4" s="212" t="s">
        <v>168</v>
      </c>
      <c r="K4" s="6" t="s">
        <v>167</v>
      </c>
      <c r="L4" s="212" t="s">
        <v>168</v>
      </c>
      <c r="M4" s="6" t="s">
        <v>167</v>
      </c>
      <c r="N4" s="212" t="s">
        <v>168</v>
      </c>
      <c r="O4" s="6" t="s">
        <v>167</v>
      </c>
      <c r="P4" s="6" t="s">
        <v>167</v>
      </c>
      <c r="R4" s="6" t="s">
        <v>167</v>
      </c>
      <c r="S4" s="6" t="s">
        <v>167</v>
      </c>
      <c r="T4" s="6" t="s">
        <v>167</v>
      </c>
      <c r="U4" s="6" t="s">
        <v>167</v>
      </c>
      <c r="V4" s="6" t="s">
        <v>167</v>
      </c>
      <c r="W4" s="6" t="s">
        <v>167</v>
      </c>
      <c r="X4" s="6" t="s">
        <v>167</v>
      </c>
      <c r="Y4" s="6" t="s">
        <v>167</v>
      </c>
      <c r="Z4" s="6" t="s">
        <v>167</v>
      </c>
      <c r="AA4" s="6" t="s">
        <v>167</v>
      </c>
      <c r="AB4" s="6" t="s">
        <v>167</v>
      </c>
      <c r="AC4" s="6" t="s">
        <v>167</v>
      </c>
      <c r="AD4" s="6" t="s">
        <v>167</v>
      </c>
      <c r="AE4" s="6" t="s">
        <v>167</v>
      </c>
      <c r="AF4" s="6" t="s">
        <v>167</v>
      </c>
      <c r="AG4" s="6" t="s">
        <v>167</v>
      </c>
      <c r="AH4" s="6" t="s">
        <v>167</v>
      </c>
      <c r="AI4" s="6" t="s">
        <v>167</v>
      </c>
      <c r="AJ4" s="6" t="s">
        <v>167</v>
      </c>
      <c r="AK4" s="6" t="s">
        <v>167</v>
      </c>
      <c r="AL4" s="212" t="s">
        <v>168</v>
      </c>
      <c r="AM4" s="6" t="s">
        <v>167</v>
      </c>
      <c r="AN4" s="212" t="s">
        <v>168</v>
      </c>
      <c r="AO4" s="6" t="s">
        <v>167</v>
      </c>
      <c r="AP4" s="212" t="s">
        <v>168</v>
      </c>
      <c r="AQ4" s="6" t="s">
        <v>167</v>
      </c>
      <c r="AR4" s="212" t="s">
        <v>168</v>
      </c>
      <c r="AS4" s="6" t="s">
        <v>167</v>
      </c>
      <c r="AT4" s="212" t="s">
        <v>168</v>
      </c>
      <c r="AU4" s="6" t="s">
        <v>167</v>
      </c>
      <c r="AV4" s="6" t="s">
        <v>167</v>
      </c>
      <c r="AW4" s="6" t="s">
        <v>167</v>
      </c>
      <c r="AX4" s="6" t="s">
        <v>167</v>
      </c>
      <c r="AY4" s="6" t="s">
        <v>167</v>
      </c>
      <c r="AZ4" s="6" t="s">
        <v>167</v>
      </c>
      <c r="BA4" s="6" t="s">
        <v>167</v>
      </c>
      <c r="BB4" s="6" t="s">
        <v>167</v>
      </c>
      <c r="BC4" s="6" t="s">
        <v>167</v>
      </c>
      <c r="BD4" s="234"/>
      <c r="BE4" s="212" t="s">
        <v>168</v>
      </c>
      <c r="BF4" s="212" t="s">
        <v>168</v>
      </c>
      <c r="BG4" s="212" t="s">
        <v>168</v>
      </c>
      <c r="BH4" s="212" t="s">
        <v>168</v>
      </c>
      <c r="BI4" s="212" t="s">
        <v>168</v>
      </c>
      <c r="BJ4" s="234"/>
      <c r="BK4" s="212" t="s">
        <v>167</v>
      </c>
      <c r="BL4" s="212" t="s">
        <v>167</v>
      </c>
      <c r="BM4" s="297"/>
      <c r="BN4" s="212" t="s">
        <v>167</v>
      </c>
      <c r="BO4" s="212" t="s">
        <v>167</v>
      </c>
      <c r="BP4" s="234"/>
      <c r="BQ4" s="6" t="s">
        <v>168</v>
      </c>
      <c r="BR4" s="6" t="s">
        <v>168</v>
      </c>
      <c r="BS4" s="6" t="s">
        <v>168</v>
      </c>
    </row>
    <row r="5" spans="2:71" s="8" customFormat="1" ht="12.75">
      <c r="C5" s="9" t="s">
        <v>169</v>
      </c>
      <c r="D5" s="9" t="s">
        <v>169</v>
      </c>
      <c r="E5" s="9" t="s">
        <v>169</v>
      </c>
      <c r="F5" s="9" t="s">
        <v>169</v>
      </c>
      <c r="G5" s="9" t="s">
        <v>169</v>
      </c>
      <c r="H5" s="9" t="s">
        <v>169</v>
      </c>
      <c r="I5" s="9" t="s">
        <v>169</v>
      </c>
      <c r="J5" s="9" t="s">
        <v>169</v>
      </c>
      <c r="K5" s="9" t="s">
        <v>169</v>
      </c>
      <c r="L5" s="9" t="s">
        <v>169</v>
      </c>
      <c r="M5" s="9" t="s">
        <v>169</v>
      </c>
      <c r="N5" s="9" t="s">
        <v>169</v>
      </c>
      <c r="O5" s="9" t="s">
        <v>169</v>
      </c>
      <c r="P5" s="10" t="s">
        <v>162</v>
      </c>
      <c r="R5" s="9" t="s">
        <v>170</v>
      </c>
      <c r="S5" s="9" t="s">
        <v>171</v>
      </c>
      <c r="T5" s="9" t="s">
        <v>172</v>
      </c>
      <c r="U5" s="10" t="s">
        <v>173</v>
      </c>
      <c r="V5" s="9" t="s">
        <v>170</v>
      </c>
      <c r="W5" s="9" t="s">
        <v>171</v>
      </c>
      <c r="X5" s="9" t="s">
        <v>172</v>
      </c>
      <c r="Y5" s="10" t="s">
        <v>173</v>
      </c>
      <c r="Z5" s="9" t="s">
        <v>170</v>
      </c>
      <c r="AA5" s="9" t="s">
        <v>171</v>
      </c>
      <c r="AB5" s="9" t="s">
        <v>172</v>
      </c>
      <c r="AC5" s="10" t="s">
        <v>173</v>
      </c>
      <c r="AD5" s="9" t="s">
        <v>170</v>
      </c>
      <c r="AE5" s="9" t="s">
        <v>171</v>
      </c>
      <c r="AF5" s="9" t="s">
        <v>172</v>
      </c>
      <c r="AG5" s="10" t="s">
        <v>173</v>
      </c>
      <c r="AH5" s="9" t="s">
        <v>170</v>
      </c>
      <c r="AI5" s="9" t="s">
        <v>171</v>
      </c>
      <c r="AJ5" s="9" t="s">
        <v>172</v>
      </c>
      <c r="AK5" s="10" t="s">
        <v>173</v>
      </c>
      <c r="AL5" s="10" t="s">
        <v>173</v>
      </c>
      <c r="AM5" s="9" t="s">
        <v>170</v>
      </c>
      <c r="AN5" s="9" t="s">
        <v>170</v>
      </c>
      <c r="AO5" s="9" t="s">
        <v>171</v>
      </c>
      <c r="AP5" s="9" t="s">
        <v>171</v>
      </c>
      <c r="AQ5" s="9" t="s">
        <v>172</v>
      </c>
      <c r="AR5" s="9" t="s">
        <v>172</v>
      </c>
      <c r="AS5" s="10" t="s">
        <v>173</v>
      </c>
      <c r="AT5" s="10" t="s">
        <v>173</v>
      </c>
      <c r="AU5" s="9" t="s">
        <v>170</v>
      </c>
      <c r="AV5" s="9" t="s">
        <v>171</v>
      </c>
      <c r="AW5" s="9" t="s">
        <v>172</v>
      </c>
      <c r="AX5" s="10" t="s">
        <v>173</v>
      </c>
      <c r="AY5" s="9" t="s">
        <v>170</v>
      </c>
      <c r="AZ5" s="9" t="s">
        <v>171</v>
      </c>
      <c r="BA5" s="9" t="s">
        <v>172</v>
      </c>
      <c r="BB5" s="10" t="s">
        <v>173</v>
      </c>
      <c r="BC5" s="9" t="s">
        <v>170</v>
      </c>
      <c r="BD5" s="9"/>
      <c r="BE5" s="9" t="s">
        <v>170</v>
      </c>
      <c r="BF5" s="9" t="s">
        <v>171</v>
      </c>
      <c r="BG5" s="9" t="s">
        <v>172</v>
      </c>
      <c r="BH5" s="10" t="s">
        <v>173</v>
      </c>
      <c r="BI5" s="9" t="s">
        <v>170</v>
      </c>
      <c r="BJ5" s="9"/>
      <c r="BK5" s="9" t="s">
        <v>164</v>
      </c>
      <c r="BL5" s="9" t="s">
        <v>164</v>
      </c>
      <c r="BM5" s="9"/>
      <c r="BN5" s="9" t="s">
        <v>165</v>
      </c>
      <c r="BO5" s="9" t="s">
        <v>165</v>
      </c>
      <c r="BP5" s="9"/>
      <c r="BQ5" s="9" t="s">
        <v>172</v>
      </c>
      <c r="BR5" s="9" t="s">
        <v>170</v>
      </c>
      <c r="BS5" s="9" t="s">
        <v>171</v>
      </c>
    </row>
    <row r="6" spans="2:71">
      <c r="B6" s="12" t="s">
        <v>174</v>
      </c>
      <c r="C6" s="13"/>
      <c r="D6" s="13"/>
      <c r="E6" s="13"/>
      <c r="F6" s="13"/>
      <c r="G6" s="13"/>
      <c r="H6" s="13"/>
      <c r="I6" s="13"/>
      <c r="J6" s="13"/>
      <c r="K6" s="13"/>
      <c r="L6" s="212"/>
      <c r="M6" s="212"/>
      <c r="N6" s="212"/>
      <c r="O6" s="212"/>
      <c r="P6" s="13"/>
      <c r="R6" s="13"/>
      <c r="S6" s="13"/>
      <c r="T6" s="13"/>
      <c r="U6" s="13"/>
      <c r="V6" s="14"/>
      <c r="W6" s="13"/>
      <c r="X6" s="13"/>
      <c r="Y6" s="14"/>
      <c r="Z6" s="14"/>
      <c r="AA6" s="13"/>
      <c r="AB6" s="13"/>
      <c r="AC6" s="14"/>
      <c r="AD6" s="14"/>
      <c r="AE6" s="13"/>
      <c r="AF6" s="13"/>
      <c r="AG6" s="14"/>
      <c r="AH6" s="14"/>
      <c r="AI6" s="14"/>
      <c r="AJ6" s="13"/>
      <c r="AK6" s="14"/>
      <c r="AL6" s="14"/>
      <c r="AM6" s="14"/>
      <c r="AN6" s="14"/>
      <c r="AO6" s="14"/>
      <c r="AP6" s="14"/>
      <c r="AQ6" s="13"/>
      <c r="AR6" s="13"/>
      <c r="AS6" s="14"/>
      <c r="AT6" s="14"/>
      <c r="AU6" s="14"/>
      <c r="AV6" s="14"/>
      <c r="AW6" s="13"/>
      <c r="AX6" s="14"/>
      <c r="AY6" s="14"/>
      <c r="AZ6" s="14"/>
      <c r="BA6" s="13"/>
      <c r="BB6" s="14"/>
      <c r="BC6" s="14"/>
      <c r="BE6" s="14"/>
      <c r="BF6" s="14"/>
      <c r="BG6" s="14"/>
      <c r="BH6" s="14"/>
      <c r="BI6" s="14"/>
      <c r="BK6" s="14"/>
      <c r="BL6" s="14"/>
      <c r="BN6" s="14"/>
      <c r="BO6" s="14"/>
      <c r="BQ6" s="13"/>
      <c r="BR6" s="13"/>
      <c r="BS6" s="13"/>
    </row>
    <row r="7" spans="2:71" s="7" customFormat="1" ht="12.75">
      <c r="B7" s="7" t="s">
        <v>175</v>
      </c>
      <c r="C7" s="15">
        <v>4193.7747460000001</v>
      </c>
      <c r="D7" s="15">
        <v>4825.6480000000001</v>
      </c>
      <c r="E7" s="15">
        <v>5955.5079999999998</v>
      </c>
      <c r="F7" s="15">
        <v>7803.12</v>
      </c>
      <c r="G7" s="15">
        <v>9400.8610000000008</v>
      </c>
      <c r="H7" s="15">
        <v>12537.08</v>
      </c>
      <c r="I7" s="15">
        <v>28196.847000000002</v>
      </c>
      <c r="J7" s="15">
        <v>51981.207999999999</v>
      </c>
      <c r="K7" s="15">
        <v>55836.141000000003</v>
      </c>
      <c r="L7" s="15">
        <v>80615.534</v>
      </c>
      <c r="M7" s="15">
        <v>84097.907999999996</v>
      </c>
      <c r="N7" s="15">
        <v>110077.71</v>
      </c>
      <c r="O7" s="15">
        <v>111904.601</v>
      </c>
      <c r="P7" s="16">
        <f>SUM(BB7,BC7,AZ7,BA7)</f>
        <v>118848.70499999999</v>
      </c>
      <c r="R7" s="15">
        <v>1407.69</v>
      </c>
      <c r="S7" s="15">
        <v>1312.269</v>
      </c>
      <c r="T7" s="15">
        <v>1437.674</v>
      </c>
      <c r="U7" s="16">
        <f>E7-SUM(R7:T7)</f>
        <v>1797.875</v>
      </c>
      <c r="V7" s="15">
        <v>1942.36</v>
      </c>
      <c r="W7" s="15">
        <v>1820.498</v>
      </c>
      <c r="X7" s="15">
        <v>1893.1089999999999</v>
      </c>
      <c r="Y7" s="16">
        <f>F7-SUM(V7:X7)</f>
        <v>2147.1529999999993</v>
      </c>
      <c r="Z7" s="15">
        <v>2376.1260000000002</v>
      </c>
      <c r="AA7" s="15">
        <v>2144.6410000000001</v>
      </c>
      <c r="AB7" s="15">
        <v>2228.799</v>
      </c>
      <c r="AC7" s="16">
        <f>G7-SUM(Z7:AB7)</f>
        <v>2651.295000000001</v>
      </c>
      <c r="AD7" s="15">
        <v>2689.6779999999999</v>
      </c>
      <c r="AE7" s="15">
        <v>2542.4160000000002</v>
      </c>
      <c r="AF7" s="15">
        <v>2976.1329999999998</v>
      </c>
      <c r="AG7" s="16">
        <f>H7-SUM(AD7:AF7)</f>
        <v>4328.853000000001</v>
      </c>
      <c r="AH7" s="15">
        <v>5886.018</v>
      </c>
      <c r="AI7" s="15">
        <v>5991.0420000000004</v>
      </c>
      <c r="AJ7" s="15">
        <v>7301.82</v>
      </c>
      <c r="AK7" s="16">
        <f>I7-SUM(AH7:AJ7)</f>
        <v>9017.9670000000006</v>
      </c>
      <c r="AL7" s="16">
        <f>J7-SUM(AH7:AJ7)</f>
        <v>32802.327999999994</v>
      </c>
      <c r="AM7" s="15">
        <v>10111.755999999999</v>
      </c>
      <c r="AN7" s="15">
        <v>17346.855</v>
      </c>
      <c r="AO7" s="15">
        <v>9511.8539999999994</v>
      </c>
      <c r="AP7" s="15">
        <v>16395.692999999999</v>
      </c>
      <c r="AQ7" s="15">
        <v>12408.578</v>
      </c>
      <c r="AR7" s="15">
        <v>17809.405999999999</v>
      </c>
      <c r="AS7" s="16">
        <f>K7-SUM(AM7,AO7,AQ7)</f>
        <v>23803.953000000001</v>
      </c>
      <c r="AT7" s="16">
        <f>L7-SUM(AN7,AP7,AR7)</f>
        <v>29063.58</v>
      </c>
      <c r="AU7" s="15">
        <v>19600.936000000002</v>
      </c>
      <c r="AV7" s="15">
        <v>15309.329</v>
      </c>
      <c r="AW7" s="15">
        <v>18196.404999999999</v>
      </c>
      <c r="AX7" s="16">
        <f>M7-SUM(AU7,AV7,AW7)</f>
        <v>30991.237999999998</v>
      </c>
      <c r="AY7" s="15">
        <v>26962.316999999999</v>
      </c>
      <c r="AZ7" s="15">
        <v>23057.685000000001</v>
      </c>
      <c r="BA7" s="15">
        <v>25411.133000000002</v>
      </c>
      <c r="BB7" s="16">
        <f>O7-SUM(AY7,AZ7,BA7)</f>
        <v>36473.465999999986</v>
      </c>
      <c r="BC7" s="15">
        <v>33906.421000000002</v>
      </c>
      <c r="BD7" s="15"/>
      <c r="BE7" s="15">
        <v>27069.643</v>
      </c>
      <c r="BF7" s="15">
        <v>20675.043000000001</v>
      </c>
      <c r="BG7" s="15">
        <v>24254.718000000001</v>
      </c>
      <c r="BH7" s="16">
        <f>N7-SUM(BE7,BF7,BG7)</f>
        <v>38078.305999999997</v>
      </c>
      <c r="BI7" s="15">
        <v>35285.010999999999</v>
      </c>
      <c r="BJ7" s="15"/>
      <c r="BK7" s="15">
        <v>49370.684000000001</v>
      </c>
      <c r="BL7" s="15">
        <v>51639.553</v>
      </c>
      <c r="BM7" s="15"/>
      <c r="BN7" s="15">
        <v>77330.366999999998</v>
      </c>
      <c r="BO7" s="15">
        <v>80925.914999999994</v>
      </c>
      <c r="BP7" s="15"/>
      <c r="BQ7" s="15">
        <v>2291.16</v>
      </c>
      <c r="BR7" s="15">
        <v>2783.7570000000001</v>
      </c>
      <c r="BS7" s="15">
        <v>2659.067</v>
      </c>
    </row>
    <row r="8" spans="2:71" s="17" customFormat="1" ht="12.75">
      <c r="B8" s="18" t="s">
        <v>176</v>
      </c>
      <c r="C8" s="21"/>
      <c r="D8" s="21">
        <f t="shared" ref="D8:J8" si="0">+D7/C7-1</f>
        <v>0.15066933544837569</v>
      </c>
      <c r="E8" s="21">
        <f t="shared" si="0"/>
        <v>0.23413643100367021</v>
      </c>
      <c r="F8" s="21">
        <f t="shared" si="0"/>
        <v>0.31023583546525346</v>
      </c>
      <c r="G8" s="21">
        <f t="shared" si="0"/>
        <v>0.20475668706876227</v>
      </c>
      <c r="H8" s="21">
        <f t="shared" si="0"/>
        <v>0.33360976191436076</v>
      </c>
      <c r="I8" s="21">
        <f t="shared" si="0"/>
        <v>1.2490761006550173</v>
      </c>
      <c r="J8" s="21">
        <f t="shared" si="0"/>
        <v>0.8435113684874056</v>
      </c>
      <c r="K8" s="21">
        <f>+K7/J7-1</f>
        <v>7.4160127252140828E-2</v>
      </c>
      <c r="L8" s="21">
        <f>+L7/K7-1</f>
        <v>0.44378770732024608</v>
      </c>
      <c r="M8" s="21">
        <f>+M7/L7-1</f>
        <v>4.3197307357661252E-2</v>
      </c>
      <c r="N8" s="21">
        <f>+N7/L7-1</f>
        <v>0.3654652464374919</v>
      </c>
      <c r="O8" s="21">
        <f>+O7/N7-1</f>
        <v>1.6596375415149689E-2</v>
      </c>
      <c r="P8" s="20"/>
      <c r="R8" s="21"/>
      <c r="S8" s="21"/>
      <c r="T8" s="21"/>
      <c r="U8" s="20"/>
      <c r="V8" s="21">
        <f t="shared" ref="V8:X8" si="1">V7/R7-1</f>
        <v>0.37982084123635174</v>
      </c>
      <c r="W8" s="21">
        <f t="shared" si="1"/>
        <v>0.38729025832356023</v>
      </c>
      <c r="X8" s="21">
        <f t="shared" si="1"/>
        <v>0.316786002946426</v>
      </c>
      <c r="Y8" s="21">
        <f t="shared" ref="Y8:AK8" si="2">Y7/U7-1</f>
        <v>0.19427268302857503</v>
      </c>
      <c r="Z8" s="21">
        <f>Z7/V7-1</f>
        <v>0.2233190551699995</v>
      </c>
      <c r="AA8" s="21">
        <f>AA7/W7-1</f>
        <v>0.17805182977405076</v>
      </c>
      <c r="AB8" s="21">
        <f>AB7/X7-1</f>
        <v>0.17732206650541515</v>
      </c>
      <c r="AC8" s="21">
        <f>AC7/Y7-1</f>
        <v>0.23479556417265179</v>
      </c>
      <c r="AD8" s="21">
        <f t="shared" si="2"/>
        <v>0.13195933212295974</v>
      </c>
      <c r="AE8" s="21">
        <f>AE7/AA7-1</f>
        <v>0.18547393246701893</v>
      </c>
      <c r="AF8" s="21">
        <f t="shared" ref="AF8" si="3">AF7/AB7-1</f>
        <v>0.33530793938798431</v>
      </c>
      <c r="AG8" s="21">
        <f t="shared" si="2"/>
        <v>0.63273155193971231</v>
      </c>
      <c r="AH8" s="21">
        <f t="shared" si="2"/>
        <v>1.1883727345801245</v>
      </c>
      <c r="AI8" s="21">
        <f t="shared" si="2"/>
        <v>1.35643655483603</v>
      </c>
      <c r="AJ8" s="21">
        <f t="shared" si="2"/>
        <v>1.4534589011982999</v>
      </c>
      <c r="AK8" s="21">
        <f t="shared" si="2"/>
        <v>1.0832232002334101</v>
      </c>
      <c r="AL8" s="21">
        <f>AL7/AG7-1</f>
        <v>6.5776026582561213</v>
      </c>
      <c r="AM8" s="21">
        <f>AM7/AH7-1</f>
        <v>0.71792814768830127</v>
      </c>
      <c r="AN8" s="21">
        <f>AN7/AI7-1</f>
        <v>1.895465429886821</v>
      </c>
      <c r="AO8" s="21">
        <f>AO7/AI7-1</f>
        <v>0.58767940535219054</v>
      </c>
      <c r="AP8" s="21">
        <f t="shared" ref="AP8:AQ8" si="4">AP7/AI7-1</f>
        <v>1.7367013951830081</v>
      </c>
      <c r="AQ8" s="21">
        <f t="shared" si="4"/>
        <v>0.69938152405838538</v>
      </c>
      <c r="AR8" s="21">
        <f>AR7/AJ7-1</f>
        <v>1.4390365689649975</v>
      </c>
      <c r="AS8" s="21">
        <f>AS7/AK7-1</f>
        <v>1.639614117017727</v>
      </c>
      <c r="AT8" s="21">
        <f>AT7/AL7-1</f>
        <v>-0.11397812984493028</v>
      </c>
      <c r="AU8" s="21">
        <f>AU7/AN7-1</f>
        <v>0.12994176754230091</v>
      </c>
      <c r="AV8" s="21">
        <f>AV7/AP7-1</f>
        <v>-6.6259108413410761E-2</v>
      </c>
      <c r="AW8" s="21">
        <f>AW7/AR7-1</f>
        <v>2.1730034117926289E-2</v>
      </c>
      <c r="AX8" s="21">
        <f>AX7/AT7-1</f>
        <v>6.6325552461190096E-2</v>
      </c>
      <c r="AY8" s="21">
        <f>AY7/BE7-1</f>
        <v>-3.96481032276641E-3</v>
      </c>
      <c r="AZ8" s="21">
        <f>AZ7/BF7-1</f>
        <v>0.11524242053571543</v>
      </c>
      <c r="BA8" s="21">
        <f>BA7/BG7-1</f>
        <v>4.7677940432043098E-2</v>
      </c>
      <c r="BB8" s="21">
        <f>BB7/BH7-1</f>
        <v>-4.2145782430552781E-2</v>
      </c>
      <c r="BC8" s="21">
        <f>BC7/BI7-1</f>
        <v>-3.9070130940301984E-2</v>
      </c>
      <c r="BD8" s="43"/>
      <c r="BE8" s="21">
        <f>BE7/AN7-1</f>
        <v>0.56049283861541466</v>
      </c>
      <c r="BF8" s="21">
        <f>BF7/AP7-1</f>
        <v>0.26100452112637162</v>
      </c>
      <c r="BG8" s="21">
        <f>BG7/AR7-1</f>
        <v>0.36190493944604341</v>
      </c>
      <c r="BH8" s="21">
        <f>BH7/AT7-1</f>
        <v>0.31017259401629094</v>
      </c>
      <c r="BI8" s="21">
        <f>BI7/BE7-1</f>
        <v>0.30349007558023566</v>
      </c>
      <c r="BJ8" s="43"/>
      <c r="BK8" s="21"/>
      <c r="BL8" s="21">
        <f>BL7/BK7-1</f>
        <v>4.5955794333333522E-2</v>
      </c>
      <c r="BM8" s="43"/>
      <c r="BN8" s="21"/>
      <c r="BO8" s="21">
        <f>BO7/BN7-1</f>
        <v>4.6495938652405311E-2</v>
      </c>
      <c r="BP8" s="43"/>
      <c r="BQ8" s="21">
        <f>BQ7/X7-1</f>
        <v>0.21026311744331672</v>
      </c>
      <c r="BR8" s="21">
        <f>BR7/Z7-1</f>
        <v>0.17155277119142665</v>
      </c>
      <c r="BS8" s="21">
        <f>BS7/AA7-1</f>
        <v>0.23986578639501888</v>
      </c>
    </row>
    <row r="9" spans="2:71" s="17" customFormat="1" ht="12.75">
      <c r="B9" s="7" t="s">
        <v>177</v>
      </c>
      <c r="C9" s="22">
        <v>-3119.7250990000002</v>
      </c>
      <c r="D9" s="22">
        <v>-3573.6770000000001</v>
      </c>
      <c r="E9" s="22">
        <v>-4395.223</v>
      </c>
      <c r="F9" s="22">
        <v>-5663.9279999999999</v>
      </c>
      <c r="G9" s="22">
        <v>-6757.3980000000001</v>
      </c>
      <c r="H9" s="22">
        <v>-8924.6650000000009</v>
      </c>
      <c r="I9" s="22">
        <v>-19788.330000000002</v>
      </c>
      <c r="J9" s="22">
        <v>-40653.017999999996</v>
      </c>
      <c r="K9" s="22">
        <v>-39659.580999999998</v>
      </c>
      <c r="L9" s="22">
        <v>-57260.016000000003</v>
      </c>
      <c r="M9" s="22">
        <v>-59031.548000000003</v>
      </c>
      <c r="N9" s="22">
        <v>-77267.767999999996</v>
      </c>
      <c r="O9" s="22">
        <v>-79559.084000000003</v>
      </c>
      <c r="P9" s="23">
        <f>SUM(BB9,BC9,AZ9,BA9)</f>
        <v>-86066.846000000005</v>
      </c>
      <c r="R9" s="22">
        <v>-1026.471</v>
      </c>
      <c r="S9" s="22">
        <v>-985.00400000000002</v>
      </c>
      <c r="T9" s="22">
        <v>-1052.597</v>
      </c>
      <c r="U9" s="23">
        <f>E9-SUM(R9:T9)</f>
        <v>-1331.1509999999998</v>
      </c>
      <c r="V9" s="22">
        <v>-1404.1880000000001</v>
      </c>
      <c r="W9" s="22">
        <v>-1311.3320000000001</v>
      </c>
      <c r="X9" s="22">
        <v>-1394.9459999999999</v>
      </c>
      <c r="Y9" s="23">
        <f>F9-SUM(V9:X9)</f>
        <v>-1553.4619999999995</v>
      </c>
      <c r="Z9" s="22">
        <v>-1659.845</v>
      </c>
      <c r="AA9" s="22">
        <v>-1557.5060000000001</v>
      </c>
      <c r="AB9" s="22">
        <v>-1606.655</v>
      </c>
      <c r="AC9" s="23">
        <f>G9-SUM(Z9:AB9)</f>
        <v>-1933.3919999999998</v>
      </c>
      <c r="AD9" s="22">
        <v>-1916.097</v>
      </c>
      <c r="AE9" s="22">
        <v>-1924.6969999999999</v>
      </c>
      <c r="AF9" s="22">
        <v>-2171.9490000000001</v>
      </c>
      <c r="AG9" s="23">
        <f>H9-SUM(AD9:AF9)</f>
        <v>-2911.9220000000005</v>
      </c>
      <c r="AH9" s="22">
        <v>-4036.9279999999999</v>
      </c>
      <c r="AI9" s="22">
        <v>-4293.3320000000003</v>
      </c>
      <c r="AJ9" s="22">
        <v>-5280.9179999999997</v>
      </c>
      <c r="AK9" s="23">
        <f>I9-SUM(AH9:AJ9)</f>
        <v>-6177.1520000000019</v>
      </c>
      <c r="AL9" s="23">
        <f>J9-SUM(AH9:AJ9)</f>
        <v>-27041.839999999997</v>
      </c>
      <c r="AM9" s="22">
        <v>-6640.8</v>
      </c>
      <c r="AN9" s="22">
        <v>-12015.236999999999</v>
      </c>
      <c r="AO9" s="22">
        <v>-6514.8810000000003</v>
      </c>
      <c r="AP9" s="22">
        <v>-11910.824000000001</v>
      </c>
      <c r="AQ9" s="22">
        <v>-8222.3430000000008</v>
      </c>
      <c r="AR9" s="22">
        <v>-12408.691999999999</v>
      </c>
      <c r="AS9" s="23">
        <f>K9-SUM(AM9,AO9,AQ9)</f>
        <v>-18281.556999999997</v>
      </c>
      <c r="AT9" s="23">
        <f>L9-SUM(AN9,AP9,AR9)</f>
        <v>-20925.263000000006</v>
      </c>
      <c r="AU9" s="22">
        <v>-13335.894</v>
      </c>
      <c r="AV9" s="22">
        <v>-10632.082</v>
      </c>
      <c r="AW9" s="22">
        <v>-13265.473</v>
      </c>
      <c r="AX9" s="23">
        <f>M9-SUM(AU9,AV9,AW9)</f>
        <v>-21798.099000000002</v>
      </c>
      <c r="AY9" s="22">
        <v>-17946.855</v>
      </c>
      <c r="AZ9" s="22">
        <v>-16776.285</v>
      </c>
      <c r="BA9" s="22">
        <v>-17981.12</v>
      </c>
      <c r="BB9" s="23">
        <f>O9-SUM(AY9,AZ9,BA9)</f>
        <v>-26854.824000000008</v>
      </c>
      <c r="BC9" s="22">
        <v>-24454.616999999998</v>
      </c>
      <c r="BD9" s="22"/>
      <c r="BE9" s="22">
        <v>-18417.38</v>
      </c>
      <c r="BF9" s="22">
        <v>-14358.485000000001</v>
      </c>
      <c r="BG9" s="22">
        <v>-17682.080999999998</v>
      </c>
      <c r="BH9" s="23">
        <f>N9-SUM(BE9,BF9,BG9)</f>
        <v>-26809.821999999993</v>
      </c>
      <c r="BI9" s="22">
        <v>-23486.668000000001</v>
      </c>
      <c r="BJ9" s="22"/>
      <c r="BK9" s="22">
        <v>-33882.146000000001</v>
      </c>
      <c r="BL9" s="22">
        <v>-35801.158000000003</v>
      </c>
      <c r="BM9" s="22"/>
      <c r="BN9" s="22">
        <v>-54106.872000000003</v>
      </c>
      <c r="BO9" s="22">
        <v>-56468.934000000001</v>
      </c>
      <c r="BP9" s="22"/>
      <c r="BQ9" s="22">
        <v>-1606.0820000000001</v>
      </c>
      <c r="BR9" s="22">
        <v>-1921.4190000000001</v>
      </c>
      <c r="BS9" s="22">
        <v>-1947.7090000000001</v>
      </c>
    </row>
    <row r="10" spans="2:71" s="7" customFormat="1" ht="12.75">
      <c r="B10" s="7" t="s">
        <v>178</v>
      </c>
      <c r="C10" s="16">
        <f t="shared" ref="C10:F10" si="5">C7+C9</f>
        <v>1074.0496469999998</v>
      </c>
      <c r="D10" s="16">
        <f t="shared" si="5"/>
        <v>1251.971</v>
      </c>
      <c r="E10" s="16">
        <f t="shared" si="5"/>
        <v>1560.2849999999999</v>
      </c>
      <c r="F10" s="16">
        <f t="shared" si="5"/>
        <v>2139.192</v>
      </c>
      <c r="G10" s="16">
        <f t="shared" ref="G10:H10" si="6">G7+G9</f>
        <v>2643.4630000000006</v>
      </c>
      <c r="H10" s="16">
        <f t="shared" si="6"/>
        <v>3612.4149999999991</v>
      </c>
      <c r="I10" s="16">
        <f t="shared" ref="I10:K10" si="7">I7+I9</f>
        <v>8408.5169999999998</v>
      </c>
      <c r="J10" s="16">
        <f t="shared" ref="J10" si="8">J7+J9</f>
        <v>11328.190000000002</v>
      </c>
      <c r="K10" s="16">
        <f t="shared" si="7"/>
        <v>16176.560000000005</v>
      </c>
      <c r="L10" s="16">
        <f t="shared" ref="L10:M10" si="9">L7+L9</f>
        <v>23355.517999999996</v>
      </c>
      <c r="M10" s="16">
        <f t="shared" si="9"/>
        <v>25066.359999999993</v>
      </c>
      <c r="N10" s="16">
        <f t="shared" ref="N10:O10" si="10">N7+N9</f>
        <v>32809.94200000001</v>
      </c>
      <c r="O10" s="16">
        <f t="shared" si="10"/>
        <v>32345.516999999993</v>
      </c>
      <c r="P10" s="16">
        <f>P7+P9</f>
        <v>32781.858999999982</v>
      </c>
      <c r="R10" s="16">
        <f>R7+R9</f>
        <v>381.21900000000005</v>
      </c>
      <c r="S10" s="16">
        <f>S7+S9</f>
        <v>327.26499999999999</v>
      </c>
      <c r="T10" s="16">
        <f>T7+T9</f>
        <v>385.077</v>
      </c>
      <c r="U10" s="16">
        <f t="shared" ref="U10:V10" si="11">U7+U9</f>
        <v>466.72400000000016</v>
      </c>
      <c r="V10" s="16">
        <f t="shared" si="11"/>
        <v>538.1719999999998</v>
      </c>
      <c r="W10" s="16">
        <f t="shared" ref="W10:AB10" si="12">W7+W9</f>
        <v>509.16599999999994</v>
      </c>
      <c r="X10" s="16">
        <f t="shared" si="12"/>
        <v>498.16300000000001</v>
      </c>
      <c r="Y10" s="16">
        <f t="shared" si="12"/>
        <v>593.6909999999998</v>
      </c>
      <c r="Z10" s="16">
        <f t="shared" si="12"/>
        <v>716.28100000000018</v>
      </c>
      <c r="AA10" s="16">
        <f t="shared" si="12"/>
        <v>587.13499999999999</v>
      </c>
      <c r="AB10" s="16">
        <f t="shared" si="12"/>
        <v>622.14400000000001</v>
      </c>
      <c r="AC10" s="16">
        <f t="shared" ref="AC10:AE10" si="13">AC7+AC9</f>
        <v>717.90300000000116</v>
      </c>
      <c r="AD10" s="16">
        <f t="shared" si="13"/>
        <v>773.5809999999999</v>
      </c>
      <c r="AE10" s="16">
        <f t="shared" si="13"/>
        <v>617.71900000000028</v>
      </c>
      <c r="AF10" s="16">
        <f>AF7+AF9</f>
        <v>804.18399999999974</v>
      </c>
      <c r="AG10" s="16">
        <f t="shared" ref="AG10:AI10" si="14">AG7+AG9</f>
        <v>1416.9310000000005</v>
      </c>
      <c r="AH10" s="16">
        <f t="shared" si="14"/>
        <v>1849.0900000000001</v>
      </c>
      <c r="AI10" s="16">
        <f t="shared" si="14"/>
        <v>1697.71</v>
      </c>
      <c r="AJ10" s="16">
        <f>AJ7+AJ9</f>
        <v>2020.902</v>
      </c>
      <c r="AK10" s="16">
        <f t="shared" ref="AK10:AP10" si="15">AK7+AK9</f>
        <v>2840.8149999999987</v>
      </c>
      <c r="AL10" s="16">
        <f t="shared" ref="AL10" si="16">AL7+AL9</f>
        <v>5760.4879999999976</v>
      </c>
      <c r="AM10" s="16">
        <f t="shared" si="15"/>
        <v>3470.9559999999992</v>
      </c>
      <c r="AN10" s="16">
        <f t="shared" ref="AN10" si="17">AN7+AN9</f>
        <v>5331.6180000000004</v>
      </c>
      <c r="AO10" s="16">
        <f t="shared" si="15"/>
        <v>2996.972999999999</v>
      </c>
      <c r="AP10" s="16">
        <f t="shared" si="15"/>
        <v>4484.8689999999988</v>
      </c>
      <c r="AQ10" s="16">
        <f>AQ7+AQ9</f>
        <v>4186.2349999999988</v>
      </c>
      <c r="AR10" s="16">
        <f>AR7+AR9</f>
        <v>5400.7139999999999</v>
      </c>
      <c r="AS10" s="16">
        <f t="shared" ref="AS10:AV10" si="18">AS7+AS9</f>
        <v>5522.3960000000043</v>
      </c>
      <c r="AT10" s="16">
        <f t="shared" si="18"/>
        <v>8138.3169999999955</v>
      </c>
      <c r="AU10" s="16">
        <f t="shared" si="18"/>
        <v>6265.0420000000013</v>
      </c>
      <c r="AV10" s="16">
        <f t="shared" si="18"/>
        <v>4677.2469999999994</v>
      </c>
      <c r="AW10" s="16">
        <f>AW7+AW9</f>
        <v>4930.9319999999989</v>
      </c>
      <c r="AX10" s="16">
        <f t="shared" ref="AX10:AZ10" si="19">AX7+AX9</f>
        <v>9193.1389999999956</v>
      </c>
      <c r="AY10" s="16">
        <f t="shared" si="19"/>
        <v>9015.4619999999995</v>
      </c>
      <c r="AZ10" s="16">
        <f t="shared" si="19"/>
        <v>6281.4000000000015</v>
      </c>
      <c r="BA10" s="16">
        <f>BA7+BA9</f>
        <v>7430.0130000000026</v>
      </c>
      <c r="BB10" s="16">
        <f t="shared" ref="BB10:BC10" si="20">BB7+BB9</f>
        <v>9618.641999999978</v>
      </c>
      <c r="BC10" s="16">
        <f t="shared" si="20"/>
        <v>9451.8040000000037</v>
      </c>
      <c r="BD10" s="16"/>
      <c r="BE10" s="16">
        <f t="shared" ref="BE10:BF10" si="21">BE7+BE9</f>
        <v>8652.262999999999</v>
      </c>
      <c r="BF10" s="16">
        <f t="shared" si="21"/>
        <v>6316.5580000000009</v>
      </c>
      <c r="BG10" s="16">
        <f t="shared" ref="BG10:BI10" si="22">BG7+BG9</f>
        <v>6572.6370000000024</v>
      </c>
      <c r="BH10" s="16">
        <f t="shared" si="22"/>
        <v>11268.484000000004</v>
      </c>
      <c r="BI10" s="16">
        <f t="shared" si="22"/>
        <v>11798.342999999997</v>
      </c>
      <c r="BJ10" s="16"/>
      <c r="BK10" s="16">
        <f t="shared" ref="BK10:BL10" si="23">BK7+BK9</f>
        <v>15488.538</v>
      </c>
      <c r="BL10" s="16">
        <f t="shared" si="23"/>
        <v>15838.394999999997</v>
      </c>
      <c r="BM10" s="16"/>
      <c r="BN10" s="16">
        <f t="shared" ref="BN10:BO10" si="24">BN7+BN9</f>
        <v>23223.494999999995</v>
      </c>
      <c r="BO10" s="16">
        <f t="shared" si="24"/>
        <v>24456.980999999992</v>
      </c>
      <c r="BP10" s="16"/>
      <c r="BQ10" s="15">
        <v>675.07799999999997</v>
      </c>
      <c r="BR10" s="15">
        <v>862.33799999999997</v>
      </c>
      <c r="BS10" s="15">
        <v>711.35799999999995</v>
      </c>
    </row>
    <row r="11" spans="2:71" s="17" customFormat="1" ht="12.75">
      <c r="B11" s="18" t="s">
        <v>179</v>
      </c>
      <c r="C11" s="21">
        <f t="shared" ref="C11:E11" si="25">C10/C7</f>
        <v>0.25610570716141173</v>
      </c>
      <c r="D11" s="21">
        <f t="shared" si="25"/>
        <v>0.2594410118599616</v>
      </c>
      <c r="E11" s="21">
        <f t="shared" si="25"/>
        <v>0.2619902449967324</v>
      </c>
      <c r="F11" s="21">
        <f t="shared" ref="F11:T11" si="26">F10/F7</f>
        <v>0.27414572632485468</v>
      </c>
      <c r="G11" s="21">
        <f t="shared" si="26"/>
        <v>0.28119371193766191</v>
      </c>
      <c r="H11" s="21">
        <f t="shared" si="26"/>
        <v>0.28813846605429644</v>
      </c>
      <c r="I11" s="21">
        <f t="shared" ref="I11:K11" si="27">I10/I7</f>
        <v>0.29820770386135725</v>
      </c>
      <c r="J11" s="21">
        <f t="shared" ref="J11" si="28">J10/J7</f>
        <v>0.21792856372248992</v>
      </c>
      <c r="K11" s="21">
        <f t="shared" si="27"/>
        <v>0.28971486406985048</v>
      </c>
      <c r="L11" s="21">
        <f t="shared" ref="L11:M11" si="29">L10/L7</f>
        <v>0.28971485818105475</v>
      </c>
      <c r="M11" s="21">
        <f t="shared" si="29"/>
        <v>0.29806163549276393</v>
      </c>
      <c r="N11" s="21">
        <f t="shared" ref="N11:O11" si="30">N10/N7</f>
        <v>0.29806163300453842</v>
      </c>
      <c r="O11" s="21">
        <f t="shared" si="30"/>
        <v>0.28904546114238855</v>
      </c>
      <c r="P11" s="20">
        <f>P10/P7</f>
        <v>0.2758284913579831</v>
      </c>
      <c r="R11" s="21">
        <f t="shared" si="26"/>
        <v>0.27081175542910729</v>
      </c>
      <c r="S11" s="21">
        <f t="shared" si="26"/>
        <v>0.24938865430792009</v>
      </c>
      <c r="T11" s="21">
        <f t="shared" si="26"/>
        <v>0.26784723101342861</v>
      </c>
      <c r="U11" s="24">
        <f t="shared" ref="U11:V11" si="31">U10/U7</f>
        <v>0.25959758047695203</v>
      </c>
      <c r="V11" s="21">
        <f t="shared" si="31"/>
        <v>0.27707119174612316</v>
      </c>
      <c r="W11" s="21">
        <f t="shared" ref="W11:AB11" si="32">W10/W7</f>
        <v>0.27968500926669509</v>
      </c>
      <c r="X11" s="21">
        <f t="shared" si="32"/>
        <v>0.26314543959169812</v>
      </c>
      <c r="Y11" s="21">
        <f t="shared" si="32"/>
        <v>0.27650148824978937</v>
      </c>
      <c r="Z11" s="21">
        <f t="shared" si="32"/>
        <v>0.30144908140393234</v>
      </c>
      <c r="AA11" s="21">
        <f t="shared" si="32"/>
        <v>0.27376843024077224</v>
      </c>
      <c r="AB11" s="21">
        <f t="shared" si="32"/>
        <v>0.27913867513400714</v>
      </c>
      <c r="AC11" s="21">
        <f t="shared" ref="AC11:AF11" si="33">AC10/AC7</f>
        <v>0.27077447058890125</v>
      </c>
      <c r="AD11" s="21">
        <f t="shared" si="33"/>
        <v>0.28761100771170378</v>
      </c>
      <c r="AE11" s="21">
        <f t="shared" si="33"/>
        <v>0.24296535264095265</v>
      </c>
      <c r="AF11" s="21">
        <f t="shared" si="33"/>
        <v>0.27021104231564913</v>
      </c>
      <c r="AG11" s="21">
        <f t="shared" ref="AG11:AJ11" si="34">AG10/AG7</f>
        <v>0.32732250321274486</v>
      </c>
      <c r="AH11" s="21">
        <f t="shared" si="34"/>
        <v>0.31414956597142585</v>
      </c>
      <c r="AI11" s="21">
        <f t="shared" si="34"/>
        <v>0.28337474516119232</v>
      </c>
      <c r="AJ11" s="21">
        <f t="shared" si="34"/>
        <v>0.27676688825525692</v>
      </c>
      <c r="AK11" s="21">
        <f t="shared" ref="AK11:AQ11" si="35">AK10/AK7</f>
        <v>0.31501723171087215</v>
      </c>
      <c r="AL11" s="21">
        <f t="shared" ref="AL11" si="36">AL10/AL7</f>
        <v>0.17561216996549753</v>
      </c>
      <c r="AM11" s="21">
        <f t="shared" si="35"/>
        <v>0.34325946947295793</v>
      </c>
      <c r="AN11" s="21">
        <f t="shared" ref="AN11" si="37">AN10/AN7</f>
        <v>0.30735358080758735</v>
      </c>
      <c r="AO11" s="21">
        <f t="shared" si="35"/>
        <v>0.31507769147844356</v>
      </c>
      <c r="AP11" s="21">
        <f t="shared" si="35"/>
        <v>0.27353945941778729</v>
      </c>
      <c r="AQ11" s="21">
        <f t="shared" si="35"/>
        <v>0.337366215532513</v>
      </c>
      <c r="AR11" s="21">
        <f t="shared" ref="AR11" si="38">AR10/AR7</f>
        <v>0.30325065305378518</v>
      </c>
      <c r="AS11" s="21">
        <f t="shared" ref="AS11:AW11" si="39">AS10/AS7</f>
        <v>0.23199491277772241</v>
      </c>
      <c r="AT11" s="21">
        <f t="shared" ref="AT11" si="40">AT10/AT7</f>
        <v>0.28001770600868836</v>
      </c>
      <c r="AU11" s="21">
        <f t="shared" si="39"/>
        <v>0.31962973604933975</v>
      </c>
      <c r="AV11" s="21">
        <f t="shared" si="39"/>
        <v>0.30551613333281946</v>
      </c>
      <c r="AW11" s="21">
        <f t="shared" si="39"/>
        <v>0.27098385642658529</v>
      </c>
      <c r="AX11" s="21">
        <f t="shared" ref="AX11:BA11" si="41">AX10/AX7</f>
        <v>0.29663671389958662</v>
      </c>
      <c r="AY11" s="21">
        <f t="shared" si="41"/>
        <v>0.33437267279366234</v>
      </c>
      <c r="AZ11" s="21">
        <f t="shared" si="41"/>
        <v>0.27242110385322726</v>
      </c>
      <c r="BA11" s="21">
        <f t="shared" si="41"/>
        <v>0.29239203934747821</v>
      </c>
      <c r="BB11" s="21">
        <f t="shared" ref="BB11:BC11" si="42">BB10/BB7</f>
        <v>0.26371614915895247</v>
      </c>
      <c r="BC11" s="21">
        <f t="shared" si="42"/>
        <v>0.27876147706654159</v>
      </c>
      <c r="BD11" s="43"/>
      <c r="BE11" s="21">
        <f t="shared" ref="BE11:BF11" si="43">BE10/BE7</f>
        <v>0.31962974169995517</v>
      </c>
      <c r="BF11" s="21">
        <f t="shared" si="43"/>
        <v>0.30551607558929866</v>
      </c>
      <c r="BG11" s="21">
        <f t="shared" ref="BG11:BI11" si="44">BG10/BG7</f>
        <v>0.27098385559461058</v>
      </c>
      <c r="BH11" s="21">
        <f t="shared" si="44"/>
        <v>0.29592923592766979</v>
      </c>
      <c r="BI11" s="21">
        <f t="shared" si="44"/>
        <v>0.33437266039112179</v>
      </c>
      <c r="BJ11" s="43"/>
      <c r="BK11" s="21">
        <f t="shared" ref="BK11:BL11" si="45">BK10/BK7</f>
        <v>0.31371933190149848</v>
      </c>
      <c r="BL11" s="21">
        <f t="shared" si="45"/>
        <v>0.30671053639833012</v>
      </c>
      <c r="BM11" s="43"/>
      <c r="BN11" s="21">
        <f t="shared" ref="BN11:BO11" si="46">BN10/BN7</f>
        <v>0.30031533407826705</v>
      </c>
      <c r="BO11" s="21">
        <f t="shared" si="46"/>
        <v>0.30221445132872449</v>
      </c>
      <c r="BP11" s="43"/>
      <c r="BQ11" s="21">
        <f t="shared" ref="BQ11:BS11" si="47">BQ10/BQ7</f>
        <v>0.2946446341591159</v>
      </c>
      <c r="BR11" s="21">
        <f t="shared" si="47"/>
        <v>0.30977488336805259</v>
      </c>
      <c r="BS11" s="21">
        <f t="shared" si="47"/>
        <v>0.26752165327161742</v>
      </c>
    </row>
    <row r="12" spans="2:71">
      <c r="B12" s="25" t="s">
        <v>180</v>
      </c>
      <c r="C12" s="22">
        <v>-128.28260700000001</v>
      </c>
      <c r="D12" s="22">
        <v>-142.56700000000001</v>
      </c>
      <c r="E12" s="22">
        <v>-159.66399999999999</v>
      </c>
      <c r="F12" s="22">
        <v>-234.744</v>
      </c>
      <c r="G12" s="22">
        <v>-263.24799999999999</v>
      </c>
      <c r="H12" s="22">
        <v>-353.68099999999998</v>
      </c>
      <c r="I12" s="22">
        <v>-715.40700000000004</v>
      </c>
      <c r="J12" s="22">
        <v>-1238.7629999999999</v>
      </c>
      <c r="K12" s="22">
        <v>-1388.277</v>
      </c>
      <c r="L12" s="22">
        <v>-2004.377</v>
      </c>
      <c r="M12" s="22">
        <v>-2275.527</v>
      </c>
      <c r="N12" s="22">
        <v>-2978.49</v>
      </c>
      <c r="O12" s="22">
        <v>-2990.1729999999998</v>
      </c>
      <c r="P12" s="23">
        <f t="shared" ref="P12:P18" si="48">SUM(BB12,BC12,AZ12,BA12)</f>
        <v>-3258.6259999999997</v>
      </c>
      <c r="R12" s="22">
        <v>-34.707999999999998</v>
      </c>
      <c r="S12" s="22">
        <v>-39.869</v>
      </c>
      <c r="T12" s="22">
        <v>-39.6</v>
      </c>
      <c r="U12" s="23">
        <f t="shared" ref="U12:U18" si="49">E12-SUM(R12:T12)</f>
        <v>-45.486999999999995</v>
      </c>
      <c r="V12" s="22">
        <v>-38.613</v>
      </c>
      <c r="W12" s="22">
        <v>-55.972000000000001</v>
      </c>
      <c r="X12" s="22">
        <v>-66.617000000000004</v>
      </c>
      <c r="Y12" s="23">
        <f t="shared" ref="Y12:Y18" si="50">F12-SUM(V12:X12)</f>
        <v>-73.542000000000002</v>
      </c>
      <c r="Z12" s="22">
        <v>-63.816000000000003</v>
      </c>
      <c r="AA12" s="22">
        <v>-63.808</v>
      </c>
      <c r="AB12" s="22">
        <v>-66.480999999999995</v>
      </c>
      <c r="AC12" s="23">
        <f t="shared" ref="AC12:AC18" si="51">G12-SUM(Z12:AB12)</f>
        <v>-69.143000000000001</v>
      </c>
      <c r="AD12" s="22">
        <v>-76.769000000000005</v>
      </c>
      <c r="AE12" s="22">
        <v>-80.799000000000007</v>
      </c>
      <c r="AF12" s="22">
        <v>-82.105000000000004</v>
      </c>
      <c r="AG12" s="23">
        <f t="shared" ref="AG12:AG18" si="52">H12-SUM(AD12:AF12)</f>
        <v>-114.00799999999998</v>
      </c>
      <c r="AH12" s="22">
        <v>-132.79599999999999</v>
      </c>
      <c r="AI12" s="22">
        <v>-145.57900000000001</v>
      </c>
      <c r="AJ12" s="22">
        <v>-194.80500000000001</v>
      </c>
      <c r="AK12" s="23">
        <f t="shared" ref="AK12:AK18" si="53">I12-SUM(AH12:AJ12)</f>
        <v>-242.22700000000003</v>
      </c>
      <c r="AL12" s="23">
        <f t="shared" ref="AL12:AL18" si="54">J12-SUM(AH12:AJ12)</f>
        <v>-765.58299999999986</v>
      </c>
      <c r="AM12" s="22">
        <v>-210.988</v>
      </c>
      <c r="AN12" s="22">
        <v>-358.75700000000001</v>
      </c>
      <c r="AO12" s="22">
        <v>-247.964</v>
      </c>
      <c r="AP12" s="22">
        <v>-409.73899999999998</v>
      </c>
      <c r="AQ12" s="22">
        <v>-403.85</v>
      </c>
      <c r="AR12" s="22">
        <v>-543.01800000000003</v>
      </c>
      <c r="AS12" s="23">
        <f t="shared" ref="AS12:AS18" si="55">K12-SUM(AM12,AO12,AQ12)</f>
        <v>-525.47500000000002</v>
      </c>
      <c r="AT12" s="23">
        <f t="shared" ref="AT12:AT18" si="56">L12-SUM(AN12,AP12,AR12)</f>
        <v>-692.86299999999983</v>
      </c>
      <c r="AU12" s="22">
        <v>-481.29700000000003</v>
      </c>
      <c r="AV12" s="22">
        <v>-400.86</v>
      </c>
      <c r="AW12" s="22">
        <v>-570.70799999999997</v>
      </c>
      <c r="AX12" s="23">
        <f t="shared" ref="AX12:AX18" si="57">M12-SUM(AU12,AV12,AW12)</f>
        <v>-822.66200000000003</v>
      </c>
      <c r="AY12" s="22">
        <v>-660.35</v>
      </c>
      <c r="AZ12" s="22">
        <v>-644.65599999999995</v>
      </c>
      <c r="BA12" s="22">
        <v>-699.25900000000001</v>
      </c>
      <c r="BB12" s="23">
        <f t="shared" ref="BB12:BB18" si="58">O12-SUM(AY12,AZ12,BA12)</f>
        <v>-985.9079999999999</v>
      </c>
      <c r="BC12" s="22">
        <v>-928.803</v>
      </c>
      <c r="BD12" s="22"/>
      <c r="BE12" s="22">
        <v>-664.69</v>
      </c>
      <c r="BF12" s="22">
        <v>-541.35500000000002</v>
      </c>
      <c r="BG12" s="22">
        <v>-760.72</v>
      </c>
      <c r="BH12" s="23">
        <f t="shared" ref="BH12:BH18" si="59">N12-SUM(BE12,BF12,BG12)</f>
        <v>-1011.7249999999997</v>
      </c>
      <c r="BI12" s="22">
        <v>-864.18600000000004</v>
      </c>
      <c r="BJ12" s="22"/>
      <c r="BK12" s="22">
        <v>-1245.971</v>
      </c>
      <c r="BL12" s="22">
        <v>-1344.671</v>
      </c>
      <c r="BM12" s="22"/>
      <c r="BN12" s="22">
        <v>-2100.192</v>
      </c>
      <c r="BO12" s="22">
        <v>-2144.8389999999999</v>
      </c>
      <c r="BP12" s="22"/>
      <c r="BQ12" s="22">
        <v>-66.977000000000004</v>
      </c>
      <c r="BR12" s="22">
        <v>-78.117999999999995</v>
      </c>
      <c r="BS12" s="22">
        <v>-82.745000000000005</v>
      </c>
    </row>
    <row r="13" spans="2:71">
      <c r="B13" s="25" t="s">
        <v>181</v>
      </c>
      <c r="C13" s="22">
        <v>-449.07643200000001</v>
      </c>
      <c r="D13" s="22">
        <v>-478.14699999999999</v>
      </c>
      <c r="E13" s="22">
        <v>-598.20600000000002</v>
      </c>
      <c r="F13" s="22">
        <v>-752.07600000000002</v>
      </c>
      <c r="G13" s="22">
        <v>-921.32500000000005</v>
      </c>
      <c r="H13" s="22">
        <v>-1120.598</v>
      </c>
      <c r="I13" s="22">
        <v>-2486.2199999999998</v>
      </c>
      <c r="J13" s="22">
        <v>-4389.6409999999996</v>
      </c>
      <c r="K13" s="22">
        <v>-5133.098</v>
      </c>
      <c r="L13" s="22">
        <v>-7411.1040000000003</v>
      </c>
      <c r="M13" s="22">
        <v>-8600.3760000000002</v>
      </c>
      <c r="N13" s="22">
        <v>-11257.232</v>
      </c>
      <c r="O13" s="22">
        <v>-12762.944</v>
      </c>
      <c r="P13" s="23">
        <f t="shared" si="48"/>
        <v>-13621.089000000002</v>
      </c>
      <c r="R13" s="22">
        <v>-152.376</v>
      </c>
      <c r="S13" s="22">
        <v>-118.292</v>
      </c>
      <c r="T13" s="22">
        <v>-145.685</v>
      </c>
      <c r="U13" s="23">
        <f t="shared" si="49"/>
        <v>-181.85300000000001</v>
      </c>
      <c r="V13" s="22">
        <v>-206.804</v>
      </c>
      <c r="W13" s="22">
        <v>-172.846</v>
      </c>
      <c r="X13" s="22">
        <v>-153.876</v>
      </c>
      <c r="Y13" s="23">
        <f t="shared" si="50"/>
        <v>-218.55000000000007</v>
      </c>
      <c r="Z13" s="22">
        <v>-275.63099999999997</v>
      </c>
      <c r="AA13" s="22">
        <v>-183.82400000000001</v>
      </c>
      <c r="AB13" s="22">
        <v>-210.32599999999999</v>
      </c>
      <c r="AC13" s="23">
        <f t="shared" si="51"/>
        <v>-251.5440000000001</v>
      </c>
      <c r="AD13" s="22">
        <v>-279.916</v>
      </c>
      <c r="AE13" s="22">
        <v>-227.249</v>
      </c>
      <c r="AF13" s="22">
        <v>-270.40499999999997</v>
      </c>
      <c r="AG13" s="23">
        <f t="shared" si="52"/>
        <v>-343.02800000000002</v>
      </c>
      <c r="AH13" s="22">
        <v>-537.25</v>
      </c>
      <c r="AI13" s="22">
        <v>-484.01900000000001</v>
      </c>
      <c r="AJ13" s="22">
        <v>-640.37099999999998</v>
      </c>
      <c r="AK13" s="23">
        <f t="shared" si="53"/>
        <v>-824.57999999999993</v>
      </c>
      <c r="AL13" s="23">
        <f t="shared" si="54"/>
        <v>-2728.0009999999997</v>
      </c>
      <c r="AM13" s="22">
        <v>-991.94799999999998</v>
      </c>
      <c r="AN13" s="22">
        <v>-1692.145</v>
      </c>
      <c r="AO13" s="22">
        <v>-906.49599999999998</v>
      </c>
      <c r="AP13" s="22">
        <v>-1530.049</v>
      </c>
      <c r="AQ13" s="22">
        <v>-1190.3630000000001</v>
      </c>
      <c r="AR13" s="22">
        <v>-1493.086</v>
      </c>
      <c r="AS13" s="23">
        <f t="shared" si="55"/>
        <v>-2044.2910000000002</v>
      </c>
      <c r="AT13" s="23">
        <f t="shared" si="56"/>
        <v>-2695.8240000000005</v>
      </c>
      <c r="AU13" s="22">
        <v>-2040.865</v>
      </c>
      <c r="AV13" s="22">
        <v>-1639.326</v>
      </c>
      <c r="AW13" s="22">
        <v>-1758.5989999999999</v>
      </c>
      <c r="AX13" s="23">
        <f t="shared" si="57"/>
        <v>-3161.5860000000002</v>
      </c>
      <c r="AY13" s="22">
        <v>-3251.3429999999998</v>
      </c>
      <c r="AZ13" s="22">
        <v>-2644.9520000000002</v>
      </c>
      <c r="BA13" s="22">
        <v>-2699.03</v>
      </c>
      <c r="BB13" s="23">
        <f t="shared" si="58"/>
        <v>-4167.6189999999988</v>
      </c>
      <c r="BC13" s="22">
        <v>-4109.4880000000003</v>
      </c>
      <c r="BD13" s="22"/>
      <c r="BE13" s="22">
        <v>-2818.5129999999999</v>
      </c>
      <c r="BF13" s="22">
        <v>-2213.8870000000002</v>
      </c>
      <c r="BG13" s="22">
        <v>-2344.107</v>
      </c>
      <c r="BH13" s="23">
        <f t="shared" si="59"/>
        <v>-3880.7250000000004</v>
      </c>
      <c r="BI13" s="22">
        <v>-4254.9629999999997</v>
      </c>
      <c r="BJ13" s="22"/>
      <c r="BK13" s="22">
        <v>-5201.7</v>
      </c>
      <c r="BL13" s="22">
        <v>-6091.5940000000001</v>
      </c>
      <c r="BM13" s="22"/>
      <c r="BN13" s="22">
        <v>-7936.1629999999996</v>
      </c>
      <c r="BO13" s="22">
        <v>-9247.76</v>
      </c>
      <c r="BP13" s="22"/>
      <c r="BQ13" s="22">
        <v>-211.26400000000001</v>
      </c>
      <c r="BR13" s="22">
        <v>-281.94299999999998</v>
      </c>
      <c r="BS13" s="22">
        <v>-228.232</v>
      </c>
    </row>
    <row r="14" spans="2:71">
      <c r="B14" s="25" t="s">
        <v>182</v>
      </c>
      <c r="C14" s="22">
        <v>-8.7335159999999998</v>
      </c>
      <c r="D14" s="22">
        <v>-13.525</v>
      </c>
      <c r="E14" s="22">
        <v>-12.551</v>
      </c>
      <c r="F14" s="22">
        <v>-19.956</v>
      </c>
      <c r="G14" s="22">
        <v>-24.209</v>
      </c>
      <c r="H14" s="22">
        <v>-39.786000000000001</v>
      </c>
      <c r="I14" s="22">
        <v>-88.643000000000001</v>
      </c>
      <c r="J14" s="22">
        <v>-164.649</v>
      </c>
      <c r="K14" s="22">
        <v>-238.70500000000001</v>
      </c>
      <c r="L14" s="22">
        <v>-344.63900000000001</v>
      </c>
      <c r="M14" s="22">
        <v>-415.12799999999999</v>
      </c>
      <c r="N14" s="22">
        <v>-543.37099999999998</v>
      </c>
      <c r="O14" s="22">
        <v>-628.46</v>
      </c>
      <c r="P14" s="23">
        <f t="shared" si="48"/>
        <v>-655.452</v>
      </c>
      <c r="R14" s="22">
        <v>-3.645</v>
      </c>
      <c r="S14" s="22">
        <v>-3.13</v>
      </c>
      <c r="T14" s="22">
        <v>-3.093</v>
      </c>
      <c r="U14" s="23">
        <f t="shared" si="49"/>
        <v>-2.6829999999999998</v>
      </c>
      <c r="V14" s="22">
        <v>-3.8359999999999999</v>
      </c>
      <c r="W14" s="22">
        <v>-5.2530000000000001</v>
      </c>
      <c r="X14" s="22">
        <v>-4.4509999999999996</v>
      </c>
      <c r="Y14" s="23">
        <f t="shared" si="50"/>
        <v>-6.4160000000000004</v>
      </c>
      <c r="Z14" s="22">
        <v>-5.6820000000000004</v>
      </c>
      <c r="AA14" s="22">
        <v>-5.4939999999999998</v>
      </c>
      <c r="AB14" s="22">
        <v>-5.577</v>
      </c>
      <c r="AC14" s="23">
        <f t="shared" si="51"/>
        <v>-7.4559999999999995</v>
      </c>
      <c r="AD14" s="22">
        <v>-8.8650000000000002</v>
      </c>
      <c r="AE14" s="22">
        <v>-9.7449999999999992</v>
      </c>
      <c r="AF14" s="22">
        <v>-8.31</v>
      </c>
      <c r="AG14" s="23">
        <f t="shared" si="52"/>
        <v>-12.866</v>
      </c>
      <c r="AH14" s="22">
        <v>-12.484</v>
      </c>
      <c r="AI14" s="22">
        <v>-17.23</v>
      </c>
      <c r="AJ14" s="22">
        <v>-20.831</v>
      </c>
      <c r="AK14" s="23">
        <f t="shared" si="53"/>
        <v>-38.097999999999999</v>
      </c>
      <c r="AL14" s="23">
        <f t="shared" si="54"/>
        <v>-114.104</v>
      </c>
      <c r="AM14" s="22">
        <v>-39.884</v>
      </c>
      <c r="AN14" s="22">
        <v>-69.459000000000003</v>
      </c>
      <c r="AO14" s="22">
        <v>-39.268000000000001</v>
      </c>
      <c r="AP14" s="22">
        <v>-68.888000000000005</v>
      </c>
      <c r="AQ14" s="22">
        <v>-53.429000000000002</v>
      </c>
      <c r="AR14" s="22">
        <v>-81.513999999999996</v>
      </c>
      <c r="AS14" s="23">
        <f t="shared" si="55"/>
        <v>-106.124</v>
      </c>
      <c r="AT14" s="23">
        <f t="shared" si="56"/>
        <v>-124.77800000000002</v>
      </c>
      <c r="AU14" s="22">
        <v>-77.614000000000004</v>
      </c>
      <c r="AV14" s="22">
        <v>-68.641000000000005</v>
      </c>
      <c r="AW14" s="22">
        <v>-79.388000000000005</v>
      </c>
      <c r="AX14" s="23">
        <f t="shared" si="57"/>
        <v>-189.48499999999999</v>
      </c>
      <c r="AY14" s="22">
        <v>-140.298</v>
      </c>
      <c r="AZ14" s="22">
        <v>-133.67500000000001</v>
      </c>
      <c r="BA14" s="22">
        <v>-149.267</v>
      </c>
      <c r="BB14" s="23">
        <f t="shared" si="58"/>
        <v>-205.22000000000003</v>
      </c>
      <c r="BC14" s="22">
        <v>-167.29</v>
      </c>
      <c r="BD14" s="22"/>
      <c r="BE14" s="22">
        <v>-107.188</v>
      </c>
      <c r="BF14" s="22">
        <v>-92.698999999999998</v>
      </c>
      <c r="BG14" s="22">
        <v>-105.819</v>
      </c>
      <c r="BH14" s="23">
        <f t="shared" si="59"/>
        <v>-237.66499999999996</v>
      </c>
      <c r="BI14" s="22">
        <v>-183.60499999999999</v>
      </c>
      <c r="BJ14" s="22"/>
      <c r="BK14" s="22">
        <v>-206.32499999999999</v>
      </c>
      <c r="BL14" s="22">
        <v>-282.39999999999998</v>
      </c>
      <c r="BM14" s="22"/>
      <c r="BN14" s="22">
        <v>-327.62700000000001</v>
      </c>
      <c r="BO14" s="22">
        <v>-452.85899999999998</v>
      </c>
      <c r="BP14" s="22"/>
      <c r="BQ14" s="22">
        <v>-5.5860000000000003</v>
      </c>
      <c r="BR14" s="22">
        <v>-8.8650000000000002</v>
      </c>
      <c r="BS14" s="22">
        <v>-9.8949999999999996</v>
      </c>
    </row>
    <row r="15" spans="2:71">
      <c r="B15" s="25" t="s">
        <v>183</v>
      </c>
      <c r="C15" s="22">
        <v>37.216977</v>
      </c>
      <c r="D15" s="22">
        <v>58.773000000000003</v>
      </c>
      <c r="E15" s="22">
        <v>114.557</v>
      </c>
      <c r="F15" s="22">
        <v>87.331000000000003</v>
      </c>
      <c r="G15" s="22">
        <v>229.89599999999999</v>
      </c>
      <c r="H15" s="22">
        <v>895.98699999999997</v>
      </c>
      <c r="I15" s="22">
        <v>1118.931</v>
      </c>
      <c r="J15" s="22">
        <v>2401.7510000000002</v>
      </c>
      <c r="K15" s="22">
        <v>2745.6390000000001</v>
      </c>
      <c r="L15" s="22">
        <v>3964.12</v>
      </c>
      <c r="M15" s="22">
        <v>2078.0070000000001</v>
      </c>
      <c r="N15" s="22">
        <v>2719.9520000000002</v>
      </c>
      <c r="O15" s="22">
        <v>3025.4009999999998</v>
      </c>
      <c r="P15" s="23">
        <f t="shared" si="48"/>
        <v>2731.3989999999999</v>
      </c>
      <c r="R15" s="22">
        <v>22.558</v>
      </c>
      <c r="S15" s="22">
        <v>26.498999999999999</v>
      </c>
      <c r="T15" s="22">
        <v>71.551000000000002</v>
      </c>
      <c r="U15" s="23">
        <f t="shared" si="49"/>
        <v>-6.0510000000000019</v>
      </c>
      <c r="V15" s="22">
        <v>31.776</v>
      </c>
      <c r="W15" s="22">
        <v>16.379000000000001</v>
      </c>
      <c r="X15" s="22">
        <v>9.6069999999999993</v>
      </c>
      <c r="Y15" s="23">
        <f t="shared" si="50"/>
        <v>29.569000000000003</v>
      </c>
      <c r="Z15" s="22">
        <v>54.783000000000001</v>
      </c>
      <c r="AA15" s="22">
        <v>42.459000000000003</v>
      </c>
      <c r="AB15" s="22">
        <v>74.744</v>
      </c>
      <c r="AC15" s="23">
        <f t="shared" si="51"/>
        <v>57.91</v>
      </c>
      <c r="AD15" s="22">
        <v>102.224</v>
      </c>
      <c r="AE15" s="22">
        <v>44.228999999999999</v>
      </c>
      <c r="AF15" s="22">
        <v>13.302</v>
      </c>
      <c r="AG15" s="23">
        <f t="shared" si="52"/>
        <v>736.23199999999997</v>
      </c>
      <c r="AH15" s="22">
        <v>422.51</v>
      </c>
      <c r="AI15" s="22">
        <v>257.55200000000002</v>
      </c>
      <c r="AJ15" s="22">
        <v>365.34800000000001</v>
      </c>
      <c r="AK15" s="23">
        <f t="shared" si="53"/>
        <v>73.520999999999958</v>
      </c>
      <c r="AL15" s="23">
        <f t="shared" si="54"/>
        <v>1356.3410000000001</v>
      </c>
      <c r="AM15" s="22">
        <v>228.209</v>
      </c>
      <c r="AN15" s="22">
        <v>403.661</v>
      </c>
      <c r="AO15" s="22">
        <v>1094.885</v>
      </c>
      <c r="AP15" s="22">
        <v>1890.5029999999999</v>
      </c>
      <c r="AQ15" s="22">
        <v>359.17599999999999</v>
      </c>
      <c r="AR15" s="22">
        <v>587.72699999999998</v>
      </c>
      <c r="AS15" s="23">
        <f t="shared" si="55"/>
        <v>1063.3690000000001</v>
      </c>
      <c r="AT15" s="23">
        <f t="shared" si="56"/>
        <v>1082.2290000000003</v>
      </c>
      <c r="AU15" s="22">
        <v>1351.3119999999999</v>
      </c>
      <c r="AV15" s="22">
        <v>3.2240000000000002</v>
      </c>
      <c r="AW15" s="22">
        <v>134.745</v>
      </c>
      <c r="AX15" s="23">
        <f t="shared" si="57"/>
        <v>588.72600000000011</v>
      </c>
      <c r="AY15" s="22">
        <v>1131.6849999999999</v>
      </c>
      <c r="AZ15" s="22">
        <v>427.79700000000003</v>
      </c>
      <c r="BA15" s="22">
        <v>670.322</v>
      </c>
      <c r="BB15" s="23">
        <f t="shared" si="58"/>
        <v>795.59699999999975</v>
      </c>
      <c r="BC15" s="22">
        <v>837.68299999999999</v>
      </c>
      <c r="BD15" s="22"/>
      <c r="BE15" s="22">
        <v>1866.2139999999999</v>
      </c>
      <c r="BF15" s="22">
        <v>4.3540000000000001</v>
      </c>
      <c r="BG15" s="22">
        <v>179.607</v>
      </c>
      <c r="BH15" s="23">
        <f t="shared" si="59"/>
        <v>669.77700000000004</v>
      </c>
      <c r="BI15" s="22">
        <v>1481.0119999999999</v>
      </c>
      <c r="BJ15" s="22"/>
      <c r="BK15" s="22">
        <v>1982.6659999999999</v>
      </c>
      <c r="BL15" s="22">
        <v>1627.4590000000001</v>
      </c>
      <c r="BM15" s="22"/>
      <c r="BN15" s="22">
        <v>2311.06</v>
      </c>
      <c r="BO15" s="22">
        <v>2419.9119999999998</v>
      </c>
      <c r="BP15" s="22"/>
      <c r="BQ15" s="22">
        <v>96.87</v>
      </c>
      <c r="BR15" s="22">
        <v>126.614</v>
      </c>
      <c r="BS15" s="22">
        <v>60.537999999999997</v>
      </c>
    </row>
    <row r="16" spans="2:71">
      <c r="B16" s="25" t="s">
        <v>184</v>
      </c>
      <c r="C16" s="22">
        <v>-16.492653000000001</v>
      </c>
      <c r="D16" s="22">
        <v>-60.192999999999998</v>
      </c>
      <c r="E16" s="22">
        <v>-125.337</v>
      </c>
      <c r="F16" s="22">
        <v>-66.028999999999996</v>
      </c>
      <c r="G16" s="22">
        <v>-171.839</v>
      </c>
      <c r="H16" s="22">
        <v>-564.34699999999998</v>
      </c>
      <c r="I16" s="22">
        <v>-378.28100000000001</v>
      </c>
      <c r="J16" s="22">
        <v>-878.88099999999997</v>
      </c>
      <c r="K16" s="22">
        <v>-1169.204</v>
      </c>
      <c r="L16" s="22">
        <v>-1688.0820000000001</v>
      </c>
      <c r="M16" s="22">
        <v>-1575.1289999999999</v>
      </c>
      <c r="N16" s="22">
        <v>-2061.723</v>
      </c>
      <c r="O16" s="22">
        <v>-2253.7359999999999</v>
      </c>
      <c r="P16" s="23">
        <f t="shared" si="48"/>
        <v>-2019.7939999999996</v>
      </c>
      <c r="R16" s="22">
        <v>-24.283000000000001</v>
      </c>
      <c r="S16" s="22">
        <v>-23.9</v>
      </c>
      <c r="T16" s="22">
        <v>-46.863</v>
      </c>
      <c r="U16" s="23">
        <f t="shared" si="49"/>
        <v>-30.291000000000011</v>
      </c>
      <c r="V16" s="22">
        <v>-24.314</v>
      </c>
      <c r="W16" s="22">
        <v>-13.374000000000001</v>
      </c>
      <c r="X16" s="22">
        <v>-22.614000000000001</v>
      </c>
      <c r="Y16" s="23">
        <f t="shared" si="50"/>
        <v>-5.7269999999999897</v>
      </c>
      <c r="Z16" s="22">
        <v>-28.728000000000002</v>
      </c>
      <c r="AA16" s="22">
        <v>-33.076999999999998</v>
      </c>
      <c r="AB16" s="22">
        <v>-26.978000000000002</v>
      </c>
      <c r="AC16" s="23">
        <f t="shared" si="51"/>
        <v>-83.055999999999997</v>
      </c>
      <c r="AD16" s="22">
        <v>-44.881999999999998</v>
      </c>
      <c r="AE16" s="22">
        <v>-46.506</v>
      </c>
      <c r="AF16" s="22">
        <v>-7.3609999999999998</v>
      </c>
      <c r="AG16" s="23">
        <f t="shared" si="52"/>
        <v>-465.59799999999996</v>
      </c>
      <c r="AH16" s="22">
        <v>-254.476</v>
      </c>
      <c r="AI16" s="22">
        <v>-23.315000000000001</v>
      </c>
      <c r="AJ16" s="22">
        <v>15.629</v>
      </c>
      <c r="AK16" s="23">
        <f t="shared" si="53"/>
        <v>-116.11900000000003</v>
      </c>
      <c r="AL16" s="23">
        <f t="shared" si="54"/>
        <v>-616.71900000000005</v>
      </c>
      <c r="AM16" s="22">
        <v>-207.595</v>
      </c>
      <c r="AN16" s="22">
        <v>-360.72199999999998</v>
      </c>
      <c r="AO16" s="22">
        <v>-71.400999999999996</v>
      </c>
      <c r="AP16" s="22">
        <v>-120.22499999999999</v>
      </c>
      <c r="AQ16" s="22">
        <v>-441.92399999999998</v>
      </c>
      <c r="AR16" s="22">
        <v>-692.11</v>
      </c>
      <c r="AS16" s="23">
        <f t="shared" si="55"/>
        <v>-448.28399999999999</v>
      </c>
      <c r="AT16" s="23">
        <f t="shared" si="56"/>
        <v>-515.02500000000009</v>
      </c>
      <c r="AU16" s="22">
        <v>-827.27099999999996</v>
      </c>
      <c r="AV16" s="22">
        <v>-1.9570000000000001</v>
      </c>
      <c r="AW16" s="22">
        <v>-215.61</v>
      </c>
      <c r="AX16" s="23">
        <f t="shared" si="57"/>
        <v>-530.29099999999994</v>
      </c>
      <c r="AY16" s="22">
        <v>-720.55100000000004</v>
      </c>
      <c r="AZ16" s="22">
        <v>-365.57299999999998</v>
      </c>
      <c r="BA16" s="22">
        <v>-465.09699999999998</v>
      </c>
      <c r="BB16" s="23">
        <f t="shared" si="58"/>
        <v>-702.51499999999987</v>
      </c>
      <c r="BC16" s="22">
        <v>-486.60899999999998</v>
      </c>
      <c r="BD16" s="22"/>
      <c r="BE16" s="22">
        <v>-1142.4929999999999</v>
      </c>
      <c r="BF16" s="22">
        <v>-2.6440000000000001</v>
      </c>
      <c r="BG16" s="22">
        <v>-287.39499999999998</v>
      </c>
      <c r="BH16" s="23">
        <f t="shared" si="59"/>
        <v>-629.19100000000003</v>
      </c>
      <c r="BI16" s="22">
        <v>-942.97</v>
      </c>
      <c r="BJ16" s="22"/>
      <c r="BK16" s="22">
        <v>-1213.7629999999999</v>
      </c>
      <c r="BL16" s="22">
        <v>-1129.405</v>
      </c>
      <c r="BM16" s="22"/>
      <c r="BN16" s="22">
        <v>-1592.2460000000001</v>
      </c>
      <c r="BO16" s="22">
        <v>-1679.2570000000001</v>
      </c>
      <c r="BP16" s="22"/>
      <c r="BQ16" s="22">
        <v>-55.231999999999999</v>
      </c>
      <c r="BR16" s="22">
        <v>-122.723</v>
      </c>
      <c r="BS16" s="22">
        <v>-97.753</v>
      </c>
    </row>
    <row r="17" spans="2:71">
      <c r="B17" s="25" t="s">
        <v>185</v>
      </c>
      <c r="C17" s="22">
        <v>444.15895899999998</v>
      </c>
      <c r="D17" s="22">
        <v>680.495</v>
      </c>
      <c r="E17" s="22">
        <v>1709.1579999999999</v>
      </c>
      <c r="F17" s="22">
        <v>1131.9069999999999</v>
      </c>
      <c r="G17" s="22">
        <v>2503.1489999999999</v>
      </c>
      <c r="H17" s="22">
        <v>6096.1450000000004</v>
      </c>
      <c r="I17" s="22">
        <v>3880.982</v>
      </c>
      <c r="J17" s="22">
        <v>7811.62</v>
      </c>
      <c r="K17" s="22">
        <v>7623.6220000000003</v>
      </c>
      <c r="L17" s="22">
        <v>11006.892</v>
      </c>
      <c r="M17" s="22">
        <v>6108.366</v>
      </c>
      <c r="N17" s="22">
        <v>7995.3819999999996</v>
      </c>
      <c r="O17" s="22">
        <v>11057.857</v>
      </c>
      <c r="P17" s="23">
        <f t="shared" si="48"/>
        <v>9274.2880000000005</v>
      </c>
      <c r="R17" s="22">
        <v>315.84500000000003</v>
      </c>
      <c r="S17" s="22">
        <v>646.47199999999998</v>
      </c>
      <c r="T17" s="22">
        <v>1603.173</v>
      </c>
      <c r="U17" s="23">
        <f t="shared" si="49"/>
        <v>-856.33199999999988</v>
      </c>
      <c r="V17" s="22">
        <v>553.322</v>
      </c>
      <c r="W17" s="22">
        <v>143.209</v>
      </c>
      <c r="X17" s="22">
        <v>264.15699999999998</v>
      </c>
      <c r="Y17" s="23">
        <f t="shared" si="50"/>
        <v>171.21900000000005</v>
      </c>
      <c r="Z17" s="22">
        <v>725.23800000000006</v>
      </c>
      <c r="AA17" s="22">
        <v>319.47699999999998</v>
      </c>
      <c r="AB17" s="22">
        <v>1205.45</v>
      </c>
      <c r="AC17" s="23">
        <f t="shared" si="51"/>
        <v>252.98399999999992</v>
      </c>
      <c r="AD17" s="22">
        <v>1448.855</v>
      </c>
      <c r="AE17" s="22">
        <v>782.12099999999998</v>
      </c>
      <c r="AF17" s="22">
        <v>-105.996</v>
      </c>
      <c r="AG17" s="23">
        <f t="shared" si="52"/>
        <v>3971.1650000000004</v>
      </c>
      <c r="AH17" s="22">
        <v>1082.9490000000001</v>
      </c>
      <c r="AI17" s="22">
        <v>1304.375</v>
      </c>
      <c r="AJ17" s="22">
        <v>1307.2180000000001</v>
      </c>
      <c r="AK17" s="23">
        <f t="shared" si="53"/>
        <v>186.4399999999996</v>
      </c>
      <c r="AL17" s="23">
        <f t="shared" si="54"/>
        <v>4117.0779999999995</v>
      </c>
      <c r="AM17" s="22">
        <v>524.08600000000001</v>
      </c>
      <c r="AN17" s="22">
        <v>894.346</v>
      </c>
      <c r="AO17" s="22">
        <v>3165.8440000000001</v>
      </c>
      <c r="AP17" s="22">
        <v>5580.9049999999997</v>
      </c>
      <c r="AQ17" s="22">
        <v>987.60799999999995</v>
      </c>
      <c r="AR17" s="22">
        <v>1503.336</v>
      </c>
      <c r="AS17" s="23">
        <f t="shared" si="55"/>
        <v>2946.0839999999998</v>
      </c>
      <c r="AT17" s="23">
        <f t="shared" si="56"/>
        <v>3028.3049999999994</v>
      </c>
      <c r="AU17" s="22">
        <v>1328.192</v>
      </c>
      <c r="AV17" s="22">
        <v>628.04200000000003</v>
      </c>
      <c r="AW17" s="22">
        <v>2095.6320000000001</v>
      </c>
      <c r="AX17" s="23">
        <f t="shared" si="57"/>
        <v>2056.5</v>
      </c>
      <c r="AY17" s="22">
        <v>3389.556</v>
      </c>
      <c r="AZ17" s="22">
        <v>3099.07</v>
      </c>
      <c r="BA17" s="22">
        <v>2660.8319999999999</v>
      </c>
      <c r="BB17" s="23">
        <f t="shared" si="58"/>
        <v>1908.3989999999994</v>
      </c>
      <c r="BC17" s="22">
        <v>1605.9870000000001</v>
      </c>
      <c r="BD17" s="22"/>
      <c r="BE17" s="22">
        <v>1834.2840000000001</v>
      </c>
      <c r="BF17" s="22">
        <v>848.16300000000001</v>
      </c>
      <c r="BG17" s="22">
        <v>2793.3519999999999</v>
      </c>
      <c r="BH17" s="23">
        <f t="shared" si="59"/>
        <v>2519.5829999999996</v>
      </c>
      <c r="BI17" s="22">
        <v>4435.84</v>
      </c>
      <c r="BJ17" s="22"/>
      <c r="BK17" s="22">
        <v>2792.627</v>
      </c>
      <c r="BL17" s="22">
        <v>6692.2269999999999</v>
      </c>
      <c r="BM17" s="22"/>
      <c r="BN17" s="22">
        <v>5795.5479999999998</v>
      </c>
      <c r="BO17" s="22">
        <v>9855.2690000000002</v>
      </c>
      <c r="BP17" s="22"/>
      <c r="BQ17" s="22">
        <v>1219.779</v>
      </c>
      <c r="BR17" s="22">
        <v>1480.7629999999999</v>
      </c>
      <c r="BS17" s="22">
        <v>852.64599999999996</v>
      </c>
    </row>
    <row r="18" spans="2:71">
      <c r="B18" s="25" t="s">
        <v>186</v>
      </c>
      <c r="C18" s="22">
        <v>-113.224762</v>
      </c>
      <c r="D18" s="22">
        <v>-97.632000000000005</v>
      </c>
      <c r="E18" s="22">
        <v>-13.599</v>
      </c>
      <c r="F18" s="22">
        <v>-11.246</v>
      </c>
      <c r="G18" s="22">
        <v>-683.92899999999997</v>
      </c>
      <c r="H18" s="22">
        <v>-130.934</v>
      </c>
      <c r="I18" s="22">
        <v>-1607.231</v>
      </c>
      <c r="J18" s="22">
        <v>-3247.5120000000002</v>
      </c>
      <c r="K18" s="22">
        <v>-418.78800000000001</v>
      </c>
      <c r="L18" s="22">
        <v>-604.64099999999996</v>
      </c>
      <c r="M18" s="22">
        <v>-263.14999999999998</v>
      </c>
      <c r="N18" s="22">
        <v>-344.44299999999998</v>
      </c>
      <c r="O18" s="22">
        <v>-679.99599999999998</v>
      </c>
      <c r="P18" s="23">
        <f t="shared" si="48"/>
        <v>-379.20600000000002</v>
      </c>
      <c r="R18" s="22">
        <v>-8.2810000000000006</v>
      </c>
      <c r="S18" s="22">
        <v>0.19700000000000001</v>
      </c>
      <c r="T18" s="22">
        <v>-282.82</v>
      </c>
      <c r="U18" s="23">
        <f t="shared" si="49"/>
        <v>277.30500000000001</v>
      </c>
      <c r="V18" s="22">
        <v>-25.055</v>
      </c>
      <c r="W18" s="22">
        <v>14.794</v>
      </c>
      <c r="X18" s="22">
        <v>-293.81799999999998</v>
      </c>
      <c r="Y18" s="23">
        <f t="shared" si="50"/>
        <v>292.83300000000003</v>
      </c>
      <c r="Z18" s="22">
        <v>-672.32799999999997</v>
      </c>
      <c r="AA18" s="22">
        <v>429.12400000000002</v>
      </c>
      <c r="AB18" s="22">
        <v>128.596</v>
      </c>
      <c r="AC18" s="23">
        <f t="shared" si="51"/>
        <v>-569.32100000000003</v>
      </c>
      <c r="AD18" s="22">
        <v>-0.20899999999999999</v>
      </c>
      <c r="AE18" s="22">
        <v>-2.5999999999999999E-2</v>
      </c>
      <c r="AF18" s="22">
        <v>-15.004</v>
      </c>
      <c r="AG18" s="23">
        <f t="shared" si="52"/>
        <v>-115.69499999999999</v>
      </c>
      <c r="AH18" s="22">
        <v>-739.62099999999998</v>
      </c>
      <c r="AI18" s="22">
        <v>-758.82100000000003</v>
      </c>
      <c r="AJ18" s="22">
        <v>-404.99200000000002</v>
      </c>
      <c r="AK18" s="23">
        <f t="shared" si="53"/>
        <v>296.20299999999997</v>
      </c>
      <c r="AL18" s="23">
        <f t="shared" si="54"/>
        <v>-1344.0780000000002</v>
      </c>
      <c r="AM18" s="22">
        <v>-35.677</v>
      </c>
      <c r="AN18" s="22">
        <v>-61.499000000000002</v>
      </c>
      <c r="AO18" s="22">
        <v>-140.029</v>
      </c>
      <c r="AP18" s="22">
        <v>-247.10599999999999</v>
      </c>
      <c r="AQ18" s="22">
        <v>-126.715</v>
      </c>
      <c r="AR18" s="22">
        <v>-235.78100000000001</v>
      </c>
      <c r="AS18" s="23">
        <f t="shared" si="55"/>
        <v>-116.36700000000002</v>
      </c>
      <c r="AT18" s="23">
        <f t="shared" si="56"/>
        <v>-60.254999999999995</v>
      </c>
      <c r="AU18" s="22">
        <v>-3.78</v>
      </c>
      <c r="AV18" s="22">
        <v>-5.44</v>
      </c>
      <c r="AW18" s="22">
        <v>-111.09</v>
      </c>
      <c r="AX18" s="23">
        <f t="shared" si="57"/>
        <v>-142.83999999999997</v>
      </c>
      <c r="AY18" s="22">
        <v>-575.09400000000005</v>
      </c>
      <c r="AZ18" s="22">
        <v>-7.31</v>
      </c>
      <c r="BA18" s="22">
        <v>-75.808999999999997</v>
      </c>
      <c r="BB18" s="23">
        <f t="shared" si="58"/>
        <v>-21.783000000000015</v>
      </c>
      <c r="BC18" s="22">
        <v>-274.30399999999997</v>
      </c>
      <c r="BD18" s="22"/>
      <c r="BE18" s="22">
        <v>-5.22</v>
      </c>
      <c r="BF18" s="22">
        <v>-7.3470000000000004</v>
      </c>
      <c r="BG18" s="22">
        <v>-148.07599999999999</v>
      </c>
      <c r="BH18" s="23">
        <f t="shared" si="59"/>
        <v>-183.79999999999998</v>
      </c>
      <c r="BI18" s="22">
        <v>-752.61300000000006</v>
      </c>
      <c r="BJ18" s="22"/>
      <c r="BK18" s="22">
        <v>-12.881</v>
      </c>
      <c r="BL18" s="22">
        <v>-616.94799999999998</v>
      </c>
      <c r="BM18" s="22"/>
      <c r="BN18" s="22">
        <v>-161.92400000000001</v>
      </c>
      <c r="BO18" s="22">
        <v>-739.05499999999995</v>
      </c>
      <c r="BP18" s="22"/>
      <c r="BQ18" s="22">
        <v>129.387</v>
      </c>
      <c r="BR18" s="22">
        <v>-1.36</v>
      </c>
      <c r="BS18" s="22">
        <v>-0.41099999999999998</v>
      </c>
    </row>
    <row r="19" spans="2:71" s="7" customFormat="1" ht="12.75">
      <c r="B19" s="7" t="s">
        <v>187</v>
      </c>
      <c r="C19" s="16">
        <f t="shared" ref="C19:G19" si="60">C10+SUM(C12:C18)</f>
        <v>839.61561299999971</v>
      </c>
      <c r="D19" s="16">
        <f t="shared" si="60"/>
        <v>1199.1750000000002</v>
      </c>
      <c r="E19" s="16">
        <f t="shared" si="60"/>
        <v>2474.6429999999996</v>
      </c>
      <c r="F19" s="16">
        <f t="shared" si="60"/>
        <v>2274.3789999999999</v>
      </c>
      <c r="G19" s="16">
        <f t="shared" si="60"/>
        <v>3311.9580000000005</v>
      </c>
      <c r="H19" s="16">
        <f t="shared" ref="H19:I19" si="61">H10+SUM(H12:H18)</f>
        <v>8395.2009999999991</v>
      </c>
      <c r="I19" s="16">
        <f t="shared" si="61"/>
        <v>8132.6480000000001</v>
      </c>
      <c r="J19" s="16">
        <f t="shared" ref="J19" si="62">J10+SUM(J12:J18)</f>
        <v>11622.115000000002</v>
      </c>
      <c r="K19" s="16">
        <f t="shared" ref="K19" si="63">K10+SUM(K12:K18)</f>
        <v>18197.749000000007</v>
      </c>
      <c r="L19" s="16">
        <f t="shared" ref="L19:M19" si="64">L10+SUM(L12:L18)</f>
        <v>26273.686999999998</v>
      </c>
      <c r="M19" s="16">
        <f t="shared" si="64"/>
        <v>20123.422999999992</v>
      </c>
      <c r="N19" s="16">
        <f t="shared" ref="N19:O19" si="65">N10+SUM(N12:N18)</f>
        <v>26340.017000000011</v>
      </c>
      <c r="O19" s="16">
        <f t="shared" si="65"/>
        <v>27113.465999999997</v>
      </c>
      <c r="P19" s="16">
        <f>P10+SUM(P12:P18)</f>
        <v>24853.378999999979</v>
      </c>
      <c r="R19" s="16">
        <f>R10+SUM(R12:R18)</f>
        <v>496.32900000000006</v>
      </c>
      <c r="S19" s="16">
        <f>S10+SUM(S12:S18)</f>
        <v>815.24199999999996</v>
      </c>
      <c r="T19" s="16">
        <f>T10+SUM(T12:T18)</f>
        <v>1541.74</v>
      </c>
      <c r="U19" s="16">
        <f t="shared" ref="U19:Y19" si="66">U10+SUM(U12:U18)</f>
        <v>-378.66799999999967</v>
      </c>
      <c r="V19" s="16">
        <f t="shared" si="66"/>
        <v>824.6479999999998</v>
      </c>
      <c r="W19" s="16">
        <f t="shared" si="66"/>
        <v>436.10299999999989</v>
      </c>
      <c r="X19" s="16">
        <f t="shared" si="66"/>
        <v>230.55100000000004</v>
      </c>
      <c r="Y19" s="16">
        <f t="shared" si="66"/>
        <v>783.07699999999977</v>
      </c>
      <c r="Z19" s="16">
        <f>Z10+SUM(Z12:Z18)</f>
        <v>450.11700000000025</v>
      </c>
      <c r="AA19" s="16">
        <f>AA10+SUM(AA12:AA18)</f>
        <v>1091.992</v>
      </c>
      <c r="AB19" s="16">
        <f t="shared" ref="AB19:AC19" si="67">AB10+SUM(AB12:AB18)</f>
        <v>1721.5719999999999</v>
      </c>
      <c r="AC19" s="16">
        <f t="shared" si="67"/>
        <v>48.277000000000953</v>
      </c>
      <c r="AD19" s="16">
        <f>AD10+SUM(AD12:AD18)</f>
        <v>1914.0189999999998</v>
      </c>
      <c r="AE19" s="16">
        <f>AE10+SUM(AE12:AE18)</f>
        <v>1079.7440000000001</v>
      </c>
      <c r="AF19" s="16">
        <f t="shared" ref="AF19" si="68">AF10+SUM(AF12:AF18)</f>
        <v>328.30499999999978</v>
      </c>
      <c r="AG19" s="16">
        <f t="shared" ref="AG19" si="69">AG10+SUM(AG12:AG18)</f>
        <v>5073.1330000000007</v>
      </c>
      <c r="AH19" s="16">
        <f>AH10+SUM(AH12:AH18)</f>
        <v>1677.922</v>
      </c>
      <c r="AI19" s="16">
        <f>AI10+SUM(AI12:AI18)</f>
        <v>1830.6730000000002</v>
      </c>
      <c r="AJ19" s="16">
        <f t="shared" ref="AJ19:AK19" si="70">AJ10+SUM(AJ12:AJ18)</f>
        <v>2448.098</v>
      </c>
      <c r="AK19" s="16">
        <f t="shared" si="70"/>
        <v>2175.9549999999981</v>
      </c>
      <c r="AL19" s="16">
        <f t="shared" ref="AL19" si="71">AL10+SUM(AL12:AL18)</f>
        <v>5665.4219999999968</v>
      </c>
      <c r="AM19" s="16">
        <f>AM10+SUM(AM12:AM18)</f>
        <v>2737.1589999999992</v>
      </c>
      <c r="AN19" s="16">
        <f>AN10+SUM(AN12:AN18)</f>
        <v>4087.0430000000006</v>
      </c>
      <c r="AO19" s="16">
        <f>AO10+SUM(AO12:AO18)</f>
        <v>5852.543999999999</v>
      </c>
      <c r="AP19" s="16">
        <f>AP10+SUM(AP12:AP18)</f>
        <v>9580.2699999999986</v>
      </c>
      <c r="AQ19" s="16">
        <f t="shared" ref="AQ19:AS19" si="72">AQ10+SUM(AQ12:AQ18)</f>
        <v>3316.7379999999985</v>
      </c>
      <c r="AR19" s="16">
        <f t="shared" ref="AR19" si="73">AR10+SUM(AR12:AR18)</f>
        <v>4446.268</v>
      </c>
      <c r="AS19" s="16">
        <f t="shared" si="72"/>
        <v>6291.3080000000045</v>
      </c>
      <c r="AT19" s="16">
        <f t="shared" ref="AT19" si="74">AT10+SUM(AT12:AT18)</f>
        <v>8160.1059999999952</v>
      </c>
      <c r="AU19" s="16">
        <f>AU10+SUM(AU12:AU18)</f>
        <v>5513.719000000001</v>
      </c>
      <c r="AV19" s="16">
        <f>AV10+SUM(AV12:AV18)</f>
        <v>3192.2889999999993</v>
      </c>
      <c r="AW19" s="16">
        <f t="shared" ref="AW19:AX19" si="75">AW10+SUM(AW12:AW18)</f>
        <v>4425.9139999999989</v>
      </c>
      <c r="AX19" s="16">
        <f t="shared" si="75"/>
        <v>6991.5009999999957</v>
      </c>
      <c r="AY19" s="16">
        <f>AY10+SUM(AY12:AY18)</f>
        <v>8189.0669999999991</v>
      </c>
      <c r="AZ19" s="16">
        <f>AZ10+SUM(AZ12:AZ18)</f>
        <v>6012.1010000000015</v>
      </c>
      <c r="BA19" s="16">
        <f t="shared" ref="BA19:BB19" si="76">BA10+SUM(BA12:BA18)</f>
        <v>6672.7050000000027</v>
      </c>
      <c r="BB19" s="16">
        <f t="shared" si="76"/>
        <v>6239.5929999999789</v>
      </c>
      <c r="BC19" s="16">
        <f>BC10+SUM(BC12:BC18)</f>
        <v>5928.9800000000032</v>
      </c>
      <c r="BD19" s="16"/>
      <c r="BE19" s="16">
        <f>BE10+SUM(BE12:BE18)</f>
        <v>7614.6569999999992</v>
      </c>
      <c r="BF19" s="16">
        <f>BF10+SUM(BF12:BF18)</f>
        <v>4311.1430000000009</v>
      </c>
      <c r="BG19" s="16">
        <f>BG10+SUM(BG12:BG18)</f>
        <v>5899.4790000000021</v>
      </c>
      <c r="BH19" s="16">
        <f>BH10+SUM(BH12:BH18)</f>
        <v>8514.7380000000048</v>
      </c>
      <c r="BI19" s="16">
        <f>BI10+SUM(BI12:BI18)</f>
        <v>10716.857999999998</v>
      </c>
      <c r="BJ19" s="16"/>
      <c r="BK19" s="16">
        <f>BK10+SUM(BK12:BK18)</f>
        <v>12383.191000000001</v>
      </c>
      <c r="BL19" s="16">
        <f>BL10+SUM(BL12:BL18)</f>
        <v>14693.062999999996</v>
      </c>
      <c r="BM19" s="16"/>
      <c r="BN19" s="16">
        <f>BN10+SUM(BN12:BN18)</f>
        <v>19211.950999999994</v>
      </c>
      <c r="BO19" s="16">
        <f>BO10+SUM(BO12:BO18)</f>
        <v>22468.391999999993</v>
      </c>
      <c r="BP19" s="16"/>
      <c r="BQ19" s="16">
        <f t="shared" ref="BQ19:BS19" si="77">BQ10+SUM(BQ12:BQ18)</f>
        <v>1782.0550000000001</v>
      </c>
      <c r="BR19" s="16">
        <f t="shared" si="77"/>
        <v>1976.7060000000001</v>
      </c>
      <c r="BS19" s="16">
        <f t="shared" si="77"/>
        <v>1205.5059999999999</v>
      </c>
    </row>
    <row r="20" spans="2:71" s="17" customFormat="1" ht="12.75">
      <c r="B20" s="18" t="s">
        <v>188</v>
      </c>
      <c r="C20" s="21">
        <f t="shared" ref="C20:G20" si="78">+C19/C7</f>
        <v>0.20020522413627975</v>
      </c>
      <c r="D20" s="21">
        <f t="shared" si="78"/>
        <v>0.24850030503675363</v>
      </c>
      <c r="E20" s="21">
        <f t="shared" si="78"/>
        <v>0.41552173215114474</v>
      </c>
      <c r="F20" s="21">
        <f t="shared" si="78"/>
        <v>0.29147046309681257</v>
      </c>
      <c r="G20" s="21">
        <f t="shared" si="78"/>
        <v>0.35230368792815897</v>
      </c>
      <c r="H20" s="21">
        <f t="shared" ref="H20:I20" si="79">+H19/H7</f>
        <v>0.66962969048614185</v>
      </c>
      <c r="I20" s="21">
        <f t="shared" si="79"/>
        <v>0.28842402130990036</v>
      </c>
      <c r="J20" s="21">
        <f t="shared" ref="J20" si="80">+J19/J7</f>
        <v>0.22358301099889794</v>
      </c>
      <c r="K20" s="21">
        <f t="shared" ref="K20" si="81">+K19/K7</f>
        <v>0.32591344376754128</v>
      </c>
      <c r="L20" s="21">
        <f t="shared" ref="L20:M20" si="82">+L19/L7</f>
        <v>0.32591345236266744</v>
      </c>
      <c r="M20" s="21">
        <f t="shared" si="82"/>
        <v>0.23928565500107318</v>
      </c>
      <c r="N20" s="21">
        <f t="shared" ref="N20:O20" si="83">+N19/N7</f>
        <v>0.23928565556096698</v>
      </c>
      <c r="O20" s="21">
        <f t="shared" si="83"/>
        <v>0.24229089561741968</v>
      </c>
      <c r="P20" s="20">
        <f>+P19/P7</f>
        <v>0.20911779392127144</v>
      </c>
      <c r="R20" s="21">
        <f>+R19/R7</f>
        <v>0.35258402062954203</v>
      </c>
      <c r="S20" s="21">
        <f>+S19/S7</f>
        <v>0.62124610121857637</v>
      </c>
      <c r="T20" s="21">
        <f>+T19/T7</f>
        <v>1.0723849774009964</v>
      </c>
      <c r="U20" s="24">
        <f t="shared" ref="U20:Y20" si="84">+U19/U7</f>
        <v>-0.2106197594382255</v>
      </c>
      <c r="V20" s="21">
        <f t="shared" si="84"/>
        <v>0.42455981383471647</v>
      </c>
      <c r="W20" s="21">
        <f t="shared" si="84"/>
        <v>0.23955148536279627</v>
      </c>
      <c r="X20" s="21">
        <f t="shared" si="84"/>
        <v>0.12178432409333011</v>
      </c>
      <c r="Y20" s="21">
        <f t="shared" si="84"/>
        <v>0.36470479746902063</v>
      </c>
      <c r="Z20" s="21">
        <f>+Z19/Z7</f>
        <v>0.1894331361215694</v>
      </c>
      <c r="AA20" s="21">
        <f>+AA19/AA7</f>
        <v>0.50917239761806288</v>
      </c>
      <c r="AB20" s="21">
        <f>+AB19/AB7</f>
        <v>0.77242138030392149</v>
      </c>
      <c r="AC20" s="21">
        <f t="shared" ref="AC20" si="85">+AC19/AC7</f>
        <v>1.8208837568056718E-2</v>
      </c>
      <c r="AD20" s="21">
        <f>+AD19/AD7</f>
        <v>0.71161640910175861</v>
      </c>
      <c r="AE20" s="21">
        <f>+AE19/AE7</f>
        <v>0.42469210388858475</v>
      </c>
      <c r="AF20" s="21">
        <f>+AF19/AF7</f>
        <v>0.11031261035713115</v>
      </c>
      <c r="AG20" s="21">
        <f t="shared" ref="AG20" si="86">+AG19/AG7</f>
        <v>1.1719346903209695</v>
      </c>
      <c r="AH20" s="21">
        <f>+AH19/AH7</f>
        <v>0.28506912483108277</v>
      </c>
      <c r="AI20" s="21">
        <f>+AI19/AI7</f>
        <v>0.30556838025839245</v>
      </c>
      <c r="AJ20" s="21">
        <f>+AJ19/AJ7</f>
        <v>0.33527230197402841</v>
      </c>
      <c r="AK20" s="21">
        <f t="shared" ref="AK20:AL20" si="87">+AK19/AK7</f>
        <v>0.24129108035103677</v>
      </c>
      <c r="AL20" s="21">
        <f t="shared" si="87"/>
        <v>0.17271402200477959</v>
      </c>
      <c r="AM20" s="21">
        <f t="shared" ref="AM20:AR20" si="88">+AM19/AM7</f>
        <v>0.27069076825034144</v>
      </c>
      <c r="AN20" s="21">
        <f t="shared" si="88"/>
        <v>0.23560714607921729</v>
      </c>
      <c r="AO20" s="21">
        <f t="shared" si="88"/>
        <v>0.61528951138232346</v>
      </c>
      <c r="AP20" s="21">
        <f t="shared" si="88"/>
        <v>0.58431625915415708</v>
      </c>
      <c r="AQ20" s="21">
        <f t="shared" si="88"/>
        <v>0.26729396390142357</v>
      </c>
      <c r="AR20" s="21">
        <f t="shared" si="88"/>
        <v>0.24965841084200113</v>
      </c>
      <c r="AS20" s="21">
        <f t="shared" ref="AS20:AT20" si="89">+AS19/AS7</f>
        <v>0.26429677457353423</v>
      </c>
      <c r="AT20" s="21">
        <f t="shared" si="89"/>
        <v>0.28076740718108351</v>
      </c>
      <c r="AU20" s="21">
        <f>+AU19/AU7</f>
        <v>0.28129876042654295</v>
      </c>
      <c r="AV20" s="21">
        <f>+AV19/AV7</f>
        <v>0.20851919767352309</v>
      </c>
      <c r="AW20" s="21">
        <f>+AW19/AW7</f>
        <v>0.24323013254541209</v>
      </c>
      <c r="AX20" s="21">
        <f t="shared" ref="AX20" si="90">+AX19/AX7</f>
        <v>0.22559605395563728</v>
      </c>
      <c r="AY20" s="21">
        <f>+AY19/AY7</f>
        <v>0.3037226733889376</v>
      </c>
      <c r="AZ20" s="21">
        <f>+AZ19/AZ7</f>
        <v>0.2607417440215703</v>
      </c>
      <c r="BA20" s="21">
        <f>+BA19/BA7</f>
        <v>0.26258982627811212</v>
      </c>
      <c r="BB20" s="21">
        <f t="shared" ref="BB20" si="91">+BB19/BB7</f>
        <v>0.17107211582249907</v>
      </c>
      <c r="BC20" s="21">
        <f>+BC19/BC7</f>
        <v>0.17486304437734679</v>
      </c>
      <c r="BD20" s="43"/>
      <c r="BE20" s="21">
        <f>+BE19/BE7</f>
        <v>0.28129875964747669</v>
      </c>
      <c r="BF20" s="21">
        <f>+BF19/BF7</f>
        <v>0.20851917937969949</v>
      </c>
      <c r="BG20" s="21">
        <f>+BG19/BG7</f>
        <v>0.2432301624780796</v>
      </c>
      <c r="BH20" s="21">
        <f>+BH19/BH7</f>
        <v>0.22361126043789883</v>
      </c>
      <c r="BI20" s="21">
        <f>+BI19/BI7</f>
        <v>0.30372267703133204</v>
      </c>
      <c r="BJ20" s="43"/>
      <c r="BK20" s="21">
        <f>+BK19/BK7</f>
        <v>0.25082072997003646</v>
      </c>
      <c r="BL20" s="21">
        <f>+BL19/BL7</f>
        <v>0.28453118097284841</v>
      </c>
      <c r="BM20" s="43"/>
      <c r="BN20" s="21">
        <f>+BN19/BN7</f>
        <v>0.24843993046095325</v>
      </c>
      <c r="BO20" s="21">
        <f>+BO19/BO7</f>
        <v>0.27764149469301636</v>
      </c>
      <c r="BP20" s="43"/>
      <c r="BQ20" s="21">
        <f>+BQ19/BQ7</f>
        <v>0.77779596361668335</v>
      </c>
      <c r="BR20" s="21">
        <f>+BR19/BR7</f>
        <v>0.71008568635839986</v>
      </c>
      <c r="BS20" s="21">
        <f>+BS19/BS7</f>
        <v>0.45335676009668047</v>
      </c>
    </row>
    <row r="21" spans="2:71">
      <c r="B21" s="2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R21" s="22"/>
      <c r="S21" s="22"/>
      <c r="T21" s="22"/>
      <c r="U21" s="23"/>
      <c r="V21" s="22"/>
      <c r="W21" s="22"/>
      <c r="X21" s="22"/>
      <c r="Y21" s="23"/>
      <c r="Z21" s="22"/>
      <c r="AA21" s="22"/>
      <c r="AB21" s="22"/>
      <c r="AC21" s="23"/>
      <c r="AD21" s="22"/>
      <c r="AE21" s="22"/>
      <c r="AF21" s="22"/>
      <c r="AG21" s="23"/>
      <c r="AH21" s="22"/>
      <c r="AI21" s="22"/>
      <c r="AJ21" s="22"/>
      <c r="AK21" s="23"/>
      <c r="AL21" s="23"/>
      <c r="AM21" s="22"/>
      <c r="AN21" s="22"/>
      <c r="AO21" s="22"/>
      <c r="AP21" s="22"/>
      <c r="AQ21" s="22"/>
      <c r="AR21" s="22"/>
      <c r="AS21" s="23"/>
      <c r="AT21" s="23"/>
      <c r="AU21" s="22"/>
      <c r="AV21" s="22"/>
      <c r="AW21" s="22"/>
      <c r="AX21" s="23"/>
      <c r="AY21" s="22"/>
      <c r="AZ21" s="22"/>
      <c r="BA21" s="22"/>
      <c r="BB21" s="23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</row>
    <row r="22" spans="2:71">
      <c r="B22" s="25" t="s">
        <v>189</v>
      </c>
      <c r="C22" s="22">
        <v>-638.08148300000005</v>
      </c>
      <c r="D22" s="22">
        <v>-703.28200000000004</v>
      </c>
      <c r="E22" s="22">
        <v>-2786.4050000000002</v>
      </c>
      <c r="F22" s="22">
        <v>-1466.1320000000001</v>
      </c>
      <c r="G22" s="22">
        <v>-2372.7530000000002</v>
      </c>
      <c r="H22" s="22">
        <v>-8910.3729999999996</v>
      </c>
      <c r="I22" s="22">
        <v>-8244.0959999999995</v>
      </c>
      <c r="J22" s="22">
        <v>-16430.234</v>
      </c>
      <c r="K22" s="22">
        <v>-18214.12</v>
      </c>
      <c r="L22" s="22">
        <v>-26297.323</v>
      </c>
      <c r="M22" s="22">
        <v>-13130.716</v>
      </c>
      <c r="N22" s="22">
        <v>-17187.099999999999</v>
      </c>
      <c r="O22" s="22">
        <v>-23361.989000000001</v>
      </c>
      <c r="P22" s="23">
        <f t="shared" ref="P22:P24" si="92">SUM(BB22,BC22,AZ22,BA22)</f>
        <v>-21862.787</v>
      </c>
      <c r="R22" s="22">
        <v>-305.709</v>
      </c>
      <c r="S22" s="22">
        <v>-524.76499999999999</v>
      </c>
      <c r="T22" s="22">
        <v>-1648.729</v>
      </c>
      <c r="U22" s="23">
        <f>E22-SUM(R22:T22)</f>
        <v>-307.20200000000023</v>
      </c>
      <c r="V22" s="22">
        <v>-322.38</v>
      </c>
      <c r="W22" s="22">
        <v>-357.923</v>
      </c>
      <c r="X22" s="22">
        <v>-327.45800000000003</v>
      </c>
      <c r="Y22" s="23">
        <f>F22-SUM(V22:X22)</f>
        <v>-458.37100000000009</v>
      </c>
      <c r="Z22" s="22">
        <v>-528.39300000000003</v>
      </c>
      <c r="AA22" s="22">
        <v>-592.053</v>
      </c>
      <c r="AB22" s="22">
        <v>-1293.0260000000001</v>
      </c>
      <c r="AC22" s="23">
        <f>G22-SUM(Z22:AB22)</f>
        <v>40.718999999999596</v>
      </c>
      <c r="AD22" s="22">
        <v>-1250.912</v>
      </c>
      <c r="AE22" s="22">
        <v>-703.44100000000003</v>
      </c>
      <c r="AF22" s="22">
        <v>-737.17</v>
      </c>
      <c r="AG22" s="23">
        <f>H22-SUM(AD22:AF22)</f>
        <v>-6218.8499999999995</v>
      </c>
      <c r="AH22" s="22">
        <v>-2025.085</v>
      </c>
      <c r="AI22" s="22">
        <v>-2412.951</v>
      </c>
      <c r="AJ22" s="22">
        <v>-2581.1419999999998</v>
      </c>
      <c r="AK22" s="23">
        <f>I22-SUM(AH22:AJ22)</f>
        <v>-1224.9179999999997</v>
      </c>
      <c r="AL22" s="23">
        <f>J22-SUM(AH22:AJ22)</f>
        <v>-9411.0560000000005</v>
      </c>
      <c r="AM22" s="22">
        <v>-1465.2639999999999</v>
      </c>
      <c r="AN22" s="22">
        <v>-2516.9349999999999</v>
      </c>
      <c r="AO22" s="22">
        <v>-7679.6750000000002</v>
      </c>
      <c r="AP22" s="22">
        <v>-13292.655000000001</v>
      </c>
      <c r="AQ22" s="22">
        <v>-1709.954</v>
      </c>
      <c r="AR22" s="22">
        <v>-2913.875</v>
      </c>
      <c r="AS22" s="23">
        <f>K22-SUM(AM22,AO22,AQ22)</f>
        <v>-7359.226999999999</v>
      </c>
      <c r="AT22" s="23">
        <f t="shared" ref="AT22:AT24" si="93">L22-SUM(AN22,AP22,AR22)</f>
        <v>-7573.8580000000002</v>
      </c>
      <c r="AU22" s="22">
        <v>-3215.3580000000002</v>
      </c>
      <c r="AV22" s="22">
        <v>-2349.9499999999998</v>
      </c>
      <c r="AW22" s="22">
        <v>-3822.6469999999999</v>
      </c>
      <c r="AX22" s="23">
        <f>M22-SUM(AU22,AV22,AW22)</f>
        <v>-3742.7610000000004</v>
      </c>
      <c r="AY22" s="22">
        <v>-5439.0540000000001</v>
      </c>
      <c r="AZ22" s="22">
        <v>-5874.143</v>
      </c>
      <c r="BA22" s="22">
        <v>-5540.3379999999997</v>
      </c>
      <c r="BB22" s="23">
        <f t="shared" ref="BB22:BB24" si="94">O22-SUM(AY22,AZ22,BA22)</f>
        <v>-6508.4540000000015</v>
      </c>
      <c r="BC22" s="22">
        <v>-3939.8519999999999</v>
      </c>
      <c r="BD22" s="22"/>
      <c r="BE22" s="22">
        <v>-4440.5330000000004</v>
      </c>
      <c r="BF22" s="22">
        <v>-3173.576</v>
      </c>
      <c r="BG22" s="22">
        <v>-5095.3599999999997</v>
      </c>
      <c r="BH22" s="23">
        <f t="shared" ref="BH22:BH24" si="95">N22-SUM(BE22,BF22,BG22)</f>
        <v>-4477.6309999999976</v>
      </c>
      <c r="BI22" s="22">
        <v>-7117.9740000000002</v>
      </c>
      <c r="BJ22" s="22"/>
      <c r="BK22" s="22">
        <v>-7880.8389999999999</v>
      </c>
      <c r="BL22" s="22">
        <v>-11639.906000000001</v>
      </c>
      <c r="BM22" s="22"/>
      <c r="BN22" s="22">
        <v>-13567.607</v>
      </c>
      <c r="BO22" s="22">
        <v>-18053.746999999999</v>
      </c>
      <c r="BP22" s="22"/>
      <c r="BQ22" s="22">
        <v>-1444.3910000000001</v>
      </c>
      <c r="BR22" s="22">
        <v>-1387.9680000000001</v>
      </c>
      <c r="BS22" s="22">
        <v>-795.49</v>
      </c>
    </row>
    <row r="23" spans="2:71">
      <c r="B23" s="25" t="s">
        <v>190</v>
      </c>
      <c r="C23" s="22">
        <v>135.02642</v>
      </c>
      <c r="D23" s="22">
        <v>27.859000000000002</v>
      </c>
      <c r="E23" s="22">
        <v>1285.3009999999999</v>
      </c>
      <c r="F23" s="22">
        <v>554.69500000000005</v>
      </c>
      <c r="G23" s="22">
        <v>555.44200000000001</v>
      </c>
      <c r="H23" s="22">
        <v>444.63799999999998</v>
      </c>
      <c r="I23" s="22">
        <v>193.054</v>
      </c>
      <c r="J23" s="22">
        <f>339.665</f>
        <v>339.66500000000002</v>
      </c>
      <c r="K23" s="22">
        <f>318.356</f>
        <v>318.35599999999999</v>
      </c>
      <c r="L23" s="22">
        <v>459.63799999999998</v>
      </c>
      <c r="M23" s="22">
        <v>260.29700000000003</v>
      </c>
      <c r="N23" s="22">
        <v>340.709</v>
      </c>
      <c r="O23" s="22">
        <v>5.6</v>
      </c>
      <c r="P23" s="23">
        <f t="shared" si="92"/>
        <v>7.0220000000000002</v>
      </c>
      <c r="R23" s="22">
        <v>5.3179999999999996</v>
      </c>
      <c r="S23" s="22">
        <v>12.531000000000001</v>
      </c>
      <c r="T23" s="22">
        <v>420.94</v>
      </c>
      <c r="U23" s="23">
        <f>E23-SUM(R23:T23)</f>
        <v>846.51199999999994</v>
      </c>
      <c r="V23" s="22">
        <v>2.0049999999999999</v>
      </c>
      <c r="W23" s="22">
        <v>82.614000000000004</v>
      </c>
      <c r="X23" s="22">
        <v>438.37599999999998</v>
      </c>
      <c r="Y23" s="23">
        <f>F23-SUM(V23:X23)</f>
        <v>31.700000000000045</v>
      </c>
      <c r="Z23" s="22">
        <v>7.6970000000000001</v>
      </c>
      <c r="AA23" s="22">
        <v>182.14099999999999</v>
      </c>
      <c r="AB23" s="22">
        <v>37.439</v>
      </c>
      <c r="AC23" s="23">
        <f>G23-SUM(Z23:AB23)</f>
        <v>328.16500000000002</v>
      </c>
      <c r="AD23" s="22">
        <v>1.7110000000000001</v>
      </c>
      <c r="AE23" s="22">
        <v>0.73299999999999998</v>
      </c>
      <c r="AF23" s="22">
        <v>448.19499999999999</v>
      </c>
      <c r="AG23" s="23">
        <f>H23-SUM(AD23:AF23)</f>
        <v>-6.0010000000000332</v>
      </c>
      <c r="AH23" s="22">
        <v>28.219000000000001</v>
      </c>
      <c r="AI23" s="22">
        <v>-21.663</v>
      </c>
      <c r="AJ23" s="22">
        <v>102.22499999999999</v>
      </c>
      <c r="AK23" s="23">
        <f>I23-SUM(AH23:AJ23)</f>
        <v>84.27300000000001</v>
      </c>
      <c r="AL23" s="23">
        <f>J23-SUM(AH23:AJ23)</f>
        <v>230.88400000000001</v>
      </c>
      <c r="AM23" s="22">
        <v>129.071</v>
      </c>
      <c r="AN23" s="22">
        <v>226.13900000000001</v>
      </c>
      <c r="AO23" s="22">
        <v>17.356999999999999</v>
      </c>
      <c r="AP23" s="22">
        <v>12.768000000000001</v>
      </c>
      <c r="AQ23" s="22">
        <v>-24.31</v>
      </c>
      <c r="AR23" s="22">
        <v>-59.975999999999999</v>
      </c>
      <c r="AS23" s="23">
        <f>K23-SUM(AM23,AO23,AQ23)</f>
        <v>196.238</v>
      </c>
      <c r="AT23" s="23">
        <f t="shared" si="93"/>
        <v>280.70699999999999</v>
      </c>
      <c r="AU23" s="22">
        <v>13.946</v>
      </c>
      <c r="AV23" s="22">
        <v>35.637</v>
      </c>
      <c r="AW23" s="22">
        <v>19.396999999999998</v>
      </c>
      <c r="AX23" s="23">
        <f>M23-SUM(AU23,AV23,AW23)</f>
        <v>191.31700000000004</v>
      </c>
      <c r="AY23" s="22">
        <v>1.204</v>
      </c>
      <c r="AZ23" s="22">
        <v>1.2549999999999999</v>
      </c>
      <c r="BA23" s="22">
        <v>1.335</v>
      </c>
      <c r="BB23" s="23">
        <f t="shared" si="94"/>
        <v>1.806</v>
      </c>
      <c r="BC23" s="22">
        <v>2.6259999999999999</v>
      </c>
      <c r="BD23" s="22"/>
      <c r="BE23" s="22">
        <v>19.260000000000002</v>
      </c>
      <c r="BF23" s="22">
        <v>48.127000000000002</v>
      </c>
      <c r="BG23" s="22">
        <v>25.855</v>
      </c>
      <c r="BH23" s="23">
        <f t="shared" si="95"/>
        <v>247.46699999999998</v>
      </c>
      <c r="BI23" s="22">
        <v>1.5760000000000001</v>
      </c>
      <c r="BJ23" s="22"/>
      <c r="BK23" s="22">
        <v>68.543999999999997</v>
      </c>
      <c r="BL23" s="22">
        <v>2.5310000000000001</v>
      </c>
      <c r="BM23" s="22"/>
      <c r="BN23" s="22">
        <v>99.543000000000006</v>
      </c>
      <c r="BO23" s="22">
        <v>4.056</v>
      </c>
      <c r="BP23" s="22"/>
      <c r="BQ23" s="22">
        <v>34.262999999999998</v>
      </c>
      <c r="BR23" s="22">
        <v>18.891999999999999</v>
      </c>
      <c r="BS23" s="22">
        <v>-13.61</v>
      </c>
    </row>
    <row r="24" spans="2:71">
      <c r="B24" s="25" t="s">
        <v>191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5841.4489999999996</v>
      </c>
      <c r="K24" s="22">
        <v>4475.1530000000002</v>
      </c>
      <c r="L24" s="22">
        <v>6461.1710000000003</v>
      </c>
      <c r="M24" s="22">
        <v>3712.1729999999998</v>
      </c>
      <c r="N24" s="22">
        <v>4858.9480000000003</v>
      </c>
      <c r="O24" s="22">
        <v>2922.25</v>
      </c>
      <c r="P24" s="23">
        <f t="shared" si="92"/>
        <v>3310.261</v>
      </c>
      <c r="R24" s="22"/>
      <c r="S24" s="22"/>
      <c r="T24" s="22"/>
      <c r="U24" s="23"/>
      <c r="V24" s="22"/>
      <c r="W24" s="22"/>
      <c r="X24" s="22"/>
      <c r="Y24" s="23"/>
      <c r="Z24" s="22"/>
      <c r="AA24" s="22"/>
      <c r="AB24" s="22"/>
      <c r="AC24" s="23"/>
      <c r="AD24" s="22"/>
      <c r="AE24" s="22"/>
      <c r="AF24" s="22"/>
      <c r="AG24" s="23"/>
      <c r="AH24" s="22">
        <v>0</v>
      </c>
      <c r="AI24" s="22">
        <v>0</v>
      </c>
      <c r="AJ24" s="22">
        <v>0</v>
      </c>
      <c r="AK24" s="23">
        <f>I24-SUM(AH24:AJ24)</f>
        <v>0</v>
      </c>
      <c r="AL24" s="23">
        <f>J24-SUM(AH24:AJ24)</f>
        <v>5841.4489999999996</v>
      </c>
      <c r="AM24" s="22">
        <v>0</v>
      </c>
      <c r="AN24" s="22">
        <v>1427.8</v>
      </c>
      <c r="AO24" s="22">
        <v>0</v>
      </c>
      <c r="AP24" s="22">
        <v>1058.2809999999999</v>
      </c>
      <c r="AQ24" s="22">
        <v>0</v>
      </c>
      <c r="AR24" s="22">
        <v>3265.0059999999999</v>
      </c>
      <c r="AS24" s="23">
        <f>K24-SUM(AM24,AO24,AQ24)</f>
        <v>4475.1530000000002</v>
      </c>
      <c r="AT24" s="23">
        <f t="shared" si="93"/>
        <v>710.08400000000074</v>
      </c>
      <c r="AU24" s="22">
        <v>1316.1880000000001</v>
      </c>
      <c r="AV24" s="22">
        <v>853.58199999999999</v>
      </c>
      <c r="AW24" s="22">
        <v>630.20600000000002</v>
      </c>
      <c r="AX24" s="23">
        <f>M24-SUM(AU24,AV24,AW24)</f>
        <v>912.19699999999966</v>
      </c>
      <c r="AY24" s="22">
        <v>706.99199999999996</v>
      </c>
      <c r="AZ24" s="22">
        <v>819.25300000000004</v>
      </c>
      <c r="BA24" s="22">
        <v>765.22400000000005</v>
      </c>
      <c r="BB24" s="23">
        <f t="shared" si="94"/>
        <v>630.78099999999995</v>
      </c>
      <c r="BC24" s="22">
        <v>1095.0029999999999</v>
      </c>
      <c r="BD24" s="22"/>
      <c r="BE24" s="22">
        <v>1817.7059999999999</v>
      </c>
      <c r="BF24" s="22">
        <v>1152.751</v>
      </c>
      <c r="BG24" s="22">
        <v>840.02700000000004</v>
      </c>
      <c r="BH24" s="23">
        <f t="shared" si="95"/>
        <v>1048.4640000000004</v>
      </c>
      <c r="BI24" s="22">
        <v>925.22500000000002</v>
      </c>
      <c r="BJ24" s="22"/>
      <c r="BK24" s="22">
        <v>3079.6419999999998</v>
      </c>
      <c r="BL24" s="22">
        <v>1568.712</v>
      </c>
      <c r="BM24" s="22"/>
      <c r="BN24" s="22">
        <v>4150.7780000000002</v>
      </c>
      <c r="BO24" s="22">
        <v>2451.6579999999999</v>
      </c>
      <c r="BP24" s="22"/>
      <c r="BQ24" s="22"/>
      <c r="BR24" s="22"/>
      <c r="BS24" s="22"/>
    </row>
    <row r="25" spans="2:71">
      <c r="B25" s="2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R25" s="22"/>
      <c r="S25" s="22"/>
      <c r="T25" s="22"/>
      <c r="U25" s="23">
        <f>E25-SUM(R25:T25)</f>
        <v>0</v>
      </c>
      <c r="V25" s="22"/>
      <c r="W25" s="22"/>
      <c r="X25" s="22"/>
      <c r="Y25" s="23">
        <f>F25-SUM(V25:X25)</f>
        <v>0</v>
      </c>
      <c r="Z25" s="22"/>
      <c r="AA25" s="22"/>
      <c r="AB25" s="22"/>
      <c r="AC25" s="23">
        <f>R25-SUM(Z25:AB25)</f>
        <v>0</v>
      </c>
      <c r="AD25" s="22"/>
      <c r="AE25" s="22"/>
      <c r="AF25" s="22"/>
      <c r="AG25" s="23">
        <f>V25-SUM(AD25:AF25)</f>
        <v>0</v>
      </c>
      <c r="AH25" s="22"/>
      <c r="AI25" s="22"/>
      <c r="AJ25" s="22"/>
      <c r="AK25" s="23"/>
      <c r="AL25" s="23"/>
      <c r="AM25" s="22"/>
      <c r="AN25" s="22"/>
      <c r="AO25" s="22"/>
      <c r="AP25" s="22"/>
      <c r="AQ25" s="22"/>
      <c r="AR25" s="22"/>
      <c r="AS25" s="23"/>
      <c r="AT25" s="23"/>
      <c r="AU25" s="22"/>
      <c r="AV25" s="22"/>
      <c r="AW25" s="22"/>
      <c r="AX25" s="23"/>
      <c r="AY25" s="22"/>
      <c r="AZ25" s="22"/>
      <c r="BA25" s="22"/>
      <c r="BB25" s="23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</row>
    <row r="26" spans="2:71" s="7" customFormat="1" ht="12.75">
      <c r="B26" s="7" t="s">
        <v>192</v>
      </c>
      <c r="C26" s="16">
        <f t="shared" ref="C26:P26" si="96">+C19+C22+C23+C24</f>
        <v>336.56054999999969</v>
      </c>
      <c r="D26" s="16">
        <f t="shared" si="96"/>
        <v>523.75200000000018</v>
      </c>
      <c r="E26" s="16">
        <f t="shared" si="96"/>
        <v>973.53899999999931</v>
      </c>
      <c r="F26" s="16">
        <f t="shared" si="96"/>
        <v>1362.942</v>
      </c>
      <c r="G26" s="16">
        <f t="shared" si="96"/>
        <v>1494.6470000000004</v>
      </c>
      <c r="H26" s="16">
        <f t="shared" si="96"/>
        <v>-70.534000000000503</v>
      </c>
      <c r="I26" s="16">
        <f t="shared" si="96"/>
        <v>81.606000000000591</v>
      </c>
      <c r="J26" s="16">
        <f t="shared" si="96"/>
        <v>1372.9950000000008</v>
      </c>
      <c r="K26" s="16">
        <f t="shared" si="96"/>
        <v>4777.1380000000081</v>
      </c>
      <c r="L26" s="16">
        <f t="shared" si="96"/>
        <v>6897.172999999998</v>
      </c>
      <c r="M26" s="16">
        <f t="shared" si="96"/>
        <v>10965.176999999992</v>
      </c>
      <c r="N26" s="16">
        <f t="shared" si="96"/>
        <v>14352.574000000013</v>
      </c>
      <c r="O26" s="16">
        <f t="shared" si="96"/>
        <v>6679.3269999999957</v>
      </c>
      <c r="P26" s="16">
        <f t="shared" si="96"/>
        <v>6307.8749999999782</v>
      </c>
      <c r="R26" s="16">
        <f t="shared" ref="R26:Y26" si="97">+R19+R22+R23</f>
        <v>195.93800000000007</v>
      </c>
      <c r="S26" s="16">
        <f t="shared" si="97"/>
        <v>303.00799999999998</v>
      </c>
      <c r="T26" s="16">
        <f t="shared" si="97"/>
        <v>313.95099999999996</v>
      </c>
      <c r="U26" s="16">
        <f t="shared" si="97"/>
        <v>160.64200000000005</v>
      </c>
      <c r="V26" s="16">
        <f t="shared" si="97"/>
        <v>504.2729999999998</v>
      </c>
      <c r="W26" s="16">
        <f t="shared" si="97"/>
        <v>160.7939999999999</v>
      </c>
      <c r="X26" s="16">
        <f t="shared" si="97"/>
        <v>341.46899999999999</v>
      </c>
      <c r="Y26" s="16">
        <f t="shared" si="97"/>
        <v>356.40599999999972</v>
      </c>
      <c r="Z26" s="16">
        <f t="shared" ref="Z26:BC26" si="98">+Z19+Z22+Z23+Z24</f>
        <v>-70.57899999999978</v>
      </c>
      <c r="AA26" s="16">
        <f t="shared" si="98"/>
        <v>682.07999999999993</v>
      </c>
      <c r="AB26" s="16">
        <f t="shared" si="98"/>
        <v>465.98499999999984</v>
      </c>
      <c r="AC26" s="16">
        <f t="shared" si="98"/>
        <v>417.16100000000057</v>
      </c>
      <c r="AD26" s="16">
        <f t="shared" si="98"/>
        <v>664.81799999999976</v>
      </c>
      <c r="AE26" s="16">
        <f t="shared" si="98"/>
        <v>377.03600000000012</v>
      </c>
      <c r="AF26" s="16">
        <f t="shared" si="98"/>
        <v>39.329999999999814</v>
      </c>
      <c r="AG26" s="16">
        <f t="shared" si="98"/>
        <v>-1151.7179999999987</v>
      </c>
      <c r="AH26" s="16">
        <f t="shared" si="98"/>
        <v>-318.94400000000002</v>
      </c>
      <c r="AI26" s="16">
        <f t="shared" si="98"/>
        <v>-603.9409999999998</v>
      </c>
      <c r="AJ26" s="16">
        <f t="shared" si="98"/>
        <v>-30.818999999999875</v>
      </c>
      <c r="AK26" s="16">
        <f t="shared" si="98"/>
        <v>1035.3099999999984</v>
      </c>
      <c r="AL26" s="16">
        <f t="shared" si="98"/>
        <v>2326.698999999996</v>
      </c>
      <c r="AM26" s="16">
        <f t="shared" si="98"/>
        <v>1400.9659999999992</v>
      </c>
      <c r="AN26" s="16">
        <f t="shared" si="98"/>
        <v>3224.0470000000005</v>
      </c>
      <c r="AO26" s="16">
        <f t="shared" si="98"/>
        <v>-1809.7740000000013</v>
      </c>
      <c r="AP26" s="16">
        <f t="shared" si="98"/>
        <v>-2641.3360000000021</v>
      </c>
      <c r="AQ26" s="16">
        <f t="shared" si="98"/>
        <v>1582.4739999999986</v>
      </c>
      <c r="AR26" s="16">
        <f t="shared" si="98"/>
        <v>4737.4229999999998</v>
      </c>
      <c r="AS26" s="16">
        <f t="shared" si="98"/>
        <v>3603.4720000000061</v>
      </c>
      <c r="AT26" s="16">
        <f t="shared" si="98"/>
        <v>1577.0389999999957</v>
      </c>
      <c r="AU26" s="16">
        <f t="shared" si="98"/>
        <v>3628.4950000000008</v>
      </c>
      <c r="AV26" s="16">
        <f t="shared" si="98"/>
        <v>1731.5579999999995</v>
      </c>
      <c r="AW26" s="16">
        <f t="shared" si="98"/>
        <v>1252.869999999999</v>
      </c>
      <c r="AX26" s="16">
        <f t="shared" si="98"/>
        <v>4352.2539999999954</v>
      </c>
      <c r="AY26" s="16">
        <f t="shared" si="98"/>
        <v>3458.2089999999989</v>
      </c>
      <c r="AZ26" s="16">
        <f t="shared" si="98"/>
        <v>958.46600000000149</v>
      </c>
      <c r="BA26" s="16">
        <f t="shared" si="98"/>
        <v>1898.9260000000031</v>
      </c>
      <c r="BB26" s="16">
        <f t="shared" si="98"/>
        <v>363.72599999997732</v>
      </c>
      <c r="BC26" s="16">
        <f t="shared" si="98"/>
        <v>3086.7570000000032</v>
      </c>
      <c r="BD26" s="16"/>
      <c r="BE26" s="16">
        <f>+BE19+BE22+BE23+BE24</f>
        <v>5011.0899999999992</v>
      </c>
      <c r="BF26" s="16">
        <f>+BF19+BF22+BF23+BF24</f>
        <v>2338.4450000000006</v>
      </c>
      <c r="BG26" s="16">
        <f>+BG19+BG22+BG23+BG24</f>
        <v>1670.0010000000025</v>
      </c>
      <c r="BH26" s="16">
        <f>+BH19+BH22+BH23+BH24</f>
        <v>5333.0380000000077</v>
      </c>
      <c r="BI26" s="16">
        <f>+BI19+BI22+BI23+BI24</f>
        <v>4525.6849999999986</v>
      </c>
      <c r="BJ26" s="16"/>
      <c r="BK26" s="16">
        <f>+BK19+BK22+BK23+BK24</f>
        <v>7650.5380000000005</v>
      </c>
      <c r="BL26" s="16">
        <f>+BL19+BL22+BL23+BL24</f>
        <v>4624.399999999996</v>
      </c>
      <c r="BM26" s="16"/>
      <c r="BN26" s="16">
        <f>+BN19+BN22+BN23+BN24</f>
        <v>9894.6649999999936</v>
      </c>
      <c r="BO26" s="16">
        <f>+BO19+BO22+BO23+BO24</f>
        <v>6870.3589999999931</v>
      </c>
      <c r="BP26" s="16"/>
      <c r="BQ26" s="16">
        <f>+BQ19+BQ22+BQ23</f>
        <v>371.92699999999996</v>
      </c>
      <c r="BR26" s="16">
        <f>+BR19+BR22+BR23</f>
        <v>607.63000000000011</v>
      </c>
      <c r="BS26" s="16">
        <f>+BS19+BS22+BS23</f>
        <v>396.40599999999984</v>
      </c>
    </row>
    <row r="27" spans="2:71">
      <c r="B27" s="11" t="s">
        <v>193</v>
      </c>
      <c r="C27" s="22">
        <v>-59.825029000000001</v>
      </c>
      <c r="D27" s="22">
        <v>-68.078999999999994</v>
      </c>
      <c r="E27" s="22">
        <v>-118.197</v>
      </c>
      <c r="F27" s="22">
        <v>-232.12299999999999</v>
      </c>
      <c r="G27" s="22">
        <v>-349.92899999999997</v>
      </c>
      <c r="H27" s="22">
        <v>-450.71100000000001</v>
      </c>
      <c r="I27" s="22">
        <v>-680.29399999999998</v>
      </c>
      <c r="J27" s="22">
        <v>-1300.7190000000001</v>
      </c>
      <c r="K27" s="22">
        <v>-1297.001</v>
      </c>
      <c r="L27" s="22">
        <v>-1872.5940000000001</v>
      </c>
      <c r="M27" s="22">
        <v>-628.22799999999995</v>
      </c>
      <c r="N27" s="22">
        <v>-822.30200000000002</v>
      </c>
      <c r="O27" s="22">
        <v>-1092.5260000000001</v>
      </c>
      <c r="P27" s="23">
        <f>SUM(BB27,BC27,AZ27,BA27)</f>
        <v>-1936.424</v>
      </c>
      <c r="R27" s="22">
        <v>-33.207999999999998</v>
      </c>
      <c r="S27" s="22">
        <v>-38.206000000000003</v>
      </c>
      <c r="T27" s="22">
        <v>-52.427999999999997</v>
      </c>
      <c r="U27" s="23">
        <f>E27-SUM(R27:T27)</f>
        <v>5.644999999999996</v>
      </c>
      <c r="V27" s="22">
        <v>-108.76900000000001</v>
      </c>
      <c r="W27" s="22">
        <v>-6.8239999999999998</v>
      </c>
      <c r="X27" s="22">
        <v>-82.959000000000003</v>
      </c>
      <c r="Y27" s="23">
        <f>F27-SUM(V27:X27)</f>
        <v>-33.57099999999997</v>
      </c>
      <c r="Z27" s="22">
        <v>-67.337999999999994</v>
      </c>
      <c r="AA27" s="22">
        <v>-134.06200000000001</v>
      </c>
      <c r="AB27" s="22">
        <v>-97.953000000000003</v>
      </c>
      <c r="AC27" s="23">
        <f>G27-SUM(Z27:AB27)</f>
        <v>-50.575999999999965</v>
      </c>
      <c r="AD27" s="22">
        <v>-133.12200000000001</v>
      </c>
      <c r="AE27" s="22">
        <v>-147.48099999999999</v>
      </c>
      <c r="AF27" s="22">
        <v>-16.48</v>
      </c>
      <c r="AG27" s="23">
        <f>H27-SUM(AD27:AF27)</f>
        <v>-153.62799999999999</v>
      </c>
      <c r="AH27" s="22">
        <v>-190.297</v>
      </c>
      <c r="AI27" s="22">
        <v>-173.977</v>
      </c>
      <c r="AJ27" s="22">
        <v>-203.89400000000001</v>
      </c>
      <c r="AK27" s="23">
        <f>I27-SUM(AH27:AJ27)</f>
        <v>-112.12599999999998</v>
      </c>
      <c r="AL27" s="23">
        <f>J27-SUM(AH27:AJ27)</f>
        <v>-732.55100000000004</v>
      </c>
      <c r="AM27" s="22">
        <v>-283.64699999999999</v>
      </c>
      <c r="AN27" s="22">
        <v>-489.11399999999998</v>
      </c>
      <c r="AO27" s="22">
        <v>-243.22300000000001</v>
      </c>
      <c r="AP27" s="22">
        <v>-417.827</v>
      </c>
      <c r="AQ27" s="22">
        <v>-317.87099999999998</v>
      </c>
      <c r="AR27" s="22">
        <v>-484.03</v>
      </c>
      <c r="AS27" s="23">
        <f>K27-SUM(AM27,AO27,AQ27)</f>
        <v>-452.26</v>
      </c>
      <c r="AT27" s="23">
        <f t="shared" ref="AT27:AT28" si="99">L27-SUM(AN27,AP27,AR27)</f>
        <v>-481.62300000000005</v>
      </c>
      <c r="AU27" s="22">
        <v>-204.02799999999999</v>
      </c>
      <c r="AV27" s="22">
        <v>-236.149</v>
      </c>
      <c r="AW27" s="22">
        <v>25.373000000000001</v>
      </c>
      <c r="AX27" s="23">
        <f>M27-SUM(AU27,AV27,AW27)</f>
        <v>-213.42399999999992</v>
      </c>
      <c r="AY27" s="22">
        <v>-287.036</v>
      </c>
      <c r="AZ27" s="22">
        <v>-23.193000000000001</v>
      </c>
      <c r="BA27" s="22">
        <v>-664.90800000000002</v>
      </c>
      <c r="BB27" s="23">
        <f t="shared" ref="BB27:BB28" si="100">O27-SUM(AY27,AZ27,BA27)</f>
        <v>-117.38900000000012</v>
      </c>
      <c r="BC27" s="22">
        <v>-1130.934</v>
      </c>
      <c r="BD27" s="22"/>
      <c r="BE27" s="22">
        <v>-281.77</v>
      </c>
      <c r="BF27" s="22">
        <v>-318.91500000000002</v>
      </c>
      <c r="BG27" s="22">
        <v>33.820999999999998</v>
      </c>
      <c r="BH27" s="23">
        <f t="shared" ref="BH27:BH28" si="101">N27-SUM(BE27,BF27,BG27)</f>
        <v>-255.4380000000001</v>
      </c>
      <c r="BI27" s="22">
        <v>-375.63799999999998</v>
      </c>
      <c r="BJ27" s="22"/>
      <c r="BK27" s="22">
        <v>-617.61099999999999</v>
      </c>
      <c r="BL27" s="22">
        <v>-327.47000000000003</v>
      </c>
      <c r="BM27" s="22"/>
      <c r="BN27" s="22">
        <v>-630.13800000000003</v>
      </c>
      <c r="BO27" s="22">
        <v>-1016.953</v>
      </c>
      <c r="BP27" s="22"/>
      <c r="BQ27" s="22">
        <v>-96.688999999999993</v>
      </c>
      <c r="BR27" s="22">
        <v>-133.12200000000001</v>
      </c>
      <c r="BS27" s="22">
        <v>-159.46600000000001</v>
      </c>
    </row>
    <row r="28" spans="2:71" s="7" customFormat="1" ht="12.75">
      <c r="B28" s="25" t="s">
        <v>194</v>
      </c>
      <c r="C28" s="22">
        <v>7.5608950000000004</v>
      </c>
      <c r="D28" s="22">
        <v>-10.676</v>
      </c>
      <c r="E28" s="22">
        <v>-67.721000000000004</v>
      </c>
      <c r="F28" s="22">
        <v>-28.393999999999998</v>
      </c>
      <c r="G28" s="22">
        <v>58.866999999999997</v>
      </c>
      <c r="H28" s="22">
        <v>358.82600000000002</v>
      </c>
      <c r="I28" s="22">
        <v>798.20799999999997</v>
      </c>
      <c r="J28" s="22">
        <v>1357.23</v>
      </c>
      <c r="K28" s="22">
        <v>742.62699999999995</v>
      </c>
      <c r="L28" s="22">
        <v>1072.1959999999999</v>
      </c>
      <c r="M28" s="22">
        <v>-2320.8429999999998</v>
      </c>
      <c r="N28" s="22">
        <v>-3037.8049999999998</v>
      </c>
      <c r="O28" s="22">
        <v>-380.589</v>
      </c>
      <c r="P28" s="23">
        <f>SUM(BB28,BC28,AZ28,BA28)</f>
        <v>90.842999999999961</v>
      </c>
      <c r="R28" s="22">
        <v>-10.452999999999999</v>
      </c>
      <c r="S28" s="22">
        <v>-29.117999999999999</v>
      </c>
      <c r="T28" s="22">
        <v>-4.8280000000000003</v>
      </c>
      <c r="U28" s="23">
        <f>E28-SUM(R28:T28)</f>
        <v>-23.322000000000003</v>
      </c>
      <c r="V28" s="22">
        <v>3.9420000000000002</v>
      </c>
      <c r="W28" s="22">
        <v>-8.0359999999999996</v>
      </c>
      <c r="X28" s="22">
        <v>14.256</v>
      </c>
      <c r="Y28" s="23">
        <f>F28-SUM(V28:X28)</f>
        <v>-38.555999999999997</v>
      </c>
      <c r="Z28" s="22">
        <v>93.774000000000001</v>
      </c>
      <c r="AA28" s="22">
        <v>-8.5440000000000005</v>
      </c>
      <c r="AB28" s="22">
        <v>5.45</v>
      </c>
      <c r="AC28" s="23">
        <f>G28-SUM(Z28:AB28)</f>
        <v>-31.813000000000009</v>
      </c>
      <c r="AD28" s="22">
        <v>9.4280000000000008</v>
      </c>
      <c r="AE28" s="22">
        <v>3.0409999999999999</v>
      </c>
      <c r="AF28" s="22">
        <v>10.353999999999999</v>
      </c>
      <c r="AG28" s="23">
        <f>H28-SUM(AD28:AF28)</f>
        <v>336.00300000000004</v>
      </c>
      <c r="AH28" s="22">
        <v>178.185</v>
      </c>
      <c r="AI28" s="22">
        <v>223.28299999999999</v>
      </c>
      <c r="AJ28" s="22">
        <v>134.61099999999999</v>
      </c>
      <c r="AK28" s="23">
        <f>I28-SUM(AH28:AJ28)</f>
        <v>262.12900000000002</v>
      </c>
      <c r="AL28" s="23">
        <f>J28-SUM(AH28:AJ28)</f>
        <v>821.15100000000007</v>
      </c>
      <c r="AM28" s="22">
        <v>36.124000000000002</v>
      </c>
      <c r="AN28" s="22">
        <v>-244.71899999999999</v>
      </c>
      <c r="AO28" s="22">
        <v>662.19500000000005</v>
      </c>
      <c r="AP28" s="22">
        <v>983.96299999999997</v>
      </c>
      <c r="AQ28" s="22">
        <v>371.46600000000001</v>
      </c>
      <c r="AR28" s="22">
        <v>-863.98900000000003</v>
      </c>
      <c r="AS28" s="23">
        <f>K28-SUM(AM28,AO28,AQ28)</f>
        <v>-327.15800000000013</v>
      </c>
      <c r="AT28" s="23">
        <f t="shared" si="99"/>
        <v>1196.941</v>
      </c>
      <c r="AU28" s="22">
        <v>-943.38400000000001</v>
      </c>
      <c r="AV28" s="22">
        <v>-160.934</v>
      </c>
      <c r="AW28" s="22">
        <v>-769.27099999999996</v>
      </c>
      <c r="AX28" s="23">
        <f>M28-SUM(AU28,AV28,AW28)</f>
        <v>-447.25399999999991</v>
      </c>
      <c r="AY28" s="22">
        <v>-592.12800000000004</v>
      </c>
      <c r="AZ28" s="22">
        <v>-179.09700000000001</v>
      </c>
      <c r="BA28" s="22">
        <v>-131.03700000000001</v>
      </c>
      <c r="BB28" s="23">
        <f t="shared" si="100"/>
        <v>521.673</v>
      </c>
      <c r="BC28" s="22">
        <v>-120.696</v>
      </c>
      <c r="BD28" s="22"/>
      <c r="BE28" s="22">
        <v>-1302.8489999999999</v>
      </c>
      <c r="BF28" s="22">
        <v>-217.339</v>
      </c>
      <c r="BG28" s="22">
        <v>-1025.3920000000001</v>
      </c>
      <c r="BH28" s="23">
        <f t="shared" si="101"/>
        <v>-492.22499999999991</v>
      </c>
      <c r="BI28" s="22">
        <v>-774.90499999999997</v>
      </c>
      <c r="BJ28" s="22"/>
      <c r="BK28" s="22">
        <v>-1598.4469999999999</v>
      </c>
      <c r="BL28" s="22">
        <v>-806.79200000000003</v>
      </c>
      <c r="BM28" s="22"/>
      <c r="BN28" s="22">
        <v>-2743.7919999999999</v>
      </c>
      <c r="BO28" s="22">
        <v>-998.37400000000002</v>
      </c>
      <c r="BP28" s="22"/>
      <c r="BQ28" s="22">
        <v>23.103999999999999</v>
      </c>
      <c r="BR28" s="22">
        <v>18.468</v>
      </c>
      <c r="BS28" s="22">
        <v>10.122999999999999</v>
      </c>
    </row>
    <row r="29" spans="2:71" s="7" customFormat="1" ht="12.75">
      <c r="B29" s="7" t="s">
        <v>195</v>
      </c>
      <c r="C29" s="16">
        <f t="shared" ref="C29:G29" si="102">+C26+C27+C28</f>
        <v>284.29641599999974</v>
      </c>
      <c r="D29" s="16">
        <f t="shared" si="102"/>
        <v>444.99700000000018</v>
      </c>
      <c r="E29" s="16">
        <f t="shared" si="102"/>
        <v>787.6209999999993</v>
      </c>
      <c r="F29" s="16">
        <f t="shared" si="102"/>
        <v>1102.425</v>
      </c>
      <c r="G29" s="16">
        <f t="shared" si="102"/>
        <v>1203.5850000000003</v>
      </c>
      <c r="H29" s="16">
        <f t="shared" ref="H29:I29" si="103">+H26+H27+H28</f>
        <v>-162.41900000000055</v>
      </c>
      <c r="I29" s="16">
        <f t="shared" si="103"/>
        <v>199.52000000000055</v>
      </c>
      <c r="J29" s="16">
        <f t="shared" ref="J29" si="104">+J26+J27+J28</f>
        <v>1429.5060000000008</v>
      </c>
      <c r="K29" s="16">
        <f t="shared" ref="K29" si="105">+K26+K27+K28</f>
        <v>4222.7640000000083</v>
      </c>
      <c r="L29" s="16">
        <f t="shared" ref="L29:M29" si="106">+L26+L27+L28</f>
        <v>6096.7749999999978</v>
      </c>
      <c r="M29" s="16">
        <f t="shared" si="106"/>
        <v>8016.1059999999934</v>
      </c>
      <c r="N29" s="16">
        <f t="shared" ref="N29:O29" si="107">+N26+N27+N28</f>
        <v>10492.467000000013</v>
      </c>
      <c r="O29" s="16">
        <f t="shared" si="107"/>
        <v>5206.2119999999959</v>
      </c>
      <c r="P29" s="16">
        <f>+P26+P27+P28</f>
        <v>4462.293999999978</v>
      </c>
      <c r="R29" s="16">
        <f>+R26+R27+R28</f>
        <v>152.27700000000007</v>
      </c>
      <c r="S29" s="16">
        <f>+S26+S27+S28</f>
        <v>235.68399999999997</v>
      </c>
      <c r="T29" s="16">
        <f>+T26+T27+T28</f>
        <v>256.69499999999999</v>
      </c>
      <c r="U29" s="16">
        <f t="shared" ref="U29:Y29" si="108">+U26+U27+U28</f>
        <v>142.96500000000003</v>
      </c>
      <c r="V29" s="16">
        <f t="shared" si="108"/>
        <v>399.4459999999998</v>
      </c>
      <c r="W29" s="16">
        <f t="shared" si="108"/>
        <v>145.93399999999988</v>
      </c>
      <c r="X29" s="16">
        <f t="shared" si="108"/>
        <v>272.76599999999996</v>
      </c>
      <c r="Y29" s="16">
        <f t="shared" si="108"/>
        <v>284.27899999999977</v>
      </c>
      <c r="Z29" s="16">
        <f>+Z26+Z27+Z28</f>
        <v>-44.142999999999773</v>
      </c>
      <c r="AA29" s="16">
        <f>+AA26+AA27+AA28</f>
        <v>539.47399999999993</v>
      </c>
      <c r="AB29" s="16">
        <f>+AB26+AB27+AB28</f>
        <v>373.4819999999998</v>
      </c>
      <c r="AC29" s="16">
        <f t="shared" ref="AC29" si="109">+AC26+AC27+AC28</f>
        <v>334.77200000000062</v>
      </c>
      <c r="AD29" s="16">
        <f>+AD26+AD27+AD28</f>
        <v>541.12399999999968</v>
      </c>
      <c r="AE29" s="16">
        <f>+AE26+AE27+AE28</f>
        <v>232.59600000000012</v>
      </c>
      <c r="AF29" s="16">
        <f>+AF26+AF27+AF28</f>
        <v>33.203999999999809</v>
      </c>
      <c r="AG29" s="16">
        <f t="shared" ref="AG29" si="110">+AG26+AG27+AG28</f>
        <v>-969.3429999999986</v>
      </c>
      <c r="AH29" s="16">
        <f>+AH26+AH27+AH28</f>
        <v>-331.05599999999998</v>
      </c>
      <c r="AI29" s="16">
        <f>+AI26+AI27+AI28</f>
        <v>-554.63499999999976</v>
      </c>
      <c r="AJ29" s="16">
        <f>+AJ26+AJ27+AJ28</f>
        <v>-100.10199999999989</v>
      </c>
      <c r="AK29" s="16">
        <f t="shared" ref="AK29:AL29" si="111">+AK26+AK27+AK28</f>
        <v>1185.3129999999983</v>
      </c>
      <c r="AL29" s="16">
        <f t="shared" si="111"/>
        <v>2415.2989999999963</v>
      </c>
      <c r="AM29" s="16">
        <f t="shared" ref="AM29:AR29" si="112">+AM26+AM27+AM28</f>
        <v>1153.4429999999993</v>
      </c>
      <c r="AN29" s="16">
        <f t="shared" si="112"/>
        <v>2490.2140000000004</v>
      </c>
      <c r="AO29" s="16">
        <f t="shared" si="112"/>
        <v>-1390.802000000001</v>
      </c>
      <c r="AP29" s="16">
        <f t="shared" si="112"/>
        <v>-2075.2000000000025</v>
      </c>
      <c r="AQ29" s="16">
        <f t="shared" si="112"/>
        <v>1636.0689999999986</v>
      </c>
      <c r="AR29" s="16">
        <f t="shared" si="112"/>
        <v>3389.404</v>
      </c>
      <c r="AS29" s="16">
        <f t="shared" ref="AS29:AT29" si="113">+AS26+AS27+AS28</f>
        <v>2824.0540000000055</v>
      </c>
      <c r="AT29" s="16">
        <f t="shared" si="113"/>
        <v>2292.3569999999954</v>
      </c>
      <c r="AU29" s="16">
        <f>+AU26+AU27+AU28</f>
        <v>2481.083000000001</v>
      </c>
      <c r="AV29" s="16">
        <f>+AV26+AV27+AV28</f>
        <v>1334.4749999999997</v>
      </c>
      <c r="AW29" s="16">
        <f>+AW26+AW27+AW28</f>
        <v>508.97199999999907</v>
      </c>
      <c r="AX29" s="16">
        <f t="shared" ref="AX29" si="114">+AX26+AX27+AX28</f>
        <v>3691.5759999999955</v>
      </c>
      <c r="AY29" s="16">
        <f>+AY26+AY27+AY28</f>
        <v>2579.0449999999987</v>
      </c>
      <c r="AZ29" s="16">
        <f>+AZ26+AZ27+AZ28</f>
        <v>756.17600000000152</v>
      </c>
      <c r="BA29" s="16">
        <f>+BA26+BA27+BA28</f>
        <v>1102.9810000000032</v>
      </c>
      <c r="BB29" s="16">
        <f t="shared" ref="BB29" si="115">+BB26+BB27+BB28</f>
        <v>768.00999999997725</v>
      </c>
      <c r="BC29" s="16">
        <f>+BC26+BC27+BC28</f>
        <v>1835.1270000000034</v>
      </c>
      <c r="BD29" s="16"/>
      <c r="BE29" s="16">
        <f>+BE26+BE27+BE28</f>
        <v>3426.4709999999995</v>
      </c>
      <c r="BF29" s="16">
        <f>+BF26+BF27+BF28</f>
        <v>1802.1910000000007</v>
      </c>
      <c r="BG29" s="16">
        <f>+BG26+BG27+BG28</f>
        <v>678.43000000000234</v>
      </c>
      <c r="BH29" s="16">
        <f>+BH26+BH27+BH28</f>
        <v>4585.3750000000073</v>
      </c>
      <c r="BI29" s="16">
        <f>+BI26+BI27+BI28</f>
        <v>3375.1419999999989</v>
      </c>
      <c r="BJ29" s="16"/>
      <c r="BK29" s="16">
        <f>+BK26+BK27+BK28</f>
        <v>5434.4800000000005</v>
      </c>
      <c r="BL29" s="16">
        <f>+BL26+BL27+BL28</f>
        <v>3490.1379999999958</v>
      </c>
      <c r="BM29" s="16"/>
      <c r="BN29" s="16">
        <f>+BN26+BN27+BN28</f>
        <v>6520.7349999999933</v>
      </c>
      <c r="BO29" s="16">
        <f>+BO26+BO27+BO28</f>
        <v>4855.0319999999938</v>
      </c>
      <c r="BP29" s="16"/>
      <c r="BQ29" s="16">
        <f>+BQ26+BQ27+BQ28</f>
        <v>298.34199999999993</v>
      </c>
      <c r="BR29" s="16">
        <f>+BR26+BR27+BR28</f>
        <v>492.97600000000011</v>
      </c>
      <c r="BS29" s="16">
        <f>+BS26+BS27+BS28</f>
        <v>247.06299999999982</v>
      </c>
    </row>
    <row r="30" spans="2:71" s="17" customFormat="1" ht="12.75">
      <c r="B30" s="18" t="s">
        <v>188</v>
      </c>
      <c r="C30" s="19">
        <f t="shared" ref="C30:P30" si="116">+C29/C7</f>
        <v>6.7790101571659309E-2</v>
      </c>
      <c r="D30" s="19">
        <f t="shared" si="116"/>
        <v>9.2214972994300495E-2</v>
      </c>
      <c r="E30" s="21">
        <f t="shared" si="116"/>
        <v>0.13225085080903246</v>
      </c>
      <c r="F30" s="21">
        <f t="shared" si="116"/>
        <v>0.14128002645095808</v>
      </c>
      <c r="G30" s="21">
        <f t="shared" si="116"/>
        <v>0.12802923051409867</v>
      </c>
      <c r="H30" s="21">
        <f t="shared" si="116"/>
        <v>-1.2955090020961863E-2</v>
      </c>
      <c r="I30" s="21">
        <f t="shared" si="116"/>
        <v>7.0759684584592222E-3</v>
      </c>
      <c r="J30" s="21">
        <f t="shared" si="116"/>
        <v>2.7500438235294584E-2</v>
      </c>
      <c r="K30" s="21">
        <f t="shared" si="116"/>
        <v>7.5627790967860903E-2</v>
      </c>
      <c r="L30" s="21">
        <f t="shared" si="116"/>
        <v>7.5627794017961825E-2</v>
      </c>
      <c r="M30" s="21">
        <f t="shared" si="116"/>
        <v>9.5318732542074569E-2</v>
      </c>
      <c r="N30" s="21">
        <f t="shared" si="116"/>
        <v>9.5318725289615963E-2</v>
      </c>
      <c r="O30" s="21">
        <f t="shared" si="116"/>
        <v>4.6523663490833554E-2</v>
      </c>
      <c r="P30" s="20">
        <f t="shared" si="116"/>
        <v>3.7546004392727532E-2</v>
      </c>
      <c r="R30" s="21">
        <f t="shared" ref="R30:BC30" si="117">+R29/R7</f>
        <v>0.10817509536900885</v>
      </c>
      <c r="S30" s="21">
        <f t="shared" si="117"/>
        <v>0.17960037157015823</v>
      </c>
      <c r="T30" s="21">
        <f t="shared" si="117"/>
        <v>0.17854882261208035</v>
      </c>
      <c r="U30" s="24">
        <f t="shared" si="117"/>
        <v>7.9518876451366211E-2</v>
      </c>
      <c r="V30" s="21">
        <f t="shared" si="117"/>
        <v>0.20564982804423476</v>
      </c>
      <c r="W30" s="21">
        <f t="shared" si="117"/>
        <v>8.0161582160485689E-2</v>
      </c>
      <c r="X30" s="21">
        <f t="shared" si="117"/>
        <v>0.14408362117553716</v>
      </c>
      <c r="Y30" s="21">
        <f t="shared" si="117"/>
        <v>0.13239811042808775</v>
      </c>
      <c r="Z30" s="21">
        <f t="shared" si="117"/>
        <v>-1.8577718521660791E-2</v>
      </c>
      <c r="AA30" s="21">
        <f t="shared" si="117"/>
        <v>0.2515451303971154</v>
      </c>
      <c r="AB30" s="21">
        <f t="shared" si="117"/>
        <v>0.16757096534949981</v>
      </c>
      <c r="AC30" s="21">
        <f t="shared" si="117"/>
        <v>0.12626735236931405</v>
      </c>
      <c r="AD30" s="21">
        <f t="shared" si="117"/>
        <v>0.20118542070835235</v>
      </c>
      <c r="AE30" s="21">
        <f t="shared" si="117"/>
        <v>9.1486208393905685E-2</v>
      </c>
      <c r="AF30" s="21">
        <f t="shared" si="117"/>
        <v>1.1156759459338614E-2</v>
      </c>
      <c r="AG30" s="21">
        <f t="shared" si="117"/>
        <v>-0.22392606078330643</v>
      </c>
      <c r="AH30" s="21">
        <f t="shared" si="117"/>
        <v>-5.6244476316586182E-2</v>
      </c>
      <c r="AI30" s="21">
        <f t="shared" si="117"/>
        <v>-9.2577384702026741E-2</v>
      </c>
      <c r="AJ30" s="21">
        <f t="shared" si="117"/>
        <v>-1.3709184833370296E-2</v>
      </c>
      <c r="AK30" s="21">
        <f t="shared" si="117"/>
        <v>0.13143904829103922</v>
      </c>
      <c r="AL30" s="21">
        <f t="shared" si="117"/>
        <v>7.3631938562409252E-2</v>
      </c>
      <c r="AM30" s="21">
        <f t="shared" si="117"/>
        <v>0.11406950484169114</v>
      </c>
      <c r="AN30" s="21">
        <f t="shared" si="117"/>
        <v>0.14355420622354892</v>
      </c>
      <c r="AO30" s="21">
        <f t="shared" si="117"/>
        <v>-0.14621776154259739</v>
      </c>
      <c r="AP30" s="21">
        <f t="shared" si="117"/>
        <v>-0.12656982538036071</v>
      </c>
      <c r="AQ30" s="21">
        <f t="shared" si="117"/>
        <v>0.13184983807169515</v>
      </c>
      <c r="AR30" s="21">
        <f t="shared" si="117"/>
        <v>0.19031538727344416</v>
      </c>
      <c r="AS30" s="21">
        <f t="shared" si="117"/>
        <v>0.11863802621354551</v>
      </c>
      <c r="AT30" s="21">
        <f t="shared" si="117"/>
        <v>7.8873868945257095E-2</v>
      </c>
      <c r="AU30" s="21">
        <f t="shared" si="117"/>
        <v>0.12657982251459832</v>
      </c>
      <c r="AV30" s="21">
        <f t="shared" si="117"/>
        <v>8.7167438886446277E-2</v>
      </c>
      <c r="AW30" s="21">
        <f t="shared" si="117"/>
        <v>2.797101955029024E-2</v>
      </c>
      <c r="AX30" s="21">
        <f t="shared" si="117"/>
        <v>0.1191167645513224</v>
      </c>
      <c r="AY30" s="21">
        <f t="shared" si="117"/>
        <v>9.5653685846064304E-2</v>
      </c>
      <c r="AZ30" s="21">
        <f t="shared" si="117"/>
        <v>3.2794966190231215E-2</v>
      </c>
      <c r="BA30" s="21">
        <f t="shared" si="117"/>
        <v>4.3405423913998764E-2</v>
      </c>
      <c r="BB30" s="21">
        <f t="shared" si="117"/>
        <v>2.1056677201996037E-2</v>
      </c>
      <c r="BC30" s="21">
        <f t="shared" si="117"/>
        <v>5.4123288329369926E-2</v>
      </c>
      <c r="BD30" s="43"/>
      <c r="BE30" s="21">
        <f>+BE29/BE7</f>
        <v>0.12657983705215467</v>
      </c>
      <c r="BF30" s="21">
        <f>+BF29/BF7</f>
        <v>8.7167460788352441E-2</v>
      </c>
      <c r="BG30" s="21">
        <f>+BG29/BG7</f>
        <v>2.7971052889586359E-2</v>
      </c>
      <c r="BH30" s="21">
        <f>+BH29/BH7</f>
        <v>0.12041961635583284</v>
      </c>
      <c r="BI30" s="21">
        <f>+BI29/BI7</f>
        <v>9.5653704061478093E-2</v>
      </c>
      <c r="BJ30" s="43"/>
      <c r="BK30" s="21">
        <f>+BK29/BK7</f>
        <v>0.11007503967334138</v>
      </c>
      <c r="BL30" s="21">
        <f>+BL29/BL7</f>
        <v>6.7586526165321292E-2</v>
      </c>
      <c r="BM30" s="43"/>
      <c r="BN30" s="21">
        <f>+BN29/BN7</f>
        <v>8.4323083582417163E-2</v>
      </c>
      <c r="BO30" s="21">
        <f>+BO29/BO7</f>
        <v>5.9993538534596665E-2</v>
      </c>
      <c r="BP30" s="43"/>
      <c r="BQ30" s="21">
        <f>+BQ29/BQ7</f>
        <v>0.13021438921768883</v>
      </c>
      <c r="BR30" s="21">
        <f>+BR29/BR7</f>
        <v>0.17709016986755671</v>
      </c>
      <c r="BS30" s="21">
        <f>+BS29/BS7</f>
        <v>9.2913416623198977E-2</v>
      </c>
    </row>
    <row r="31" spans="2:71" s="7" customFormat="1" ht="12.75">
      <c r="B31" s="7" t="s">
        <v>196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</row>
    <row r="32" spans="2:71" s="7" customFormat="1" ht="12.75">
      <c r="B32" s="7" t="s">
        <v>197</v>
      </c>
      <c r="C32" s="22">
        <v>272.66325000000001</v>
      </c>
      <c r="D32" s="22">
        <v>397.25900000000001</v>
      </c>
      <c r="E32" s="22">
        <v>700.779</v>
      </c>
      <c r="F32" s="22">
        <v>996.50300000000004</v>
      </c>
      <c r="G32" s="22">
        <v>1016.415</v>
      </c>
      <c r="H32" s="22">
        <v>-464.33199999999999</v>
      </c>
      <c r="I32" s="22">
        <v>-353.101</v>
      </c>
      <c r="J32" s="22">
        <f>J29-J33</f>
        <v>984.7930000000008</v>
      </c>
      <c r="K32" s="22">
        <f>K29-K33</f>
        <v>3378.8780000000083</v>
      </c>
      <c r="L32" s="22">
        <f>L29-L33</f>
        <v>4878.382999999998</v>
      </c>
      <c r="M32" s="22">
        <f>M29-M33</f>
        <v>7400.5179999999937</v>
      </c>
      <c r="N32" s="22">
        <v>9686.7099999999991</v>
      </c>
      <c r="O32" s="22">
        <v>4874.5230000000001</v>
      </c>
      <c r="P32" s="23">
        <f>SUM(BB32,BC32,AZ32,BA32)</f>
        <v>4046.8430000000003</v>
      </c>
      <c r="R32" s="22">
        <v>133.17699999999999</v>
      </c>
      <c r="S32" s="22">
        <v>218.04599999999999</v>
      </c>
      <c r="T32" s="22">
        <v>220.839</v>
      </c>
      <c r="U32" s="23">
        <f>E32-SUM(R32:T32)</f>
        <v>128.7170000000001</v>
      </c>
      <c r="V32" s="22">
        <v>365.476</v>
      </c>
      <c r="W32" s="22">
        <v>121.733</v>
      </c>
      <c r="X32" s="22">
        <v>253.51400000000001</v>
      </c>
      <c r="Y32" s="23">
        <f>F32-SUM(V32:X32)</f>
        <v>255.78000000000009</v>
      </c>
      <c r="Z32" s="22">
        <v>-98.292000000000002</v>
      </c>
      <c r="AA32" s="22">
        <v>35.030999999999999</v>
      </c>
      <c r="AB32" s="22">
        <v>323.22399999999999</v>
      </c>
      <c r="AC32" s="23">
        <f>G32-SUM(Z32:AB32)</f>
        <v>756.452</v>
      </c>
      <c r="AD32" s="22">
        <v>479.29399999999998</v>
      </c>
      <c r="AE32" s="22">
        <v>26.012</v>
      </c>
      <c r="AF32" s="22">
        <v>2.4569999999999999</v>
      </c>
      <c r="AG32" s="23">
        <f>H32-SUM(AD32:AF32)</f>
        <v>-972.09500000000003</v>
      </c>
      <c r="AH32" s="22">
        <v>-470.70499999999998</v>
      </c>
      <c r="AI32" s="22">
        <v>-648.63499999999999</v>
      </c>
      <c r="AJ32" s="22">
        <v>-217.078</v>
      </c>
      <c r="AK32" s="23">
        <f>I32-SUM(AH32:AJ32)</f>
        <v>983.31699999999989</v>
      </c>
      <c r="AL32" s="23">
        <f>J32-SUM(AH32:AJ32)</f>
        <v>2321.2110000000007</v>
      </c>
      <c r="AM32" s="22">
        <v>895.64700000000005</v>
      </c>
      <c r="AN32" s="22">
        <v>2225.8530000000001</v>
      </c>
      <c r="AO32" s="22">
        <v>-1692.3979999999999</v>
      </c>
      <c r="AP32" s="22">
        <v>-2471.3809999999999</v>
      </c>
      <c r="AQ32" s="22">
        <v>1456.056</v>
      </c>
      <c r="AR32" s="22">
        <v>3052.4029999999998</v>
      </c>
      <c r="AS32" s="23">
        <f>K32-SUM(AM32,AO32,AQ32)</f>
        <v>2719.5730000000081</v>
      </c>
      <c r="AT32" s="23">
        <f t="shared" ref="AT32:AT33" si="118">L32-SUM(AN32,AP32,AR32)</f>
        <v>2071.507999999998</v>
      </c>
      <c r="AU32" s="22">
        <v>2167.3069999999998</v>
      </c>
      <c r="AV32" s="22">
        <v>1260.3489999999999</v>
      </c>
      <c r="AW32" s="22">
        <v>470.48</v>
      </c>
      <c r="AX32" s="23">
        <f>M32-SUM(AU32,AV32,AW32)</f>
        <v>3502.3819999999937</v>
      </c>
      <c r="AY32" s="22">
        <v>2413.3679999999999</v>
      </c>
      <c r="AZ32" s="22">
        <v>721.58100000000002</v>
      </c>
      <c r="BA32" s="22">
        <v>1067.4659999999999</v>
      </c>
      <c r="BB32" s="23">
        <f>O32-SUM(AY32,AZ32,BA32)</f>
        <v>672.10800000000017</v>
      </c>
      <c r="BC32" s="22">
        <v>1585.6880000000001</v>
      </c>
      <c r="BD32" s="22"/>
      <c r="BE32" s="22">
        <v>2993.134</v>
      </c>
      <c r="BF32" s="22">
        <v>1702.0840000000001</v>
      </c>
      <c r="BG32" s="22">
        <v>627.12199999999996</v>
      </c>
      <c r="BH32" s="23">
        <f>N32-SUM(BE32,BF32,BG32)</f>
        <v>4364.369999999999</v>
      </c>
      <c r="BI32" s="22">
        <v>3158.3229999999999</v>
      </c>
      <c r="BJ32" s="22"/>
      <c r="BK32" s="22">
        <v>4875.0079999999998</v>
      </c>
      <c r="BL32" s="22">
        <v>3279.913</v>
      </c>
      <c r="BM32" s="22"/>
      <c r="BN32" s="22">
        <v>5867.97</v>
      </c>
      <c r="BO32" s="22">
        <v>4593.5159999999996</v>
      </c>
      <c r="BP32" s="22"/>
      <c r="BQ32" s="22">
        <v>248.084</v>
      </c>
      <c r="BR32" s="22">
        <v>431.14800000000002</v>
      </c>
      <c r="BS32" s="22">
        <v>221.05</v>
      </c>
    </row>
    <row r="33" spans="2:71" s="7" customFormat="1" ht="12.75">
      <c r="B33" s="7" t="s">
        <v>198</v>
      </c>
      <c r="C33" s="22">
        <v>11.633165999999999</v>
      </c>
      <c r="D33" s="22">
        <v>47.738</v>
      </c>
      <c r="E33" s="22">
        <v>86.841999999999999</v>
      </c>
      <c r="F33" s="22">
        <v>105.922</v>
      </c>
      <c r="G33" s="22">
        <v>187.17</v>
      </c>
      <c r="H33" s="22">
        <v>301.91300000000001</v>
      </c>
      <c r="I33" s="22">
        <v>552.62099999999998</v>
      </c>
      <c r="J33" s="22">
        <v>444.71300000000002</v>
      </c>
      <c r="K33" s="22">
        <v>843.88599999999997</v>
      </c>
      <c r="L33" s="22">
        <v>1218.3920000000001</v>
      </c>
      <c r="M33" s="22">
        <v>615.58799999999997</v>
      </c>
      <c r="N33" s="22">
        <v>805.75699999999995</v>
      </c>
      <c r="O33" s="22">
        <v>331.68900000000002</v>
      </c>
      <c r="P33" s="23">
        <f>SUM(BB33,BC33,AZ33,BA33)</f>
        <v>415.45100000000002</v>
      </c>
      <c r="R33" s="22">
        <v>19.100000000000001</v>
      </c>
      <c r="S33" s="22">
        <v>17.638000000000002</v>
      </c>
      <c r="T33" s="22">
        <v>35.856000000000002</v>
      </c>
      <c r="U33" s="23">
        <f>E33-SUM(R33:T33)</f>
        <v>14.248000000000005</v>
      </c>
      <c r="V33" s="22">
        <v>33.97</v>
      </c>
      <c r="W33" s="22">
        <v>24.201000000000001</v>
      </c>
      <c r="X33" s="22">
        <v>19.251999999999999</v>
      </c>
      <c r="Y33" s="23">
        <f>F33-SUM(V33:X33)</f>
        <v>28.498999999999995</v>
      </c>
      <c r="Z33" s="22">
        <v>54.149000000000001</v>
      </c>
      <c r="AA33" s="22">
        <v>504.44299999999998</v>
      </c>
      <c r="AB33" s="22">
        <v>50.258000000000003</v>
      </c>
      <c r="AC33" s="23">
        <f>G33-SUM(Z33:AB33)</f>
        <v>-421.68000000000006</v>
      </c>
      <c r="AD33" s="22">
        <v>61.83</v>
      </c>
      <c r="AE33" s="22">
        <v>206.584</v>
      </c>
      <c r="AF33" s="22">
        <v>30.747</v>
      </c>
      <c r="AG33" s="23">
        <f>H33-SUM(AD33:AF33)</f>
        <v>2.7520000000000095</v>
      </c>
      <c r="AH33" s="22">
        <v>139.649</v>
      </c>
      <c r="AI33" s="22">
        <v>94</v>
      </c>
      <c r="AJ33" s="22">
        <v>116.976</v>
      </c>
      <c r="AK33" s="23">
        <f>I33-SUM(AH33:AJ33)</f>
        <v>201.99599999999998</v>
      </c>
      <c r="AL33" s="23">
        <f>J33-SUM(AH33:AJ33)</f>
        <v>94.088000000000022</v>
      </c>
      <c r="AM33" s="22">
        <v>257.79599999999999</v>
      </c>
      <c r="AN33" s="22">
        <v>264.36099999999999</v>
      </c>
      <c r="AO33" s="22">
        <v>301.596</v>
      </c>
      <c r="AP33" s="22">
        <v>396.18099999999998</v>
      </c>
      <c r="AQ33" s="22">
        <v>180.01300000000001</v>
      </c>
      <c r="AR33" s="22">
        <v>337.00099999999998</v>
      </c>
      <c r="AS33" s="23">
        <f>K33-SUM(AM33,AO33,AQ33)</f>
        <v>104.48099999999988</v>
      </c>
      <c r="AT33" s="23">
        <f t="shared" si="118"/>
        <v>220.84900000000016</v>
      </c>
      <c r="AU33" s="22">
        <v>313.77600000000001</v>
      </c>
      <c r="AV33" s="22">
        <v>74.126000000000005</v>
      </c>
      <c r="AW33" s="22">
        <v>38.491999999999997</v>
      </c>
      <c r="AX33" s="23">
        <f>M33-SUM(AU33,AV33,AW33)</f>
        <v>189.1939999999999</v>
      </c>
      <c r="AY33" s="22">
        <v>165.67699999999999</v>
      </c>
      <c r="AZ33" s="22">
        <v>34.594999999999999</v>
      </c>
      <c r="BA33" s="22">
        <v>35.515000000000001</v>
      </c>
      <c r="BB33" s="23">
        <f>O33-SUM(AY33,AZ33,BA33)</f>
        <v>95.902000000000044</v>
      </c>
      <c r="BC33" s="22">
        <v>249.43899999999999</v>
      </c>
      <c r="BD33" s="22"/>
      <c r="BE33" s="22">
        <v>433.33699999999999</v>
      </c>
      <c r="BF33" s="22">
        <v>100.107</v>
      </c>
      <c r="BG33" s="22">
        <v>51.308</v>
      </c>
      <c r="BH33" s="23">
        <f>N33-SUM(BE33,BF33,BG33)</f>
        <v>221.005</v>
      </c>
      <c r="BI33" s="22">
        <v>216.81899999999999</v>
      </c>
      <c r="BJ33" s="22"/>
      <c r="BK33" s="22">
        <v>559.47199999999998</v>
      </c>
      <c r="BL33" s="22">
        <v>210.22499999999999</v>
      </c>
      <c r="BM33" s="22"/>
      <c r="BN33" s="22">
        <v>652.76499999999999</v>
      </c>
      <c r="BO33" s="22">
        <v>261.51600000000002</v>
      </c>
      <c r="BP33" s="22"/>
      <c r="BQ33" s="22">
        <v>50.258000000000003</v>
      </c>
      <c r="BR33" s="22">
        <v>61.828000000000003</v>
      </c>
      <c r="BS33" s="22">
        <v>26.013000000000002</v>
      </c>
    </row>
    <row r="34" spans="2:71" s="7" customFormat="1" ht="12.75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R34" s="22"/>
      <c r="S34" s="22"/>
      <c r="T34" s="22"/>
      <c r="U34" s="23"/>
      <c r="V34" s="22"/>
      <c r="W34" s="22"/>
      <c r="X34" s="22"/>
      <c r="Y34" s="23"/>
      <c r="Z34" s="22"/>
      <c r="AA34" s="22"/>
      <c r="AB34" s="22"/>
      <c r="AC34" s="23"/>
      <c r="AD34" s="22"/>
      <c r="AE34" s="22"/>
      <c r="AF34" s="22"/>
      <c r="AG34" s="23"/>
      <c r="AH34" s="22"/>
      <c r="AI34" s="22"/>
      <c r="AJ34" s="22"/>
      <c r="AK34" s="23"/>
      <c r="AL34" s="23"/>
      <c r="AM34" s="22"/>
      <c r="AN34" s="22"/>
      <c r="AO34" s="22"/>
      <c r="AP34" s="22"/>
      <c r="AQ34" s="22"/>
      <c r="AR34" s="22"/>
      <c r="AS34" s="23"/>
      <c r="AT34" s="23"/>
      <c r="AU34" s="22"/>
      <c r="AV34" s="22"/>
      <c r="AW34" s="22"/>
      <c r="AX34" s="23"/>
      <c r="AY34" s="22"/>
      <c r="AZ34" s="22"/>
      <c r="BA34" s="22"/>
      <c r="BB34" s="23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</row>
    <row r="35" spans="2:71" s="73" customFormat="1" ht="12.75">
      <c r="B35" s="73" t="s">
        <v>199</v>
      </c>
      <c r="C35" s="74">
        <f t="shared" ref="C35:E35" si="119">+C29-C32-C33</f>
        <v>-2.6645352591003757E-13</v>
      </c>
      <c r="D35" s="74">
        <f t="shared" si="119"/>
        <v>1.7053025658242404E-13</v>
      </c>
      <c r="E35" s="74">
        <f t="shared" si="119"/>
        <v>-6.9633188104489818E-13</v>
      </c>
      <c r="F35" s="74">
        <f t="shared" ref="F35:U35" si="120">+F29-F32-F33</f>
        <v>0</v>
      </c>
      <c r="G35" s="74">
        <f t="shared" si="120"/>
        <v>3.1263880373444408E-13</v>
      </c>
      <c r="H35" s="74">
        <f t="shared" si="120"/>
        <v>-5.6843418860808015E-13</v>
      </c>
      <c r="I35" s="74">
        <f t="shared" ref="I35:K35" si="121">+I29-I32-I33</f>
        <v>0</v>
      </c>
      <c r="J35" s="74">
        <f t="shared" ref="J35" si="122">+J29-J32-J33</f>
        <v>0</v>
      </c>
      <c r="K35" s="74">
        <f t="shared" si="121"/>
        <v>0</v>
      </c>
      <c r="L35" s="74">
        <f t="shared" ref="L35:M35" si="123">+L29-L32-L33</f>
        <v>0</v>
      </c>
      <c r="M35" s="74">
        <f t="shared" si="123"/>
        <v>0</v>
      </c>
      <c r="N35" s="74">
        <f t="shared" ref="N35:O35" si="124">+N29-N32-N33</f>
        <v>1.4210854715202004E-11</v>
      </c>
      <c r="O35" s="306">
        <f t="shared" si="124"/>
        <v>-4.2632564145606011E-12</v>
      </c>
      <c r="P35" s="74">
        <f>+P29-P32-P33</f>
        <v>-2.2282620193436742E-11</v>
      </c>
      <c r="Q35" s="7"/>
      <c r="R35" s="74">
        <f t="shared" si="120"/>
        <v>7.815970093361102E-14</v>
      </c>
      <c r="S35" s="74">
        <f t="shared" si="120"/>
        <v>0</v>
      </c>
      <c r="T35" s="74">
        <f t="shared" si="120"/>
        <v>0</v>
      </c>
      <c r="U35" s="74">
        <f t="shared" si="120"/>
        <v>-7.1054273576010019E-14</v>
      </c>
      <c r="V35" s="74">
        <f t="shared" ref="V35:X35" si="125">+V29-V32-V33</f>
        <v>-1.9895196601282805E-13</v>
      </c>
      <c r="W35" s="74">
        <f t="shared" si="125"/>
        <v>-1.2079226507921703E-13</v>
      </c>
      <c r="X35" s="74">
        <f t="shared" si="125"/>
        <v>-4.6185277824406512E-14</v>
      </c>
      <c r="Y35" s="74">
        <f t="shared" ref="Y35:AB35" si="126">+Y29-Y32-Y33</f>
        <v>-3.1263880373444408E-13</v>
      </c>
      <c r="Z35" s="74">
        <f t="shared" si="126"/>
        <v>2.2737367544323206E-13</v>
      </c>
      <c r="AA35" s="74">
        <f t="shared" si="126"/>
        <v>0</v>
      </c>
      <c r="AB35" s="74">
        <f t="shared" si="126"/>
        <v>-1.9184653865522705E-13</v>
      </c>
      <c r="AC35" s="74">
        <f t="shared" ref="AC35:AD35" si="127">+AC29-AC32-AC33</f>
        <v>6.8212102632969618E-13</v>
      </c>
      <c r="AD35" s="74">
        <f t="shared" si="127"/>
        <v>-2.9842794901924208E-13</v>
      </c>
      <c r="AE35" s="74">
        <f>+AE29-AE32-AE33</f>
        <v>0</v>
      </c>
      <c r="AF35" s="74">
        <f t="shared" ref="AF35" si="128">+AF29-AF32-AF33</f>
        <v>-1.9184653865522705E-13</v>
      </c>
      <c r="AG35" s="74">
        <f t="shared" ref="AG35:AJ35" si="129">+AG29-AG32-AG33</f>
        <v>1.4210854715202004E-12</v>
      </c>
      <c r="AH35" s="74">
        <f t="shared" si="129"/>
        <v>0</v>
      </c>
      <c r="AI35" s="74">
        <f t="shared" si="129"/>
        <v>2.2737367544323206E-13</v>
      </c>
      <c r="AJ35" s="74">
        <f t="shared" si="129"/>
        <v>1.1368683772161603E-13</v>
      </c>
      <c r="AK35" s="74">
        <f t="shared" ref="AK35:AQ35" si="130">+AK29-AK32-AK33</f>
        <v>-1.5916157281026244E-12</v>
      </c>
      <c r="AL35" s="74">
        <f t="shared" ref="AL35" si="131">+AL29-AL32-AL33</f>
        <v>-4.3769432522822171E-12</v>
      </c>
      <c r="AM35" s="74">
        <f t="shared" si="130"/>
        <v>-7.3896444519050419E-13</v>
      </c>
      <c r="AN35" s="74">
        <f t="shared" ref="AN35" si="132">+AN29-AN32-AN33</f>
        <v>0</v>
      </c>
      <c r="AO35" s="74">
        <f t="shared" si="130"/>
        <v>-1.1368683772161603E-12</v>
      </c>
      <c r="AP35" s="74">
        <f t="shared" si="130"/>
        <v>-2.6716406864579767E-12</v>
      </c>
      <c r="AQ35" s="74">
        <f t="shared" si="130"/>
        <v>-1.4495071809506044E-12</v>
      </c>
      <c r="AR35" s="74">
        <f t="shared" ref="AR35" si="133">+AR29-AR32-AR33</f>
        <v>0</v>
      </c>
      <c r="AS35" s="74">
        <f t="shared" ref="AS35:AW35" si="134">+AS29-AS32-AS33</f>
        <v>-2.3874235921539366E-12</v>
      </c>
      <c r="AT35" s="74">
        <f t="shared" ref="AT35" si="135">+AT29-AT32-AT33</f>
        <v>-2.7284841053187847E-12</v>
      </c>
      <c r="AU35" s="74">
        <f t="shared" si="134"/>
        <v>1.1937117960769683E-12</v>
      </c>
      <c r="AV35" s="74">
        <f t="shared" si="134"/>
        <v>-2.5579538487363607E-13</v>
      </c>
      <c r="AW35" s="74">
        <f t="shared" si="134"/>
        <v>-9.4502183856093325E-13</v>
      </c>
      <c r="AX35" s="74">
        <f t="shared" ref="AX35:BA35" si="136">+AX29-AX32-AX33</f>
        <v>1.8758328224066645E-12</v>
      </c>
      <c r="AY35" s="74">
        <f t="shared" si="136"/>
        <v>-1.2221335055073723E-12</v>
      </c>
      <c r="AZ35" s="74">
        <f t="shared" si="136"/>
        <v>1.5063505998114124E-12</v>
      </c>
      <c r="BA35" s="74">
        <f t="shared" si="136"/>
        <v>3.2827074392116629E-12</v>
      </c>
      <c r="BB35" s="74">
        <f t="shared" ref="BB35:BC35" si="137">+BB29-BB32-BB33</f>
        <v>-2.2964741219766438E-11</v>
      </c>
      <c r="BC35" s="74">
        <f t="shared" si="137"/>
        <v>3.2684965844964609E-12</v>
      </c>
      <c r="BD35" s="74"/>
      <c r="BE35" s="74">
        <f t="shared" ref="BE35:BF35" si="138">+BE29-BE32-BE33</f>
        <v>-4.5474735088646412E-13</v>
      </c>
      <c r="BF35" s="74">
        <f t="shared" si="138"/>
        <v>6.5369931689929217E-13</v>
      </c>
      <c r="BG35" s="74">
        <f t="shared" ref="BG35:BI35" si="139">+BG29-BG32-BG33</f>
        <v>2.3803181647963356E-12</v>
      </c>
      <c r="BH35" s="74">
        <f t="shared" si="139"/>
        <v>8.2991391536779702E-12</v>
      </c>
      <c r="BI35" s="74">
        <f t="shared" si="139"/>
        <v>-9.3791641120333225E-13</v>
      </c>
      <c r="BJ35" s="74"/>
      <c r="BK35" s="74">
        <f t="shared" ref="BK35:BL35" si="140">+BK29-BK32-BK33</f>
        <v>0</v>
      </c>
      <c r="BL35" s="74">
        <f t="shared" si="140"/>
        <v>-4.1779912862693891E-12</v>
      </c>
      <c r="BM35" s="74"/>
      <c r="BN35" s="74">
        <f t="shared" ref="BN35:BO35" si="141">+BN29-BN32-BN33</f>
        <v>-6.9348971010185778E-12</v>
      </c>
      <c r="BO35" s="74">
        <f t="shared" si="141"/>
        <v>-5.8548721426632255E-12</v>
      </c>
      <c r="BP35" s="74"/>
      <c r="BQ35" s="74">
        <f t="shared" ref="BQ35:BS35" si="142">+BQ29-BQ32-BQ33</f>
        <v>-7.815970093361102E-14</v>
      </c>
      <c r="BR35" s="74">
        <f t="shared" si="142"/>
        <v>8.5265128291212022E-14</v>
      </c>
      <c r="BS35" s="74">
        <f t="shared" si="142"/>
        <v>-1.9539925233402755E-13</v>
      </c>
    </row>
    <row r="36" spans="2:71" s="7" customFormat="1" ht="12.75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74"/>
      <c r="BN36" s="26"/>
      <c r="BO36" s="26"/>
      <c r="BP36" s="26"/>
      <c r="BQ36" s="26"/>
      <c r="BR36" s="26"/>
      <c r="BS36" s="26"/>
    </row>
    <row r="37" spans="2:71" s="7" customFormat="1" ht="12.75">
      <c r="B37" s="354" t="s">
        <v>200</v>
      </c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7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26"/>
      <c r="BE37" s="309"/>
      <c r="BF37" s="309"/>
      <c r="BG37" s="309"/>
      <c r="BH37" s="309"/>
      <c r="BI37" s="309"/>
      <c r="BJ37" s="26"/>
      <c r="BK37" s="309"/>
      <c r="BL37" s="309"/>
      <c r="BM37" s="74"/>
      <c r="BN37" s="309"/>
      <c r="BO37" s="309"/>
      <c r="BP37" s="26"/>
    </row>
    <row r="38" spans="2:71" s="17" customFormat="1" ht="12.75">
      <c r="B38" s="355" t="str">
        <f>B9</f>
        <v>Cost of sales</v>
      </c>
      <c r="C38" s="20">
        <f t="shared" ref="C38:P38" si="143">-C9/C7</f>
        <v>0.74389429283858832</v>
      </c>
      <c r="D38" s="20">
        <f t="shared" si="143"/>
        <v>0.7405589881400384</v>
      </c>
      <c r="E38" s="20">
        <f t="shared" si="143"/>
        <v>0.7380097550032676</v>
      </c>
      <c r="F38" s="20">
        <f t="shared" si="143"/>
        <v>0.72585427367514532</v>
      </c>
      <c r="G38" s="20">
        <f t="shared" si="143"/>
        <v>0.71880628806233804</v>
      </c>
      <c r="H38" s="20">
        <f t="shared" si="143"/>
        <v>0.71186153394570351</v>
      </c>
      <c r="I38" s="20">
        <f t="shared" si="143"/>
        <v>0.7017922961386428</v>
      </c>
      <c r="J38" s="20">
        <f t="shared" si="143"/>
        <v>0.78207143627751008</v>
      </c>
      <c r="K38" s="20">
        <f t="shared" si="143"/>
        <v>0.71028513593014952</v>
      </c>
      <c r="L38" s="20">
        <f t="shared" si="143"/>
        <v>0.71028514181894531</v>
      </c>
      <c r="M38" s="20">
        <f t="shared" si="143"/>
        <v>0.70193836450723612</v>
      </c>
      <c r="N38" s="20">
        <f t="shared" si="143"/>
        <v>0.70193836699546164</v>
      </c>
      <c r="O38" s="20">
        <f t="shared" si="143"/>
        <v>0.71095453885761151</v>
      </c>
      <c r="P38" s="20">
        <f t="shared" si="143"/>
        <v>0.72417150864201685</v>
      </c>
      <c r="Q38" s="7"/>
      <c r="R38" s="20">
        <f t="shared" ref="R38:BC38" si="144">-R9/R7</f>
        <v>0.72918824457089271</v>
      </c>
      <c r="S38" s="20">
        <f t="shared" si="144"/>
        <v>0.75061134569207988</v>
      </c>
      <c r="T38" s="20">
        <f t="shared" si="144"/>
        <v>0.73215276898657133</v>
      </c>
      <c r="U38" s="20">
        <f t="shared" si="144"/>
        <v>0.74040241952304797</v>
      </c>
      <c r="V38" s="24">
        <f t="shared" si="144"/>
        <v>0.72292880825387684</v>
      </c>
      <c r="W38" s="24">
        <f t="shared" si="144"/>
        <v>0.72031499073330485</v>
      </c>
      <c r="X38" s="24">
        <f t="shared" si="144"/>
        <v>0.73685456040830188</v>
      </c>
      <c r="Y38" s="24">
        <f t="shared" si="144"/>
        <v>0.72349851175021063</v>
      </c>
      <c r="Z38" s="24">
        <f t="shared" si="144"/>
        <v>0.69855091859606766</v>
      </c>
      <c r="AA38" s="24">
        <f t="shared" si="144"/>
        <v>0.72623156975922776</v>
      </c>
      <c r="AB38" s="24">
        <f t="shared" si="144"/>
        <v>0.72086132486599286</v>
      </c>
      <c r="AC38" s="24">
        <f t="shared" si="144"/>
        <v>0.72922552941109875</v>
      </c>
      <c r="AD38" s="24">
        <f t="shared" si="144"/>
        <v>0.71238899228829622</v>
      </c>
      <c r="AE38" s="24">
        <f t="shared" si="144"/>
        <v>0.75703464735904735</v>
      </c>
      <c r="AF38" s="24">
        <f t="shared" si="144"/>
        <v>0.72978895768435093</v>
      </c>
      <c r="AG38" s="24">
        <f t="shared" si="144"/>
        <v>0.67267749678725519</v>
      </c>
      <c r="AH38" s="24">
        <f t="shared" si="144"/>
        <v>0.68585043402857415</v>
      </c>
      <c r="AI38" s="24">
        <f t="shared" si="144"/>
        <v>0.71662525483880768</v>
      </c>
      <c r="AJ38" s="24">
        <f t="shared" si="144"/>
        <v>0.72323311174474303</v>
      </c>
      <c r="AK38" s="24">
        <f t="shared" si="144"/>
        <v>0.68498276828912785</v>
      </c>
      <c r="AL38" s="24">
        <f t="shared" si="144"/>
        <v>0.82438783003450244</v>
      </c>
      <c r="AM38" s="24">
        <f t="shared" si="144"/>
        <v>0.65674053052704207</v>
      </c>
      <c r="AN38" s="24">
        <f t="shared" si="144"/>
        <v>0.69264641919241265</v>
      </c>
      <c r="AO38" s="24">
        <f t="shared" si="144"/>
        <v>0.68492230852155644</v>
      </c>
      <c r="AP38" s="24">
        <f t="shared" si="144"/>
        <v>0.72646054058221277</v>
      </c>
      <c r="AQ38" s="24">
        <f t="shared" si="144"/>
        <v>0.662633784467487</v>
      </c>
      <c r="AR38" s="24">
        <f t="shared" si="144"/>
        <v>0.69674934694621482</v>
      </c>
      <c r="AS38" s="24">
        <f t="shared" si="144"/>
        <v>0.76800508722227756</v>
      </c>
      <c r="AT38" s="24">
        <f t="shared" si="144"/>
        <v>0.71998229399131164</v>
      </c>
      <c r="AU38" s="24">
        <f t="shared" si="144"/>
        <v>0.68037026395066025</v>
      </c>
      <c r="AV38" s="24">
        <f t="shared" si="144"/>
        <v>0.69448386666718054</v>
      </c>
      <c r="AW38" s="24">
        <f t="shared" si="144"/>
        <v>0.72901614357341471</v>
      </c>
      <c r="AX38" s="24">
        <f t="shared" si="144"/>
        <v>0.70336328610041343</v>
      </c>
      <c r="AY38" s="24">
        <f t="shared" si="144"/>
        <v>0.66562732720633766</v>
      </c>
      <c r="AZ38" s="24">
        <f t="shared" si="144"/>
        <v>0.72757889614677274</v>
      </c>
      <c r="BA38" s="24">
        <f t="shared" si="144"/>
        <v>0.70760796065252174</v>
      </c>
      <c r="BB38" s="24">
        <f t="shared" si="144"/>
        <v>0.73628385084104753</v>
      </c>
      <c r="BC38" s="24">
        <f t="shared" si="144"/>
        <v>0.72123852293345847</v>
      </c>
      <c r="BD38" s="26"/>
      <c r="BE38" s="24">
        <f>-BE9/BE7</f>
        <v>0.68037025830004483</v>
      </c>
      <c r="BF38" s="24">
        <f>-BF9/BF7</f>
        <v>0.69448392441070128</v>
      </c>
      <c r="BG38" s="24">
        <f>-BG9/BG7</f>
        <v>0.72901614440538942</v>
      </c>
      <c r="BH38" s="24">
        <f>-BH9/BH7</f>
        <v>0.70407076407233016</v>
      </c>
      <c r="BI38" s="24">
        <f>-BI9/BI7</f>
        <v>0.66562733960887821</v>
      </c>
      <c r="BJ38" s="26"/>
      <c r="BK38" s="24">
        <f>-BK9/BK7</f>
        <v>0.68628066809850152</v>
      </c>
      <c r="BL38" s="24">
        <f>-BL9/BL7</f>
        <v>0.69328946360166988</v>
      </c>
      <c r="BM38" s="74"/>
      <c r="BN38" s="24">
        <f>-BN9/BN7</f>
        <v>0.69968466592173295</v>
      </c>
      <c r="BO38" s="24">
        <f>-BO9/BO7</f>
        <v>0.69778554867127551</v>
      </c>
      <c r="BP38" s="186"/>
      <c r="BQ38" s="7"/>
      <c r="BR38" s="7"/>
      <c r="BS38" s="7"/>
    </row>
    <row r="39" spans="2:71" s="17" customFormat="1" ht="12.75">
      <c r="B39" s="355" t="str">
        <f>B12</f>
        <v>General Administrative Expenses</v>
      </c>
      <c r="C39" s="20">
        <f t="shared" ref="C39:P39" si="145">-C12/C7</f>
        <v>3.0588816703223099E-2</v>
      </c>
      <c r="D39" s="20">
        <f t="shared" si="145"/>
        <v>2.9543597046448478E-2</v>
      </c>
      <c r="E39" s="20">
        <f t="shared" si="145"/>
        <v>2.6809467806944428E-2</v>
      </c>
      <c r="F39" s="20">
        <f t="shared" si="145"/>
        <v>3.0083351274874666E-2</v>
      </c>
      <c r="G39" s="20">
        <f t="shared" si="145"/>
        <v>2.8002541469339878E-2</v>
      </c>
      <c r="H39" s="20">
        <f t="shared" si="145"/>
        <v>2.8210795496239952E-2</v>
      </c>
      <c r="I39" s="20">
        <f t="shared" si="145"/>
        <v>2.5371879345233175E-2</v>
      </c>
      <c r="J39" s="20">
        <f t="shared" si="145"/>
        <v>2.3830977533265484E-2</v>
      </c>
      <c r="K39" s="20">
        <f t="shared" si="145"/>
        <v>2.4863412390910038E-2</v>
      </c>
      <c r="L39" s="20">
        <f t="shared" si="145"/>
        <v>2.4863409079446151E-2</v>
      </c>
      <c r="M39" s="20">
        <f t="shared" si="145"/>
        <v>2.7058069030682669E-2</v>
      </c>
      <c r="N39" s="20">
        <f t="shared" si="145"/>
        <v>2.7058066524094655E-2</v>
      </c>
      <c r="O39" s="20">
        <f t="shared" si="145"/>
        <v>2.6720733314620368E-2</v>
      </c>
      <c r="P39" s="20">
        <f t="shared" si="145"/>
        <v>2.7418270985788192E-2</v>
      </c>
      <c r="Q39" s="7"/>
      <c r="R39" s="20">
        <f t="shared" ref="R39:BC39" si="146">-R12/R7</f>
        <v>2.4655996703819731E-2</v>
      </c>
      <c r="S39" s="20">
        <f t="shared" si="146"/>
        <v>3.0381728136532983E-2</v>
      </c>
      <c r="T39" s="20">
        <f t="shared" si="146"/>
        <v>2.7544492005837209E-2</v>
      </c>
      <c r="U39" s="20">
        <f t="shared" si="146"/>
        <v>2.5300424111798649E-2</v>
      </c>
      <c r="V39" s="24">
        <f t="shared" si="146"/>
        <v>1.9879425029345744E-2</v>
      </c>
      <c r="W39" s="24">
        <f t="shared" si="146"/>
        <v>3.0745433392401419E-2</v>
      </c>
      <c r="X39" s="24">
        <f t="shared" si="146"/>
        <v>3.5189204636394425E-2</v>
      </c>
      <c r="Y39" s="24">
        <f t="shared" si="146"/>
        <v>3.4250936006889131E-2</v>
      </c>
      <c r="Z39" s="24">
        <f t="shared" si="146"/>
        <v>2.685716161516687E-2</v>
      </c>
      <c r="AA39" s="24">
        <f t="shared" si="146"/>
        <v>2.975229886960102E-2</v>
      </c>
      <c r="AB39" s="24">
        <f t="shared" si="146"/>
        <v>2.9828172033458375E-2</v>
      </c>
      <c r="AC39" s="24">
        <f t="shared" si="146"/>
        <v>2.6078953869712717E-2</v>
      </c>
      <c r="AD39" s="24">
        <f t="shared" si="146"/>
        <v>2.8542078271079293E-2</v>
      </c>
      <c r="AE39" s="24">
        <f t="shared" si="146"/>
        <v>3.1780401004398967E-2</v>
      </c>
      <c r="AF39" s="24">
        <f t="shared" si="146"/>
        <v>2.7587812775840329E-2</v>
      </c>
      <c r="AG39" s="24">
        <f t="shared" si="146"/>
        <v>2.6336768654421843E-2</v>
      </c>
      <c r="AH39" s="24">
        <f t="shared" si="146"/>
        <v>2.2561262979488E-2</v>
      </c>
      <c r="AI39" s="24">
        <f t="shared" si="146"/>
        <v>2.4299445739155226E-2</v>
      </c>
      <c r="AJ39" s="24">
        <f t="shared" si="146"/>
        <v>2.667896497037725E-2</v>
      </c>
      <c r="AK39" s="24">
        <f t="shared" si="146"/>
        <v>2.6860488622324746E-2</v>
      </c>
      <c r="AL39" s="24">
        <f t="shared" si="146"/>
        <v>2.3339288601711441E-2</v>
      </c>
      <c r="AM39" s="24">
        <f t="shared" si="146"/>
        <v>2.0865614241482883E-2</v>
      </c>
      <c r="AN39" s="24">
        <f t="shared" si="146"/>
        <v>2.0681385761280646E-2</v>
      </c>
      <c r="AO39" s="24">
        <f t="shared" si="146"/>
        <v>2.6068945128888649E-2</v>
      </c>
      <c r="AP39" s="24">
        <f t="shared" si="146"/>
        <v>2.4990648458714126E-2</v>
      </c>
      <c r="AQ39" s="24">
        <f t="shared" si="146"/>
        <v>3.254603388075572E-2</v>
      </c>
      <c r="AR39" s="24">
        <f t="shared" si="146"/>
        <v>3.049051720197743E-2</v>
      </c>
      <c r="AS39" s="24">
        <f t="shared" si="146"/>
        <v>2.2075115002957703E-2</v>
      </c>
      <c r="AT39" s="24">
        <f t="shared" si="146"/>
        <v>2.383956140296549E-2</v>
      </c>
      <c r="AU39" s="24">
        <f t="shared" si="146"/>
        <v>2.4554796770929713E-2</v>
      </c>
      <c r="AV39" s="24">
        <f t="shared" si="146"/>
        <v>2.6184034584402754E-2</v>
      </c>
      <c r="AW39" s="24">
        <f t="shared" si="146"/>
        <v>3.1363777625305657E-2</v>
      </c>
      <c r="AX39" s="24">
        <f t="shared" si="146"/>
        <v>2.6544986683010214E-2</v>
      </c>
      <c r="AY39" s="24">
        <f t="shared" si="146"/>
        <v>2.4491589502489718E-2</v>
      </c>
      <c r="AZ39" s="24">
        <f t="shared" si="146"/>
        <v>2.7958400854205437E-2</v>
      </c>
      <c r="BA39" s="24">
        <f t="shared" si="146"/>
        <v>2.7517820633971731E-2</v>
      </c>
      <c r="BB39" s="24">
        <f t="shared" si="146"/>
        <v>2.7030828383570682E-2</v>
      </c>
      <c r="BC39" s="24">
        <f t="shared" si="146"/>
        <v>2.7393130050499873E-2</v>
      </c>
      <c r="BD39" s="26"/>
      <c r="BE39" s="24">
        <f>-BE12/BE7</f>
        <v>2.455481219312719E-2</v>
      </c>
      <c r="BF39" s="24">
        <f>-BF12/BF7</f>
        <v>2.6183984236453583E-2</v>
      </c>
      <c r="BG39" s="24">
        <f>-BG12/BG7</f>
        <v>3.1363794870754629E-2</v>
      </c>
      <c r="BH39" s="24">
        <f>-BH12/BH7</f>
        <v>2.656959056949644E-2</v>
      </c>
      <c r="BI39" s="24">
        <f>-BI12/BI7</f>
        <v>2.4491589360706167E-2</v>
      </c>
      <c r="BJ39" s="26"/>
      <c r="BK39" s="24">
        <f>-BK12/BK7</f>
        <v>2.5237061734854634E-2</v>
      </c>
      <c r="BL39" s="24">
        <f>-BL12/BL7</f>
        <v>2.6039555377251233E-2</v>
      </c>
      <c r="BM39" s="74"/>
      <c r="BN39" s="24">
        <f>-BN12/BN7</f>
        <v>2.7158696919154672E-2</v>
      </c>
      <c r="BO39" s="24">
        <f>-BO12/BO7</f>
        <v>2.6503734928421879E-2</v>
      </c>
      <c r="BP39" s="186"/>
      <c r="BQ39" s="7"/>
      <c r="BR39" s="7"/>
      <c r="BS39" s="7"/>
    </row>
    <row r="40" spans="2:71" s="17" customFormat="1" ht="12.75">
      <c r="B40" s="355" t="str">
        <f>B13</f>
        <v>Marketing, Sales and Distribution Expenses</v>
      </c>
      <c r="C40" s="20">
        <f t="shared" ref="C40:P40" si="147">-C13/C7</f>
        <v>0.10708167681831904</v>
      </c>
      <c r="D40" s="20">
        <f t="shared" si="147"/>
        <v>9.9084516732260611E-2</v>
      </c>
      <c r="E40" s="20">
        <f t="shared" si="147"/>
        <v>0.10044583938095626</v>
      </c>
      <c r="F40" s="20">
        <f t="shared" si="147"/>
        <v>9.6381447421031594E-2</v>
      </c>
      <c r="G40" s="20">
        <f t="shared" si="147"/>
        <v>9.8004321093567909E-2</v>
      </c>
      <c r="H40" s="20">
        <f t="shared" si="147"/>
        <v>8.9382695173038693E-2</v>
      </c>
      <c r="I40" s="20">
        <f t="shared" si="147"/>
        <v>8.8173688356006599E-2</v>
      </c>
      <c r="J40" s="20">
        <f t="shared" si="147"/>
        <v>8.4446690811802602E-2</v>
      </c>
      <c r="K40" s="20">
        <f t="shared" si="147"/>
        <v>9.1931460664518336E-2</v>
      </c>
      <c r="L40" s="20">
        <f t="shared" si="147"/>
        <v>9.1931463233872523E-2</v>
      </c>
      <c r="M40" s="20">
        <f t="shared" si="147"/>
        <v>0.10226622997566123</v>
      </c>
      <c r="N40" s="20">
        <f t="shared" si="147"/>
        <v>0.10226622628686588</v>
      </c>
      <c r="O40" s="20">
        <f t="shared" si="147"/>
        <v>0.11405200399222191</v>
      </c>
      <c r="P40" s="20">
        <f t="shared" si="147"/>
        <v>0.11460864466297721</v>
      </c>
      <c r="Q40" s="7"/>
      <c r="R40" s="20">
        <f t="shared" ref="R40:BC40" si="148">-R13/R7</f>
        <v>0.10824542335315304</v>
      </c>
      <c r="S40" s="20">
        <f t="shared" si="148"/>
        <v>9.0143103281415629E-2</v>
      </c>
      <c r="T40" s="20">
        <f t="shared" si="148"/>
        <v>0.10133382115834327</v>
      </c>
      <c r="U40" s="20">
        <f t="shared" si="148"/>
        <v>0.10114885628867414</v>
      </c>
      <c r="V40" s="24">
        <f t="shared" si="148"/>
        <v>0.10647047921085691</v>
      </c>
      <c r="W40" s="24">
        <f t="shared" si="148"/>
        <v>9.4944350392035581E-2</v>
      </c>
      <c r="X40" s="24">
        <f t="shared" si="148"/>
        <v>8.1282166003119743E-2</v>
      </c>
      <c r="Y40" s="24">
        <f t="shared" si="148"/>
        <v>0.10178594632054638</v>
      </c>
      <c r="Z40" s="24">
        <f t="shared" si="148"/>
        <v>0.1160001616075915</v>
      </c>
      <c r="AA40" s="24">
        <f t="shared" si="148"/>
        <v>8.571317996811588E-2</v>
      </c>
      <c r="AB40" s="24">
        <f t="shared" si="148"/>
        <v>9.4367414917181855E-2</v>
      </c>
      <c r="AC40" s="24">
        <f t="shared" si="148"/>
        <v>9.4875900267605076E-2</v>
      </c>
      <c r="AD40" s="24">
        <f t="shared" si="148"/>
        <v>0.1040704500687443</v>
      </c>
      <c r="AE40" s="24">
        <f t="shared" si="148"/>
        <v>8.9383090729447889E-2</v>
      </c>
      <c r="AF40" s="24">
        <f t="shared" si="148"/>
        <v>9.0857834646502683E-2</v>
      </c>
      <c r="AG40" s="24">
        <f t="shared" si="148"/>
        <v>7.9242238070916238E-2</v>
      </c>
      <c r="AH40" s="24">
        <f t="shared" si="148"/>
        <v>9.1275629806093009E-2</v>
      </c>
      <c r="AI40" s="24">
        <f t="shared" si="148"/>
        <v>8.079045348037954E-2</v>
      </c>
      <c r="AJ40" s="24">
        <f t="shared" si="148"/>
        <v>8.7700189815689791E-2</v>
      </c>
      <c r="AK40" s="24">
        <f t="shared" si="148"/>
        <v>9.1437460349987953E-2</v>
      </c>
      <c r="AL40" s="24">
        <f t="shared" si="148"/>
        <v>8.3164859518507356E-2</v>
      </c>
      <c r="AM40" s="24">
        <f t="shared" si="148"/>
        <v>9.8098490509462455E-2</v>
      </c>
      <c r="AN40" s="24">
        <f t="shared" si="148"/>
        <v>9.7547653450726371E-2</v>
      </c>
      <c r="AO40" s="24">
        <f t="shared" si="148"/>
        <v>9.5301715102019027E-2</v>
      </c>
      <c r="AP40" s="24">
        <f t="shared" si="148"/>
        <v>9.3320178659114933E-2</v>
      </c>
      <c r="AQ40" s="24">
        <f t="shared" si="148"/>
        <v>9.5930653778378158E-2</v>
      </c>
      <c r="AR40" s="24">
        <f t="shared" si="148"/>
        <v>8.3836934258222875E-2</v>
      </c>
      <c r="AS40" s="24">
        <f t="shared" si="148"/>
        <v>8.5880315760999873E-2</v>
      </c>
      <c r="AT40" s="24">
        <f t="shared" si="148"/>
        <v>9.2756088547935267E-2</v>
      </c>
      <c r="AU40" s="24">
        <f t="shared" si="148"/>
        <v>0.10412079300702783</v>
      </c>
      <c r="AV40" s="24">
        <f t="shared" si="148"/>
        <v>0.10708019926934748</v>
      </c>
      <c r="AW40" s="24">
        <f t="shared" si="148"/>
        <v>9.6645408804651251E-2</v>
      </c>
      <c r="AX40" s="24">
        <f t="shared" si="148"/>
        <v>0.10201547934290332</v>
      </c>
      <c r="AY40" s="24">
        <f t="shared" si="148"/>
        <v>0.12058841233859835</v>
      </c>
      <c r="AZ40" s="24">
        <f t="shared" si="148"/>
        <v>0.11471021483726576</v>
      </c>
      <c r="BA40" s="24">
        <f t="shared" si="148"/>
        <v>0.10621446906755397</v>
      </c>
      <c r="BB40" s="24">
        <f t="shared" si="148"/>
        <v>0.1142644079945679</v>
      </c>
      <c r="BC40" s="24">
        <f t="shared" si="148"/>
        <v>0.12120087814635463</v>
      </c>
      <c r="BD40" s="26"/>
      <c r="BE40" s="24">
        <f>-BE13/BE7</f>
        <v>0.10412080425294119</v>
      </c>
      <c r="BF40" s="24">
        <f>-BF13/BF7</f>
        <v>0.10708016423472493</v>
      </c>
      <c r="BG40" s="24">
        <f>-BG13/BG7</f>
        <v>9.664540317475552E-2</v>
      </c>
      <c r="BH40" s="24">
        <f>-BH13/BH7</f>
        <v>0.10191432885696125</v>
      </c>
      <c r="BI40" s="24">
        <f>-BI13/BI7</f>
        <v>0.12058839941979896</v>
      </c>
      <c r="BJ40" s="26"/>
      <c r="BK40" s="24">
        <f>-BK13/BK7</f>
        <v>0.10536009588200154</v>
      </c>
      <c r="BL40" s="24">
        <f>-BL13/BL7</f>
        <v>0.11796372443425295</v>
      </c>
      <c r="BM40" s="74"/>
      <c r="BN40" s="24">
        <f>-BN13/BN7</f>
        <v>0.10262673394528181</v>
      </c>
      <c r="BO40" s="24">
        <f>-BO13/BO7</f>
        <v>0.11427439529105109</v>
      </c>
      <c r="BP40" s="186"/>
      <c r="BQ40" s="7"/>
      <c r="BR40" s="7"/>
      <c r="BS40" s="7"/>
    </row>
    <row r="41" spans="2:71" s="17" customFormat="1" ht="12.75">
      <c r="B41" s="355" t="str">
        <f>+B14</f>
        <v>Research and Development Expenses</v>
      </c>
      <c r="C41" s="20">
        <f t="shared" ref="C41:P41" si="149">C14/C7</f>
        <v>-2.0824952528339727E-3</v>
      </c>
      <c r="D41" s="20">
        <f t="shared" si="149"/>
        <v>-2.8027323998766592E-3</v>
      </c>
      <c r="E41" s="20">
        <f t="shared" si="149"/>
        <v>-2.1074608580829712E-3</v>
      </c>
      <c r="F41" s="20">
        <f t="shared" si="149"/>
        <v>-2.5574385630363237E-3</v>
      </c>
      <c r="G41" s="20">
        <f t="shared" si="149"/>
        <v>-2.5751896555007035E-3</v>
      </c>
      <c r="H41" s="20">
        <f t="shared" si="149"/>
        <v>-3.1734662297759927E-3</v>
      </c>
      <c r="I41" s="20">
        <f t="shared" si="149"/>
        <v>-3.1437202890096183E-3</v>
      </c>
      <c r="J41" s="20">
        <f t="shared" si="149"/>
        <v>-3.1674715985823185E-3</v>
      </c>
      <c r="K41" s="20">
        <f t="shared" si="149"/>
        <v>-4.2750984528103402E-3</v>
      </c>
      <c r="L41" s="20">
        <f t="shared" si="149"/>
        <v>-4.2750941772586905E-3</v>
      </c>
      <c r="M41" s="20">
        <f t="shared" si="149"/>
        <v>-4.9362464521709622E-3</v>
      </c>
      <c r="N41" s="20">
        <f t="shared" si="149"/>
        <v>-4.9362491280023901E-3</v>
      </c>
      <c r="O41" s="20">
        <f t="shared" si="149"/>
        <v>-5.6160336070542804E-3</v>
      </c>
      <c r="P41" s="20">
        <f t="shared" si="149"/>
        <v>-5.5150117117388877E-3</v>
      </c>
      <c r="Q41" s="7"/>
      <c r="R41" s="20">
        <f t="shared" ref="R41:BC41" si="150">R14/R7</f>
        <v>-2.5893485071287001E-3</v>
      </c>
      <c r="S41" s="20">
        <f t="shared" si="150"/>
        <v>-2.3851816967405308E-3</v>
      </c>
      <c r="T41" s="20">
        <f t="shared" si="150"/>
        <v>-2.1513917619710729E-3</v>
      </c>
      <c r="U41" s="20">
        <f t="shared" si="150"/>
        <v>-1.4923173190572203E-3</v>
      </c>
      <c r="V41" s="24">
        <f t="shared" si="150"/>
        <v>-1.9749171111431455E-3</v>
      </c>
      <c r="W41" s="24">
        <f t="shared" si="150"/>
        <v>-2.8854741944237235E-3</v>
      </c>
      <c r="X41" s="24">
        <f t="shared" si="150"/>
        <v>-2.3511588609002438E-3</v>
      </c>
      <c r="Y41" s="24">
        <f t="shared" si="150"/>
        <v>-2.9881429036496244E-3</v>
      </c>
      <c r="Z41" s="24">
        <f t="shared" si="150"/>
        <v>-2.3912873307223607E-3</v>
      </c>
      <c r="AA41" s="24">
        <f t="shared" si="150"/>
        <v>-2.5617341084125502E-3</v>
      </c>
      <c r="AB41" s="24">
        <f t="shared" si="150"/>
        <v>-2.502244482342284E-3</v>
      </c>
      <c r="AC41" s="24">
        <f t="shared" si="150"/>
        <v>-2.8122106366888621E-3</v>
      </c>
      <c r="AD41" s="24">
        <f t="shared" si="150"/>
        <v>-3.2959335652817923E-3</v>
      </c>
      <c r="AE41" s="24">
        <f t="shared" si="150"/>
        <v>-3.8329683261905207E-3</v>
      </c>
      <c r="AF41" s="24">
        <f t="shared" si="150"/>
        <v>-2.792213923235286E-3</v>
      </c>
      <c r="AG41" s="24">
        <f t="shared" si="150"/>
        <v>-2.9721498974439641E-3</v>
      </c>
      <c r="AH41" s="24">
        <f t="shared" si="150"/>
        <v>-2.1209585155872782E-3</v>
      </c>
      <c r="AI41" s="24">
        <f t="shared" si="150"/>
        <v>-2.8759604756568224E-3</v>
      </c>
      <c r="AJ41" s="24">
        <f t="shared" si="150"/>
        <v>-2.8528503852464182E-3</v>
      </c>
      <c r="AK41" s="24">
        <f t="shared" si="150"/>
        <v>-4.2246772471001498E-3</v>
      </c>
      <c r="AL41" s="24">
        <f t="shared" si="150"/>
        <v>-3.4785335967617913E-3</v>
      </c>
      <c r="AM41" s="24">
        <f t="shared" si="150"/>
        <v>-3.9443198589839395E-3</v>
      </c>
      <c r="AN41" s="24">
        <f t="shared" si="150"/>
        <v>-4.0041263963986554E-3</v>
      </c>
      <c r="AO41" s="24">
        <f t="shared" si="150"/>
        <v>-4.1283224069671382E-3</v>
      </c>
      <c r="AP41" s="24">
        <f t="shared" si="150"/>
        <v>-4.2015912349664033E-3</v>
      </c>
      <c r="AQ41" s="24">
        <f t="shared" si="150"/>
        <v>-4.3058116731828581E-3</v>
      </c>
      <c r="AR41" s="24">
        <f t="shared" si="150"/>
        <v>-4.5770195816749867E-3</v>
      </c>
      <c r="AS41" s="24">
        <f t="shared" si="150"/>
        <v>-4.458251114846345E-3</v>
      </c>
      <c r="AT41" s="24">
        <f t="shared" si="150"/>
        <v>-4.2932770154261802E-3</v>
      </c>
      <c r="AU41" s="24">
        <f t="shared" si="150"/>
        <v>-3.9597088628828747E-3</v>
      </c>
      <c r="AV41" s="24">
        <f t="shared" si="150"/>
        <v>-4.4836060417801464E-3</v>
      </c>
      <c r="AW41" s="24">
        <f t="shared" si="150"/>
        <v>-4.3628398026972917E-3</v>
      </c>
      <c r="AX41" s="24">
        <f t="shared" si="150"/>
        <v>-6.1141474890419028E-3</v>
      </c>
      <c r="AY41" s="24">
        <f t="shared" si="150"/>
        <v>-5.2034845521621905E-3</v>
      </c>
      <c r="AZ41" s="24">
        <f t="shared" si="150"/>
        <v>-5.7974163494730717E-3</v>
      </c>
      <c r="BA41" s="24">
        <f t="shared" si="150"/>
        <v>-5.8740788929009967E-3</v>
      </c>
      <c r="BB41" s="24">
        <f t="shared" si="150"/>
        <v>-5.6265560284289983E-3</v>
      </c>
      <c r="BC41" s="24">
        <f t="shared" si="150"/>
        <v>-4.9338737344174419E-3</v>
      </c>
      <c r="BD41" s="26"/>
      <c r="BE41" s="24">
        <f>BE14/BE7</f>
        <v>-3.9597123611862925E-3</v>
      </c>
      <c r="BF41" s="24">
        <f>BF14/BF7</f>
        <v>-4.4836182444699148E-3</v>
      </c>
      <c r="BG41" s="24">
        <f>BG14/BG7</f>
        <v>-4.3628212869760022E-3</v>
      </c>
      <c r="BH41" s="24">
        <f>BH14/BH7</f>
        <v>-6.2414803851831013E-3</v>
      </c>
      <c r="BI41" s="24">
        <f>BI14/BI7</f>
        <v>-5.2034842783526408E-3</v>
      </c>
      <c r="BJ41" s="26"/>
      <c r="BK41" s="24">
        <f>BK14/BK7</f>
        <v>-4.1790994834100328E-3</v>
      </c>
      <c r="BL41" s="24">
        <f>BL14/BL7</f>
        <v>-5.4686763070935177E-3</v>
      </c>
      <c r="BM41" s="74"/>
      <c r="BN41" s="24">
        <f>BN14/BN7</f>
        <v>-4.2367185455100716E-3</v>
      </c>
      <c r="BO41" s="24">
        <f>BO14/BO7</f>
        <v>-5.595970091904429E-3</v>
      </c>
      <c r="BP41" s="186"/>
      <c r="BQ41" s="7"/>
      <c r="BR41" s="7"/>
      <c r="BS41" s="7"/>
    </row>
    <row r="42" spans="2:71" s="17" customFormat="1" ht="12.75">
      <c r="B42" s="355" t="s">
        <v>201</v>
      </c>
      <c r="C42" s="20">
        <f t="shared" ref="C42:P42" si="151">C23/C127</f>
        <v>5.8986839334688748E-2</v>
      </c>
      <c r="D42" s="20">
        <f t="shared" si="151"/>
        <v>8.7319039995185695E-3</v>
      </c>
      <c r="E42" s="20">
        <f t="shared" si="151"/>
        <v>0.38032699277962206</v>
      </c>
      <c r="F42" s="20">
        <f t="shared" si="151"/>
        <v>0.10908331822370562</v>
      </c>
      <c r="G42" s="20">
        <f t="shared" si="151"/>
        <v>7.4418184639072307E-2</v>
      </c>
      <c r="H42" s="20">
        <f t="shared" si="151"/>
        <v>4.7202974446221922E-2</v>
      </c>
      <c r="I42" s="20">
        <f t="shared" si="151"/>
        <v>2.0395905858971018E-2</v>
      </c>
      <c r="J42" s="20">
        <f t="shared" si="151"/>
        <v>2.1778560071483613E-2</v>
      </c>
      <c r="K42" s="20">
        <f t="shared" si="151"/>
        <v>2.7299859400012966E-2</v>
      </c>
      <c r="L42" s="20">
        <f t="shared" si="151"/>
        <v>2.7299831005684557E-2</v>
      </c>
      <c r="M42" s="20">
        <f t="shared" si="151"/>
        <v>9.8921139105816337E-3</v>
      </c>
      <c r="N42" s="20">
        <f t="shared" si="151"/>
        <v>9.8921198035007134E-3</v>
      </c>
      <c r="O42" s="20">
        <f t="shared" si="151"/>
        <v>2.4008468472786593E-4</v>
      </c>
      <c r="P42" s="20">
        <f t="shared" si="151"/>
        <v>4.0902397048223939E-4</v>
      </c>
      <c r="Q42" s="7"/>
      <c r="R42" s="20">
        <f>(SUM(F23:R23)/R127)</f>
        <v>1.0002643882770066</v>
      </c>
      <c r="S42" s="20">
        <f>(SUM(P23:S23)/S127)</f>
        <v>8.0442698444837032E-3</v>
      </c>
      <c r="T42" s="20">
        <f>(SUM(P23:T23)/T127)</f>
        <v>0.11043320306103971</v>
      </c>
      <c r="U42" s="20">
        <f t="shared" ref="U42:AK42" si="152">(SUM(R23:U23)/U127)</f>
        <v>0.38032699277962206</v>
      </c>
      <c r="V42" s="24">
        <f t="shared" si="152"/>
        <v>0.33465657048985359</v>
      </c>
      <c r="W42" s="24">
        <f t="shared" si="152"/>
        <v>0.32824475479316573</v>
      </c>
      <c r="X42" s="24">
        <f t="shared" si="152"/>
        <v>0.35882690011562579</v>
      </c>
      <c r="Y42" s="24">
        <f t="shared" si="152"/>
        <v>0.10908331822370562</v>
      </c>
      <c r="Z42" s="24">
        <f t="shared" si="152"/>
        <v>0.11119705293193786</v>
      </c>
      <c r="AA42" s="24">
        <f t="shared" si="152"/>
        <v>0.10057015469095945</v>
      </c>
      <c r="AB42" s="24">
        <f t="shared" si="152"/>
        <v>4.3842323585421998E-2</v>
      </c>
      <c r="AC42" s="24">
        <f t="shared" si="152"/>
        <v>7.4418184639072307E-2</v>
      </c>
      <c r="AD42" s="24">
        <f t="shared" si="152"/>
        <v>6.1288165116288415E-2</v>
      </c>
      <c r="AE42" s="24">
        <f t="shared" si="152"/>
        <v>4.1976152899181648E-2</v>
      </c>
      <c r="AF42" s="24">
        <f t="shared" si="152"/>
        <v>0.10906749868252798</v>
      </c>
      <c r="AG42" s="24">
        <f t="shared" si="152"/>
        <v>4.7202974446221922E-2</v>
      </c>
      <c r="AH42" s="24">
        <f t="shared" si="152"/>
        <v>5.0496767439913798E-2</v>
      </c>
      <c r="AI42" s="24">
        <f t="shared" si="152"/>
        <v>4.6309778829656166E-2</v>
      </c>
      <c r="AJ42" s="24">
        <f t="shared" si="152"/>
        <v>1.083405003416868E-2</v>
      </c>
      <c r="AK42" s="24">
        <f t="shared" si="152"/>
        <v>2.0395905858971018E-2</v>
      </c>
      <c r="AL42" s="24">
        <f>(SUM(AH23:AJ23,AL23)/AL127)</f>
        <v>2.1778560071483613E-2</v>
      </c>
      <c r="AM42" s="24">
        <f>(SUM(AI23:AM23)/AM127)</f>
        <v>5.3198822629231611E-2</v>
      </c>
      <c r="AN42" s="24">
        <f>(SUM(AJ23:AN23)/AN127)</f>
        <v>4.6487475629323344E-2</v>
      </c>
      <c r="AO42" s="24">
        <f>(SUM(AO23,AM23,AK23,AJ23)/AO127)</f>
        <v>3.7996701883628699E-2</v>
      </c>
      <c r="AP42" s="24">
        <f>(SUM(AP23,AN23,AL23,AJ23)/AP127)</f>
        <v>6.5283941250205021E-2</v>
      </c>
      <c r="AQ42" s="24">
        <f>(SUM(AQ23,AO23,AM23,AK23)/AQ127)</f>
        <v>2.1307043864589068E-2</v>
      </c>
      <c r="AR42" s="24">
        <f>(SUM(AR23,AP23,AN23,AL23)/AR127)</f>
        <v>4.2307785617427943E-2</v>
      </c>
      <c r="AS42" s="24">
        <f>(SUM(AS23,AQ23,AO23,AM23)/AS127)</f>
        <v>2.7299859400012966E-2</v>
      </c>
      <c r="AT42" s="24">
        <f>(SUM(AT23,AR23,AP23,AN23)/AT127)</f>
        <v>3.9415160307652942E-2</v>
      </c>
      <c r="AU42" s="24">
        <f>(SUM(AT23:AU23,AR23,AP23)/AU127)</f>
        <v>1.953448334253961E-2</v>
      </c>
      <c r="AV42" s="24">
        <f>(SUM(AT23:AV23,AR23)/AV127)</f>
        <v>1.6157915931663026E-2</v>
      </c>
      <c r="AW42" s="24">
        <f>(SUM(AT23:AW23)/AW127)</f>
        <v>1.4986057348720907E-2</v>
      </c>
      <c r="AX42" s="24">
        <f>(SUM(AX23,AV23,AW23,AU23)/AX127)</f>
        <v>9.8921139105816337E-3</v>
      </c>
      <c r="AY42" s="24">
        <f>(SUM(AX23,AY23,AV23,AW23)/AY127)</f>
        <v>1.0339478895776818E-2</v>
      </c>
      <c r="AZ42" s="24">
        <f>(SUM(AX23,AY23,AZ23,AW23)/AZ127)</f>
        <v>7.7807722620777762E-3</v>
      </c>
      <c r="BA42" s="24">
        <f>(SUM(AX23:BA23)/BA127)</f>
        <v>6.5968249591119672E-3</v>
      </c>
      <c r="BB42" s="24">
        <f>(SUM(BB23,AZ23,BA23,AY23)/BB127)</f>
        <v>2.4008468472786593E-4</v>
      </c>
      <c r="BC42" s="24">
        <f>(SUM(BB23,BC23,AZ23,BA23)/BC127)</f>
        <v>4.0902397048223939E-4</v>
      </c>
      <c r="BD42" s="26"/>
      <c r="BE42" s="24"/>
      <c r="BF42" s="24"/>
      <c r="BG42" s="24"/>
      <c r="BH42" s="24">
        <f>(SUM(BH23,BF23,BG23,BE23)/BH127)</f>
        <v>9.8921198035007134E-3</v>
      </c>
      <c r="BI42" s="24">
        <f>(SUM(BI23,BG23,BH23,BF23)/BI127)</f>
        <v>1.3491588415941128E-2</v>
      </c>
      <c r="BJ42" s="26"/>
      <c r="BK42" s="24"/>
      <c r="BL42" s="24"/>
      <c r="BM42" s="74"/>
      <c r="BN42" s="24"/>
      <c r="BO42" s="24"/>
      <c r="BP42" s="186"/>
      <c r="BQ42" s="7"/>
      <c r="BR42" s="7"/>
      <c r="BS42" s="7"/>
    </row>
    <row r="43" spans="2:71" s="17" customFormat="1" ht="12.75">
      <c r="B43" s="355" t="s">
        <v>202</v>
      </c>
      <c r="C43" s="20">
        <f t="shared" ref="C43:P43" si="153">C22/C123</f>
        <v>-0.21608975011971468</v>
      </c>
      <c r="D43" s="20">
        <f t="shared" si="153"/>
        <v>-0.16315922200313984</v>
      </c>
      <c r="E43" s="20">
        <f t="shared" si="153"/>
        <v>-0.53117350359424098</v>
      </c>
      <c r="F43" s="20">
        <f t="shared" si="153"/>
        <v>-0.24944110487356552</v>
      </c>
      <c r="G43" s="20">
        <f t="shared" si="153"/>
        <v>-0.25408965768857572</v>
      </c>
      <c r="H43" s="20">
        <f t="shared" si="153"/>
        <v>-0.49105209376178316</v>
      </c>
      <c r="I43" s="20">
        <f t="shared" si="153"/>
        <v>-0.34726508342478912</v>
      </c>
      <c r="J43" s="20">
        <f t="shared" si="153"/>
        <v>-0.42002583058158127</v>
      </c>
      <c r="K43" s="20">
        <f t="shared" si="153"/>
        <v>-0.59599955197254284</v>
      </c>
      <c r="L43" s="20">
        <f t="shared" si="153"/>
        <v>-0.59594858293928743</v>
      </c>
      <c r="M43" s="20">
        <f t="shared" si="153"/>
        <v>-0.27350321601830774</v>
      </c>
      <c r="N43" s="20">
        <f t="shared" si="153"/>
        <v>-0.27350321751501416</v>
      </c>
      <c r="O43" s="20">
        <f t="shared" si="153"/>
        <v>-0.40739095285444094</v>
      </c>
      <c r="P43" s="20">
        <f t="shared" si="153"/>
        <v>-0.37531130043585498</v>
      </c>
      <c r="Q43" s="7"/>
      <c r="R43" s="20">
        <f>(SUM(F22:R22)/R123)</f>
        <v>-33.523895522727372</v>
      </c>
      <c r="S43" s="20">
        <f>(SUM(P22:S22)/S123)</f>
        <v>-4.728701552620759</v>
      </c>
      <c r="T43" s="20">
        <f>(SUM(P22:T22)/T123)</f>
        <v>-3.9421733365032248</v>
      </c>
      <c r="U43" s="20">
        <f t="shared" ref="U43:AK43" si="154">(SUM(R22:U22)/U123)</f>
        <v>-0.53117350359424098</v>
      </c>
      <c r="V43" s="24">
        <f t="shared" si="154"/>
        <v>-0.50439511835059536</v>
      </c>
      <c r="W43" s="24">
        <f t="shared" si="154"/>
        <v>-0.44808116415974825</v>
      </c>
      <c r="X43" s="24">
        <f t="shared" si="154"/>
        <v>-0.2285281348642427</v>
      </c>
      <c r="Y43" s="24">
        <f t="shared" si="154"/>
        <v>-0.24944110487356552</v>
      </c>
      <c r="Z43" s="24">
        <f t="shared" si="154"/>
        <v>-0.26259543974718907</v>
      </c>
      <c r="AA43" s="24">
        <f t="shared" si="154"/>
        <v>-0.26565082658304567</v>
      </c>
      <c r="AB43" s="24">
        <f t="shared" si="154"/>
        <v>-0.34162716683998767</v>
      </c>
      <c r="AC43" s="24">
        <f t="shared" si="154"/>
        <v>-0.25408965768857572</v>
      </c>
      <c r="AD43" s="24">
        <f t="shared" si="154"/>
        <v>-0.29358171989814047</v>
      </c>
      <c r="AE43" s="24">
        <f t="shared" si="154"/>
        <v>-0.29791270836010147</v>
      </c>
      <c r="AF43" s="24">
        <f t="shared" si="154"/>
        <v>-0.20875077716392171</v>
      </c>
      <c r="AG43" s="24">
        <f t="shared" si="154"/>
        <v>-0.78052099128148122</v>
      </c>
      <c r="AH43" s="24">
        <f t="shared" si="154"/>
        <v>-0.48802769365743381</v>
      </c>
      <c r="AI43" s="24">
        <f t="shared" si="154"/>
        <v>-0.51625537180013525</v>
      </c>
      <c r="AJ43" s="24">
        <f t="shared" si="154"/>
        <v>-0.54667630347829588</v>
      </c>
      <c r="AK43" s="24">
        <f t="shared" si="154"/>
        <v>-0.34726508342478912</v>
      </c>
      <c r="AL43" s="24">
        <f>(SUM(AH22:AJ22,AL22)/AL123)</f>
        <v>-0.42002583058158127</v>
      </c>
      <c r="AM43" s="24">
        <f>(SUM(AI22:AM22)/AM123)</f>
        <v>-0.67837772491159121</v>
      </c>
      <c r="AN43" s="24">
        <f>(SUM(AJ22:AN22)/AN123)</f>
        <v>-0.68250402286669998</v>
      </c>
      <c r="AO43" s="24">
        <f>(SUM(AO22,AM22,AK22,AJ22)/AO123)</f>
        <v>-0.45278248510932501</v>
      </c>
      <c r="AP43" s="24">
        <f>(SUM(AP22,AN22,AL22,AJ22)/AP123)</f>
        <v>-0.971983911134779</v>
      </c>
      <c r="AQ43" s="24">
        <f>(SUM(AQ22,AO22,AM22,AK22)/AQ123)</f>
        <v>-0.4227915289451879</v>
      </c>
      <c r="AR43" s="24">
        <f>(SUM(AR22,AP22,AN22,AL22)/AR123)</f>
        <v>-0.98470391214982567</v>
      </c>
      <c r="AS43" s="24">
        <f>(SUM(AS22,AQ22,AO22,AM22)/AS123)</f>
        <v>-0.59599955197254284</v>
      </c>
      <c r="AT43" s="24">
        <f>(SUM(AT22,AR22,AP22,AN22)/AT123)</f>
        <v>-0.86049684124609083</v>
      </c>
      <c r="AU43" s="24">
        <f>(SUM(AT22:AU22,AR22,AP22)/AU123)</f>
        <v>-0.78677202174362681</v>
      </c>
      <c r="AV43" s="24">
        <f>(SUM(AT22:AV22,AR22)/AV123)</f>
        <v>-0.42531192707194776</v>
      </c>
      <c r="AW43" s="24">
        <f>(SUM(AT22:AW22)/AW123)</f>
        <v>-0.35680646656058423</v>
      </c>
      <c r="AX43" s="24">
        <f>(SUM(AX22,AV22,AW22,AU22)/AX123)</f>
        <v>-0.27350321601830774</v>
      </c>
      <c r="AY43" s="24">
        <f>(SUM(AX22:AY22,AV22,AW22)/AY123)</f>
        <v>-0.27705460638740431</v>
      </c>
      <c r="AZ43" s="24">
        <f>(SUM(AX22:AZ22,AW22)/AZ123)</f>
        <v>-0.28916334512700476</v>
      </c>
      <c r="BA43" s="24">
        <f>(SUM(AX22:BA22)/BA123)</f>
        <v>-0.3007935235627871</v>
      </c>
      <c r="BB43" s="24">
        <f>(SUM(BB22,AZ22,BA22,AY22)/BB123)</f>
        <v>-0.40739095285444094</v>
      </c>
      <c r="BC43" s="24">
        <f>(SUM(BB22:BC22,AZ22,BA22)/BC123)</f>
        <v>-0.37531130043585498</v>
      </c>
      <c r="BD43" s="26"/>
      <c r="BE43" s="24"/>
      <c r="BF43" s="24"/>
      <c r="BG43" s="24"/>
      <c r="BH43" s="24">
        <f>(SUM(BH22,BF22,BG22,BE22)/BH123)</f>
        <v>-0.27350321751501416</v>
      </c>
      <c r="BI43" s="24">
        <f>(SUM(BI22,BG22,BH22,BF22)/BI123)</f>
        <v>-0.35843525547063959</v>
      </c>
      <c r="BJ43" s="26"/>
      <c r="BK43" s="24"/>
      <c r="BL43" s="24"/>
      <c r="BM43" s="74"/>
      <c r="BN43" s="24"/>
      <c r="BO43" s="24"/>
      <c r="BP43" s="186"/>
      <c r="BQ43" s="7"/>
      <c r="BR43" s="7"/>
      <c r="BS43" s="7"/>
    </row>
    <row r="44" spans="2:71" s="17" customFormat="1" ht="12.75">
      <c r="B44" s="356" t="s">
        <v>203</v>
      </c>
      <c r="C44" s="20">
        <f t="shared" ref="C44:G44" si="155">-(C28+C27)/C26</f>
        <v>0.15528894874934107</v>
      </c>
      <c r="D44" s="20">
        <f t="shared" si="155"/>
        <v>0.15036696757243881</v>
      </c>
      <c r="E44" s="20">
        <f t="shared" si="155"/>
        <v>0.19097129134015189</v>
      </c>
      <c r="F44" s="20">
        <f t="shared" si="155"/>
        <v>0.19114313008183767</v>
      </c>
      <c r="G44" s="20">
        <f t="shared" si="155"/>
        <v>0.19473628221245542</v>
      </c>
      <c r="H44" s="20">
        <f t="shared" ref="H44:I44" si="156">-(H28+H27)/H26</f>
        <v>-1.3027050784018961</v>
      </c>
      <c r="I44" s="20">
        <f t="shared" si="156"/>
        <v>-1.4449182658137776</v>
      </c>
      <c r="J44" s="20">
        <f t="shared" ref="J44" si="157">-(J28+J27)/J26</f>
        <v>-4.115892628887937E-2</v>
      </c>
      <c r="K44" s="20">
        <f t="shared" ref="K44" si="158">-(K28+K27)/K26</f>
        <v>0.11604730698589806</v>
      </c>
      <c r="L44" s="20">
        <f t="shared" ref="L44:M44" si="159">-(L28+L27)/L26</f>
        <v>0.11604725588295384</v>
      </c>
      <c r="M44" s="20">
        <f t="shared" si="159"/>
        <v>0.26894878213092244</v>
      </c>
      <c r="N44" s="20">
        <f t="shared" ref="N44:O44" si="160">-(N28+N27)/N26</f>
        <v>0.26894876138593654</v>
      </c>
      <c r="O44" s="20">
        <f t="shared" si="160"/>
        <v>0.22054841752769419</v>
      </c>
      <c r="P44" s="20">
        <f>-(P28+P27)/P26</f>
        <v>0.29258363553494743</v>
      </c>
      <c r="Q44" s="7"/>
      <c r="R44" s="20">
        <f t="shared" ref="R44:Y44" si="161">-(R28+R27)/R26</f>
        <v>0.22283069134113845</v>
      </c>
      <c r="S44" s="20">
        <f t="shared" si="161"/>
        <v>0.22218555285669025</v>
      </c>
      <c r="T44" s="20">
        <f t="shared" si="161"/>
        <v>0.18237240843316316</v>
      </c>
      <c r="U44" s="20">
        <f t="shared" si="161"/>
        <v>0.11003971564099053</v>
      </c>
      <c r="V44" s="24">
        <f t="shared" si="161"/>
        <v>0.20787747906391982</v>
      </c>
      <c r="W44" s="24">
        <f t="shared" si="161"/>
        <v>9.2416383695909113E-2</v>
      </c>
      <c r="X44" s="24">
        <f t="shared" si="161"/>
        <v>0.20119835182695942</v>
      </c>
      <c r="Y44" s="24">
        <f t="shared" si="161"/>
        <v>0.20237313625472081</v>
      </c>
      <c r="Z44" s="24">
        <f>-(Z28+Z27)/Z26</f>
        <v>0.37455900480312965</v>
      </c>
      <c r="AA44" s="24">
        <f>-(AA28+AA27)/AA26</f>
        <v>0.20907518179685672</v>
      </c>
      <c r="AB44" s="24">
        <f>-(AB28+AB27)/AB26</f>
        <v>0.19851068167430289</v>
      </c>
      <c r="AC44" s="24">
        <f t="shared" ref="AC44" si="162">-(AC28+AC27)/AC26</f>
        <v>0.1974992868460855</v>
      </c>
      <c r="AD44" s="24">
        <f>-(AD28+AD27)/AD26</f>
        <v>0.18605693588320421</v>
      </c>
      <c r="AE44" s="24">
        <f>-(AE28+AE27)/AE26</f>
        <v>0.38309339161247191</v>
      </c>
      <c r="AF44" s="24">
        <f>-(AF28+AF27)/AF26</f>
        <v>0.15575896262395195</v>
      </c>
      <c r="AG44" s="24">
        <f t="shared" ref="AG44" si="163">-(AG28+AG27)/AG26</f>
        <v>0.15835039480150545</v>
      </c>
      <c r="AH44" s="24">
        <f>-(AH28+AH27)/AH26</f>
        <v>-3.7975318551219002E-2</v>
      </c>
      <c r="AI44" s="24">
        <f>-(AI28+AI27)/AI26</f>
        <v>8.1640425140866404E-2</v>
      </c>
      <c r="AJ44" s="24">
        <f>-(AJ28+AJ27)/AJ26</f>
        <v>-2.2480612609104869</v>
      </c>
      <c r="AK44" s="24">
        <f t="shared" ref="AK44:AL44" si="164">-(AK28+AK27)/AK26</f>
        <v>-0.14488703866474803</v>
      </c>
      <c r="AL44" s="24">
        <f t="shared" si="164"/>
        <v>-3.8079700038552551E-2</v>
      </c>
      <c r="AM44" s="24">
        <f t="shared" ref="AM44:AR44" si="165">-(AM28+AM27)/AM26</f>
        <v>0.17668023349603068</v>
      </c>
      <c r="AN44" s="24">
        <f t="shared" si="165"/>
        <v>0.22761237661857903</v>
      </c>
      <c r="AO44" s="24">
        <f t="shared" si="165"/>
        <v>0.23150514926173088</v>
      </c>
      <c r="AP44" s="24">
        <f t="shared" si="165"/>
        <v>0.21433698703989176</v>
      </c>
      <c r="AQ44" s="24">
        <f t="shared" si="165"/>
        <v>-3.3867855016891324E-2</v>
      </c>
      <c r="AR44" s="24">
        <f t="shared" si="165"/>
        <v>0.2845468939547936</v>
      </c>
      <c r="AS44" s="24">
        <f t="shared" ref="AS44:AT44" si="166">-(AS28+AS27)/AS26</f>
        <v>0.21629639414431381</v>
      </c>
      <c r="AT44" s="24">
        <f t="shared" si="166"/>
        <v>-0.45358294880469152</v>
      </c>
      <c r="AU44" s="24">
        <f>-(AU28+AU27)/AU26</f>
        <v>0.31622256610523092</v>
      </c>
      <c r="AV44" s="24">
        <f>-(AV28+AV27)/AV26</f>
        <v>0.22932122400751234</v>
      </c>
      <c r="AW44" s="24">
        <f>-(AW28+AW27)/AW26</f>
        <v>0.59375513820268699</v>
      </c>
      <c r="AX44" s="24">
        <f t="shared" ref="AX44" si="167">-(AX28+AX27)/AX26</f>
        <v>0.15180134247679491</v>
      </c>
      <c r="AY44" s="24">
        <f>-(AY28+AY27)/AY26</f>
        <v>0.25422523624222837</v>
      </c>
      <c r="AZ44" s="24">
        <f>-(AZ28+AZ27)/AZ26</f>
        <v>0.21105599989983964</v>
      </c>
      <c r="BA44" s="24">
        <f>-(BA28+BA27)/BA26</f>
        <v>0.41915535413175592</v>
      </c>
      <c r="BB44" s="24">
        <f t="shared" ref="BB44" si="168">-(BB28+BB27)/BB26</f>
        <v>-1.1115070135212359</v>
      </c>
      <c r="BC44" s="24">
        <f>-(BC28+BC27)/BC26</f>
        <v>0.40548381359465568</v>
      </c>
      <c r="BD44" s="26"/>
      <c r="BE44" s="24">
        <f>-(BE28+BE27)/BE26</f>
        <v>0.31622241867537804</v>
      </c>
      <c r="BF44" s="24">
        <f>-(BF28+BF27)/BF26</f>
        <v>0.22932076657778988</v>
      </c>
      <c r="BG44" s="24">
        <f>-(BG28+BG27)/BG26</f>
        <v>0.59375473427860137</v>
      </c>
      <c r="BH44" s="24">
        <f>-(BH28+BH27)/BH26</f>
        <v>0.14019457577463332</v>
      </c>
      <c r="BI44" s="24">
        <f>-(BI28+BI27)/BI26</f>
        <v>0.25422516149488977</v>
      </c>
      <c r="BJ44" s="26"/>
      <c r="BK44" s="24">
        <f>-(BK28+BK27)/BK26</f>
        <v>0.28966041342451992</v>
      </c>
      <c r="BL44" s="24">
        <f>-(BL28+BL27)/BL26</f>
        <v>0.24527765764207274</v>
      </c>
      <c r="BM44" s="74"/>
      <c r="BN44" s="24">
        <f>-(BN28+BN27)/BN26</f>
        <v>0.340984763001072</v>
      </c>
      <c r="BO44" s="24">
        <f>-(BO28+BO27)/BO26</f>
        <v>0.29333649085877495</v>
      </c>
      <c r="BP44" s="186"/>
      <c r="BQ44" s="7"/>
      <c r="BR44" s="7"/>
      <c r="BS44" s="7"/>
    </row>
    <row r="45" spans="2:71" s="17" customFormat="1" ht="12.75">
      <c r="B45" s="25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7"/>
      <c r="R45" s="358"/>
      <c r="S45" s="358"/>
      <c r="T45" s="358"/>
      <c r="U45" s="358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26"/>
      <c r="BE45" s="186"/>
      <c r="BF45" s="186"/>
      <c r="BG45" s="186"/>
      <c r="BH45" s="186"/>
      <c r="BI45" s="186"/>
      <c r="BJ45" s="26"/>
      <c r="BK45" s="186"/>
      <c r="BL45" s="186"/>
      <c r="BM45" s="74"/>
      <c r="BN45" s="186"/>
      <c r="BO45" s="186"/>
      <c r="BP45" s="186"/>
      <c r="BQ45" s="7"/>
      <c r="BR45" s="7"/>
      <c r="BS45" s="7"/>
    </row>
    <row r="46" spans="2:71" ht="12.75">
      <c r="B46" s="59" t="s">
        <v>204</v>
      </c>
      <c r="C46" s="357">
        <f t="shared" ref="C46:P46" si="169">C63/C7</f>
        <v>1.5777208364161389E-2</v>
      </c>
      <c r="D46" s="357">
        <f t="shared" si="169"/>
        <v>1.2900650855594938E-2</v>
      </c>
      <c r="E46" s="357">
        <f t="shared" si="169"/>
        <v>-0.14559177823285605</v>
      </c>
      <c r="F46" s="357">
        <f t="shared" si="169"/>
        <v>-5.5149478670070431E-2</v>
      </c>
      <c r="G46" s="357">
        <f t="shared" si="169"/>
        <v>-9.6938567648218593E-2</v>
      </c>
      <c r="H46" s="357">
        <f t="shared" si="169"/>
        <v>-0.19345884368608959</v>
      </c>
      <c r="I46" s="357">
        <f t="shared" si="169"/>
        <v>-0.11367958977824719</v>
      </c>
      <c r="J46" s="357">
        <f t="shared" si="169"/>
        <v>-9.6091322079317587E-2</v>
      </c>
      <c r="K46" s="357">
        <f t="shared" si="169"/>
        <v>-7.667537410939626E-2</v>
      </c>
      <c r="L46" s="357">
        <f t="shared" si="169"/>
        <v>-7.6675383679775666E-2</v>
      </c>
      <c r="M46" s="357">
        <f t="shared" si="169"/>
        <v>-0.12653325454897163</v>
      </c>
      <c r="N46" s="357">
        <f t="shared" si="169"/>
        <v>-0.1265332463765825</v>
      </c>
      <c r="O46" s="357">
        <f t="shared" si="169"/>
        <v>-0.13175639668292102</v>
      </c>
      <c r="P46" s="357">
        <f t="shared" si="169"/>
        <v>-0.11643187866455927</v>
      </c>
      <c r="Q46" s="7"/>
      <c r="R46" s="357">
        <f t="shared" ref="R46:BC46" si="170">R63/R7</f>
        <v>-0.24838352194019989</v>
      </c>
      <c r="S46" s="357">
        <f t="shared" si="170"/>
        <v>-0.25387934943216667</v>
      </c>
      <c r="T46" s="357">
        <f t="shared" si="170"/>
        <v>-0.18656315687701125</v>
      </c>
      <c r="U46" s="357">
        <f t="shared" si="170"/>
        <v>4.6693457554056912E-2</v>
      </c>
      <c r="V46" s="357">
        <f t="shared" si="170"/>
        <v>-0.21248223810210259</v>
      </c>
      <c r="W46" s="357">
        <f t="shared" si="170"/>
        <v>-6.112613142118254E-2</v>
      </c>
      <c r="X46" s="357">
        <f t="shared" si="170"/>
        <v>-0.10982568885362645</v>
      </c>
      <c r="Y46" s="357">
        <f t="shared" si="170"/>
        <v>0.14045156539846021</v>
      </c>
      <c r="Z46" s="357">
        <f t="shared" si="170"/>
        <v>-0.20721880910355761</v>
      </c>
      <c r="AA46" s="357">
        <f t="shared" si="170"/>
        <v>-0.10142816443404747</v>
      </c>
      <c r="AB46" s="357">
        <f t="shared" si="170"/>
        <v>-0.22466898091752555</v>
      </c>
      <c r="AC46" s="357">
        <f t="shared" si="170"/>
        <v>0.11290369423244109</v>
      </c>
      <c r="AD46" s="357">
        <f t="shared" si="170"/>
        <v>-5.9606391545753805E-2</v>
      </c>
      <c r="AE46" s="357">
        <f t="shared" si="170"/>
        <v>-4.4134791473936626E-2</v>
      </c>
      <c r="AF46" s="357">
        <f t="shared" si="170"/>
        <v>-0.2348722318525415</v>
      </c>
      <c r="AG46" s="357">
        <f t="shared" si="170"/>
        <v>-0.33585501748384616</v>
      </c>
      <c r="AH46" s="357">
        <f t="shared" si="170"/>
        <v>-0.19525713309065654</v>
      </c>
      <c r="AI46" s="357">
        <f t="shared" si="170"/>
        <v>-0.14480102125807168</v>
      </c>
      <c r="AJ46" s="357">
        <f t="shared" si="170"/>
        <v>-0.25539701060831399</v>
      </c>
      <c r="AK46" s="357">
        <f t="shared" si="170"/>
        <v>7.4989518147493744E-2</v>
      </c>
      <c r="AL46" s="357">
        <f t="shared" si="170"/>
        <v>-3.3939176512106116E-2</v>
      </c>
      <c r="AM46" s="357">
        <f t="shared" si="170"/>
        <v>-0.28748369719364275</v>
      </c>
      <c r="AN46" s="357">
        <f t="shared" si="170"/>
        <v>-0.28031438551829713</v>
      </c>
      <c r="AO46" s="357">
        <f t="shared" si="170"/>
        <v>-8.1535523989329492E-2</v>
      </c>
      <c r="AP46" s="357">
        <f t="shared" si="170"/>
        <v>-0.11211877411952026</v>
      </c>
      <c r="AQ46" s="357">
        <f t="shared" si="170"/>
        <v>-9.1483488277222438E-3</v>
      </c>
      <c r="AR46" s="357">
        <f t="shared" si="170"/>
        <v>-1.9882864144935491E-2</v>
      </c>
      <c r="AS46" s="357">
        <f t="shared" si="170"/>
        <v>-2.0384009328198546E-2</v>
      </c>
      <c r="AT46" s="357">
        <f t="shared" si="170"/>
        <v>3.0062125863365693E-2</v>
      </c>
      <c r="AU46" s="357">
        <f t="shared" si="170"/>
        <v>-0.31228886212372714</v>
      </c>
      <c r="AV46" s="357">
        <f t="shared" si="170"/>
        <v>3.5918360628346316E-2</v>
      </c>
      <c r="AW46" s="357">
        <f t="shared" si="170"/>
        <v>-0.25376567514297466</v>
      </c>
      <c r="AX46" s="357">
        <f t="shared" si="170"/>
        <v>-1.459415722598747E-2</v>
      </c>
      <c r="AY46" s="357">
        <f t="shared" si="170"/>
        <v>-0.47290008495931579</v>
      </c>
      <c r="AZ46" s="357">
        <f t="shared" si="170"/>
        <v>-0.1173798670595074</v>
      </c>
      <c r="BA46" s="357">
        <f t="shared" si="170"/>
        <v>-0.12306413098542268</v>
      </c>
      <c r="BB46" s="357">
        <f t="shared" si="170"/>
        <v>0.10528316667245172</v>
      </c>
      <c r="BC46" s="357">
        <f t="shared" si="170"/>
        <v>-0.34931770003091744</v>
      </c>
      <c r="BD46" s="26"/>
      <c r="BE46" s="357">
        <f>BE63/BE7</f>
        <v>-0.31228886173341852</v>
      </c>
      <c r="BF46" s="357">
        <f>BF63/BF7</f>
        <v>4.4963630789062972E-2</v>
      </c>
      <c r="BG46" s="357">
        <f>BG63/BG7</f>
        <v>-0.2497352886147759</v>
      </c>
      <c r="BH46" s="357">
        <f>BH63/BH7</f>
        <v>-9.1208889387043406E-3</v>
      </c>
      <c r="BI46" s="357">
        <f>BI63/BI7</f>
        <v>-0.47290006512963823</v>
      </c>
      <c r="BJ46" s="26"/>
      <c r="BK46" s="357">
        <f>BK63/BK7</f>
        <v>-0.15239657202237666</v>
      </c>
      <c r="BL46" s="357">
        <f>BL63/BL7</f>
        <v>-0.29932462815857452</v>
      </c>
      <c r="BM46" s="74"/>
      <c r="BN46" s="28">
        <f>BN63/BN7</f>
        <v>-0.17562546935798198</v>
      </c>
      <c r="BO46" s="28">
        <f>BO63/BO7</f>
        <v>-0.22964447173689664</v>
      </c>
      <c r="BP46" s="28"/>
      <c r="BQ46" s="7"/>
      <c r="BR46" s="7"/>
      <c r="BS46" s="7"/>
    </row>
    <row r="47" spans="2:71" s="17" customFormat="1" ht="12.75">
      <c r="B47" s="59" t="s">
        <v>205</v>
      </c>
      <c r="C47" s="20">
        <f t="shared" ref="C47:P47" si="171">-C67/C7</f>
        <v>6.2923626322967038E-2</v>
      </c>
      <c r="D47" s="20">
        <f t="shared" si="171"/>
        <v>6.5941403102754287E-2</v>
      </c>
      <c r="E47" s="20">
        <f t="shared" si="171"/>
        <v>3.1087020620239283E-2</v>
      </c>
      <c r="F47" s="20">
        <f t="shared" si="171"/>
        <v>1.6407283240549932E-2</v>
      </c>
      <c r="G47" s="20">
        <f t="shared" si="171"/>
        <v>2.0112519480928393E-2</v>
      </c>
      <c r="H47" s="20">
        <f t="shared" si="171"/>
        <v>3.4892734193289025E-2</v>
      </c>
      <c r="I47" s="20">
        <f t="shared" si="171"/>
        <v>2.3793121266360028E-2</v>
      </c>
      <c r="J47" s="20">
        <f t="shared" si="171"/>
        <v>2.1841604758396537E-2</v>
      </c>
      <c r="K47" s="20">
        <f t="shared" si="171"/>
        <v>1.9838244193845701E-2</v>
      </c>
      <c r="L47" s="20">
        <f t="shared" si="171"/>
        <v>1.98382485440089E-2</v>
      </c>
      <c r="M47" s="20">
        <f t="shared" si="171"/>
        <v>3.0210799060542626E-2</v>
      </c>
      <c r="N47" s="20">
        <f t="shared" si="171"/>
        <v>3.021079381102677E-2</v>
      </c>
      <c r="O47" s="20">
        <f t="shared" si="171"/>
        <v>1.3889482524494234E-2</v>
      </c>
      <c r="P47" s="20">
        <f t="shared" si="171"/>
        <v>1.3246850270686587E-2</v>
      </c>
      <c r="Q47" s="7"/>
      <c r="R47" s="20">
        <f t="shared" ref="R47:BC47" si="172">-R67/R7</f>
        <v>2.9691196215075766E-2</v>
      </c>
      <c r="S47" s="20">
        <f t="shared" si="172"/>
        <v>4.1538739389561138E-2</v>
      </c>
      <c r="T47" s="20">
        <f t="shared" si="172"/>
        <v>4.7485034854911477E-2</v>
      </c>
      <c r="U47" s="20">
        <f t="shared" si="172"/>
        <v>1.1438503789195576E-2</v>
      </c>
      <c r="V47" s="20">
        <f t="shared" si="172"/>
        <v>9.7227084577524246E-3</v>
      </c>
      <c r="W47" s="20">
        <f t="shared" si="172"/>
        <v>1.2267522403210553E-2</v>
      </c>
      <c r="X47" s="20">
        <f t="shared" si="172"/>
        <v>1.5146512958313544E-2</v>
      </c>
      <c r="Y47" s="20">
        <f t="shared" si="172"/>
        <v>2.7075853467358878E-2</v>
      </c>
      <c r="Z47" s="20">
        <f t="shared" si="172"/>
        <v>8.9666962105544902E-3</v>
      </c>
      <c r="AA47" s="20">
        <f t="shared" si="172"/>
        <v>1.2114381847591274E-2</v>
      </c>
      <c r="AB47" s="20">
        <f t="shared" si="172"/>
        <v>1.6095664077379796E-2</v>
      </c>
      <c r="AC47" s="20">
        <f t="shared" si="172"/>
        <v>3.9948025398908814E-2</v>
      </c>
      <c r="AD47" s="20">
        <f t="shared" si="172"/>
        <v>-1.9485603852951914E-3</v>
      </c>
      <c r="AE47" s="20">
        <f t="shared" si="172"/>
        <v>2.3601566384100794E-2</v>
      </c>
      <c r="AF47" s="20">
        <f t="shared" si="172"/>
        <v>1.4560841198965233E-2</v>
      </c>
      <c r="AG47" s="20">
        <f t="shared" si="172"/>
        <v>7.8393514402082934E-2</v>
      </c>
      <c r="AH47" s="20">
        <f t="shared" si="172"/>
        <v>1.2658473011805263E-2</v>
      </c>
      <c r="AI47" s="20">
        <f t="shared" si="172"/>
        <v>1.7540020584065345E-2</v>
      </c>
      <c r="AJ47" s="20">
        <f t="shared" si="172"/>
        <v>1.9756581235911043E-2</v>
      </c>
      <c r="AK47" s="20">
        <f t="shared" si="172"/>
        <v>3.8483285645201405E-2</v>
      </c>
      <c r="AL47" s="20">
        <f t="shared" si="172"/>
        <v>2.4739189242909843E-2</v>
      </c>
      <c r="AM47" s="20">
        <f t="shared" si="172"/>
        <v>1.5092037426536005E-2</v>
      </c>
      <c r="AN47" s="20">
        <f t="shared" si="172"/>
        <v>1.4629971830628665E-2</v>
      </c>
      <c r="AO47" s="20">
        <f t="shared" si="172"/>
        <v>1.5865992055807424E-2</v>
      </c>
      <c r="AP47" s="20">
        <f t="shared" si="172"/>
        <v>1.5694853520372701E-2</v>
      </c>
      <c r="AQ47" s="20">
        <f t="shared" si="172"/>
        <v>2.2356389265554839E-2</v>
      </c>
      <c r="AR47" s="20">
        <f t="shared" si="172"/>
        <v>2.6022821872891212E-2</v>
      </c>
      <c r="AS47" s="20">
        <f t="shared" si="172"/>
        <v>1.131870828345191E-2</v>
      </c>
      <c r="AT47" s="20">
        <f t="shared" si="172"/>
        <v>2.1494530267778433E-2</v>
      </c>
      <c r="AU47" s="20">
        <f t="shared" si="172"/>
        <v>1.3571035587280116E-2</v>
      </c>
      <c r="AV47" s="20">
        <f t="shared" si="172"/>
        <v>2.240078582150792E-2</v>
      </c>
      <c r="AW47" s="20">
        <f t="shared" si="172"/>
        <v>3.628332079880614E-2</v>
      </c>
      <c r="AX47" s="20">
        <f t="shared" si="172"/>
        <v>4.102749945000584E-2</v>
      </c>
      <c r="AY47" s="20">
        <f t="shared" si="172"/>
        <v>6.511977438734216E-3</v>
      </c>
      <c r="AZ47" s="20">
        <f t="shared" si="172"/>
        <v>1.1933374924672616E-2</v>
      </c>
      <c r="BA47" s="20">
        <f t="shared" si="172"/>
        <v>2.4517678924430488E-2</v>
      </c>
      <c r="BB47" s="20">
        <f t="shared" si="172"/>
        <v>1.3175084594373349E-2</v>
      </c>
      <c r="BC47" s="20">
        <f t="shared" si="172"/>
        <v>5.7703524650979821E-3</v>
      </c>
      <c r="BD47" s="26"/>
      <c r="BE47" s="20">
        <f>-BE67/BE7</f>
        <v>1.357103231837967E-2</v>
      </c>
      <c r="BF47" s="20">
        <f>-BF67/BF7</f>
        <v>2.2007789778236492E-2</v>
      </c>
      <c r="BG47" s="20">
        <f>-BG67/BG7</f>
        <v>3.5842758509911352E-2</v>
      </c>
      <c r="BH47" s="20">
        <f>-BH67/BH7</f>
        <v>4.2906425511681119E-2</v>
      </c>
      <c r="BI47" s="20">
        <f>-BI67/BI7</f>
        <v>6.5120285778003583E-3</v>
      </c>
      <c r="BJ47" s="26"/>
      <c r="BK47" s="20">
        <f>-BK67/BK7</f>
        <v>1.665715224848819E-2</v>
      </c>
      <c r="BL47" s="20">
        <f>-BL67/BL7</f>
        <v>8.7284644001469174E-3</v>
      </c>
      <c r="BM47" s="74"/>
      <c r="BN47" s="20">
        <f>-BN67/BN7</f>
        <v>2.1876671036618771E-2</v>
      </c>
      <c r="BO47" s="20">
        <f>-BO67/BO7</f>
        <v>1.3268382569415498E-2</v>
      </c>
      <c r="BP47" s="186"/>
      <c r="BQ47" s="7"/>
      <c r="BR47" s="7"/>
      <c r="BS47" s="7"/>
    </row>
    <row r="48" spans="2:71" customFormat="1">
      <c r="P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26"/>
      <c r="BM48" s="74"/>
    </row>
    <row r="49" spans="2:72" ht="12.75">
      <c r="B49" s="12" t="s">
        <v>206</v>
      </c>
      <c r="C49" s="29">
        <f t="shared" ref="C49:O49" si="173">C3</f>
        <v>42735</v>
      </c>
      <c r="D49" s="29">
        <f t="shared" si="173"/>
        <v>43100</v>
      </c>
      <c r="E49" s="29">
        <f t="shared" si="173"/>
        <v>43465</v>
      </c>
      <c r="F49" s="29">
        <f t="shared" si="173"/>
        <v>43830</v>
      </c>
      <c r="G49" s="29">
        <f t="shared" si="173"/>
        <v>44196</v>
      </c>
      <c r="H49" s="29">
        <f t="shared" si="173"/>
        <v>44561</v>
      </c>
      <c r="I49" s="29">
        <f t="shared" si="173"/>
        <v>44926</v>
      </c>
      <c r="J49" s="29">
        <f t="shared" si="173"/>
        <v>44926</v>
      </c>
      <c r="K49" s="29">
        <f t="shared" si="173"/>
        <v>45291</v>
      </c>
      <c r="L49" s="29">
        <f t="shared" si="173"/>
        <v>45291</v>
      </c>
      <c r="M49" s="29">
        <f t="shared" si="173"/>
        <v>45657</v>
      </c>
      <c r="N49" s="29">
        <f t="shared" si="173"/>
        <v>45657</v>
      </c>
      <c r="O49" s="29">
        <f t="shared" si="173"/>
        <v>46022</v>
      </c>
      <c r="P49" s="29" t="str">
        <f>P2</f>
        <v>LTM</v>
      </c>
      <c r="Q49" s="7"/>
      <c r="R49" s="29">
        <f t="shared" ref="R49:BC49" si="174">R3</f>
        <v>43190</v>
      </c>
      <c r="S49" s="29">
        <f t="shared" si="174"/>
        <v>43281</v>
      </c>
      <c r="T49" s="29">
        <f t="shared" si="174"/>
        <v>43373</v>
      </c>
      <c r="U49" s="29">
        <f t="shared" si="174"/>
        <v>43465</v>
      </c>
      <c r="V49" s="29">
        <f t="shared" si="174"/>
        <v>43555</v>
      </c>
      <c r="W49" s="29">
        <f t="shared" si="174"/>
        <v>43646</v>
      </c>
      <c r="X49" s="29">
        <f t="shared" si="174"/>
        <v>43738</v>
      </c>
      <c r="Y49" s="29">
        <f t="shared" si="174"/>
        <v>43830</v>
      </c>
      <c r="Z49" s="29">
        <f t="shared" si="174"/>
        <v>43921</v>
      </c>
      <c r="AA49" s="29">
        <f t="shared" si="174"/>
        <v>44012</v>
      </c>
      <c r="AB49" s="29">
        <f t="shared" si="174"/>
        <v>44104</v>
      </c>
      <c r="AC49" s="29">
        <f t="shared" si="174"/>
        <v>44196</v>
      </c>
      <c r="AD49" s="29">
        <f t="shared" si="174"/>
        <v>44286</v>
      </c>
      <c r="AE49" s="29">
        <f t="shared" si="174"/>
        <v>44377</v>
      </c>
      <c r="AF49" s="29">
        <f t="shared" si="174"/>
        <v>44469</v>
      </c>
      <c r="AG49" s="29">
        <f t="shared" si="174"/>
        <v>44561</v>
      </c>
      <c r="AH49" s="29">
        <f t="shared" si="174"/>
        <v>44651</v>
      </c>
      <c r="AI49" s="29">
        <f t="shared" si="174"/>
        <v>44742</v>
      </c>
      <c r="AJ49" s="29">
        <f t="shared" si="174"/>
        <v>44834</v>
      </c>
      <c r="AK49" s="29">
        <f t="shared" si="174"/>
        <v>44926</v>
      </c>
      <c r="AL49" s="29">
        <f t="shared" si="174"/>
        <v>44926</v>
      </c>
      <c r="AM49" s="29">
        <f t="shared" si="174"/>
        <v>45016</v>
      </c>
      <c r="AN49" s="29">
        <f t="shared" si="174"/>
        <v>45016</v>
      </c>
      <c r="AO49" s="29">
        <f t="shared" si="174"/>
        <v>45107</v>
      </c>
      <c r="AP49" s="29">
        <f t="shared" si="174"/>
        <v>45107</v>
      </c>
      <c r="AQ49" s="29">
        <f t="shared" si="174"/>
        <v>45199</v>
      </c>
      <c r="AR49" s="29">
        <f t="shared" si="174"/>
        <v>45199</v>
      </c>
      <c r="AS49" s="29">
        <f t="shared" si="174"/>
        <v>45291</v>
      </c>
      <c r="AT49" s="29">
        <f t="shared" si="174"/>
        <v>45291</v>
      </c>
      <c r="AU49" s="29">
        <f t="shared" si="174"/>
        <v>45382</v>
      </c>
      <c r="AV49" s="29">
        <f t="shared" si="174"/>
        <v>45473</v>
      </c>
      <c r="AW49" s="29">
        <f t="shared" si="174"/>
        <v>45565</v>
      </c>
      <c r="AX49" s="29">
        <f t="shared" si="174"/>
        <v>45657</v>
      </c>
      <c r="AY49" s="29">
        <f t="shared" si="174"/>
        <v>45747</v>
      </c>
      <c r="AZ49" s="29">
        <f t="shared" si="174"/>
        <v>45838</v>
      </c>
      <c r="BA49" s="29">
        <f t="shared" si="174"/>
        <v>45930</v>
      </c>
      <c r="BB49" s="29">
        <f t="shared" si="174"/>
        <v>46022</v>
      </c>
      <c r="BC49" s="29">
        <f t="shared" si="174"/>
        <v>46112</v>
      </c>
      <c r="BD49" s="26"/>
      <c r="BE49" s="29">
        <f>BE3</f>
        <v>45382</v>
      </c>
      <c r="BF49" s="29">
        <f>BF3</f>
        <v>45473</v>
      </c>
      <c r="BG49" s="29">
        <f>BG3</f>
        <v>45565</v>
      </c>
      <c r="BH49" s="29">
        <f>BH3</f>
        <v>45656</v>
      </c>
      <c r="BI49" s="29">
        <f>BI3</f>
        <v>45747</v>
      </c>
      <c r="BJ49" s="26"/>
      <c r="BK49" s="29">
        <f>BK3</f>
        <v>45473</v>
      </c>
      <c r="BL49" s="29">
        <f>BL3</f>
        <v>45838</v>
      </c>
      <c r="BM49" s="74"/>
      <c r="BN49" s="29">
        <f>BN3</f>
        <v>45565</v>
      </c>
      <c r="BO49" s="29">
        <f>BO3</f>
        <v>45930</v>
      </c>
      <c r="BP49" s="234"/>
      <c r="BQ49" s="29">
        <f>BQ3</f>
        <v>44104</v>
      </c>
      <c r="BR49" s="29">
        <f>BR3</f>
        <v>44286</v>
      </c>
      <c r="BS49" s="29">
        <f>BS3</f>
        <v>44377</v>
      </c>
    </row>
    <row r="50" spans="2:72" s="7" customFormat="1" ht="12.75">
      <c r="B50" s="32" t="s">
        <v>187</v>
      </c>
      <c r="C50" s="16">
        <f t="shared" ref="C50:P50" si="175">+C19-C17-C18</f>
        <v>508.68141599999973</v>
      </c>
      <c r="D50" s="16">
        <f t="shared" si="175"/>
        <v>616.31200000000013</v>
      </c>
      <c r="E50" s="16">
        <f t="shared" si="175"/>
        <v>779.08399999999972</v>
      </c>
      <c r="F50" s="16">
        <f t="shared" si="175"/>
        <v>1153.7180000000001</v>
      </c>
      <c r="G50" s="16">
        <f t="shared" si="175"/>
        <v>1492.7380000000007</v>
      </c>
      <c r="H50" s="16">
        <f t="shared" si="175"/>
        <v>2429.9899999999989</v>
      </c>
      <c r="I50" s="16">
        <f t="shared" si="175"/>
        <v>5858.8969999999999</v>
      </c>
      <c r="J50" s="16">
        <f t="shared" si="175"/>
        <v>7058.0070000000014</v>
      </c>
      <c r="K50" s="16">
        <f t="shared" si="175"/>
        <v>10992.915000000008</v>
      </c>
      <c r="L50" s="16">
        <f t="shared" si="175"/>
        <v>15871.435999999998</v>
      </c>
      <c r="M50" s="16">
        <f t="shared" si="175"/>
        <v>14278.206999999991</v>
      </c>
      <c r="N50" s="16">
        <f t="shared" si="175"/>
        <v>18689.078000000009</v>
      </c>
      <c r="O50" s="16">
        <f t="shared" si="175"/>
        <v>16735.604999999996</v>
      </c>
      <c r="P50" s="16">
        <f t="shared" si="175"/>
        <v>15958.296999999979</v>
      </c>
      <c r="R50" s="16">
        <f t="shared" ref="R50:BC50" si="176">+R19-R17-R18</f>
        <v>188.76500000000004</v>
      </c>
      <c r="S50" s="16">
        <f t="shared" si="176"/>
        <v>168.57299999999998</v>
      </c>
      <c r="T50" s="16">
        <f t="shared" si="176"/>
        <v>221.387</v>
      </c>
      <c r="U50" s="16">
        <f t="shared" si="176"/>
        <v>200.35900000000021</v>
      </c>
      <c r="V50" s="16">
        <f t="shared" si="176"/>
        <v>296.3809999999998</v>
      </c>
      <c r="W50" s="16">
        <f t="shared" si="176"/>
        <v>278.09999999999991</v>
      </c>
      <c r="X50" s="16">
        <f t="shared" si="176"/>
        <v>260.21200000000005</v>
      </c>
      <c r="Y50" s="16">
        <f t="shared" si="176"/>
        <v>319.02499999999969</v>
      </c>
      <c r="Z50" s="16">
        <f t="shared" si="176"/>
        <v>397.20700000000016</v>
      </c>
      <c r="AA50" s="16">
        <f t="shared" si="176"/>
        <v>343.39099999999996</v>
      </c>
      <c r="AB50" s="16">
        <f t="shared" si="176"/>
        <v>387.52599999999984</v>
      </c>
      <c r="AC50" s="16">
        <f t="shared" si="176"/>
        <v>364.61400000000106</v>
      </c>
      <c r="AD50" s="16">
        <f t="shared" si="176"/>
        <v>465.37299999999976</v>
      </c>
      <c r="AE50" s="16">
        <f t="shared" si="176"/>
        <v>297.64900000000017</v>
      </c>
      <c r="AF50" s="16">
        <f t="shared" si="176"/>
        <v>449.30499999999978</v>
      </c>
      <c r="AG50" s="16">
        <f t="shared" si="176"/>
        <v>1217.6630000000002</v>
      </c>
      <c r="AH50" s="16">
        <f t="shared" si="176"/>
        <v>1334.5940000000001</v>
      </c>
      <c r="AI50" s="16">
        <f t="shared" si="176"/>
        <v>1285.1190000000001</v>
      </c>
      <c r="AJ50" s="16">
        <f t="shared" si="176"/>
        <v>1545.8719999999998</v>
      </c>
      <c r="AK50" s="16">
        <f t="shared" si="176"/>
        <v>1693.3119999999985</v>
      </c>
      <c r="AL50" s="16">
        <f t="shared" si="176"/>
        <v>2892.4219999999978</v>
      </c>
      <c r="AM50" s="16">
        <f t="shared" si="176"/>
        <v>2248.7499999999995</v>
      </c>
      <c r="AN50" s="16">
        <f t="shared" si="176"/>
        <v>3254.1960000000004</v>
      </c>
      <c r="AO50" s="16">
        <f t="shared" si="176"/>
        <v>2826.7289999999989</v>
      </c>
      <c r="AP50" s="16">
        <f t="shared" si="176"/>
        <v>4246.4709999999986</v>
      </c>
      <c r="AQ50" s="16">
        <f t="shared" si="176"/>
        <v>2455.8449999999984</v>
      </c>
      <c r="AR50" s="16">
        <f t="shared" si="176"/>
        <v>3178.7129999999997</v>
      </c>
      <c r="AS50" s="16">
        <f t="shared" si="176"/>
        <v>3461.5910000000049</v>
      </c>
      <c r="AT50" s="16">
        <f t="shared" si="176"/>
        <v>5192.0559999999959</v>
      </c>
      <c r="AU50" s="16">
        <f t="shared" si="176"/>
        <v>4189.3070000000007</v>
      </c>
      <c r="AV50" s="16">
        <f t="shared" si="176"/>
        <v>2569.6869999999994</v>
      </c>
      <c r="AW50" s="16">
        <f t="shared" si="176"/>
        <v>2441.3719999999989</v>
      </c>
      <c r="AX50" s="16">
        <f t="shared" si="176"/>
        <v>5077.8409999999958</v>
      </c>
      <c r="AY50" s="16">
        <f t="shared" si="176"/>
        <v>5374.6049999999987</v>
      </c>
      <c r="AZ50" s="16">
        <f t="shared" si="176"/>
        <v>2920.3410000000013</v>
      </c>
      <c r="BA50" s="16">
        <f t="shared" si="176"/>
        <v>4087.682000000003</v>
      </c>
      <c r="BB50" s="16">
        <f t="shared" si="176"/>
        <v>4352.9769999999799</v>
      </c>
      <c r="BC50" s="16">
        <f t="shared" si="176"/>
        <v>4597.2970000000032</v>
      </c>
      <c r="BD50" s="26"/>
      <c r="BE50" s="16">
        <f>+BE19-BE17-BE18</f>
        <v>5785.5929999999998</v>
      </c>
      <c r="BF50" s="16">
        <f>+BF19-BF17-BF18</f>
        <v>3470.3270000000011</v>
      </c>
      <c r="BG50" s="16">
        <f>+BG19-BG17-BG18</f>
        <v>3254.2030000000022</v>
      </c>
      <c r="BH50" s="16">
        <f>+BH19-BH17-BH18</f>
        <v>6178.9550000000054</v>
      </c>
      <c r="BI50" s="16">
        <f>+BI19-BI17-BI18</f>
        <v>7033.6309999999985</v>
      </c>
      <c r="BJ50" s="26"/>
      <c r="BK50" s="16">
        <f>+BK19-BK17-BK18</f>
        <v>9603.4449999999997</v>
      </c>
      <c r="BL50" s="16">
        <f>+BL19-BL17-BL18</f>
        <v>8617.783999999996</v>
      </c>
      <c r="BM50" s="74"/>
      <c r="BN50" s="16">
        <f>+BN19-BN17-BN18</f>
        <v>13578.326999999996</v>
      </c>
      <c r="BO50" s="16">
        <f>+BO19-BO17-BO18</f>
        <v>13352.177999999993</v>
      </c>
      <c r="BP50" s="16"/>
      <c r="BQ50" s="16">
        <f>+BQ19</f>
        <v>1782.0550000000001</v>
      </c>
      <c r="BR50" s="16">
        <f>+BR19</f>
        <v>1976.7060000000001</v>
      </c>
      <c r="BS50" s="16">
        <f>+BS19</f>
        <v>1205.5059999999999</v>
      </c>
    </row>
    <row r="51" spans="2:72" ht="12.75">
      <c r="B51" s="25" t="s">
        <v>207</v>
      </c>
      <c r="C51" s="22">
        <f>86.519348+0.851524</f>
        <v>87.370871999999991</v>
      </c>
      <c r="D51" s="22">
        <f>115.062+0.798</f>
        <v>115.86</v>
      </c>
      <c r="E51" s="22">
        <f>145.905+3.399</f>
        <v>149.304</v>
      </c>
      <c r="F51" s="22">
        <f>165.471+5.639</f>
        <v>171.11</v>
      </c>
      <c r="G51" s="22">
        <f>183.867+2.604</f>
        <v>186.471</v>
      </c>
      <c r="H51" s="22">
        <f>225.794+4.215</f>
        <v>230.00900000000001</v>
      </c>
      <c r="I51" s="22">
        <f>342.489+6.285</f>
        <v>348.774</v>
      </c>
      <c r="J51" s="22">
        <f>1154.835+12.932</f>
        <v>1167.7670000000001</v>
      </c>
      <c r="K51" s="22">
        <f>1174.464+9.644</f>
        <v>1184.1079999999999</v>
      </c>
      <c r="L51" s="22">
        <f>1695.678+13.923</f>
        <v>1709.6010000000001</v>
      </c>
      <c r="M51" s="22">
        <f>1808.041+12.585</f>
        <v>1820.626</v>
      </c>
      <c r="N51" s="22">
        <f>2366.588+16.472</f>
        <v>2383.0600000000004</v>
      </c>
      <c r="O51" s="22">
        <f>2437.961+14.136</f>
        <v>2452.0969999999998</v>
      </c>
      <c r="P51" s="23">
        <f>SUM(BB51,BC51,AZ51,BA51)</f>
        <v>2814.6439999999998</v>
      </c>
      <c r="Q51" s="7"/>
      <c r="R51" s="22">
        <f>33.732+0.775</f>
        <v>34.506999999999998</v>
      </c>
      <c r="S51" s="22">
        <f>67.189+1.633-R51</f>
        <v>34.314999999999991</v>
      </c>
      <c r="T51" s="22">
        <f>104.98+2.537-S51-R51</f>
        <v>38.695000000000029</v>
      </c>
      <c r="U51" s="23">
        <f>+E51-SUM(R51:T51)</f>
        <v>41.786999999999978</v>
      </c>
      <c r="V51" s="22">
        <f>40.052+1.237</f>
        <v>41.289000000000001</v>
      </c>
      <c r="W51" s="22">
        <f>82.148+2.616-V51</f>
        <v>43.474999999999994</v>
      </c>
      <c r="X51" s="22">
        <f>121.942+4.172-V51-W51</f>
        <v>41.349999999999994</v>
      </c>
      <c r="Y51" s="23">
        <f>+F51-SUM(V51:X51)</f>
        <v>44.996000000000024</v>
      </c>
      <c r="Z51" s="22">
        <f>43.455+0.56</f>
        <v>44.015000000000001</v>
      </c>
      <c r="AA51" s="22">
        <f>88.657+1.128-Z51</f>
        <v>45.769999999999996</v>
      </c>
      <c r="AB51" s="22">
        <f>134.501+1.896-AA51-Z51</f>
        <v>46.611999999999995</v>
      </c>
      <c r="AC51" s="23">
        <f>G51-SUM(Z51:AB51)</f>
        <v>50.074000000000012</v>
      </c>
      <c r="AD51" s="22">
        <f>48.785+0.686</f>
        <v>49.470999999999997</v>
      </c>
      <c r="AE51" s="22">
        <f>99.751+1.432-AD51</f>
        <v>51.71200000000001</v>
      </c>
      <c r="AF51" s="22">
        <f>164.189+4.3-AE51-AD51</f>
        <v>67.305999999999983</v>
      </c>
      <c r="AG51" s="23">
        <f>H51-SUM(AD51:AF51)</f>
        <v>61.520000000000039</v>
      </c>
      <c r="AH51" s="22">
        <f>76.783+1.282</f>
        <v>78.064999999999998</v>
      </c>
      <c r="AI51" s="22">
        <f>159.031+2.523-AH51</f>
        <v>83.489000000000004</v>
      </c>
      <c r="AJ51" s="22">
        <f>246.29+4.119-AI51-AH51</f>
        <v>88.85499999999999</v>
      </c>
      <c r="AK51" s="23">
        <f>I51-SUM(AH51:AJ51)</f>
        <v>98.365000000000009</v>
      </c>
      <c r="AL51" s="23">
        <f>J51-SUM(AI51:AK51)</f>
        <v>897.05799999999999</v>
      </c>
      <c r="AM51" s="22">
        <f>113.611+1.267</f>
        <v>114.878</v>
      </c>
      <c r="AN51" s="22">
        <f>358.327+2.509</f>
        <v>360.83600000000001</v>
      </c>
      <c r="AO51" s="22">
        <f>223.576+3.127-AM51</f>
        <v>111.825</v>
      </c>
      <c r="AP51" s="22">
        <f>770.005+6.511-AH51</f>
        <v>698.45100000000002</v>
      </c>
      <c r="AQ51" s="22">
        <f>351.41+5.87-AO51-AM51</f>
        <v>130.57700000000006</v>
      </c>
      <c r="AR51" s="22">
        <f>1220.177+10.057-AP51-AN51</f>
        <v>170.94699999999989</v>
      </c>
      <c r="AS51" s="23">
        <f>K51-SUM(AM51,AO51,AQ51)</f>
        <v>826.82799999999986</v>
      </c>
      <c r="AT51" s="23">
        <f>L51-SUM(AN51,AP51,AR51)</f>
        <v>479.36700000000019</v>
      </c>
      <c r="AU51" s="214">
        <f>371.116+5.886</f>
        <v>377.00200000000001</v>
      </c>
      <c r="AV51" s="22">
        <f>769.522+5.821-AU51</f>
        <v>398.34100000000007</v>
      </c>
      <c r="AW51" s="22">
        <f>1214.324+9.947-AU51-AV51</f>
        <v>448.92799999999994</v>
      </c>
      <c r="AX51" s="23">
        <f>M51-SUM(AU51,AV51,AW51)</f>
        <v>596.35500000000002</v>
      </c>
      <c r="AY51" s="214">
        <f>517.634+3.355</f>
        <v>520.98900000000003</v>
      </c>
      <c r="AZ51" s="22">
        <f>1059.741+6.254-AY51</f>
        <v>545.00599999999986</v>
      </c>
      <c r="BA51" s="23">
        <f>BO51-AZ51-AY51</f>
        <v>704.98900000000003</v>
      </c>
      <c r="BB51" s="23">
        <f>O51-SUM(AY51,AZ51,BA51)</f>
        <v>681.11299999999983</v>
      </c>
      <c r="BC51" s="214">
        <f>868.997+14.539</f>
        <v>883.53599999999994</v>
      </c>
      <c r="BD51" s="26"/>
      <c r="BE51" s="214">
        <f>512.525+8.129</f>
        <v>520.654</v>
      </c>
      <c r="BF51" s="214">
        <f>1039.228+7.862-BE51</f>
        <v>526.43600000000015</v>
      </c>
      <c r="BG51" s="298">
        <f>BN51-BF51-BE51</f>
        <v>584.79</v>
      </c>
      <c r="BH51" s="23">
        <f>N51-SUM(BE51,BF51,BG51)</f>
        <v>751.18000000000029</v>
      </c>
      <c r="BI51" s="214">
        <f>677.416+4.391</f>
        <v>681.80700000000002</v>
      </c>
      <c r="BJ51" s="26"/>
      <c r="BK51" s="214">
        <f>1039.228+7.862</f>
        <v>1047.0900000000001</v>
      </c>
      <c r="BL51" s="214">
        <f>1059.741+6.254</f>
        <v>1065.9949999999999</v>
      </c>
      <c r="BM51" s="74"/>
      <c r="BN51" s="214">
        <f>1618.621+13.259</f>
        <v>1631.88</v>
      </c>
      <c r="BO51" s="214">
        <f>1760.946+10.038</f>
        <v>1770.9839999999999</v>
      </c>
      <c r="BP51" s="22"/>
      <c r="BQ51" s="22">
        <f>143.816+1.997-Z51-AA51</f>
        <v>56.02800000000002</v>
      </c>
      <c r="BR51" s="22">
        <f>52.202+0.77</f>
        <v>52.972000000000001</v>
      </c>
      <c r="BS51" s="22">
        <f>107.55+1.56-BR51</f>
        <v>56.137999999999998</v>
      </c>
    </row>
    <row r="52" spans="2:72" s="7" customFormat="1" ht="12.75">
      <c r="B52" s="7" t="s">
        <v>206</v>
      </c>
      <c r="C52" s="16">
        <f t="shared" ref="C52:G52" si="177">SUM(C50:C51)</f>
        <v>596.05228799999975</v>
      </c>
      <c r="D52" s="16">
        <f t="shared" si="177"/>
        <v>732.17200000000014</v>
      </c>
      <c r="E52" s="16">
        <f t="shared" si="177"/>
        <v>928.38799999999969</v>
      </c>
      <c r="F52" s="16">
        <f t="shared" si="177"/>
        <v>1324.828</v>
      </c>
      <c r="G52" s="16">
        <f t="shared" si="177"/>
        <v>1679.2090000000007</v>
      </c>
      <c r="H52" s="16">
        <f t="shared" ref="H52:I52" si="178">SUM(H50:H51)</f>
        <v>2659.9989999999989</v>
      </c>
      <c r="I52" s="16">
        <f t="shared" si="178"/>
        <v>6207.6710000000003</v>
      </c>
      <c r="J52" s="16">
        <f t="shared" ref="J52" si="179">SUM(J50:J51)</f>
        <v>8225.7740000000013</v>
      </c>
      <c r="K52" s="16">
        <f t="shared" ref="K52" si="180">SUM(K50:K51)</f>
        <v>12177.023000000008</v>
      </c>
      <c r="L52" s="16">
        <f t="shared" ref="L52:M52" si="181">SUM(L50:L51)</f>
        <v>17581.036999999997</v>
      </c>
      <c r="M52" s="16">
        <f t="shared" si="181"/>
        <v>16098.832999999991</v>
      </c>
      <c r="N52" s="16">
        <f t="shared" ref="N52:O52" si="182">SUM(N50:N51)</f>
        <v>21072.13800000001</v>
      </c>
      <c r="O52" s="16">
        <f t="shared" si="182"/>
        <v>19187.701999999997</v>
      </c>
      <c r="P52" s="16">
        <f>SUM(P50:P51)</f>
        <v>18772.940999999977</v>
      </c>
      <c r="R52" s="16">
        <f>SUM(R50:R51)</f>
        <v>223.27200000000005</v>
      </c>
      <c r="S52" s="16">
        <f>SUM(S50:S51)</f>
        <v>202.88799999999998</v>
      </c>
      <c r="T52" s="16">
        <f>SUM(T50:T51)</f>
        <v>260.08200000000005</v>
      </c>
      <c r="U52" s="16">
        <f t="shared" ref="U52:AB52" si="183">SUM(U50:U51)</f>
        <v>242.14600000000019</v>
      </c>
      <c r="V52" s="16">
        <f t="shared" si="183"/>
        <v>337.66999999999979</v>
      </c>
      <c r="W52" s="16">
        <f t="shared" si="183"/>
        <v>321.57499999999993</v>
      </c>
      <c r="X52" s="16">
        <f t="shared" si="183"/>
        <v>301.56200000000001</v>
      </c>
      <c r="Y52" s="16">
        <f t="shared" si="183"/>
        <v>364.02099999999973</v>
      </c>
      <c r="Z52" s="16">
        <f t="shared" si="183"/>
        <v>441.22200000000015</v>
      </c>
      <c r="AA52" s="16">
        <f t="shared" si="183"/>
        <v>389.16099999999994</v>
      </c>
      <c r="AB52" s="16">
        <f t="shared" si="183"/>
        <v>434.13799999999981</v>
      </c>
      <c r="AC52" s="16">
        <f t="shared" ref="AC52:AF52" si="184">SUM(AC50:AC51)</f>
        <v>414.68800000000107</v>
      </c>
      <c r="AD52" s="16">
        <f t="shared" si="184"/>
        <v>514.84399999999971</v>
      </c>
      <c r="AE52" s="16">
        <f t="shared" si="184"/>
        <v>349.36100000000016</v>
      </c>
      <c r="AF52" s="16">
        <f t="shared" si="184"/>
        <v>516.61099999999976</v>
      </c>
      <c r="AG52" s="16">
        <f t="shared" ref="AG52:AH52" si="185">SUM(AG50:AG51)</f>
        <v>1279.1830000000002</v>
      </c>
      <c r="AH52" s="16">
        <f t="shared" si="185"/>
        <v>1412.6590000000001</v>
      </c>
      <c r="AI52" s="16">
        <f t="shared" ref="AI52:AM52" si="186">SUM(AI50:AI51)</f>
        <v>1368.6080000000002</v>
      </c>
      <c r="AJ52" s="16">
        <f t="shared" si="186"/>
        <v>1634.7269999999999</v>
      </c>
      <c r="AK52" s="16">
        <f t="shared" si="186"/>
        <v>1791.6769999999985</v>
      </c>
      <c r="AL52" s="16">
        <f t="shared" ref="AL52" si="187">SUM(AL50:AL51)</f>
        <v>3789.4799999999977</v>
      </c>
      <c r="AM52" s="16">
        <f t="shared" si="186"/>
        <v>2363.6279999999997</v>
      </c>
      <c r="AN52" s="16">
        <f t="shared" ref="AN52" si="188">SUM(AN50:AN51)</f>
        <v>3615.0320000000002</v>
      </c>
      <c r="AO52" s="16">
        <f>SUM(AO50:AO51)</f>
        <v>2938.5539999999987</v>
      </c>
      <c r="AP52" s="16">
        <f>SUM(AP50:AP51)</f>
        <v>4944.9219999999987</v>
      </c>
      <c r="AQ52" s="16">
        <f t="shared" ref="AQ52:AU52" si="189">SUM(AQ50:AQ51)</f>
        <v>2586.4219999999987</v>
      </c>
      <c r="AR52" s="16">
        <f t="shared" ref="AR52" si="190">SUM(AR50:AR51)</f>
        <v>3349.66</v>
      </c>
      <c r="AS52" s="16">
        <f t="shared" si="189"/>
        <v>4288.4190000000044</v>
      </c>
      <c r="AT52" s="16">
        <f t="shared" ref="AT52" si="191">SUM(AT50:AT51)</f>
        <v>5671.4229999999961</v>
      </c>
      <c r="AU52" s="16">
        <f t="shared" si="189"/>
        <v>4566.3090000000011</v>
      </c>
      <c r="AV52" s="16">
        <f>SUM(AV50:AV51)</f>
        <v>2968.0279999999993</v>
      </c>
      <c r="AW52" s="16">
        <f t="shared" ref="AW52:AY52" si="192">SUM(AW50:AW51)</f>
        <v>2890.2999999999988</v>
      </c>
      <c r="AX52" s="16">
        <f t="shared" si="192"/>
        <v>5674.1959999999963</v>
      </c>
      <c r="AY52" s="16">
        <f t="shared" si="192"/>
        <v>5895.5939999999991</v>
      </c>
      <c r="AZ52" s="16">
        <f>SUM(AZ50:AZ51)</f>
        <v>3465.3470000000011</v>
      </c>
      <c r="BA52" s="16">
        <f t="shared" ref="BA52:BC52" si="193">SUM(BA50:BA51)</f>
        <v>4792.671000000003</v>
      </c>
      <c r="BB52" s="16">
        <f t="shared" si="193"/>
        <v>5034.0899999999801</v>
      </c>
      <c r="BC52" s="16">
        <f t="shared" si="193"/>
        <v>5480.8330000000033</v>
      </c>
      <c r="BD52" s="26"/>
      <c r="BE52" s="16">
        <f>SUM(BE50:BE51)</f>
        <v>6306.2469999999994</v>
      </c>
      <c r="BF52" s="16">
        <f>SUM(BF50:BF51)</f>
        <v>3996.7630000000013</v>
      </c>
      <c r="BG52" s="16">
        <f>SUM(BG50:BG51)</f>
        <v>3838.9930000000022</v>
      </c>
      <c r="BH52" s="16">
        <f>SUM(BH50:BH51)</f>
        <v>6930.1350000000057</v>
      </c>
      <c r="BI52" s="16">
        <f>SUM(BI50:BI51)</f>
        <v>7715.4379999999983</v>
      </c>
      <c r="BJ52" s="26"/>
      <c r="BK52" s="16">
        <f>SUM(BK50:BK51)</f>
        <v>10650.535</v>
      </c>
      <c r="BL52" s="16">
        <f>SUM(BL50:BL51)</f>
        <v>9683.778999999995</v>
      </c>
      <c r="BM52" s="74"/>
      <c r="BN52" s="16">
        <f>SUM(BN50:BN51)</f>
        <v>15210.206999999995</v>
      </c>
      <c r="BO52" s="16">
        <f>SUM(BO50:BO51)</f>
        <v>15123.161999999993</v>
      </c>
      <c r="BP52" s="16"/>
      <c r="BQ52" s="16">
        <f t="shared" ref="BQ52:BR52" si="194">SUM(BQ50:BQ51)</f>
        <v>1838.0830000000001</v>
      </c>
      <c r="BR52" s="16">
        <f t="shared" si="194"/>
        <v>2029.6780000000001</v>
      </c>
      <c r="BS52" s="16">
        <f t="shared" ref="BS52" si="195">SUM(BS50:BS51)</f>
        <v>1261.6439999999998</v>
      </c>
    </row>
    <row r="53" spans="2:72" s="17" customFormat="1" ht="12.75">
      <c r="B53" s="18" t="s">
        <v>176</v>
      </c>
      <c r="C53" s="19"/>
      <c r="D53" s="19">
        <f t="shared" ref="D53:J53" si="196">+D52/C52-1</f>
        <v>0.22836874338111834</v>
      </c>
      <c r="E53" s="19">
        <f t="shared" si="196"/>
        <v>0.26799167408750879</v>
      </c>
      <c r="F53" s="19">
        <f t="shared" si="196"/>
        <v>0.42701973743736499</v>
      </c>
      <c r="G53" s="19">
        <f t="shared" si="196"/>
        <v>0.26749208199102137</v>
      </c>
      <c r="H53" s="19">
        <f t="shared" si="196"/>
        <v>0.58407857509100869</v>
      </c>
      <c r="I53" s="19">
        <f t="shared" si="196"/>
        <v>1.3337117795908955</v>
      </c>
      <c r="J53" s="19">
        <f t="shared" si="196"/>
        <v>0.3250982534351452</v>
      </c>
      <c r="K53" s="19">
        <f>+K52/J52-1</f>
        <v>0.48034981267416366</v>
      </c>
      <c r="L53" s="19">
        <f>+L52/K52-1</f>
        <v>0.44378777965681637</v>
      </c>
      <c r="M53" s="19">
        <f>+M52/L52-1</f>
        <v>-8.4306972336160024E-2</v>
      </c>
      <c r="N53" s="19">
        <f>+N52/M52-1</f>
        <v>0.30892332382105092</v>
      </c>
      <c r="O53" s="19">
        <f>+O52/N52-1</f>
        <v>-8.942785017827859E-2</v>
      </c>
      <c r="P53" s="19"/>
      <c r="Q53" s="7"/>
      <c r="R53" s="19"/>
      <c r="S53" s="19"/>
      <c r="T53" s="19"/>
      <c r="U53" s="20"/>
      <c r="V53" s="21">
        <f t="shared" ref="V53:AL53" si="197">V52/R52-1</f>
        <v>0.51237056146762572</v>
      </c>
      <c r="W53" s="21">
        <f t="shared" si="197"/>
        <v>0.58498777650723532</v>
      </c>
      <c r="X53" s="21">
        <f t="shared" si="197"/>
        <v>0.15948816142601152</v>
      </c>
      <c r="Y53" s="21">
        <f t="shared" si="197"/>
        <v>0.50331205140700019</v>
      </c>
      <c r="Z53" s="21">
        <f>Z52/V52-1</f>
        <v>0.30666627180383332</v>
      </c>
      <c r="AA53" s="21">
        <f>AA52/W52-1</f>
        <v>0.21017181061960666</v>
      </c>
      <c r="AB53" s="21">
        <f>AB52/X52-1</f>
        <v>0.43963098798920219</v>
      </c>
      <c r="AC53" s="21">
        <f>AC52/Y52-1</f>
        <v>0.13918702492439006</v>
      </c>
      <c r="AD53" s="21">
        <f t="shared" si="197"/>
        <v>0.16685931345218408</v>
      </c>
      <c r="AE53" s="21">
        <f t="shared" si="197"/>
        <v>-0.10227129645570798</v>
      </c>
      <c r="AF53" s="21">
        <f t="shared" si="197"/>
        <v>0.18996954885312967</v>
      </c>
      <c r="AG53" s="21">
        <f t="shared" si="197"/>
        <v>2.0846877652596576</v>
      </c>
      <c r="AH53" s="21">
        <f t="shared" si="197"/>
        <v>1.7438583337865468</v>
      </c>
      <c r="AI53" s="21">
        <f t="shared" si="197"/>
        <v>2.917460735457019</v>
      </c>
      <c r="AJ53" s="21">
        <f t="shared" si="197"/>
        <v>2.164328672831203</v>
      </c>
      <c r="AK53" s="21">
        <f t="shared" si="197"/>
        <v>0.40064165955926412</v>
      </c>
      <c r="AL53" s="21">
        <f t="shared" si="197"/>
        <v>1.6825157380514315</v>
      </c>
      <c r="AM53" s="21">
        <f>AM52/AH52-1</f>
        <v>0.67317661233177972</v>
      </c>
      <c r="AN53" s="21">
        <f>AN52/AI52-1</f>
        <v>1.6413932988847062</v>
      </c>
      <c r="AO53" s="21">
        <f>AO52/AI52-1</f>
        <v>1.1471115176880438</v>
      </c>
      <c r="AP53" s="21">
        <f t="shared" ref="AP53:AQ53" si="198">AP52/AI52-1</f>
        <v>2.6131032406649664</v>
      </c>
      <c r="AQ53" s="21">
        <f t="shared" si="198"/>
        <v>0.58217365957740896</v>
      </c>
      <c r="AR53" s="21">
        <f>AR52/AJ52-1</f>
        <v>1.0490638498048912</v>
      </c>
      <c r="AS53" s="21">
        <f>AS52/AK52-1</f>
        <v>1.3935223815453388</v>
      </c>
      <c r="AT53" s="21">
        <f>AT52/AL52-1</f>
        <v>0.49662301951718946</v>
      </c>
      <c r="AU53" s="21">
        <f>AU52/AN52-1</f>
        <v>0.26314483523244081</v>
      </c>
      <c r="AV53" s="21">
        <f>AV52/AP52-1</f>
        <v>-0.3997826457121062</v>
      </c>
      <c r="AW53" s="21">
        <f>AW52/AR52-1</f>
        <v>-0.13713630637139318</v>
      </c>
      <c r="AX53" s="21">
        <f>AX52/AT52-1</f>
        <v>4.8894254581255403E-4</v>
      </c>
      <c r="AY53" s="21">
        <f>AY52/BE52-1</f>
        <v>-6.5118445249607304E-2</v>
      </c>
      <c r="AZ53" s="21">
        <f>AZ52/BF52-1</f>
        <v>-0.13296159917413164</v>
      </c>
      <c r="BA53" s="21">
        <f>BA52/BG52-1</f>
        <v>0.24841879107359666</v>
      </c>
      <c r="BB53" s="21">
        <f>BB52/AX52-1</f>
        <v>-0.11280999105424216</v>
      </c>
      <c r="BC53" s="21">
        <f>BC52/BI52-1</f>
        <v>-0.28962775671322816</v>
      </c>
      <c r="BD53" s="26"/>
      <c r="BE53" s="21">
        <f>BE52/AN52-1</f>
        <v>0.74445122477477343</v>
      </c>
      <c r="BF53" s="21">
        <f>BF52/AP52-1</f>
        <v>-0.19174397493024109</v>
      </c>
      <c r="BG53" s="21">
        <f>BG52/AR52-1</f>
        <v>0.14608437871306412</v>
      </c>
      <c r="BH53" s="21">
        <f>BH52/AS52-1</f>
        <v>0.6160116350571152</v>
      </c>
      <c r="BI53" s="21">
        <f>BI52/BE52-1</f>
        <v>0.22345953147727937</v>
      </c>
      <c r="BJ53" s="26"/>
      <c r="BK53" s="21"/>
      <c r="BL53" s="21">
        <f>BL52/BK52-1</f>
        <v>-9.0770651427370064E-2</v>
      </c>
      <c r="BM53" s="74"/>
      <c r="BN53" s="21"/>
      <c r="BO53" s="21">
        <f>BO52/BN52-1</f>
        <v>-5.7228018001334036E-3</v>
      </c>
      <c r="BP53" s="43"/>
      <c r="BQ53" s="21">
        <f>BQ52/X52-1</f>
        <v>5.0952076189970885</v>
      </c>
      <c r="BR53" s="21">
        <f>BR52/Z52-1</f>
        <v>3.6001287333813803</v>
      </c>
      <c r="BS53" s="21">
        <f>BS52/AA52-1</f>
        <v>2.241958983556934</v>
      </c>
    </row>
    <row r="54" spans="2:72" s="17" customFormat="1" ht="12.75">
      <c r="B54" s="18" t="s">
        <v>188</v>
      </c>
      <c r="C54" s="19">
        <f t="shared" ref="C54:P54" si="199">+C52/C7</f>
        <v>0.14212787383693204</v>
      </c>
      <c r="D54" s="19">
        <f t="shared" si="199"/>
        <v>0.15172511546635811</v>
      </c>
      <c r="E54" s="19">
        <f t="shared" si="199"/>
        <v>0.15588728954775977</v>
      </c>
      <c r="F54" s="19">
        <f t="shared" si="199"/>
        <v>0.16978183085740062</v>
      </c>
      <c r="G54" s="19">
        <f t="shared" si="199"/>
        <v>0.17862289422213568</v>
      </c>
      <c r="H54" s="19">
        <f t="shared" si="199"/>
        <v>0.21217053731809951</v>
      </c>
      <c r="I54" s="19">
        <f t="shared" si="199"/>
        <v>0.2201547924844221</v>
      </c>
      <c r="J54" s="19">
        <f t="shared" si="199"/>
        <v>0.15824514890073355</v>
      </c>
      <c r="K54" s="19">
        <f t="shared" si="199"/>
        <v>0.21808496758398843</v>
      </c>
      <c r="L54" s="19">
        <f t="shared" si="199"/>
        <v>0.21808497851046918</v>
      </c>
      <c r="M54" s="19">
        <f t="shared" si="199"/>
        <v>0.1914296488802075</v>
      </c>
      <c r="N54" s="19">
        <f t="shared" si="199"/>
        <v>0.19142965455949265</v>
      </c>
      <c r="O54" s="19">
        <f t="shared" si="199"/>
        <v>0.17146481760834836</v>
      </c>
      <c r="P54" s="20">
        <f t="shared" si="199"/>
        <v>0.15795663065912227</v>
      </c>
      <c r="Q54" s="7"/>
      <c r="R54" s="19">
        <f t="shared" ref="R54:BC54" si="200">+R52/R7</f>
        <v>0.15860878460456496</v>
      </c>
      <c r="S54" s="19">
        <f t="shared" si="200"/>
        <v>0.15460854443715424</v>
      </c>
      <c r="T54" s="19">
        <f t="shared" si="200"/>
        <v>0.1809047113601554</v>
      </c>
      <c r="U54" s="24">
        <f t="shared" si="200"/>
        <v>0.13468455815893773</v>
      </c>
      <c r="V54" s="21">
        <f t="shared" si="200"/>
        <v>0.17384521921785859</v>
      </c>
      <c r="W54" s="21">
        <f t="shared" si="200"/>
        <v>0.17664122674125426</v>
      </c>
      <c r="X54" s="19">
        <f t="shared" si="200"/>
        <v>0.15929457838930564</v>
      </c>
      <c r="Y54" s="21">
        <f t="shared" si="200"/>
        <v>0.16953659101144625</v>
      </c>
      <c r="Z54" s="21">
        <f t="shared" si="200"/>
        <v>0.18568964777120409</v>
      </c>
      <c r="AA54" s="21">
        <f t="shared" si="200"/>
        <v>0.18145740942190322</v>
      </c>
      <c r="AB54" s="21">
        <f t="shared" si="200"/>
        <v>0.19478562221178303</v>
      </c>
      <c r="AC54" s="21">
        <f t="shared" si="200"/>
        <v>0.15640960360880285</v>
      </c>
      <c r="AD54" s="21">
        <f t="shared" si="200"/>
        <v>0.19141473440315152</v>
      </c>
      <c r="AE54" s="21">
        <f t="shared" si="200"/>
        <v>0.13741299614225214</v>
      </c>
      <c r="AF54" s="21">
        <f t="shared" si="200"/>
        <v>0.17358464826672726</v>
      </c>
      <c r="AG54" s="21">
        <f t="shared" si="200"/>
        <v>0.29550160284953081</v>
      </c>
      <c r="AH54" s="21">
        <f t="shared" si="200"/>
        <v>0.24000249404605967</v>
      </c>
      <c r="AI54" s="21">
        <f t="shared" si="200"/>
        <v>0.22844239783329845</v>
      </c>
      <c r="AJ54" s="21">
        <f t="shared" si="200"/>
        <v>0.22387938897425572</v>
      </c>
      <c r="AK54" s="21">
        <f t="shared" si="200"/>
        <v>0.1986785935233516</v>
      </c>
      <c r="AL54" s="21">
        <f t="shared" si="200"/>
        <v>0.11552472739129974</v>
      </c>
      <c r="AM54" s="21">
        <f t="shared" si="200"/>
        <v>0.23375049793527453</v>
      </c>
      <c r="AN54" s="21">
        <f t="shared" si="200"/>
        <v>0.20839696878771399</v>
      </c>
      <c r="AO54" s="21">
        <f t="shared" si="200"/>
        <v>0.30893598661207361</v>
      </c>
      <c r="AP54" s="21">
        <f t="shared" si="200"/>
        <v>0.30159884062235121</v>
      </c>
      <c r="AQ54" s="21">
        <f t="shared" si="200"/>
        <v>0.20843822716833457</v>
      </c>
      <c r="AR54" s="21">
        <f t="shared" si="200"/>
        <v>0.1880837575380111</v>
      </c>
      <c r="AS54" s="21">
        <f t="shared" si="200"/>
        <v>0.18015574976139484</v>
      </c>
      <c r="AT54" s="21">
        <f t="shared" si="200"/>
        <v>0.19513848603647574</v>
      </c>
      <c r="AU54" s="21">
        <f t="shared" si="200"/>
        <v>0.23296382376841598</v>
      </c>
      <c r="AV54" s="21">
        <f t="shared" si="200"/>
        <v>0.1938705478208744</v>
      </c>
      <c r="AW54" s="21">
        <f t="shared" si="200"/>
        <v>0.15883906738721187</v>
      </c>
      <c r="AX54" s="21">
        <f t="shared" si="200"/>
        <v>0.18309033024108287</v>
      </c>
      <c r="AY54" s="21">
        <f t="shared" si="200"/>
        <v>0.21866051051918126</v>
      </c>
      <c r="AZ54" s="21">
        <f t="shared" si="200"/>
        <v>0.15029032619710092</v>
      </c>
      <c r="BA54" s="21">
        <f t="shared" si="200"/>
        <v>0.18860516766411017</v>
      </c>
      <c r="BB54" s="21">
        <f t="shared" si="200"/>
        <v>0.13802060928347151</v>
      </c>
      <c r="BC54" s="21">
        <f t="shared" si="200"/>
        <v>0.16164587232607072</v>
      </c>
      <c r="BD54" s="26"/>
      <c r="BE54" s="21">
        <f>+BE52/BE7</f>
        <v>0.23296380377088827</v>
      </c>
      <c r="BF54" s="21">
        <f>+BF52/BF7</f>
        <v>0.19331340689351897</v>
      </c>
      <c r="BG54" s="21">
        <f>+BG52/BG7</f>
        <v>0.15827819560713929</v>
      </c>
      <c r="BH54" s="21">
        <f>+BH52/BH7</f>
        <v>0.18199693547291748</v>
      </c>
      <c r="BI54" s="21">
        <f>+BI52/BI7</f>
        <v>0.21866049581223027</v>
      </c>
      <c r="BJ54" s="26"/>
      <c r="BK54" s="21">
        <f>+BK52/BK7</f>
        <v>0.21572589514862706</v>
      </c>
      <c r="BL54" s="21">
        <f>+BL52/BL7</f>
        <v>0.18752639086554437</v>
      </c>
      <c r="BM54" s="74"/>
      <c r="BN54" s="21">
        <f>+BN52/BN7</f>
        <v>0.19669125584261091</v>
      </c>
      <c r="BO54" s="21">
        <f>+BO52/BO7</f>
        <v>0.18687662660348039</v>
      </c>
      <c r="BP54" s="43"/>
      <c r="BQ54" s="21">
        <f>+BQ52/BQ7</f>
        <v>0.80224995198938542</v>
      </c>
      <c r="BR54" s="21">
        <f>+BR52/BR7</f>
        <v>0.7291146461418867</v>
      </c>
      <c r="BS54" s="21">
        <f>+BS52/BS7</f>
        <v>0.47446867641921009</v>
      </c>
    </row>
    <row r="55" spans="2:72" s="17" customFormat="1" ht="12.75">
      <c r="B55" s="36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358"/>
      <c r="Q55" s="7"/>
      <c r="R55" s="42"/>
      <c r="S55" s="42"/>
      <c r="T55" s="42"/>
      <c r="U55" s="186"/>
      <c r="V55" s="43"/>
      <c r="W55" s="43"/>
      <c r="X55" s="42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26"/>
      <c r="BE55" s="43"/>
      <c r="BF55" s="43"/>
      <c r="BG55" s="43"/>
      <c r="BH55" s="43"/>
      <c r="BI55" s="43"/>
      <c r="BJ55" s="26"/>
      <c r="BK55" s="43"/>
      <c r="BL55" s="43"/>
      <c r="BM55" s="74"/>
      <c r="BN55" s="43"/>
      <c r="BO55" s="43"/>
      <c r="BP55" s="43"/>
      <c r="BQ55" s="43"/>
      <c r="BR55" s="43"/>
      <c r="BS55" s="43"/>
    </row>
    <row r="56" spans="2:72" ht="12.75">
      <c r="B56" s="307" t="s">
        <v>208</v>
      </c>
      <c r="C56" s="307">
        <f t="shared" ref="C56:Z56" si="201">C57-C52</f>
        <v>-20.752287999999794</v>
      </c>
      <c r="D56" s="307">
        <f t="shared" si="201"/>
        <v>1.4199999999998454</v>
      </c>
      <c r="E56" s="307">
        <f t="shared" si="201"/>
        <v>10.780000000000314</v>
      </c>
      <c r="F56" s="307">
        <f t="shared" ref="F56:T56" si="202">F57-F52</f>
        <v>-21.301999999999907</v>
      </c>
      <c r="G56" s="307">
        <f t="shared" si="202"/>
        <v>-58.057000000000698</v>
      </c>
      <c r="H56" s="307">
        <f t="shared" si="202"/>
        <v>-331.63999999999896</v>
      </c>
      <c r="I56" s="307">
        <f t="shared" ref="I56:K56" si="203">I57-I52</f>
        <v>-740.65000000000055</v>
      </c>
      <c r="J56" s="307">
        <f t="shared" ref="J56" si="204">J57-J52</f>
        <v>-1522.8690000000015</v>
      </c>
      <c r="K56" s="307">
        <f t="shared" si="203"/>
        <v>-1576.4350000000086</v>
      </c>
      <c r="L56" s="307">
        <f t="shared" ref="L56:M56" si="205">L57-L52</f>
        <v>-2276.0379999999968</v>
      </c>
      <c r="M56" s="307">
        <f t="shared" si="205"/>
        <v>-502.87799999999152</v>
      </c>
      <c r="N56" s="307">
        <f t="shared" ref="N56:O56" si="206">N57-N52</f>
        <v>-658.22900000001027</v>
      </c>
      <c r="O56" s="307">
        <f t="shared" si="206"/>
        <v>-771.66499999999724</v>
      </c>
      <c r="P56" s="307">
        <f>P57-P52</f>
        <v>-711.6049999999741</v>
      </c>
      <c r="Q56" s="7"/>
      <c r="R56" s="307">
        <f t="shared" si="202"/>
        <v>1.7259999999999422</v>
      </c>
      <c r="S56" s="307">
        <f t="shared" si="202"/>
        <v>-2.5699999999999932</v>
      </c>
      <c r="T56" s="307">
        <f t="shared" si="202"/>
        <v>-24.718000000000075</v>
      </c>
      <c r="U56" s="307">
        <f t="shared" si="201"/>
        <v>36.341999999999871</v>
      </c>
      <c r="V56" s="307">
        <f t="shared" si="201"/>
        <v>-7.4619999999997617</v>
      </c>
      <c r="W56" s="307">
        <f t="shared" si="201"/>
        <v>-3.0049999999999386</v>
      </c>
      <c r="X56" s="307">
        <f t="shared" si="201"/>
        <v>13.006999999999891</v>
      </c>
      <c r="Y56" s="307">
        <f t="shared" si="201"/>
        <v>-23.841999999999643</v>
      </c>
      <c r="Z56" s="307">
        <f t="shared" si="201"/>
        <v>-26.055000000000177</v>
      </c>
      <c r="AA56" s="307">
        <f>AA57-AA52</f>
        <v>-9.3819999999998913</v>
      </c>
      <c r="AB56" s="307">
        <f>AB57-AB52</f>
        <v>-47.765999999999792</v>
      </c>
      <c r="AC56" s="307">
        <f>AC57-AC52</f>
        <v>25.145999999998992</v>
      </c>
      <c r="AD56" s="307">
        <f t="shared" ref="AD56" si="207">AD57-AD52</f>
        <v>-57.3419999999997</v>
      </c>
      <c r="AE56" s="307">
        <f>AE57-AE52</f>
        <v>2.2769999999998163</v>
      </c>
      <c r="AF56" s="307">
        <f>AF57-AF52</f>
        <v>170.00000000000034</v>
      </c>
      <c r="AG56" s="307">
        <f>AG57-AG52</f>
        <v>-446.5750000000005</v>
      </c>
      <c r="AH56" s="307">
        <f t="shared" ref="AH56:AI56" si="208">AH57-AH52</f>
        <v>-168.03400000000011</v>
      </c>
      <c r="AI56" s="307">
        <f t="shared" si="208"/>
        <v>-234.23700000000008</v>
      </c>
      <c r="AJ56" s="307">
        <f>AJ57-AJ52</f>
        <v>-380.97600000000011</v>
      </c>
      <c r="AK56" s="307">
        <f>AK57-AK52</f>
        <v>42.597000000001344</v>
      </c>
      <c r="AL56" s="307">
        <f>AL57-AL52</f>
        <v>-1308.9709999999977</v>
      </c>
      <c r="AM56" s="307">
        <f t="shared" ref="AM56:AN56" si="209">AM57-AM52</f>
        <v>-20.613999999999578</v>
      </c>
      <c r="AN56" s="307">
        <f t="shared" si="209"/>
        <v>-42.939000000000306</v>
      </c>
      <c r="AO56" s="307">
        <f t="shared" ref="AO56:AT56" si="210">AO57-AO52</f>
        <v>-1023.4849999999992</v>
      </c>
      <c r="AP56" s="307">
        <f t="shared" si="210"/>
        <v>-1783.1449999999986</v>
      </c>
      <c r="AQ56" s="307">
        <f t="shared" si="210"/>
        <v>82.749000000001615</v>
      </c>
      <c r="AR56" s="307">
        <f t="shared" si="210"/>
        <v>918.52300000000014</v>
      </c>
      <c r="AS56" s="307">
        <f t="shared" si="210"/>
        <v>-615.08500000000458</v>
      </c>
      <c r="AT56" s="307">
        <f t="shared" si="210"/>
        <v>-1368.4769999999962</v>
      </c>
      <c r="AU56" s="307">
        <f t="shared" ref="AU56" si="211">AU57-AU52</f>
        <v>-524.04100000000108</v>
      </c>
      <c r="AV56" s="307">
        <f>AV57-AV52</f>
        <v>306.79500000000098</v>
      </c>
      <c r="AW56" s="307">
        <f>AW57-AW52</f>
        <v>664.36000000000104</v>
      </c>
      <c r="AX56" s="307">
        <f t="shared" ref="AX56:AY56" si="212">AX57-AX52</f>
        <v>-949.99199999999655</v>
      </c>
      <c r="AY56" s="307">
        <f t="shared" si="212"/>
        <v>-411.13399999999911</v>
      </c>
      <c r="AZ56" s="307">
        <f>AZ57-AZ52</f>
        <v>235.91799999999921</v>
      </c>
      <c r="BA56" s="307">
        <f>BA57-BA52</f>
        <v>404.11099999999533</v>
      </c>
      <c r="BB56" s="307">
        <f t="shared" ref="BB56:BC56" si="213">BB57-BB52</f>
        <v>-1000.5599999999777</v>
      </c>
      <c r="BC56" s="307">
        <f t="shared" si="213"/>
        <v>-351.07400000000325</v>
      </c>
      <c r="BD56" s="26"/>
      <c r="BE56" s="307">
        <f>BE57-BE52</f>
        <v>-723.72099999999955</v>
      </c>
      <c r="BF56" s="307">
        <f>BF57-BF52</f>
        <v>302.34299999999848</v>
      </c>
      <c r="BG56" s="307">
        <f>BG57-BG52</f>
        <v>770.76799999999821</v>
      </c>
      <c r="BH56" s="307">
        <f>BH57-BH52</f>
        <v>-1007.6190000000061</v>
      </c>
      <c r="BI56" s="307">
        <f>BI57-BI52</f>
        <v>-538.04199999999855</v>
      </c>
      <c r="BJ56" s="26"/>
      <c r="BK56" s="307">
        <f>BK57-BK52</f>
        <v>-768.90300000000025</v>
      </c>
      <c r="BL56" s="307">
        <f>BL57-BL52</f>
        <v>-498.05399999999463</v>
      </c>
      <c r="BM56" s="74"/>
      <c r="BN56" s="307">
        <f>BN57-BN52</f>
        <v>-718.81399999999485</v>
      </c>
      <c r="BO56" s="307">
        <f>BO57-BO52</f>
        <v>-740.65499999999338</v>
      </c>
      <c r="BP56" s="23"/>
      <c r="BQ56" s="27">
        <f>BQ57-BQ52</f>
        <v>-1258.518</v>
      </c>
      <c r="BR56" s="27">
        <f>BR57-BR52</f>
        <v>-1483.2940000000001</v>
      </c>
      <c r="BS56" s="27">
        <f>BS57-BS52</f>
        <v>-815.01999999999975</v>
      </c>
    </row>
    <row r="57" spans="2:72" s="7" customFormat="1" ht="12.75">
      <c r="B57" s="7" t="s">
        <v>209</v>
      </c>
      <c r="C57" s="15">
        <v>575.29999999999995</v>
      </c>
      <c r="D57" s="15">
        <v>733.59199999999998</v>
      </c>
      <c r="E57" s="15">
        <v>939.16800000000001</v>
      </c>
      <c r="F57" s="15">
        <v>1303.5260000000001</v>
      </c>
      <c r="G57" s="15">
        <v>1621.152</v>
      </c>
      <c r="H57" s="15">
        <v>2328.3589999999999</v>
      </c>
      <c r="I57" s="15">
        <v>5467.0209999999997</v>
      </c>
      <c r="J57" s="15">
        <v>6702.9049999999997</v>
      </c>
      <c r="K57" s="15">
        <v>10600.588</v>
      </c>
      <c r="L57" s="15">
        <v>15304.999</v>
      </c>
      <c r="M57" s="15">
        <v>15595.955</v>
      </c>
      <c r="N57" s="15">
        <v>20413.909</v>
      </c>
      <c r="O57" s="15">
        <v>18416.037</v>
      </c>
      <c r="P57" s="16">
        <f>SUM(BB57,BC57,AZ57,BA57)</f>
        <v>18061.336000000003</v>
      </c>
      <c r="R57" s="15">
        <v>224.99799999999999</v>
      </c>
      <c r="S57" s="15">
        <f>425.316-R57</f>
        <v>200.31799999999998</v>
      </c>
      <c r="T57" s="15">
        <f>660.68-R57-S57</f>
        <v>235.36399999999998</v>
      </c>
      <c r="U57" s="16">
        <f>+E57-SUM(R57:T57)</f>
        <v>278.48800000000006</v>
      </c>
      <c r="V57" s="15">
        <v>330.20800000000003</v>
      </c>
      <c r="W57" s="15">
        <f>648.778-V57</f>
        <v>318.57</v>
      </c>
      <c r="X57" s="15">
        <f>963.347-V57-W57</f>
        <v>314.5689999999999</v>
      </c>
      <c r="Y57" s="16">
        <f>+F57-SUM(V57:X57)</f>
        <v>340.17900000000009</v>
      </c>
      <c r="Z57" s="15">
        <v>415.16699999999997</v>
      </c>
      <c r="AA57" s="15">
        <f>794.946-Z57</f>
        <v>379.77900000000005</v>
      </c>
      <c r="AB57" s="15">
        <f>1181.318-Z57-AA57</f>
        <v>386.37200000000001</v>
      </c>
      <c r="AC57" s="16">
        <f>G57-SUM(Z57:AB57)</f>
        <v>439.83400000000006</v>
      </c>
      <c r="AD57" s="15">
        <v>457.50200000000001</v>
      </c>
      <c r="AE57" s="15">
        <f>809.14-AD57</f>
        <v>351.63799999999998</v>
      </c>
      <c r="AF57" s="15">
        <f>1495.751-AD57-AE57</f>
        <v>686.6110000000001</v>
      </c>
      <c r="AG57" s="16">
        <f>H57-SUM(AD57:AF57)</f>
        <v>832.60799999999972</v>
      </c>
      <c r="AH57" s="15">
        <v>1244.625</v>
      </c>
      <c r="AI57" s="15">
        <f>2378.996-AH57</f>
        <v>1134.3710000000001</v>
      </c>
      <c r="AJ57" s="15">
        <f>3632.747-AH57-AI57</f>
        <v>1253.7509999999997</v>
      </c>
      <c r="AK57" s="16">
        <f>I57-SUM(AH57:AJ57)</f>
        <v>1834.2739999999999</v>
      </c>
      <c r="AL57" s="16">
        <f>J57-SUM(AI57:AK57)</f>
        <v>2480.509</v>
      </c>
      <c r="AM57" s="15">
        <v>2343.0140000000001</v>
      </c>
      <c r="AN57" s="15">
        <v>3572.0929999999998</v>
      </c>
      <c r="AO57" s="15">
        <f>4258.083-AM57</f>
        <v>1915.0689999999995</v>
      </c>
      <c r="AP57" s="15">
        <f>6733.87-AN57</f>
        <v>3161.777</v>
      </c>
      <c r="AQ57" s="15">
        <f>6927.254-AM57-AO57</f>
        <v>2669.1710000000003</v>
      </c>
      <c r="AR57" s="15">
        <f>11002.053-AN57-AP57</f>
        <v>4268.183</v>
      </c>
      <c r="AS57" s="16">
        <f>K57-SUM(AM57,AO57,AQ57)</f>
        <v>3673.3339999999998</v>
      </c>
      <c r="AT57" s="16">
        <f>L57-SUM(AN57,AP57,AR57)</f>
        <v>4302.9459999999999</v>
      </c>
      <c r="AU57" s="15">
        <v>4042.268</v>
      </c>
      <c r="AV57" s="15">
        <f>7317.091-AU57</f>
        <v>3274.8230000000003</v>
      </c>
      <c r="AW57" s="15">
        <f>10871.751-AV57-AU57</f>
        <v>3554.66</v>
      </c>
      <c r="AX57" s="16">
        <f>M57-SUM(AU57,AV57,AW57)</f>
        <v>4724.2039999999997</v>
      </c>
      <c r="AY57" s="15">
        <v>5484.46</v>
      </c>
      <c r="AZ57" s="16">
        <f>BL57-AY57</f>
        <v>3701.2650000000003</v>
      </c>
      <c r="BA57" s="16">
        <f>BO57-AZ57-AY57</f>
        <v>5196.7819999999983</v>
      </c>
      <c r="BB57" s="16">
        <f>O57-SUM(AY57,AZ57,BA57)</f>
        <v>4033.5300000000025</v>
      </c>
      <c r="BC57" s="15">
        <v>5129.759</v>
      </c>
      <c r="BD57" s="26"/>
      <c r="BE57" s="15">
        <v>5582.5259999999998</v>
      </c>
      <c r="BF57" s="16">
        <f>BK57-BE57</f>
        <v>4299.1059999999998</v>
      </c>
      <c r="BG57" s="299">
        <f>BN57-BF57-BE57</f>
        <v>4609.7610000000004</v>
      </c>
      <c r="BH57" s="16">
        <f>N57-SUM(BE57,BF57,BG57)</f>
        <v>5922.5159999999996</v>
      </c>
      <c r="BI57" s="15">
        <v>7177.3959999999997</v>
      </c>
      <c r="BJ57" s="26"/>
      <c r="BK57" s="15">
        <v>9881.6319999999996</v>
      </c>
      <c r="BL57" s="15">
        <v>9185.7250000000004</v>
      </c>
      <c r="BM57" s="74"/>
      <c r="BN57" s="15">
        <v>14491.393</v>
      </c>
      <c r="BO57" s="15">
        <v>14382.507</v>
      </c>
      <c r="BP57" s="15"/>
      <c r="BQ57" s="15">
        <f>1374.511-Z57-AA57</f>
        <v>579.56500000000005</v>
      </c>
      <c r="BR57" s="15">
        <v>546.38400000000001</v>
      </c>
      <c r="BS57" s="15">
        <f>993.008-BR57</f>
        <v>446.62400000000002</v>
      </c>
    </row>
    <row r="58" spans="2:72" s="17" customFormat="1" ht="12.75">
      <c r="B58" s="18" t="s">
        <v>176</v>
      </c>
      <c r="C58" s="19"/>
      <c r="D58" s="19">
        <f t="shared" ref="D58:J58" si="214">+D57/C57-1</f>
        <v>0.27514687988875375</v>
      </c>
      <c r="E58" s="19">
        <f t="shared" si="214"/>
        <v>0.28023206359938491</v>
      </c>
      <c r="F58" s="19">
        <f t="shared" si="214"/>
        <v>0.38795827796517779</v>
      </c>
      <c r="G58" s="19">
        <f t="shared" si="214"/>
        <v>0.24366679299070371</v>
      </c>
      <c r="H58" s="19">
        <f t="shared" si="214"/>
        <v>0.43623731766052765</v>
      </c>
      <c r="I58" s="19">
        <f t="shared" si="214"/>
        <v>1.3480146317642596</v>
      </c>
      <c r="J58" s="19">
        <f t="shared" si="214"/>
        <v>0.22606168880639022</v>
      </c>
      <c r="K58" s="19">
        <f>+K57/J57-1</f>
        <v>0.58149160699726465</v>
      </c>
      <c r="L58" s="19">
        <f>+L57/K57-1</f>
        <v>0.44378774083098027</v>
      </c>
      <c r="M58" s="19">
        <f>+M57/L57-1</f>
        <v>1.9010520680203813E-2</v>
      </c>
      <c r="N58" s="19">
        <f>+N57/M57-1</f>
        <v>0.30892330735758078</v>
      </c>
      <c r="O58" s="19">
        <f>+O57/N57-1</f>
        <v>-9.7868174096396698E-2</v>
      </c>
      <c r="P58" s="19"/>
      <c r="Q58" s="7"/>
      <c r="R58" s="19"/>
      <c r="S58" s="19"/>
      <c r="T58" s="19"/>
      <c r="U58" s="20"/>
      <c r="V58" s="21">
        <f t="shared" ref="V58:AG58" si="215">V57/R57-1</f>
        <v>0.46760415648139109</v>
      </c>
      <c r="W58" s="21">
        <f t="shared" si="215"/>
        <v>0.59032138899150355</v>
      </c>
      <c r="X58" s="21">
        <f t="shared" si="215"/>
        <v>0.33652130317295725</v>
      </c>
      <c r="Y58" s="21">
        <f t="shared" si="215"/>
        <v>0.22152121455861651</v>
      </c>
      <c r="Z58" s="21">
        <f>Z57/V57-1</f>
        <v>0.25728934489776112</v>
      </c>
      <c r="AA58" s="21">
        <f>AA57/W57-1</f>
        <v>0.19213673603917525</v>
      </c>
      <c r="AB58" s="21">
        <f>AB57/X57-1</f>
        <v>0.22825834713528703</v>
      </c>
      <c r="AC58" s="21">
        <f>AC57/Y57-1</f>
        <v>0.29294871229558539</v>
      </c>
      <c r="AD58" s="21">
        <f t="shared" si="215"/>
        <v>0.10197101407385478</v>
      </c>
      <c r="AE58" s="21">
        <f t="shared" si="215"/>
        <v>-7.4098357202478482E-2</v>
      </c>
      <c r="AF58" s="21">
        <f t="shared" si="215"/>
        <v>0.7770723551396066</v>
      </c>
      <c r="AG58" s="21">
        <f t="shared" si="215"/>
        <v>0.89300508828330605</v>
      </c>
      <c r="AH58" s="21">
        <f>AH57/AD57-1</f>
        <v>1.7204799104703365</v>
      </c>
      <c r="AI58" s="21">
        <f>AI57/AE57-1</f>
        <v>2.2259624955209625</v>
      </c>
      <c r="AJ58" s="21">
        <f t="shared" ref="AJ58:AL58" si="216">AJ57/AF57-1</f>
        <v>0.82599900088987743</v>
      </c>
      <c r="AK58" s="21">
        <f t="shared" si="216"/>
        <v>1.2030463315269615</v>
      </c>
      <c r="AL58" s="21">
        <f t="shared" si="216"/>
        <v>0.99297700110475051</v>
      </c>
      <c r="AM58" s="21">
        <f>AM57/AH57-1</f>
        <v>0.88250597569549072</v>
      </c>
      <c r="AN58" s="21">
        <f>AN57/AI57-1</f>
        <v>2.1489636106705827</v>
      </c>
      <c r="AO58" s="21">
        <f>AO57/AI57-1</f>
        <v>0.68822104937449868</v>
      </c>
      <c r="AP58" s="21">
        <f t="shared" ref="AP58:AQ58" si="217">AP57/AI57-1</f>
        <v>1.7872512608308919</v>
      </c>
      <c r="AQ58" s="21">
        <f t="shared" si="217"/>
        <v>1.1289482520851437</v>
      </c>
      <c r="AR58" s="21">
        <f>AR57/AJ57-1</f>
        <v>2.4043306844820069</v>
      </c>
      <c r="AS58" s="21">
        <f>AS57/AK57-1</f>
        <v>1.0026092066943106</v>
      </c>
      <c r="AT58" s="21">
        <f>AT57/AL57-1</f>
        <v>0.73470283719994556</v>
      </c>
      <c r="AU58" s="21">
        <f>AU57/AN57-1</f>
        <v>0.13162451257568053</v>
      </c>
      <c r="AV58" s="21">
        <f>AV57/AP57-1</f>
        <v>3.5753944696289564E-2</v>
      </c>
      <c r="AW58" s="21">
        <f>AW57/AR57-1</f>
        <v>-0.16717254157096828</v>
      </c>
      <c r="AX58" s="21">
        <f>AX57/AT57-1</f>
        <v>9.7899903926286669E-2</v>
      </c>
      <c r="AY58" s="21">
        <f>AY57/BE57-1</f>
        <v>-1.7566599779383019E-2</v>
      </c>
      <c r="AZ58" s="21">
        <f>AZ57/BF57-1</f>
        <v>-0.13906170259584194</v>
      </c>
      <c r="BA58" s="21">
        <f>BA57/BG57-1</f>
        <v>0.12734304446586231</v>
      </c>
      <c r="BB58" s="21">
        <f>BB57/AX57-1</f>
        <v>-0.14619902104142779</v>
      </c>
      <c r="BC58" s="21">
        <f>BC57/BI57-1</f>
        <v>-0.28528967887517975</v>
      </c>
      <c r="BD58" s="26"/>
      <c r="BE58" s="21">
        <f>BE57/AN57-1</f>
        <v>0.56281653361208672</v>
      </c>
      <c r="BF58" s="21">
        <f>BF57/AP57-1</f>
        <v>0.3597119594455902</v>
      </c>
      <c r="BG58" s="21">
        <f>BG57/AR57-1</f>
        <v>8.0028902228419074E-2</v>
      </c>
      <c r="BH58" s="21">
        <f>BH57/AS57-1</f>
        <v>0.61229988887479325</v>
      </c>
      <c r="BI58" s="21">
        <f>BI57/BE57-1</f>
        <v>0.28568966808215501</v>
      </c>
      <c r="BJ58" s="26"/>
      <c r="BK58" s="21"/>
      <c r="BL58" s="21">
        <f>BL57/BK57-1</f>
        <v>-7.0424298334526014E-2</v>
      </c>
      <c r="BM58" s="74"/>
      <c r="BN58" s="21"/>
      <c r="BO58" s="21">
        <f>BO57/BN57-1</f>
        <v>-7.5138394217865168E-3</v>
      </c>
      <c r="BP58" s="15"/>
      <c r="BQ58" s="21">
        <f>BQ57/X57-1</f>
        <v>0.84240977337245648</v>
      </c>
      <c r="BR58" s="21">
        <f>BR57/Z57-1</f>
        <v>0.31605835723937603</v>
      </c>
      <c r="BS58" s="21">
        <f>BS57/AA57-1</f>
        <v>0.17601025859776342</v>
      </c>
    </row>
    <row r="59" spans="2:72" s="17" customFormat="1" ht="12.75">
      <c r="B59" s="18" t="s">
        <v>188</v>
      </c>
      <c r="C59" s="19">
        <f t="shared" ref="C59:P59" si="218">+C57/C7</f>
        <v>0.13717951841565121</v>
      </c>
      <c r="D59" s="19">
        <f t="shared" si="218"/>
        <v>0.1520193764650882</v>
      </c>
      <c r="E59" s="19">
        <f t="shared" si="218"/>
        <v>0.15769737862832189</v>
      </c>
      <c r="F59" s="19">
        <f t="shared" si="218"/>
        <v>0.16705189718984204</v>
      </c>
      <c r="G59" s="19">
        <f t="shared" si="218"/>
        <v>0.1724471832952322</v>
      </c>
      <c r="H59" s="19">
        <f t="shared" si="218"/>
        <v>0.18571780669821042</v>
      </c>
      <c r="I59" s="19">
        <f t="shared" si="218"/>
        <v>0.19388767119954936</v>
      </c>
      <c r="J59" s="19">
        <f t="shared" si="218"/>
        <v>0.12894861927795137</v>
      </c>
      <c r="K59" s="19">
        <f t="shared" si="218"/>
        <v>0.18985173062013722</v>
      </c>
      <c r="L59" s="19">
        <f t="shared" si="218"/>
        <v>0.18985173502665131</v>
      </c>
      <c r="M59" s="19">
        <f t="shared" si="218"/>
        <v>0.18544997575920677</v>
      </c>
      <c r="N59" s="19">
        <f t="shared" si="218"/>
        <v>0.18544997892852239</v>
      </c>
      <c r="O59" s="19">
        <f t="shared" si="218"/>
        <v>0.16456907790592096</v>
      </c>
      <c r="P59" s="19">
        <f t="shared" si="218"/>
        <v>0.15196914429988956</v>
      </c>
      <c r="Q59" s="7"/>
      <c r="R59" s="19">
        <f t="shared" ref="R59:BC59" si="219">+R57/R7</f>
        <v>0.15983490683318058</v>
      </c>
      <c r="S59" s="19">
        <f t="shared" si="219"/>
        <v>0.15265010451363248</v>
      </c>
      <c r="T59" s="19">
        <f t="shared" si="219"/>
        <v>0.16371166203186535</v>
      </c>
      <c r="U59" s="20">
        <f t="shared" si="219"/>
        <v>0.15489842174789686</v>
      </c>
      <c r="V59" s="21">
        <f t="shared" si="219"/>
        <v>0.17000350089581748</v>
      </c>
      <c r="W59" s="21">
        <f t="shared" si="219"/>
        <v>0.17499057950077396</v>
      </c>
      <c r="X59" s="19">
        <f t="shared" si="219"/>
        <v>0.16616528683768336</v>
      </c>
      <c r="Y59" s="21">
        <f t="shared" si="219"/>
        <v>0.15843258491593296</v>
      </c>
      <c r="Z59" s="21">
        <f t="shared" si="219"/>
        <v>0.17472432017494019</v>
      </c>
      <c r="AA59" s="21">
        <f t="shared" si="219"/>
        <v>0.17708278448467601</v>
      </c>
      <c r="AB59" s="21">
        <f t="shared" si="219"/>
        <v>0.17335434913601452</v>
      </c>
      <c r="AC59" s="21">
        <f t="shared" si="219"/>
        <v>0.16589402537250661</v>
      </c>
      <c r="AD59" s="21">
        <f t="shared" si="219"/>
        <v>0.17009545380525104</v>
      </c>
      <c r="AE59" s="21">
        <f t="shared" si="219"/>
        <v>0.13830860095279449</v>
      </c>
      <c r="AF59" s="21">
        <f t="shared" si="219"/>
        <v>0.23070575138947089</v>
      </c>
      <c r="AG59" s="21">
        <f t="shared" si="219"/>
        <v>0.19233917160042152</v>
      </c>
      <c r="AH59" s="21">
        <f t="shared" si="219"/>
        <v>0.21145450115850817</v>
      </c>
      <c r="AI59" s="21">
        <f t="shared" si="219"/>
        <v>0.18934452470872346</v>
      </c>
      <c r="AJ59" s="21">
        <f t="shared" si="219"/>
        <v>0.17170390395819121</v>
      </c>
      <c r="AK59" s="21">
        <f t="shared" si="219"/>
        <v>0.20340216370275027</v>
      </c>
      <c r="AL59" s="21">
        <f t="shared" si="219"/>
        <v>7.5619907221219196E-2</v>
      </c>
      <c r="AM59" s="21">
        <f t="shared" si="219"/>
        <v>0.23171188070598225</v>
      </c>
      <c r="AN59" s="21">
        <f t="shared" si="219"/>
        <v>0.20592164977455568</v>
      </c>
      <c r="AO59" s="21">
        <f t="shared" si="219"/>
        <v>0.20133498684904116</v>
      </c>
      <c r="AP59" s="21">
        <f t="shared" si="219"/>
        <v>0.19284192501042804</v>
      </c>
      <c r="AQ59" s="21">
        <f t="shared" si="219"/>
        <v>0.21510692039007212</v>
      </c>
      <c r="AR59" s="21">
        <f t="shared" si="219"/>
        <v>0.23965891956194385</v>
      </c>
      <c r="AS59" s="21">
        <f t="shared" si="219"/>
        <v>0.15431613396312788</v>
      </c>
      <c r="AT59" s="21">
        <f t="shared" si="219"/>
        <v>0.14805285515411384</v>
      </c>
      <c r="AU59" s="21">
        <f t="shared" si="219"/>
        <v>0.20622831481108861</v>
      </c>
      <c r="AV59" s="21">
        <f t="shared" si="219"/>
        <v>0.21391028960184999</v>
      </c>
      <c r="AW59" s="21">
        <f t="shared" si="219"/>
        <v>0.19534957591897961</v>
      </c>
      <c r="AX59" s="21">
        <f t="shared" si="219"/>
        <v>0.15243676293280056</v>
      </c>
      <c r="AY59" s="21">
        <f t="shared" si="219"/>
        <v>0.20341204355693912</v>
      </c>
      <c r="AZ59" s="21">
        <f t="shared" si="219"/>
        <v>0.1605219691395732</v>
      </c>
      <c r="BA59" s="21">
        <f t="shared" si="219"/>
        <v>0.20450807919505196</v>
      </c>
      <c r="BB59" s="21">
        <f t="shared" si="219"/>
        <v>0.11058806421084313</v>
      </c>
      <c r="BC59" s="21">
        <f t="shared" si="219"/>
        <v>0.1512916683244156</v>
      </c>
      <c r="BD59" s="43"/>
      <c r="BE59" s="21">
        <f>+BE57/BE7</f>
        <v>0.20622828309926361</v>
      </c>
      <c r="BF59" s="21">
        <f>+BF57/BF7</f>
        <v>0.20793697986504789</v>
      </c>
      <c r="BG59" s="21">
        <f>+BG57/BG7</f>
        <v>0.19005626039436946</v>
      </c>
      <c r="BH59" s="21">
        <f>+BH57/BH7</f>
        <v>0.15553517533054123</v>
      </c>
      <c r="BI59" s="21">
        <f>+BI57/BI7</f>
        <v>0.20341203804641014</v>
      </c>
      <c r="BJ59" s="26"/>
      <c r="BK59" s="21">
        <f>+BK57/BK7</f>
        <v>0.20015181478952163</v>
      </c>
      <c r="BL59" s="21">
        <f>+BL57/BL7</f>
        <v>0.17788157461393983</v>
      </c>
      <c r="BM59" s="74"/>
      <c r="BN59" s="21">
        <f>+BN57/BN7</f>
        <v>0.18739589067254783</v>
      </c>
      <c r="BO59" s="21">
        <f>+BO57/BO7</f>
        <v>0.17772436678658499</v>
      </c>
      <c r="BP59" s="43"/>
      <c r="BQ59" s="21">
        <f>+BQ57/BQ7</f>
        <v>0.25295701740603016</v>
      </c>
      <c r="BR59" s="21">
        <f>+BR57/BR7</f>
        <v>0.1962757525171917</v>
      </c>
      <c r="BS59" s="21">
        <f>+BS57/BS7</f>
        <v>0.16796267262163761</v>
      </c>
    </row>
    <row r="60" spans="2:72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Q60" s="7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D60" s="26"/>
      <c r="BE60"/>
      <c r="BF60"/>
      <c r="BG60"/>
      <c r="BH60"/>
      <c r="BI60"/>
      <c r="BJ60" s="26"/>
      <c r="BK60" s="22"/>
      <c r="BL60" s="22"/>
      <c r="BM60" s="74"/>
      <c r="BN60" s="74"/>
      <c r="BO60" s="74"/>
      <c r="BP60" s="22"/>
      <c r="BQ60" s="22"/>
      <c r="BR60" s="22"/>
      <c r="BS60" s="22"/>
    </row>
    <row r="61" spans="2:72" ht="12.75">
      <c r="B61" s="12" t="s">
        <v>210</v>
      </c>
      <c r="C61" s="29">
        <f t="shared" ref="C61:O61" si="220">C3</f>
        <v>42735</v>
      </c>
      <c r="D61" s="29">
        <f t="shared" si="220"/>
        <v>43100</v>
      </c>
      <c r="E61" s="29">
        <f t="shared" si="220"/>
        <v>43465</v>
      </c>
      <c r="F61" s="29">
        <f t="shared" si="220"/>
        <v>43830</v>
      </c>
      <c r="G61" s="29">
        <f t="shared" si="220"/>
        <v>44196</v>
      </c>
      <c r="H61" s="29">
        <f t="shared" si="220"/>
        <v>44561</v>
      </c>
      <c r="I61" s="29">
        <f t="shared" si="220"/>
        <v>44926</v>
      </c>
      <c r="J61" s="29">
        <f t="shared" si="220"/>
        <v>44926</v>
      </c>
      <c r="K61" s="29">
        <f t="shared" si="220"/>
        <v>45291</v>
      </c>
      <c r="L61" s="29">
        <f t="shared" si="220"/>
        <v>45291</v>
      </c>
      <c r="M61" s="29">
        <f t="shared" si="220"/>
        <v>45657</v>
      </c>
      <c r="N61" s="29">
        <f t="shared" si="220"/>
        <v>45657</v>
      </c>
      <c r="O61" s="29">
        <f t="shared" si="220"/>
        <v>46022</v>
      </c>
      <c r="P61" s="29" t="str">
        <f>P2</f>
        <v>LTM</v>
      </c>
      <c r="Q61" s="7"/>
      <c r="R61" s="29">
        <f t="shared" ref="R61:BC61" si="221">R3</f>
        <v>43190</v>
      </c>
      <c r="S61" s="29">
        <f t="shared" si="221"/>
        <v>43281</v>
      </c>
      <c r="T61" s="29">
        <f t="shared" si="221"/>
        <v>43373</v>
      </c>
      <c r="U61" s="29">
        <f t="shared" si="221"/>
        <v>43465</v>
      </c>
      <c r="V61" s="29">
        <f t="shared" si="221"/>
        <v>43555</v>
      </c>
      <c r="W61" s="29">
        <f t="shared" si="221"/>
        <v>43646</v>
      </c>
      <c r="X61" s="29">
        <f t="shared" si="221"/>
        <v>43738</v>
      </c>
      <c r="Y61" s="29">
        <f t="shared" si="221"/>
        <v>43830</v>
      </c>
      <c r="Z61" s="29">
        <f t="shared" si="221"/>
        <v>43921</v>
      </c>
      <c r="AA61" s="29">
        <f t="shared" si="221"/>
        <v>44012</v>
      </c>
      <c r="AB61" s="29">
        <f t="shared" si="221"/>
        <v>44104</v>
      </c>
      <c r="AC61" s="29">
        <f t="shared" si="221"/>
        <v>44196</v>
      </c>
      <c r="AD61" s="29">
        <f t="shared" si="221"/>
        <v>44286</v>
      </c>
      <c r="AE61" s="29">
        <f t="shared" si="221"/>
        <v>44377</v>
      </c>
      <c r="AF61" s="29">
        <f t="shared" si="221"/>
        <v>44469</v>
      </c>
      <c r="AG61" s="29">
        <f t="shared" si="221"/>
        <v>44561</v>
      </c>
      <c r="AH61" s="29">
        <f t="shared" si="221"/>
        <v>44651</v>
      </c>
      <c r="AI61" s="29">
        <f t="shared" si="221"/>
        <v>44742</v>
      </c>
      <c r="AJ61" s="29">
        <f t="shared" si="221"/>
        <v>44834</v>
      </c>
      <c r="AK61" s="29">
        <f t="shared" si="221"/>
        <v>44926</v>
      </c>
      <c r="AL61" s="29">
        <f t="shared" si="221"/>
        <v>44926</v>
      </c>
      <c r="AM61" s="29">
        <f t="shared" si="221"/>
        <v>45016</v>
      </c>
      <c r="AN61" s="29">
        <f t="shared" si="221"/>
        <v>45016</v>
      </c>
      <c r="AO61" s="29">
        <f t="shared" si="221"/>
        <v>45107</v>
      </c>
      <c r="AP61" s="29">
        <f t="shared" si="221"/>
        <v>45107</v>
      </c>
      <c r="AQ61" s="29">
        <f t="shared" si="221"/>
        <v>45199</v>
      </c>
      <c r="AR61" s="29">
        <f t="shared" si="221"/>
        <v>45199</v>
      </c>
      <c r="AS61" s="29">
        <f t="shared" si="221"/>
        <v>45291</v>
      </c>
      <c r="AT61" s="29">
        <f t="shared" si="221"/>
        <v>45291</v>
      </c>
      <c r="AU61" s="29">
        <f t="shared" si="221"/>
        <v>45382</v>
      </c>
      <c r="AV61" s="29">
        <f t="shared" si="221"/>
        <v>45473</v>
      </c>
      <c r="AW61" s="29">
        <f t="shared" si="221"/>
        <v>45565</v>
      </c>
      <c r="AX61" s="29">
        <f t="shared" si="221"/>
        <v>45657</v>
      </c>
      <c r="AY61" s="29">
        <f t="shared" si="221"/>
        <v>45747</v>
      </c>
      <c r="AZ61" s="29">
        <f t="shared" si="221"/>
        <v>45838</v>
      </c>
      <c r="BA61" s="29">
        <f t="shared" si="221"/>
        <v>45930</v>
      </c>
      <c r="BB61" s="29">
        <f t="shared" si="221"/>
        <v>46022</v>
      </c>
      <c r="BC61" s="29">
        <f t="shared" si="221"/>
        <v>46112</v>
      </c>
      <c r="BD61" s="234"/>
      <c r="BE61" s="29">
        <f>BE3</f>
        <v>45382</v>
      </c>
      <c r="BF61" s="29">
        <f>BF3</f>
        <v>45473</v>
      </c>
      <c r="BG61" s="29">
        <f>BG3</f>
        <v>45565</v>
      </c>
      <c r="BH61" s="29">
        <f>BH3</f>
        <v>45656</v>
      </c>
      <c r="BI61" s="29">
        <f>BI3</f>
        <v>45747</v>
      </c>
      <c r="BJ61" s="26"/>
      <c r="BK61" s="29">
        <f>BK3</f>
        <v>45473</v>
      </c>
      <c r="BL61" s="29">
        <f>BL3</f>
        <v>45838</v>
      </c>
      <c r="BM61" s="74"/>
      <c r="BN61" s="29">
        <f>BN3</f>
        <v>45565</v>
      </c>
      <c r="BO61" s="29">
        <f>BO3</f>
        <v>45930</v>
      </c>
      <c r="BP61" s="234"/>
      <c r="BQ61" s="29">
        <f>BQ3</f>
        <v>44104</v>
      </c>
      <c r="BR61" s="29">
        <f>BR3</f>
        <v>44286</v>
      </c>
      <c r="BS61" s="29">
        <f>BS3</f>
        <v>44377</v>
      </c>
    </row>
    <row r="62" spans="2:72" s="7" customFormat="1">
      <c r="B62" s="7" t="s">
        <v>209</v>
      </c>
      <c r="C62" s="16">
        <f t="shared" ref="C62:V62" si="222">C57</f>
        <v>575.29999999999995</v>
      </c>
      <c r="D62" s="16">
        <f t="shared" si="222"/>
        <v>733.59199999999998</v>
      </c>
      <c r="E62" s="16">
        <f t="shared" si="222"/>
        <v>939.16800000000001</v>
      </c>
      <c r="F62" s="16">
        <f t="shared" ref="F62:K62" si="223">F57</f>
        <v>1303.5260000000001</v>
      </c>
      <c r="G62" s="16">
        <f t="shared" si="223"/>
        <v>1621.152</v>
      </c>
      <c r="H62" s="16">
        <f t="shared" si="223"/>
        <v>2328.3589999999999</v>
      </c>
      <c r="I62" s="16">
        <f t="shared" si="223"/>
        <v>5467.0209999999997</v>
      </c>
      <c r="J62" s="16">
        <f t="shared" si="223"/>
        <v>6702.9049999999997</v>
      </c>
      <c r="K62" s="16">
        <f t="shared" si="223"/>
        <v>10600.588</v>
      </c>
      <c r="L62" s="16">
        <f t="shared" ref="L62:M62" si="224">L57</f>
        <v>15304.999</v>
      </c>
      <c r="M62" s="16">
        <f t="shared" si="224"/>
        <v>15595.955</v>
      </c>
      <c r="N62" s="16">
        <f t="shared" ref="N62:O62" si="225">N57</f>
        <v>20413.909</v>
      </c>
      <c r="O62" s="16">
        <f t="shared" si="225"/>
        <v>18416.037</v>
      </c>
      <c r="P62" s="16">
        <f>P57</f>
        <v>18061.336000000003</v>
      </c>
      <c r="Q62" s="127"/>
      <c r="R62" s="16">
        <f t="shared" si="222"/>
        <v>224.99799999999999</v>
      </c>
      <c r="S62" s="16">
        <f t="shared" si="222"/>
        <v>200.31799999999998</v>
      </c>
      <c r="T62" s="16">
        <f t="shared" si="222"/>
        <v>235.36399999999998</v>
      </c>
      <c r="U62" s="16">
        <f t="shared" si="222"/>
        <v>278.48800000000006</v>
      </c>
      <c r="V62" s="16">
        <f t="shared" si="222"/>
        <v>330.20800000000003</v>
      </c>
      <c r="W62" s="16">
        <f t="shared" ref="W62:AB62" si="226">W57</f>
        <v>318.57</v>
      </c>
      <c r="X62" s="16">
        <f t="shared" si="226"/>
        <v>314.5689999999999</v>
      </c>
      <c r="Y62" s="16">
        <f t="shared" si="226"/>
        <v>340.17900000000009</v>
      </c>
      <c r="Z62" s="16">
        <f t="shared" si="226"/>
        <v>415.16699999999997</v>
      </c>
      <c r="AA62" s="16">
        <f t="shared" si="226"/>
        <v>379.77900000000005</v>
      </c>
      <c r="AB62" s="16">
        <f t="shared" si="226"/>
        <v>386.37200000000001</v>
      </c>
      <c r="AC62" s="16">
        <f t="shared" ref="AC62:AF62" si="227">AC57</f>
        <v>439.83400000000006</v>
      </c>
      <c r="AD62" s="16">
        <f t="shared" si="227"/>
        <v>457.50200000000001</v>
      </c>
      <c r="AE62" s="16">
        <f t="shared" si="227"/>
        <v>351.63799999999998</v>
      </c>
      <c r="AF62" s="16">
        <f t="shared" si="227"/>
        <v>686.6110000000001</v>
      </c>
      <c r="AG62" s="16">
        <f t="shared" ref="AG62:AJ62" si="228">AG57</f>
        <v>832.60799999999972</v>
      </c>
      <c r="AH62" s="16">
        <f t="shared" si="228"/>
        <v>1244.625</v>
      </c>
      <c r="AI62" s="16">
        <f t="shared" si="228"/>
        <v>1134.3710000000001</v>
      </c>
      <c r="AJ62" s="16">
        <f t="shared" si="228"/>
        <v>1253.7509999999997</v>
      </c>
      <c r="AK62" s="16">
        <f t="shared" ref="AK62:AQ62" si="229">AK57</f>
        <v>1834.2739999999999</v>
      </c>
      <c r="AL62" s="16">
        <f t="shared" ref="AL62" si="230">AL57</f>
        <v>2480.509</v>
      </c>
      <c r="AM62" s="16">
        <f t="shared" si="229"/>
        <v>2343.0140000000001</v>
      </c>
      <c r="AN62" s="16">
        <f t="shared" ref="AN62" si="231">AN57</f>
        <v>3572.0929999999998</v>
      </c>
      <c r="AO62" s="16">
        <f t="shared" si="229"/>
        <v>1915.0689999999995</v>
      </c>
      <c r="AP62" s="16">
        <f t="shared" si="229"/>
        <v>3161.777</v>
      </c>
      <c r="AQ62" s="16">
        <f t="shared" si="229"/>
        <v>2669.1710000000003</v>
      </c>
      <c r="AR62" s="16">
        <f t="shared" ref="AR62" si="232">AR57</f>
        <v>4268.183</v>
      </c>
      <c r="AS62" s="16">
        <f t="shared" ref="AS62:AW62" si="233">AS57</f>
        <v>3673.3339999999998</v>
      </c>
      <c r="AT62" s="16">
        <f t="shared" ref="AT62" si="234">AT57</f>
        <v>4302.9459999999999</v>
      </c>
      <c r="AU62" s="16">
        <f t="shared" si="233"/>
        <v>4042.268</v>
      </c>
      <c r="AV62" s="16">
        <f t="shared" si="233"/>
        <v>3274.8230000000003</v>
      </c>
      <c r="AW62" s="16">
        <f t="shared" si="233"/>
        <v>3554.66</v>
      </c>
      <c r="AX62" s="16">
        <f t="shared" ref="AX62:BA62" si="235">AX57</f>
        <v>4724.2039999999997</v>
      </c>
      <c r="AY62" s="16">
        <f t="shared" si="235"/>
        <v>5484.46</v>
      </c>
      <c r="AZ62" s="16">
        <f t="shared" si="235"/>
        <v>3701.2650000000003</v>
      </c>
      <c r="BA62" s="16">
        <f t="shared" si="235"/>
        <v>5196.7819999999983</v>
      </c>
      <c r="BB62" s="16">
        <f t="shared" ref="BB62:BC62" si="236">BB57</f>
        <v>4033.5300000000025</v>
      </c>
      <c r="BC62" s="16">
        <f t="shared" si="236"/>
        <v>5129.759</v>
      </c>
      <c r="BD62" s="16"/>
      <c r="BE62" s="16">
        <f t="shared" ref="BE62:BF62" si="237">BE57</f>
        <v>5582.5259999999998</v>
      </c>
      <c r="BF62" s="16">
        <f t="shared" si="237"/>
        <v>4299.1059999999998</v>
      </c>
      <c r="BG62" s="16">
        <f t="shared" ref="BG62:BI62" si="238">BG57</f>
        <v>4609.7610000000004</v>
      </c>
      <c r="BH62" s="16">
        <f t="shared" si="238"/>
        <v>5922.5159999999996</v>
      </c>
      <c r="BI62" s="16">
        <f t="shared" si="238"/>
        <v>7177.3959999999997</v>
      </c>
      <c r="BJ62" s="26"/>
      <c r="BK62" s="16">
        <f t="shared" ref="BK62:BL62" si="239">BK57</f>
        <v>9881.6319999999996</v>
      </c>
      <c r="BL62" s="16">
        <f t="shared" si="239"/>
        <v>9185.7250000000004</v>
      </c>
      <c r="BM62" s="74"/>
      <c r="BN62" s="16">
        <f t="shared" ref="BN62:BO62" si="240">BN57</f>
        <v>14491.393</v>
      </c>
      <c r="BO62" s="16">
        <f t="shared" si="240"/>
        <v>14382.507</v>
      </c>
      <c r="BP62" s="16"/>
      <c r="BQ62" s="16">
        <f t="shared" ref="BQ62:BS62" si="241">BQ57</f>
        <v>579.56500000000005</v>
      </c>
      <c r="BR62" s="16">
        <f t="shared" si="241"/>
        <v>546.38400000000001</v>
      </c>
      <c r="BS62" s="16">
        <f t="shared" si="241"/>
        <v>446.62400000000002</v>
      </c>
    </row>
    <row r="63" spans="2:72">
      <c r="B63" s="25" t="s">
        <v>211</v>
      </c>
      <c r="C63" s="22">
        <f>21.875657-25.086496-63.836647+80.487471+18.879745+25.637213+8.209115</f>
        <v>66.166058000000007</v>
      </c>
      <c r="D63" s="22">
        <f>-66.505+56.637-182.015-25.004+272.227+10.658-3.744</f>
        <v>62.254000000000005</v>
      </c>
      <c r="E63" s="22">
        <f>-17.834-1029.696+26.665+63.864-88.681+166.843+11.766</f>
        <v>-867.07300000000009</v>
      </c>
      <c r="F63" s="22">
        <f>1038.478-1468.816</f>
        <v>-430.33799999999997</v>
      </c>
      <c r="G63" s="22">
        <f>966.215-1877.521</f>
        <v>-911.30599999999993</v>
      </c>
      <c r="H63" s="22">
        <f>557.41-2982.819</f>
        <v>-2425.4090000000001</v>
      </c>
      <c r="I63" s="22">
        <f>3429.49-6634.896</f>
        <v>-3205.4059999999999</v>
      </c>
      <c r="J63" s="22">
        <f>5597.158-10592.101</f>
        <v>-4994.9430000000002</v>
      </c>
      <c r="K63" s="22">
        <f>9404.93-13686.187</f>
        <v>-4281.2569999999996</v>
      </c>
      <c r="L63" s="22">
        <f>13578.722-19759.949</f>
        <v>-6181.2270000000008</v>
      </c>
      <c r="M63" s="22">
        <f>7585.577-18226.759</f>
        <v>-10641.181999999997</v>
      </c>
      <c r="N63" s="22">
        <f>9928.937-23857.427</f>
        <v>-13928.49</v>
      </c>
      <c r="O63" s="22">
        <f>8138.617-22882.764</f>
        <v>-14744.146999999999</v>
      </c>
      <c r="P63" s="23">
        <f>SUM(AZ63:BC63)</f>
        <v>-13837.777999999997</v>
      </c>
      <c r="R63" s="22">
        <f>-65.299-322.49+27.467-35.388-30.243+71.894+4.412</f>
        <v>-349.64699999999999</v>
      </c>
      <c r="S63" s="22">
        <f>-59.741-557.703+73.957-4.235-150.033-4.207+19.157-R63</f>
        <v>-333.15799999999996</v>
      </c>
      <c r="T63" s="22">
        <f>-915.104-33.776-16.978+76.079-191.485+136.809-6.567-R63-S63</f>
        <v>-268.21700000000027</v>
      </c>
      <c r="U63" s="23">
        <f>E63-SUM(R63:T63)</f>
        <v>83.949000000000069</v>
      </c>
      <c r="V63" s="22">
        <f>-68.88-300.258+18.897+3.797-55.468+3.853-14.658</f>
        <v>-412.71699999999998</v>
      </c>
      <c r="W63" s="22">
        <f>-60.857-321.682-42.648-5.731-115.881+45.652-22.85-V63</f>
        <v>-111.27999999999997</v>
      </c>
      <c r="X63" s="22">
        <f>-49.691-591.357-67.738-6.608-72.214+69.936-14.237-V63-W63</f>
        <v>-207.91199999999992</v>
      </c>
      <c r="Y63" s="23">
        <f>F63-SUM(V63:X63)</f>
        <v>301.57099999999991</v>
      </c>
      <c r="Z63" s="22">
        <f>-27.784-283.874-70.117-26.175-10.255-73.237-0.936</f>
        <v>-492.37799999999999</v>
      </c>
      <c r="AA63" s="22">
        <f>28.051-189.951-189.483-35.315-104.19-208.736-10.281-Z63</f>
        <v>-217.52699999999999</v>
      </c>
      <c r="AB63" s="22">
        <f>-194.63-229.423-252.08-188.839-43.149-270.517-32.009-Z63-AA63</f>
        <v>-500.74200000000002</v>
      </c>
      <c r="AC63" s="23">
        <f>G63-SUM(Z63:AB63)</f>
        <v>299.34100000000001</v>
      </c>
      <c r="AD63" s="22">
        <f>-203.667-110.335-11.123+59.028-47.922+204.164-50.467</f>
        <v>-160.322</v>
      </c>
      <c r="AE63" s="22">
        <f>-177.419-155.893-27.444+56.292-82.197+216.866-102.736-AD63</f>
        <v>-112.20900000000006</v>
      </c>
      <c r="AF63" s="22">
        <f>-148.411-317.06-263.792-159.525-41.605+45.531-86.68-AD63-AE63</f>
        <v>-699.01099999999985</v>
      </c>
      <c r="AG63" s="23">
        <f>H63-SUM(AD63:AF63)</f>
        <v>-1453.8670000000002</v>
      </c>
      <c r="AH63" s="22">
        <f>-438.138-665.839-424.134-256.004+353.235+278.389+3.204</f>
        <v>-1149.287</v>
      </c>
      <c r="AI63" s="22">
        <f>-664.519-269.263-990.301-856.494+382.138+440.665-59.022-AH63</f>
        <v>-867.50900000000024</v>
      </c>
      <c r="AJ63" s="22">
        <f>-936.768-1151.029-2013.918-926.239+760.923+479.052-93.68-AH63-AI63</f>
        <v>-1864.8629999999991</v>
      </c>
      <c r="AK63" s="23">
        <f>I63-SUM(AH63:AJ63)</f>
        <v>676.2529999999997</v>
      </c>
      <c r="AL63" s="23">
        <f>J63-SUM(AH63:AJ63)</f>
        <v>-1113.2840000000006</v>
      </c>
      <c r="AM63" s="22">
        <f>-626.086-1501.796-526.476-222.599-141.051-160.471+271.514</f>
        <v>-2906.9650000000001</v>
      </c>
      <c r="AN63" s="22">
        <f>-1054.901-2530.457-918.05-378.4-237.664-270.386+527.285</f>
        <v>-4862.5730000000003</v>
      </c>
      <c r="AO63" s="22">
        <f>2471.342-6153.861-AM63</f>
        <v>-775.55399999999963</v>
      </c>
      <c r="AP63" s="22">
        <f>4458.821-11159.659-AN63</f>
        <v>-1838.2649999999994</v>
      </c>
      <c r="AQ63" s="22">
        <f>-1325.478-1837.351-1264.839-308.573+598.792+182.817+158.595-AM63-AO63</f>
        <v>-113.51800000000003</v>
      </c>
      <c r="AR63" s="22">
        <f>8458.87-15513.81-AN63-AP63</f>
        <v>-354.10199999999895</v>
      </c>
      <c r="AS63" s="23">
        <f>K63-SUM(AM63,AO63,AQ63)</f>
        <v>-485.2199999999998</v>
      </c>
      <c r="AT63" s="23">
        <f>L63-SUM(AN63,AP63,AR63)</f>
        <v>873.71299999999792</v>
      </c>
      <c r="AU63" s="22">
        <f>-795.447-3492.719-600.478-336.835-757.151-490.259+351.735</f>
        <v>-6121.1540000000005</v>
      </c>
      <c r="AV63" s="22">
        <f>3305.887-8877.155-AU63</f>
        <v>549.88600000000042</v>
      </c>
      <c r="AW63" s="22">
        <f>2698.789-12887.68-AV63-AU63</f>
        <v>-4617.6229999999996</v>
      </c>
      <c r="AX63" s="23">
        <f>M63-SUM(AU63,AV63,AW63)</f>
        <v>-452.29099999999744</v>
      </c>
      <c r="AY63" s="22">
        <f>-1169.292-4113.015-6448.932-359.451-660.296-67.779+68.283</f>
        <v>-12750.482000000004</v>
      </c>
      <c r="AZ63" s="23">
        <f>BL63-AY63</f>
        <v>-2706.507999999998</v>
      </c>
      <c r="BA63" s="23">
        <f>BO63-AZ63-AY63</f>
        <v>-3127.1989999999969</v>
      </c>
      <c r="BB63" s="23">
        <f>O63-SUM(AY63,AZ63,BA63)</f>
        <v>3840.0419999999995</v>
      </c>
      <c r="BC63" s="22">
        <f>-1140.822-4141.876-4015.975-832.535-291.977-1988.478+567.55</f>
        <v>-11844.113000000001</v>
      </c>
      <c r="BD63" s="126"/>
      <c r="BE63" s="22">
        <f>-1098.543-4823.579-829.283-465.182-1045.655-677.066+485.76</f>
        <v>-8453.5480000000007</v>
      </c>
      <c r="BF63" s="23">
        <f>BK63-BE63</f>
        <v>929.62500000000091</v>
      </c>
      <c r="BG63" s="23">
        <f>BN63-BF63-BE63</f>
        <v>-6057.259</v>
      </c>
      <c r="BH63" s="23">
        <f>N63-BG63-BF63-BE63</f>
        <v>-347.30799999999908</v>
      </c>
      <c r="BI63" s="22">
        <f>-1530.228-5382.615-8439.58-470.406-864.115-88.701+89.361</f>
        <v>-16686.284</v>
      </c>
      <c r="BJ63" s="16"/>
      <c r="BK63" s="22">
        <f>4464.556-11988.479</f>
        <v>-7523.9229999999998</v>
      </c>
      <c r="BL63" s="22">
        <f>-3422.139-12034.851</f>
        <v>-15456.990000000002</v>
      </c>
      <c r="BM63" s="74"/>
      <c r="BN63" s="22">
        <f>(3597325-17178507)/1000</f>
        <v>-13581.182000000001</v>
      </c>
      <c r="BO63" s="22">
        <f>(-824217-17759972)/1000</f>
        <v>-18584.188999999998</v>
      </c>
      <c r="BP63" s="22"/>
      <c r="BQ63" s="22">
        <f>-239.197-164.333-761.881+145.044-94.439+48.333-29.85-AA63-Z63</f>
        <v>-386.41799999999984</v>
      </c>
      <c r="BR63" s="22">
        <f>-83.101-137.6-471.891-76.158-51.404+43.721-18.845</f>
        <v>-795.27800000000002</v>
      </c>
      <c r="BS63" s="22">
        <f>-39.38-166.42-280.763-95.621-134.118+27.897-148.506-BR63</f>
        <v>-41.632999999999811</v>
      </c>
    </row>
    <row r="64" spans="2:72">
      <c r="B64" s="25" t="s">
        <v>212</v>
      </c>
      <c r="C64" s="22">
        <v>-53.695588000000001</v>
      </c>
      <c r="D64" s="22">
        <v>-50.8</v>
      </c>
      <c r="E64" s="22">
        <v>-141.35900000000001</v>
      </c>
      <c r="F64" s="22">
        <v>-171.654</v>
      </c>
      <c r="G64" s="22">
        <v>-338.02199999999999</v>
      </c>
      <c r="H64" s="22">
        <v>-393.36900000000003</v>
      </c>
      <c r="I64" s="22">
        <v>-566.72199999999998</v>
      </c>
      <c r="J64" s="22">
        <v>-1256.415</v>
      </c>
      <c r="K64" s="22">
        <v>-1356.03</v>
      </c>
      <c r="L64" s="22">
        <v>-1957.819</v>
      </c>
      <c r="M64" s="22">
        <v>-992.38599999999997</v>
      </c>
      <c r="N64" s="22">
        <v>-1298.9570000000001</v>
      </c>
      <c r="O64" s="22">
        <v>-1123.441</v>
      </c>
      <c r="P64" s="23">
        <f t="shared" ref="P64:P65" si="242">SUM(AZ64:BC64)</f>
        <v>-1237.6109999999999</v>
      </c>
      <c r="R64" s="22">
        <v>-14.544</v>
      </c>
      <c r="S64" s="22">
        <f>-51.328-R64</f>
        <v>-36.784000000000006</v>
      </c>
      <c r="T64" s="22">
        <f>-75.704-S64-R64</f>
        <v>-24.375999999999987</v>
      </c>
      <c r="U64" s="23">
        <f>E64-SUM(R64:T64)</f>
        <v>-65.655000000000015</v>
      </c>
      <c r="V64" s="22">
        <v>-0.78</v>
      </c>
      <c r="W64" s="22">
        <f>-67.739-V64</f>
        <v>-66.959000000000003</v>
      </c>
      <c r="X64" s="22">
        <f>-108.546-V64-W64</f>
        <v>-40.807000000000002</v>
      </c>
      <c r="Y64" s="23">
        <f>F64-SUM(V64:X64)</f>
        <v>-63.10799999999999</v>
      </c>
      <c r="Z64" s="22">
        <v>-34.287999999999997</v>
      </c>
      <c r="AA64" s="22">
        <f>-122.077-Z64</f>
        <v>-87.789000000000001</v>
      </c>
      <c r="AB64" s="22">
        <f>-244.022-Z64-AA64</f>
        <v>-121.94499999999998</v>
      </c>
      <c r="AC64" s="23">
        <f>G64-SUM(Z64:AB64)</f>
        <v>-94</v>
      </c>
      <c r="AD64" s="22">
        <v>-24.087</v>
      </c>
      <c r="AE64" s="22">
        <f>-204.437-AD64</f>
        <v>-180.35000000000002</v>
      </c>
      <c r="AF64" s="22">
        <f>-346.211-AD64-AE64</f>
        <v>-141.774</v>
      </c>
      <c r="AG64" s="23">
        <f>H64-SUM(AD64:AF64)</f>
        <v>-47.158000000000015</v>
      </c>
      <c r="AH64" s="22">
        <v>-224.08799999999999</v>
      </c>
      <c r="AI64" s="22">
        <f>-311.641-AH64</f>
        <v>-87.553000000000026</v>
      </c>
      <c r="AJ64" s="22">
        <f>-431.037-AH64-AI64</f>
        <v>-119.39599999999996</v>
      </c>
      <c r="AK64" s="23">
        <f>I64-SUM(AH64:AJ64)</f>
        <v>-135.685</v>
      </c>
      <c r="AL64" s="23">
        <f>J64-SUM(AH64:AJ64)</f>
        <v>-825.37799999999993</v>
      </c>
      <c r="AM64" s="22">
        <v>-66.683999999999997</v>
      </c>
      <c r="AN64" s="22">
        <v>-3.262</v>
      </c>
      <c r="AO64" s="22">
        <f>-422.02-AM64</f>
        <v>-355.33600000000001</v>
      </c>
      <c r="AP64" s="22">
        <f>-852.429-AN64</f>
        <v>-849.16700000000003</v>
      </c>
      <c r="AQ64" s="22">
        <f>-853.827-AM64-AO64</f>
        <v>-431.80700000000002</v>
      </c>
      <c r="AR64" s="22">
        <f>-1715.247-AN64-AP64</f>
        <v>-862.8180000000001</v>
      </c>
      <c r="AS64" s="23">
        <f>K64-SUM(AM64,AO64,AQ64)</f>
        <v>-502.20299999999997</v>
      </c>
      <c r="AT64" s="23">
        <f t="shared" ref="AT64:AT65" si="243">L64-SUM(AN64,AP64,AR64)</f>
        <v>-242.57199999999989</v>
      </c>
      <c r="AU64" s="22">
        <v>-97.198999999999998</v>
      </c>
      <c r="AV64" s="22">
        <f>-597.089-AU64</f>
        <v>-499.89000000000004</v>
      </c>
      <c r="AW64" s="22">
        <f>-828.744-AV64-AU64</f>
        <v>-231.65499999999997</v>
      </c>
      <c r="AX64" s="23">
        <f>M64-SUM(AU64,AV64,AW64)</f>
        <v>-163.64199999999994</v>
      </c>
      <c r="AY64" s="22">
        <v>-66.67</v>
      </c>
      <c r="AZ64" s="23">
        <f>BL64-AY64</f>
        <v>-297.673</v>
      </c>
      <c r="BA64" s="23">
        <f t="shared" ref="BA64:BA65" si="244">BO64-AZ64-AY64</f>
        <v>-216.34199999999993</v>
      </c>
      <c r="BB64" s="23">
        <f t="shared" ref="BB64:BB65" si="245">O64-SUM(AY64,AZ64,BA64)</f>
        <v>-542.75600000000009</v>
      </c>
      <c r="BC64" s="22">
        <v>-180.84</v>
      </c>
      <c r="BD64" s="126"/>
      <c r="BE64" s="22">
        <v>-134.23599999999999</v>
      </c>
      <c r="BF64" s="23">
        <f>BK64-BE64</f>
        <v>-672.125</v>
      </c>
      <c r="BG64" s="23">
        <f t="shared" ref="BG64:BG65" si="246">BN64-BF64-BE64</f>
        <v>-298.30499999999995</v>
      </c>
      <c r="BH64" s="23">
        <f t="shared" ref="BH64:BH65" si="247">N64-BG64-BF64-BE64</f>
        <v>-194.29100000000017</v>
      </c>
      <c r="BI64" s="22">
        <v>-87.25</v>
      </c>
      <c r="BJ64" s="16"/>
      <c r="BK64" s="126">
        <v>-806.36099999999999</v>
      </c>
      <c r="BL64" s="126">
        <v>-364.34300000000002</v>
      </c>
      <c r="BM64" s="126"/>
      <c r="BN64" s="22">
        <v>-1104.6659999999999</v>
      </c>
      <c r="BO64" s="22">
        <v>-580.68499999999995</v>
      </c>
      <c r="BP64" s="22"/>
      <c r="BQ64" s="22">
        <f>-249.49-AA64-Z64</f>
        <v>-127.41300000000003</v>
      </c>
      <c r="BR64" s="22">
        <v>-24.952999999999999</v>
      </c>
      <c r="BS64" s="22">
        <f>-205.727-BR64</f>
        <v>-180.774</v>
      </c>
      <c r="BT64" s="126"/>
    </row>
    <row r="65" spans="2:73">
      <c r="B65" s="25" t="s">
        <v>213</v>
      </c>
      <c r="C65" s="22">
        <v>-75.880255000000005</v>
      </c>
      <c r="D65" s="22">
        <v>-173.43</v>
      </c>
      <c r="E65" s="22">
        <v>-337.13</v>
      </c>
      <c r="F65" s="22">
        <v>-414.64400000000001</v>
      </c>
      <c r="G65" s="22">
        <v>-364.13299999999998</v>
      </c>
      <c r="H65" s="22">
        <v>-756.74900000000002</v>
      </c>
      <c r="I65" s="22">
        <v>-2014.2439999999999</v>
      </c>
      <c r="J65" s="22">
        <v>-3851.84</v>
      </c>
      <c r="K65" s="22">
        <v>-3670.6660000000002</v>
      </c>
      <c r="L65" s="22">
        <v>-5299.6620000000003</v>
      </c>
      <c r="M65" s="22">
        <v>-4132.1670000000004</v>
      </c>
      <c r="N65" s="22">
        <v>-5408.69</v>
      </c>
      <c r="O65" s="22">
        <v>-5224.8509999999997</v>
      </c>
      <c r="P65" s="23">
        <f t="shared" si="242"/>
        <v>-5651.2649999999994</v>
      </c>
      <c r="R65" s="22">
        <v>-16.986000000000001</v>
      </c>
      <c r="S65" s="22">
        <f>-160.165-R65</f>
        <v>-143.179</v>
      </c>
      <c r="T65" s="22">
        <f>-182.187-S65-R65</f>
        <v>-22.022000000000009</v>
      </c>
      <c r="U65" s="23">
        <f>E65-SUM(R65:T65)</f>
        <v>-154.94299999999998</v>
      </c>
      <c r="V65" s="22">
        <v>-33.311</v>
      </c>
      <c r="W65" s="22">
        <f>-194.884-V65</f>
        <v>-161.57299999999998</v>
      </c>
      <c r="X65" s="22">
        <f>-260.868-V65-W65</f>
        <v>-65.984000000000009</v>
      </c>
      <c r="Y65" s="23">
        <f>F65-SUM(V65:X65)</f>
        <v>-153.77600000000001</v>
      </c>
      <c r="Z65" s="22">
        <v>-37.927999999999997</v>
      </c>
      <c r="AA65" s="22">
        <f>-175.205-Z65</f>
        <v>-137.27700000000002</v>
      </c>
      <c r="AB65" s="22">
        <f>-190.301-Z65-AA65</f>
        <v>-15.095999999999975</v>
      </c>
      <c r="AC65" s="23">
        <f>G65-SUM(Z65:AB65)</f>
        <v>-173.83199999999999</v>
      </c>
      <c r="AD65" s="22">
        <v>-38.098999999999997</v>
      </c>
      <c r="AE65" s="22">
        <f>-341.606-AD65</f>
        <v>-303.50700000000001</v>
      </c>
      <c r="AF65" s="22">
        <f>-486.687-AD65-AE65</f>
        <v>-145.08100000000002</v>
      </c>
      <c r="AG65" s="23">
        <f>H65-SUM(AD65:AF65)</f>
        <v>-270.06200000000001</v>
      </c>
      <c r="AH65" s="22">
        <v>-56.106999999999999</v>
      </c>
      <c r="AI65" s="22">
        <f>-778.768-AH65</f>
        <v>-722.66100000000006</v>
      </c>
      <c r="AJ65" s="22">
        <f>-798.495-AH65-AI65</f>
        <v>-19.726999999999975</v>
      </c>
      <c r="AK65" s="23">
        <f>I65-SUM(AH65:AJ65)</f>
        <v>-1215.7489999999998</v>
      </c>
      <c r="AL65" s="23">
        <f>J65-SUM(AH65:AJ65)</f>
        <v>-3053.3450000000003</v>
      </c>
      <c r="AM65" s="22">
        <v>-55.542000000000002</v>
      </c>
      <c r="AN65" s="22">
        <v>-105.28400000000001</v>
      </c>
      <c r="AO65" s="22">
        <f>-996.485-AM65</f>
        <v>-940.94299999999998</v>
      </c>
      <c r="AP65" s="22">
        <f>-1811.17-AN65</f>
        <v>-1705.886</v>
      </c>
      <c r="AQ65" s="22">
        <f>-1016.535-AM65-AO65</f>
        <v>-20.049999999999955</v>
      </c>
      <c r="AR65" s="22">
        <f>-1879.888-AN65-AP65</f>
        <v>-68.717999999999847</v>
      </c>
      <c r="AS65" s="23">
        <f>K65-SUM(AM65,AO65,AQ65)</f>
        <v>-2654.1310000000003</v>
      </c>
      <c r="AT65" s="23">
        <f t="shared" si="243"/>
        <v>-3419.7740000000003</v>
      </c>
      <c r="AU65" s="22">
        <v>-72.481999999999999</v>
      </c>
      <c r="AV65" s="22">
        <f>-1718.437-AU65</f>
        <v>-1645.9549999999999</v>
      </c>
      <c r="AW65" s="22">
        <f>-2459.319-AV65-AU65</f>
        <v>-740.88200000000006</v>
      </c>
      <c r="AX65" s="23">
        <f>M65-SUM(AU65,AV65,AW65)</f>
        <v>-1672.8480000000004</v>
      </c>
      <c r="AY65" s="22">
        <v>-788.27700000000004</v>
      </c>
      <c r="AZ65" s="23">
        <f>BL65-AY65</f>
        <v>-1719.6059999999998</v>
      </c>
      <c r="BA65" s="23">
        <f t="shared" si="244"/>
        <v>-1285.5800000000004</v>
      </c>
      <c r="BB65" s="23">
        <f t="shared" si="245"/>
        <v>-1431.3879999999995</v>
      </c>
      <c r="BC65" s="22">
        <v>-1214.691</v>
      </c>
      <c r="BD65" s="126"/>
      <c r="BE65" s="22">
        <v>-100.1</v>
      </c>
      <c r="BF65" s="23">
        <f>BK65-BE65</f>
        <v>-2220.6260000000002</v>
      </c>
      <c r="BG65" s="23">
        <f t="shared" si="246"/>
        <v>-957.39899999999977</v>
      </c>
      <c r="BH65" s="23">
        <f t="shared" si="247"/>
        <v>-2130.5650000000001</v>
      </c>
      <c r="BI65" s="22">
        <v>-1031.6010000000001</v>
      </c>
      <c r="BJ65" s="16"/>
      <c r="BK65" s="22">
        <v>-2320.7260000000001</v>
      </c>
      <c r="BL65" s="22">
        <v>-2507.8829999999998</v>
      </c>
      <c r="BM65" s="22"/>
      <c r="BN65" s="22">
        <v>-3278.125</v>
      </c>
      <c r="BO65" s="22">
        <v>-3793.4630000000002</v>
      </c>
      <c r="BP65" s="22"/>
      <c r="BQ65" s="22">
        <f>-205.039-AA65-Z65</f>
        <v>-29.833999999999975</v>
      </c>
      <c r="BR65" s="22">
        <v>-38.098999999999997</v>
      </c>
      <c r="BS65" s="22">
        <f>-391.271-BR65</f>
        <v>-353.17200000000003</v>
      </c>
      <c r="BT65" s="126"/>
    </row>
    <row r="66" spans="2:73" s="7" customFormat="1">
      <c r="B66" s="7" t="s">
        <v>214</v>
      </c>
      <c r="C66" s="31">
        <f t="shared" ref="C66:E66" si="248">SUM(C62:C65)</f>
        <v>511.8902149999999</v>
      </c>
      <c r="D66" s="31">
        <f t="shared" si="248"/>
        <v>571.61599999999999</v>
      </c>
      <c r="E66" s="31">
        <f t="shared" si="248"/>
        <v>-406.39400000000012</v>
      </c>
      <c r="F66" s="31">
        <f t="shared" ref="F66:T66" si="249">SUM(F62:F65)</f>
        <v>286.8900000000001</v>
      </c>
      <c r="G66" s="31">
        <f t="shared" si="249"/>
        <v>7.6910000000001446</v>
      </c>
      <c r="H66" s="31">
        <f t="shared" si="249"/>
        <v>-1247.1680000000001</v>
      </c>
      <c r="I66" s="31">
        <f t="shared" ref="I66:K66" si="250">SUM(I62:I65)</f>
        <v>-319.35100000000011</v>
      </c>
      <c r="J66" s="31">
        <f t="shared" ref="J66" si="251">SUM(J62:J65)</f>
        <v>-3400.2930000000006</v>
      </c>
      <c r="K66" s="31">
        <f t="shared" si="250"/>
        <v>1292.6350000000002</v>
      </c>
      <c r="L66" s="31">
        <f t="shared" ref="L66:P66" si="252">SUM(L62:L65)</f>
        <v>1866.2909999999993</v>
      </c>
      <c r="M66" s="31">
        <f t="shared" si="252"/>
        <v>-169.77999999999747</v>
      </c>
      <c r="N66" s="31">
        <f t="shared" ref="N66:O66" si="253">SUM(N62:N65)</f>
        <v>-222.22800000000007</v>
      </c>
      <c r="O66" s="31">
        <f t="shared" si="253"/>
        <v>-2676.4019999999982</v>
      </c>
      <c r="P66" s="31">
        <f t="shared" si="252"/>
        <v>-2665.3179999999929</v>
      </c>
      <c r="R66" s="31">
        <f t="shared" si="249"/>
        <v>-156.179</v>
      </c>
      <c r="S66" s="31">
        <f t="shared" si="249"/>
        <v>-312.803</v>
      </c>
      <c r="T66" s="31">
        <f t="shared" si="249"/>
        <v>-79.251000000000289</v>
      </c>
      <c r="U66" s="16">
        <f t="shared" ref="U66:AB66" si="254">SUM(U62:U65)</f>
        <v>141.83900000000011</v>
      </c>
      <c r="V66" s="31">
        <f t="shared" si="254"/>
        <v>-116.59999999999997</v>
      </c>
      <c r="W66" s="31">
        <f t="shared" si="254"/>
        <v>-21.241999999999962</v>
      </c>
      <c r="X66" s="31">
        <f t="shared" si="254"/>
        <v>-0.13400000000002876</v>
      </c>
      <c r="Y66" s="31">
        <f t="shared" si="254"/>
        <v>424.86600000000004</v>
      </c>
      <c r="Z66" s="31">
        <f t="shared" si="254"/>
        <v>-149.42700000000002</v>
      </c>
      <c r="AA66" s="31">
        <f t="shared" si="254"/>
        <v>-62.81399999999995</v>
      </c>
      <c r="AB66" s="31">
        <f t="shared" si="254"/>
        <v>-251.41099999999997</v>
      </c>
      <c r="AC66" s="31">
        <f t="shared" ref="AC66:AD66" si="255">SUM(AC62:AC65)</f>
        <v>471.34300000000007</v>
      </c>
      <c r="AD66" s="31">
        <f t="shared" si="255"/>
        <v>234.99400000000003</v>
      </c>
      <c r="AE66" s="31">
        <f>SUM(AE62:AE65)</f>
        <v>-244.42800000000011</v>
      </c>
      <c r="AF66" s="31">
        <f t="shared" ref="AF66" si="256">SUM(AF62:AF65)</f>
        <v>-299.25499999999977</v>
      </c>
      <c r="AG66" s="31">
        <f t="shared" ref="AG66:AH66" si="257">SUM(AG62:AG65)</f>
        <v>-938.4790000000005</v>
      </c>
      <c r="AH66" s="31">
        <f t="shared" si="257"/>
        <v>-184.85700000000003</v>
      </c>
      <c r="AI66" s="31">
        <f>SUM(AI62:AI65)</f>
        <v>-543.3520000000002</v>
      </c>
      <c r="AJ66" s="31">
        <f t="shared" ref="AJ66:AM66" si="258">SUM(AJ62:AJ65)</f>
        <v>-750.23499999999933</v>
      </c>
      <c r="AK66" s="31">
        <f t="shared" si="258"/>
        <v>1159.0929999999998</v>
      </c>
      <c r="AL66" s="31">
        <f t="shared" ref="AL66" si="259">SUM(AL62:AL65)</f>
        <v>-2511.4980000000005</v>
      </c>
      <c r="AM66" s="31">
        <f t="shared" si="258"/>
        <v>-686.17700000000002</v>
      </c>
      <c r="AN66" s="31">
        <f t="shared" ref="AN66" si="260">SUM(AN62:AN65)</f>
        <v>-1399.0260000000005</v>
      </c>
      <c r="AO66" s="31">
        <f>SUM(AO62:AO65)</f>
        <v>-156.76400000000012</v>
      </c>
      <c r="AP66" s="31">
        <f>SUM(AP62:AP65)</f>
        <v>-1231.5409999999993</v>
      </c>
      <c r="AQ66" s="31">
        <f t="shared" ref="AQ66:AU66" si="261">SUM(AQ62:AQ65)</f>
        <v>2103.7960000000003</v>
      </c>
      <c r="AR66" s="31">
        <f t="shared" ref="AR66" si="262">SUM(AR62:AR65)</f>
        <v>2982.545000000001</v>
      </c>
      <c r="AS66" s="31">
        <f t="shared" si="261"/>
        <v>31.779999999999745</v>
      </c>
      <c r="AT66" s="31">
        <f t="shared" ref="AT66" si="263">SUM(AT62:AT65)</f>
        <v>1514.3129999999974</v>
      </c>
      <c r="AU66" s="31">
        <f t="shared" si="261"/>
        <v>-2248.5670000000005</v>
      </c>
      <c r="AV66" s="31">
        <f>SUM(AV62:AV65)</f>
        <v>1678.8640000000009</v>
      </c>
      <c r="AW66" s="31">
        <f t="shared" ref="AW66:AY66" si="264">SUM(AW62:AW65)</f>
        <v>-2035.4999999999998</v>
      </c>
      <c r="AX66" s="31">
        <f t="shared" si="264"/>
        <v>2435.423000000002</v>
      </c>
      <c r="AY66" s="31">
        <f t="shared" si="264"/>
        <v>-8120.9690000000037</v>
      </c>
      <c r="AZ66" s="31">
        <f>SUM(AZ62:AZ65)</f>
        <v>-1022.5219999999974</v>
      </c>
      <c r="BA66" s="31">
        <f t="shared" ref="BA66:BC66" si="265">SUM(BA62:BA65)</f>
        <v>567.6610000000012</v>
      </c>
      <c r="BB66" s="31">
        <f t="shared" si="265"/>
        <v>5899.4280000000017</v>
      </c>
      <c r="BC66" s="31">
        <f t="shared" si="265"/>
        <v>-8109.8850000000011</v>
      </c>
      <c r="BD66" s="126"/>
      <c r="BE66" s="31">
        <f t="shared" ref="BE66:BF66" si="266">SUM(BE62:BE65)</f>
        <v>-3105.3580000000006</v>
      </c>
      <c r="BF66" s="31">
        <f t="shared" si="266"/>
        <v>2335.9800000000005</v>
      </c>
      <c r="BG66" s="31">
        <f t="shared" ref="BG66:BI66" si="267">SUM(BG62:BG65)</f>
        <v>-2703.2019999999993</v>
      </c>
      <c r="BH66" s="31">
        <f t="shared" si="267"/>
        <v>3250.3520000000003</v>
      </c>
      <c r="BI66" s="31">
        <f t="shared" si="267"/>
        <v>-10627.739</v>
      </c>
      <c r="BJ66" s="16"/>
      <c r="BK66" s="31">
        <f t="shared" ref="BK66:BL66" si="268">SUM(BK62:BK65)</f>
        <v>-769.37800000000016</v>
      </c>
      <c r="BL66" s="31">
        <f t="shared" si="268"/>
        <v>-9143.4910000000018</v>
      </c>
      <c r="BM66" s="31"/>
      <c r="BN66" s="31">
        <f t="shared" ref="BN66:BO66" si="269">SUM(BN62:BN65)</f>
        <v>-3472.5800000000008</v>
      </c>
      <c r="BO66" s="31">
        <f t="shared" si="269"/>
        <v>-8575.8299999999981</v>
      </c>
      <c r="BP66" s="31"/>
      <c r="BQ66" s="31">
        <f t="shared" ref="BQ66:BS66" si="270">SUM(BQ62:BQ65)</f>
        <v>35.900000000000219</v>
      </c>
      <c r="BR66" s="31">
        <f t="shared" si="270"/>
        <v>-311.94599999999997</v>
      </c>
      <c r="BS66" s="31">
        <f t="shared" si="270"/>
        <v>-128.95499999999981</v>
      </c>
      <c r="BT66" s="126"/>
    </row>
    <row r="67" spans="2:73">
      <c r="B67" s="25" t="s">
        <v>215</v>
      </c>
      <c r="C67" s="22">
        <f>4.161003-268.048518</f>
        <v>-263.88751500000001</v>
      </c>
      <c r="D67" s="22">
        <f>-326.139+7.929</f>
        <v>-318.21000000000004</v>
      </c>
      <c r="E67" s="22">
        <f>-225.281+40.142</f>
        <v>-185.13900000000001</v>
      </c>
      <c r="F67" s="22">
        <f>-135.572+7.544</f>
        <v>-128.02799999999999</v>
      </c>
      <c r="G67" s="22">
        <f>-193.143+4.068</f>
        <v>-189.07499999999999</v>
      </c>
      <c r="H67" s="22">
        <f>-558.319+94.721+26.145</f>
        <v>-437.45299999999997</v>
      </c>
      <c r="I67" s="22">
        <f>-740.762+69.871+0</f>
        <v>-670.89099999999996</v>
      </c>
      <c r="J67" s="22">
        <f>190.337-1325.69</f>
        <v>-1135.3530000000001</v>
      </c>
      <c r="K67" s="22">
        <f>90.426-1198.117</f>
        <v>-1107.691</v>
      </c>
      <c r="L67" s="22">
        <f>130.556-1729.827</f>
        <v>-1599.271</v>
      </c>
      <c r="M67" s="22">
        <f>-2552.177+11.512</f>
        <v>-2540.665</v>
      </c>
      <c r="N67" s="22">
        <f>15.069-3340.604</f>
        <v>-3325.5349999999999</v>
      </c>
      <c r="O67" s="22">
        <f>161.546-1715.843</f>
        <v>-1554.297</v>
      </c>
      <c r="P67" s="23">
        <f t="shared" ref="P67:P69" si="271">SUM(AZ67:BC67)</f>
        <v>-1574.3710000000001</v>
      </c>
      <c r="R67" s="22">
        <f>-66.289+24.493</f>
        <v>-41.796000000000006</v>
      </c>
      <c r="S67" s="22">
        <f>-124.212+27.906-R67</f>
        <v>-54.510000000000005</v>
      </c>
      <c r="T67" s="22">
        <f>-193.822+29.248-R67-S67</f>
        <v>-68.268000000000001</v>
      </c>
      <c r="U67" s="23">
        <f>E67-SUM(R67:T67)</f>
        <v>-20.564999999999998</v>
      </c>
      <c r="V67" s="22">
        <f>-21.104+2.219</f>
        <v>-18.884999999999998</v>
      </c>
      <c r="W67" s="22">
        <f>-47.911+6.693-V67</f>
        <v>-22.333000000000006</v>
      </c>
      <c r="X67" s="22">
        <f>-75.41+5.518-V67-W67</f>
        <v>-28.673999999999992</v>
      </c>
      <c r="Y67" s="23">
        <f>F67-SUM(V67:X67)</f>
        <v>-58.135999999999996</v>
      </c>
      <c r="Z67" s="22">
        <f>-23.821+2.515</f>
        <v>-21.306000000000001</v>
      </c>
      <c r="AA67" s="22">
        <f>-49.924+2.637-Z67</f>
        <v>-25.980999999999998</v>
      </c>
      <c r="AB67" s="22">
        <f>-86.606+3.445-Z67-AA67</f>
        <v>-35.874000000000009</v>
      </c>
      <c r="AC67" s="23">
        <f>G67-SUM(Z67:AB67)</f>
        <v>-105.91399999999999</v>
      </c>
      <c r="AD67" s="22">
        <f>-23.623+2.719+26.145</f>
        <v>5.2409999999999997</v>
      </c>
      <c r="AE67" s="22">
        <f>-84.363+3.454+26.145-AD67</f>
        <v>-60.00500000000001</v>
      </c>
      <c r="AF67" s="22">
        <f>91.898+26.145-216.142-AD67-AE67</f>
        <v>-43.334999999999994</v>
      </c>
      <c r="AG67" s="23">
        <f>H67-SUM(AD67:AF67)</f>
        <v>-339.35399999999998</v>
      </c>
      <c r="AH67" s="22">
        <f>-80.625+6.117+0</f>
        <v>-74.507999999999996</v>
      </c>
      <c r="AI67" s="22">
        <f>-193.304+13.713+0-AH67</f>
        <v>-105.08300000000001</v>
      </c>
      <c r="AJ67" s="22">
        <f>40.579+0-364.429-AH67-AI67</f>
        <v>-144.25899999999996</v>
      </c>
      <c r="AK67" s="23">
        <f>I67-SUM(AH67:AJ67)</f>
        <v>-347.041</v>
      </c>
      <c r="AL67" s="23">
        <f>J67-SUM(AH67:AJ67)</f>
        <v>-811.50300000000016</v>
      </c>
      <c r="AM67" s="22">
        <f>-171.29+18.683</f>
        <v>-152.607</v>
      </c>
      <c r="AN67" s="22">
        <f>33.074-286.858</f>
        <v>-253.78399999999999</v>
      </c>
      <c r="AO67" s="22">
        <f>-325.922+22.4-AM67</f>
        <v>-150.91500000000005</v>
      </c>
      <c r="AP67" s="22">
        <f>-557.49+46.378-AN67</f>
        <v>-257.32800000000003</v>
      </c>
      <c r="AQ67" s="22">
        <f>26.92+0-607.853-AM67-AO67</f>
        <v>-277.41099999999994</v>
      </c>
      <c r="AR67" s="22">
        <f>48.59-1023.153-AN67-AP67</f>
        <v>-463.45099999999996</v>
      </c>
      <c r="AS67" s="23">
        <f>K67-SUM(AM67,AO67:AQ67)</f>
        <v>-269.42999999999995</v>
      </c>
      <c r="AT67" s="23">
        <f t="shared" ref="AT67:AT69" si="272">L67-SUM(AN67,AP67,AR67)</f>
        <v>-624.70799999999997</v>
      </c>
      <c r="AU67" s="22">
        <f>2.093-268.098</f>
        <v>-266.005</v>
      </c>
      <c r="AV67" s="22">
        <f>-631.424+22.478-AU67</f>
        <v>-342.94100000000003</v>
      </c>
      <c r="AW67" s="22">
        <f>29.878-1299.05-AV67-AU67</f>
        <v>-660.226</v>
      </c>
      <c r="AX67" s="23">
        <f>M67-SUM(AU67,AV67,AW67)</f>
        <v>-1271.4929999999999</v>
      </c>
      <c r="AY67" s="22">
        <f>1.093-176.671</f>
        <v>-175.578</v>
      </c>
      <c r="AZ67" s="23">
        <f>BL67-AY67</f>
        <v>-275.15599999999995</v>
      </c>
      <c r="BA67" s="23">
        <f t="shared" ref="BA67:BA69" si="273">BO67-AZ67-AY67</f>
        <v>-623.02200000000016</v>
      </c>
      <c r="BB67" s="23">
        <f t="shared" ref="BB67:BB69" si="274">O67-SUM(AY67,AZ67,BA67)</f>
        <v>-480.54099999999994</v>
      </c>
      <c r="BC67" s="22">
        <f>0.799-196.451</f>
        <v>-195.65199999999999</v>
      </c>
      <c r="BD67" s="126"/>
      <c r="BE67" s="22">
        <f>2.891-370.254</f>
        <v>-367.363</v>
      </c>
      <c r="BF67" s="23">
        <f>BK67-BE67</f>
        <v>-455.012</v>
      </c>
      <c r="BG67" s="23">
        <f t="shared" ref="BG67:BG69" si="275">BN67-BF67-BE67</f>
        <v>-869.35599999999999</v>
      </c>
      <c r="BH67" s="23">
        <f t="shared" ref="BH67:BH69" si="276">N67-BG67-BF67-BE67</f>
        <v>-1633.8040000000001</v>
      </c>
      <c r="BI67" s="22">
        <f>1.429-231.206</f>
        <v>-229.77699999999999</v>
      </c>
      <c r="BJ67" s="22"/>
      <c r="BK67" s="22">
        <f>30.355-852.73</f>
        <v>-822.375</v>
      </c>
      <c r="BL67" s="22">
        <f>51.144-501.878</f>
        <v>-450.73399999999998</v>
      </c>
      <c r="BM67" s="22"/>
      <c r="BN67" s="22">
        <f>(-1731556+39825)/1000</f>
        <v>-1691.731</v>
      </c>
      <c r="BO67" s="22">
        <f>(-1131254+57498)/1000</f>
        <v>-1073.7560000000001</v>
      </c>
      <c r="BP67" s="22"/>
      <c r="BQ67" s="22">
        <f>3.559-101.35-AA67-Z67</f>
        <v>-50.504000000000005</v>
      </c>
      <c r="BR67" s="22">
        <f>-31.031+26.145+2.929</f>
        <v>-1.9569999999999994</v>
      </c>
      <c r="BS67" s="22">
        <f>-100.532+2.972+26.145-BR67</f>
        <v>-69.458000000000013</v>
      </c>
      <c r="BT67" s="126"/>
    </row>
    <row r="68" spans="2:73">
      <c r="B68" s="25" t="s">
        <v>216</v>
      </c>
      <c r="C68" s="22">
        <v>-0.44856400000000002</v>
      </c>
      <c r="D68" s="22">
        <v>-1.327</v>
      </c>
      <c r="E68" s="22">
        <v>-6.8620000000000001</v>
      </c>
      <c r="F68" s="22">
        <v>-5.1779999999999999</v>
      </c>
      <c r="G68" s="22">
        <v>-2.7280000000000002</v>
      </c>
      <c r="H68" s="22">
        <v>-1.389</v>
      </c>
      <c r="I68" s="22">
        <v>-6.4729999999999999</v>
      </c>
      <c r="J68" s="22">
        <v>-11.081</v>
      </c>
      <c r="K68" s="22">
        <v>-3.5179999999999998</v>
      </c>
      <c r="L68" s="22">
        <v>-5.08</v>
      </c>
      <c r="M68" s="22">
        <v>-8.6470000000000002</v>
      </c>
      <c r="N68" s="22">
        <v>-11.318</v>
      </c>
      <c r="O68" s="22">
        <v>-23.042999999999999</v>
      </c>
      <c r="P68" s="23">
        <f t="shared" si="271"/>
        <v>-59.58</v>
      </c>
      <c r="R68" s="22">
        <v>-2.7839999999999998</v>
      </c>
      <c r="S68" s="22">
        <f>-3.384-R68</f>
        <v>-0.60000000000000009</v>
      </c>
      <c r="T68" s="22">
        <f>-4.359-S68-R68</f>
        <v>-0.97500000000000009</v>
      </c>
      <c r="U68" s="23">
        <f>E68-SUM(R68:T68)</f>
        <v>-2.5030000000000001</v>
      </c>
      <c r="V68" s="22">
        <v>-1.4830000000000001</v>
      </c>
      <c r="W68" s="22">
        <f>-1.67-V68</f>
        <v>-0.18699999999999983</v>
      </c>
      <c r="X68" s="22">
        <f>-2.157-V68-W68</f>
        <v>-0.4870000000000001</v>
      </c>
      <c r="Y68" s="23">
        <f>F68-SUM(V68:X68)</f>
        <v>-3.0209999999999999</v>
      </c>
      <c r="Z68" s="22">
        <v>-1.74</v>
      </c>
      <c r="AA68" s="22">
        <f>-2.099-Z68</f>
        <v>-0.35900000000000021</v>
      </c>
      <c r="AB68" s="22">
        <f>-2.17-Z68-AA68</f>
        <v>-7.099999999999973E-2</v>
      </c>
      <c r="AC68" s="23">
        <f>G68-SUM(Z68:AB68)</f>
        <v>-0.55800000000000027</v>
      </c>
      <c r="AD68" s="22">
        <v>-7.5999999999999998E-2</v>
      </c>
      <c r="AE68" s="22">
        <f>-0.116-AD68</f>
        <v>-4.0000000000000008E-2</v>
      </c>
      <c r="AF68" s="22">
        <f>-0.536-AD68-AE68</f>
        <v>-0.42000000000000004</v>
      </c>
      <c r="AG68" s="23">
        <f>H68-SUM(AD68:AF68)</f>
        <v>-0.85299999999999998</v>
      </c>
      <c r="AH68" s="22">
        <v>-0.38200000000000001</v>
      </c>
      <c r="AI68" s="22">
        <f>-0.585-AH68</f>
        <v>-0.20299999999999996</v>
      </c>
      <c r="AJ68" s="22">
        <f>-0.833-AH68-AI68</f>
        <v>-0.248</v>
      </c>
      <c r="AK68" s="23">
        <f>I68-SUM(AH68:AJ68)</f>
        <v>-5.64</v>
      </c>
      <c r="AL68" s="23">
        <f>J68-SUM(AH68:AJ68)</f>
        <v>-10.247999999999999</v>
      </c>
      <c r="AM68" s="22">
        <v>-0.71899999999999997</v>
      </c>
      <c r="AN68" s="22">
        <v>-1.3180000000000001</v>
      </c>
      <c r="AO68" s="22">
        <f>-2.426-AM68</f>
        <v>-1.7070000000000003</v>
      </c>
      <c r="AP68" s="22">
        <f>-3.624-AN68</f>
        <v>-2.306</v>
      </c>
      <c r="AQ68" s="22">
        <f>-2.754-AM68-AO68</f>
        <v>-0.32799999999999985</v>
      </c>
      <c r="AR68" s="22">
        <f>-3.576-AN68-AP68</f>
        <v>4.8000000000000043E-2</v>
      </c>
      <c r="AS68" s="23">
        <f>K68-SUM(AM68,AO68:AQ68)</f>
        <v>1.5420000000000007</v>
      </c>
      <c r="AT68" s="23">
        <f>L68-SUM(AN68,AP68,AR68)</f>
        <v>-1.504</v>
      </c>
      <c r="AU68" s="22">
        <v>-4.0039999999999996</v>
      </c>
      <c r="AV68" s="22">
        <f>-4.537-AU68</f>
        <v>-0.53300000000000036</v>
      </c>
      <c r="AW68" s="22">
        <f>-9.852-AV68-AU68</f>
        <v>-5.3149999999999995</v>
      </c>
      <c r="AX68" s="23">
        <f>M68-SUM(AU68,AV68,AW68)</f>
        <v>1.2050000000000001</v>
      </c>
      <c r="AY68" s="22">
        <v>-0.26400000000000001</v>
      </c>
      <c r="AZ68" s="23">
        <f>BL68-AY68</f>
        <v>-4.3250000000000002</v>
      </c>
      <c r="BA68" s="23">
        <f t="shared" si="273"/>
        <v>-7.722999999999999</v>
      </c>
      <c r="BB68" s="23">
        <f t="shared" si="274"/>
        <v>-10.731</v>
      </c>
      <c r="BC68" s="22">
        <v>-36.801000000000002</v>
      </c>
      <c r="BD68" s="126"/>
      <c r="BE68" s="22">
        <v>-5.53</v>
      </c>
      <c r="BF68" s="23">
        <f>BK68-BE68</f>
        <v>-0.59699999999999953</v>
      </c>
      <c r="BG68" s="23">
        <f t="shared" si="275"/>
        <v>-7.0040000000000004</v>
      </c>
      <c r="BH68" s="23">
        <f t="shared" si="276"/>
        <v>1.8130000000000006</v>
      </c>
      <c r="BI68" s="22">
        <v>-0.34499999999999997</v>
      </c>
      <c r="BJ68" s="22"/>
      <c r="BK68" s="22">
        <v>-6.1269999999999998</v>
      </c>
      <c r="BL68" s="22">
        <v>-4.5890000000000004</v>
      </c>
      <c r="BM68" s="22"/>
      <c r="BN68" s="22">
        <v>-13.131</v>
      </c>
      <c r="BO68" s="22">
        <v>-12.311999999999999</v>
      </c>
      <c r="BP68" s="22"/>
      <c r="BQ68" s="22">
        <f>-2.308-AA68-Z68</f>
        <v>-0.20899999999999963</v>
      </c>
      <c r="BR68" s="22">
        <v>-0.12</v>
      </c>
      <c r="BS68" s="22">
        <f>-0.148-BR68</f>
        <v>-2.7999999999999997E-2</v>
      </c>
      <c r="BT68" s="126"/>
    </row>
    <row r="69" spans="2:73">
      <c r="B69" s="25" t="s">
        <v>217</v>
      </c>
      <c r="C69" s="22">
        <v>-20.517153</v>
      </c>
      <c r="D69" s="22">
        <v>40.747</v>
      </c>
      <c r="E69" s="22">
        <v>40.747</v>
      </c>
      <c r="F69" s="22">
        <v>0</v>
      </c>
      <c r="G69" s="22">
        <v>0</v>
      </c>
      <c r="H69" s="22">
        <v>-3736.3139999999999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3">
        <f t="shared" si="271"/>
        <v>0</v>
      </c>
      <c r="R69" s="22">
        <v>0</v>
      </c>
      <c r="S69" s="22">
        <f>40.746-R69</f>
        <v>40.746000000000002</v>
      </c>
      <c r="T69" s="22">
        <f>40.746-S69-R69</f>
        <v>0</v>
      </c>
      <c r="U69" s="23">
        <f>E69-SUM(R69:T69)</f>
        <v>9.9999999999766942E-4</v>
      </c>
      <c r="V69" s="22">
        <v>0</v>
      </c>
      <c r="W69" s="22">
        <v>0</v>
      </c>
      <c r="X69" s="22">
        <v>0</v>
      </c>
      <c r="Y69" s="23">
        <f>F69-SUM(V69:X69)</f>
        <v>0</v>
      </c>
      <c r="Z69" s="22">
        <v>-943.351</v>
      </c>
      <c r="AA69" s="22">
        <f>0-105.796-Z69</f>
        <v>837.55499999999995</v>
      </c>
      <c r="AB69" s="22">
        <f>1667.334-AA69-Z69</f>
        <v>1773.13</v>
      </c>
      <c r="AC69" s="23">
        <f>G69-SUM(Z69:AB69)</f>
        <v>-1667.3340000000001</v>
      </c>
      <c r="AD69" s="22">
        <v>-1192.808</v>
      </c>
      <c r="AE69" s="22">
        <f>-1199.589-AD69</f>
        <v>-6.7809999999999491</v>
      </c>
      <c r="AF69" s="22">
        <f>-3736.314+423.664-AE69-AD69</f>
        <v>-2113.0609999999997</v>
      </c>
      <c r="AG69" s="23">
        <f>H69-SUM(AD69:AF69)</f>
        <v>-423.66400000000021</v>
      </c>
      <c r="AH69" s="22">
        <v>-10.026</v>
      </c>
      <c r="AI69" s="22">
        <f>-18.637-AH69</f>
        <v>-8.6110000000000007</v>
      </c>
      <c r="AJ69" s="22">
        <f>0+1051.37-AI69-AH69</f>
        <v>1070.0070000000001</v>
      </c>
      <c r="AK69" s="23">
        <f>I69-SUM(AH69:AJ69)</f>
        <v>-1051.3700000000001</v>
      </c>
      <c r="AL69" s="23">
        <f>J69-SUM(AH69:AJ69)</f>
        <v>-1051.3700000000001</v>
      </c>
      <c r="AM69" s="22">
        <v>207.84399999999999</v>
      </c>
      <c r="AN69" s="22">
        <v>-19.585999999999999</v>
      </c>
      <c r="AO69" s="22">
        <f>207.843-AM69</f>
        <v>-1.0000000000047748E-3</v>
      </c>
      <c r="AP69" s="22">
        <f>436.749-11.001-AN69</f>
        <v>445.33400000000006</v>
      </c>
      <c r="AQ69" s="22">
        <f>0+203.68-AO69-AM69</f>
        <v>-4.1629999999999825</v>
      </c>
      <c r="AR69" s="22">
        <f>-9.577+475.705-AP69-AN69</f>
        <v>40.379999999999924</v>
      </c>
      <c r="AS69" s="23">
        <f>K69-SUM(AM69,AO69:AQ69)</f>
        <v>-649.01400000000001</v>
      </c>
      <c r="AT69" s="23">
        <f t="shared" si="272"/>
        <v>-466.12799999999999</v>
      </c>
      <c r="AU69" s="22">
        <v>-11.326000000000001</v>
      </c>
      <c r="AV69" s="22">
        <f>-12.279-AU69</f>
        <v>-0.9529999999999994</v>
      </c>
      <c r="AW69" s="22">
        <f>-18.208-AU69-AV69</f>
        <v>-5.9289999999999985</v>
      </c>
      <c r="AX69" s="23">
        <f>M69-SUM(AU69,AV69,AW69)</f>
        <v>18.207999999999998</v>
      </c>
      <c r="AY69" s="22">
        <v>0</v>
      </c>
      <c r="AZ69" s="23">
        <f>BL69-AY69</f>
        <v>0</v>
      </c>
      <c r="BA69" s="23">
        <f t="shared" si="273"/>
        <v>0</v>
      </c>
      <c r="BB69" s="23">
        <f t="shared" si="274"/>
        <v>0</v>
      </c>
      <c r="BC69" s="22">
        <v>0</v>
      </c>
      <c r="BD69" s="126"/>
      <c r="BE69" s="22">
        <v>0</v>
      </c>
      <c r="BF69" s="23">
        <f>BK69-BE69</f>
        <v>0</v>
      </c>
      <c r="BG69" s="23">
        <f t="shared" si="275"/>
        <v>0</v>
      </c>
      <c r="BH69" s="23">
        <f t="shared" si="276"/>
        <v>0</v>
      </c>
      <c r="BI69" s="22">
        <v>0</v>
      </c>
      <c r="BJ69" s="22"/>
      <c r="BK69" s="22">
        <v>0</v>
      </c>
      <c r="BL69" s="22">
        <v>0</v>
      </c>
      <c r="BM69" s="22"/>
      <c r="BN69" s="22">
        <v>0</v>
      </c>
      <c r="BO69" s="22">
        <v>0</v>
      </c>
      <c r="BP69" s="22"/>
      <c r="BQ69" s="22">
        <f>1667.334-AA69-Z69</f>
        <v>1773.13</v>
      </c>
      <c r="BR69" s="22">
        <v>-1192.808</v>
      </c>
      <c r="BS69" s="22">
        <f>-1199.589-BR69</f>
        <v>-6.7809999999999491</v>
      </c>
      <c r="BT69" s="126"/>
    </row>
    <row r="70" spans="2:73" s="7" customFormat="1">
      <c r="B70" s="32" t="s">
        <v>218</v>
      </c>
      <c r="C70" s="16">
        <f t="shared" ref="C70:G70" si="277">SUM(C66:C69)</f>
        <v>227.03698299999988</v>
      </c>
      <c r="D70" s="16">
        <f t="shared" si="277"/>
        <v>292.82599999999996</v>
      </c>
      <c r="E70" s="16">
        <f t="shared" si="277"/>
        <v>-557.64800000000014</v>
      </c>
      <c r="F70" s="16">
        <f t="shared" si="277"/>
        <v>153.68400000000011</v>
      </c>
      <c r="G70" s="16">
        <f t="shared" si="277"/>
        <v>-184.11199999999985</v>
      </c>
      <c r="H70" s="16">
        <f t="shared" ref="H70:I70" si="278">SUM(H66:H69)</f>
        <v>-5422.3239999999996</v>
      </c>
      <c r="I70" s="16">
        <f t="shared" si="278"/>
        <v>-996.71500000000003</v>
      </c>
      <c r="J70" s="16">
        <f t="shared" ref="J70" si="279">SUM(J66:J69)</f>
        <v>-4546.7270000000008</v>
      </c>
      <c r="K70" s="16">
        <f t="shared" ref="K70" si="280">SUM(K66:K69)</f>
        <v>181.42600000000019</v>
      </c>
      <c r="L70" s="16">
        <f t="shared" ref="L70:M70" si="281">SUM(L66:L69)</f>
        <v>261.93999999999932</v>
      </c>
      <c r="M70" s="16">
        <f t="shared" si="281"/>
        <v>-2719.0919999999974</v>
      </c>
      <c r="N70" s="16">
        <f t="shared" ref="N70:O70" si="282">SUM(N66:N69)</f>
        <v>-3559.0810000000001</v>
      </c>
      <c r="O70" s="16">
        <f t="shared" si="282"/>
        <v>-4253.7419999999984</v>
      </c>
      <c r="P70" s="16">
        <f>SUM(P66:P69)</f>
        <v>-4299.268999999993</v>
      </c>
      <c r="R70" s="16">
        <f>SUM(R66:R69)</f>
        <v>-200.75900000000001</v>
      </c>
      <c r="S70" s="16">
        <f>SUM(S66:S69)</f>
        <v>-327.16700000000003</v>
      </c>
      <c r="T70" s="16">
        <f>SUM(T66:T69)</f>
        <v>-148.49400000000028</v>
      </c>
      <c r="U70" s="16">
        <f t="shared" ref="U70:AB70" si="283">SUM(U66:U69)</f>
        <v>118.77200000000011</v>
      </c>
      <c r="V70" s="16">
        <f t="shared" si="283"/>
        <v>-136.96799999999996</v>
      </c>
      <c r="W70" s="16">
        <f t="shared" si="283"/>
        <v>-43.761999999999965</v>
      </c>
      <c r="X70" s="16">
        <f t="shared" si="283"/>
        <v>-29.295000000000023</v>
      </c>
      <c r="Y70" s="16">
        <f t="shared" si="283"/>
        <v>363.709</v>
      </c>
      <c r="Z70" s="16">
        <f t="shared" si="283"/>
        <v>-1115.8240000000001</v>
      </c>
      <c r="AA70" s="16">
        <f t="shared" si="283"/>
        <v>748.40100000000007</v>
      </c>
      <c r="AB70" s="16">
        <f t="shared" si="283"/>
        <v>1485.7740000000001</v>
      </c>
      <c r="AC70" s="16">
        <f t="shared" ref="AC70:AD70" si="284">SUM(AC66:AC69)</f>
        <v>-1302.463</v>
      </c>
      <c r="AD70" s="16">
        <f t="shared" si="284"/>
        <v>-952.649</v>
      </c>
      <c r="AE70" s="16">
        <f>SUM(AE66:AE69)</f>
        <v>-311.25400000000008</v>
      </c>
      <c r="AF70" s="16">
        <f t="shared" ref="AF70" si="285">SUM(AF66:AF69)</f>
        <v>-2456.0709999999995</v>
      </c>
      <c r="AG70" s="16">
        <f t="shared" ref="AG70:AH70" si="286">SUM(AG66:AG69)</f>
        <v>-1702.3500000000008</v>
      </c>
      <c r="AH70" s="16">
        <f t="shared" si="286"/>
        <v>-269.77300000000002</v>
      </c>
      <c r="AI70" s="16">
        <f>SUM(AI66:AI69)</f>
        <v>-657.24900000000014</v>
      </c>
      <c r="AJ70" s="16">
        <f t="shared" ref="AJ70:AM70" si="287">SUM(AJ66:AJ69)</f>
        <v>175.26500000000078</v>
      </c>
      <c r="AK70" s="16">
        <f t="shared" si="287"/>
        <v>-244.9580000000002</v>
      </c>
      <c r="AL70" s="16">
        <f t="shared" ref="AL70" si="288">SUM(AL66:AL69)</f>
        <v>-4384.6190000000006</v>
      </c>
      <c r="AM70" s="16">
        <f t="shared" si="287"/>
        <v>-631.65900000000011</v>
      </c>
      <c r="AN70" s="16">
        <f t="shared" ref="AN70" si="289">SUM(AN66:AN69)</f>
        <v>-1673.7140000000004</v>
      </c>
      <c r="AO70" s="16">
        <f>SUM(AO66:AO69)</f>
        <v>-309.38700000000017</v>
      </c>
      <c r="AP70" s="16">
        <f>SUM(AP66:AP69)</f>
        <v>-1045.8409999999992</v>
      </c>
      <c r="AQ70" s="16">
        <f t="shared" ref="AQ70:AU70" si="290">SUM(AQ66:AQ69)</f>
        <v>1821.8940000000002</v>
      </c>
      <c r="AR70" s="16">
        <f t="shared" ref="AR70" si="291">SUM(AR66:AR69)</f>
        <v>2559.5220000000008</v>
      </c>
      <c r="AS70" s="16">
        <f t="shared" si="290"/>
        <v>-885.12200000000018</v>
      </c>
      <c r="AT70" s="16">
        <f t="shared" ref="AT70" si="292">SUM(AT66:AT69)</f>
        <v>421.9729999999974</v>
      </c>
      <c r="AU70" s="16">
        <f t="shared" si="290"/>
        <v>-2529.9020000000005</v>
      </c>
      <c r="AV70" s="16">
        <f>SUM(AV66:AV69)</f>
        <v>1334.437000000001</v>
      </c>
      <c r="AW70" s="16">
        <f t="shared" ref="AW70:AY70" si="293">SUM(AW66:AW69)</f>
        <v>-2706.97</v>
      </c>
      <c r="AX70" s="16">
        <f t="shared" si="293"/>
        <v>1183.3430000000021</v>
      </c>
      <c r="AY70" s="16">
        <f t="shared" si="293"/>
        <v>-8296.8110000000033</v>
      </c>
      <c r="AZ70" s="16">
        <f>SUM(AZ66:AZ69)</f>
        <v>-1302.0029999999974</v>
      </c>
      <c r="BA70" s="16">
        <f t="shared" ref="BA70:BC70" si="294">SUM(BA66:BA69)</f>
        <v>-63.083999999998966</v>
      </c>
      <c r="BB70" s="16">
        <f t="shared" si="294"/>
        <v>5408.1560000000018</v>
      </c>
      <c r="BC70" s="16">
        <f t="shared" si="294"/>
        <v>-8342.3379999999997</v>
      </c>
      <c r="BD70" s="16"/>
      <c r="BE70" s="16">
        <f t="shared" ref="BE70:BF70" si="295">SUM(BE66:BE69)</f>
        <v>-3478.2510000000007</v>
      </c>
      <c r="BF70" s="16">
        <f t="shared" si="295"/>
        <v>1880.3710000000005</v>
      </c>
      <c r="BG70" s="16">
        <f t="shared" ref="BG70:BI70" si="296">SUM(BG66:BG69)</f>
        <v>-3579.561999999999</v>
      </c>
      <c r="BH70" s="16">
        <f t="shared" si="296"/>
        <v>1618.3610000000003</v>
      </c>
      <c r="BI70" s="16">
        <f t="shared" si="296"/>
        <v>-10857.860999999999</v>
      </c>
      <c r="BJ70" s="16"/>
      <c r="BK70" s="16">
        <f t="shared" ref="BK70:BL70" si="297">SUM(BK66:BK69)</f>
        <v>-1597.88</v>
      </c>
      <c r="BL70" s="16">
        <f t="shared" si="297"/>
        <v>-9598.8140000000021</v>
      </c>
      <c r="BM70" s="16"/>
      <c r="BN70" s="16">
        <f t="shared" ref="BN70:BO70" si="298">SUM(BN66:BN69)</f>
        <v>-5177.4420000000009</v>
      </c>
      <c r="BO70" s="16">
        <f t="shared" si="298"/>
        <v>-9661.8979999999974</v>
      </c>
      <c r="BP70" s="16"/>
      <c r="BQ70" s="16">
        <f t="shared" ref="BQ70:BS70" si="299">SUM(BQ66:BQ69)</f>
        <v>1758.3170000000002</v>
      </c>
      <c r="BR70" s="16">
        <f t="shared" si="299"/>
        <v>-1506.8309999999999</v>
      </c>
      <c r="BS70" s="16">
        <f t="shared" si="299"/>
        <v>-205.22199999999978</v>
      </c>
      <c r="BT70" s="126"/>
      <c r="BU70" s="126"/>
    </row>
    <row r="71" spans="2:73" s="7" customFormat="1">
      <c r="B71" s="25" t="s">
        <v>219</v>
      </c>
      <c r="C71" s="22">
        <f>802.828779+0.683686+76.906418+14.450374+7.679254</f>
        <v>902.54851100000008</v>
      </c>
      <c r="D71" s="22">
        <f>5.417+0.916+125.519-47.469+7.948</f>
        <v>92.331000000000017</v>
      </c>
      <c r="E71" s="22">
        <f>-0.199+0.231+190.732+52.001+8.576</f>
        <v>251.34100000000001</v>
      </c>
      <c r="F71" s="22">
        <f>0.758+817.961+233.928+801.458-17.63-336.41+10.444+2.026</f>
        <v>1512.5349999999999</v>
      </c>
      <c r="G71" s="22">
        <f>-1441.584+0.064+491.169+11.919-40.837+174.989</f>
        <v>-804.28</v>
      </c>
      <c r="H71" s="22">
        <f>1837.753+0.045+392.815+423.471-34.969+12.217</f>
        <v>2631.3319999999999</v>
      </c>
      <c r="I71" s="22">
        <f>-649.135+374.246+6845.914-44.999+11.062-15.897</f>
        <v>6521.1909999999998</v>
      </c>
      <c r="J71" s="22">
        <f>-1069.599+718.621-75.627+11888.145-0.008+21.592</f>
        <v>11483.124000000002</v>
      </c>
      <c r="K71" s="22">
        <f>-800.523+1209.731-93.201+350.625-8.82+24.53</f>
        <v>682.34199999999987</v>
      </c>
      <c r="L71" s="22">
        <f>-1155.785+1746.595-134.562+506.228-12.734+35.416</f>
        <v>985.1579999999999</v>
      </c>
      <c r="M71" s="22">
        <f>6.898+2650.994+212.636-15.337+37.345</f>
        <v>2892.5360000000001</v>
      </c>
      <c r="N71" s="22">
        <f>9.029+3469.948+278.324-20.075+48.882</f>
        <v>3786.1080000000002</v>
      </c>
      <c r="O71" s="22">
        <f>194.2+4358.784-63.803-7.947+56.966</f>
        <v>4538.2</v>
      </c>
      <c r="P71" s="23">
        <f>SUM(AZ71:BC71)</f>
        <v>4670.0249999999996</v>
      </c>
      <c r="R71" s="22">
        <f>-0.802+58.295+35.625+2.435</f>
        <v>95.552999999999997</v>
      </c>
      <c r="S71" s="22">
        <f>-64.609+0.102+84.037+52.115+4.738-R71</f>
        <v>-19.169999999999987</v>
      </c>
      <c r="T71" s="22">
        <f>-68.193+0.102+151.225+59.483+6.702-R71-S71</f>
        <v>72.935999999999979</v>
      </c>
      <c r="U71" s="23">
        <f>E71-SUM(R71:T71)</f>
        <v>102.02200000000002</v>
      </c>
      <c r="V71" s="22">
        <f>-0.059+52.757-4.557+2.563+2.404</f>
        <v>53.108000000000004</v>
      </c>
      <c r="W71" s="22">
        <f>-0.087+0.083+123.358+0.784+5.143+ 703.819-V71</f>
        <v>779.99199999999996</v>
      </c>
      <c r="X71" s="22">
        <f>-336.478+0.083+331.352+2.406+7.934-V71-W71</f>
        <v>-827.803</v>
      </c>
      <c r="Y71" s="23">
        <f>F71-SUM(V71:X71)</f>
        <v>1507.2379999999998</v>
      </c>
      <c r="Z71" s="22">
        <f>-0.077+31.291+2.478+3.009</f>
        <v>36.701000000000001</v>
      </c>
      <c r="AA71" s="22">
        <f>-0.129+0.064+61.565-3.76+0+5.975-Z71</f>
        <v>27.014000000000003</v>
      </c>
      <c r="AB71" s="22">
        <f>-1514.904+0.064+106.478-9.499+8.919-AA71-Z71</f>
        <v>-1472.6569999999997</v>
      </c>
      <c r="AC71" s="23">
        <f>G71-SUM(Z71:AB71)</f>
        <v>604.66199999999981</v>
      </c>
      <c r="AD71" s="22">
        <f>-4.196+75.145+0+3.334-17.002+0.045</f>
        <v>57.326000000000008</v>
      </c>
      <c r="AE71" s="22">
        <f>-93.627+0.045+167.486-9.902+6.547-AD71</f>
        <v>13.222999999999985</v>
      </c>
      <c r="AF71" s="22">
        <f>1818.442+0.045+352.973+6.448+9.252-AE71-AD71</f>
        <v>2116.6109999999999</v>
      </c>
      <c r="AG71" s="23">
        <f>H71-SUM(AD71:AF71)</f>
        <v>444.17200000000003</v>
      </c>
      <c r="AH71" s="22">
        <f>-323.235+0+83.769+4.379+2.766</f>
        <v>-232.32100000000003</v>
      </c>
      <c r="AI71" s="22">
        <f>-369.455+165.105-9.196+5.472-AH71</f>
        <v>24.247000000000043</v>
      </c>
      <c r="AJ71" s="22">
        <f>-666.465+0+275.96+0+8.251-AI71-AH71</f>
        <v>-174.18000000000006</v>
      </c>
      <c r="AK71" s="23">
        <f>I71-SUM(AH71:AJ71)</f>
        <v>6903.4449999999997</v>
      </c>
      <c r="AL71" s="23">
        <f>J71-SUM(AH71:AJ71)</f>
        <v>11865.378000000002</v>
      </c>
      <c r="AM71" s="22">
        <f>-168.002+227.418+94.597+4.646</f>
        <v>158.65899999999996</v>
      </c>
      <c r="AN71" s="22">
        <f>-283.076+392.406+186.587+402.81+8.039</f>
        <v>706.76599999999996</v>
      </c>
      <c r="AO71" s="22">
        <f>-635.763+413.199+7.627+9.286-AM71</f>
        <v>-364.30999999999995</v>
      </c>
      <c r="AP71" s="22">
        <f>-1090.951+768.385+56.826+16.887-AN71</f>
        <v>-955.61899999999991</v>
      </c>
      <c r="AQ71" s="22">
        <f>-652.511+0+669.402-2.521+14.044-AO71-AM71</f>
        <v>234.06500000000008</v>
      </c>
      <c r="AR71" s="22">
        <f>-974.754+1247.66+92.233+25.936-AP71-AN71</f>
        <v>639.928</v>
      </c>
      <c r="AS71" s="23">
        <f>K71-SUM(AM71,AO71:AQ71)</f>
        <v>1609.5469999999998</v>
      </c>
      <c r="AT71" s="23">
        <f t="shared" ref="AT71:AT75" si="300">L71-SUM(AN71,AP71,AR71)</f>
        <v>594.08299999999986</v>
      </c>
      <c r="AU71" s="22">
        <f>-147.677+213.588+26.161+8.366</f>
        <v>100.438</v>
      </c>
      <c r="AV71" s="22">
        <f>98.473+606.569-30.982+17.258-AU71</f>
        <v>590.88</v>
      </c>
      <c r="AW71" s="22">
        <f>-202.359+1603.796+89.806+27.39-AU71-AV71</f>
        <v>827.31500000000017</v>
      </c>
      <c r="AX71" s="23">
        <f>M71-SUM(AU71,AV71,AW71)</f>
        <v>1373.9029999999998</v>
      </c>
      <c r="AY71" s="22">
        <f>-201.654+941.737-26.995+13.093</f>
        <v>726.18099999999993</v>
      </c>
      <c r="AZ71" s="23">
        <f>BL71-AY71</f>
        <v>1433.1480000000001</v>
      </c>
      <c r="BA71" s="23">
        <f t="shared" ref="BA71:BA75" si="301">BO71-AZ71-AY71</f>
        <v>1666.2369999999996</v>
      </c>
      <c r="BB71" s="23">
        <f t="shared" ref="BB71:BB75" si="302">O71-SUM(AY71,AZ71,BA71)</f>
        <v>712.63400000000001</v>
      </c>
      <c r="BC71" s="22">
        <f>143.39+734.813-35.282-2.504+17.589</f>
        <v>858.00599999999986</v>
      </c>
      <c r="BD71" s="126"/>
      <c r="BE71" s="22">
        <f>-203.948+294.973+36.129+11.555-15.642</f>
        <v>123.06700000000001</v>
      </c>
      <c r="BF71" s="23">
        <f>BK71-BE71</f>
        <v>793.96699999999998</v>
      </c>
      <c r="BG71" s="23">
        <f t="shared" ref="BG71:BG75" si="303">BN71-BF71-BE71</f>
        <v>1082.9430000000002</v>
      </c>
      <c r="BH71" s="23">
        <f t="shared" ref="BH71:BH75" si="304">N71-BG71-BF71-BE71</f>
        <v>1786.1309999999999</v>
      </c>
      <c r="BI71" s="22">
        <f>-263.9+1232.431-35.328+17.135</f>
        <v>950.33800000000008</v>
      </c>
      <c r="BJ71" s="22"/>
      <c r="BK71" s="22">
        <f>(132986+819163-41841-16581+23307)/1000</f>
        <v>917.03399999999999</v>
      </c>
      <c r="BL71" s="22">
        <f>(-225506+2385725-20787-7014+26911)/1000</f>
        <v>2159.3290000000002</v>
      </c>
      <c r="BM71" s="22"/>
      <c r="BN71" s="22">
        <f>(-269732+2137764+119706-24270+36509)/1000</f>
        <v>1999.9770000000001</v>
      </c>
      <c r="BO71" s="22">
        <f>(-208625+3993797+5851-7615+42158)/1000</f>
        <v>3825.5659999999998</v>
      </c>
      <c r="BQ71" s="22">
        <f>-1679.474+0.064+157.64-9.721+6.598-AA71-Z71</f>
        <v>-1588.6079999999999</v>
      </c>
      <c r="BR71" s="22">
        <f>6.71+0.045+102.161-17.245+3.054</f>
        <v>94.724999999999994</v>
      </c>
      <c r="BS71" s="22">
        <f>-111.172+0.045+262.786-10.636+6.477-BR71</f>
        <v>52.775000000000006</v>
      </c>
      <c r="BU71" s="126"/>
    </row>
    <row r="72" spans="2:73">
      <c r="B72" s="25" t="s">
        <v>220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3">
        <f>SUM(AZ72:BC72)</f>
        <v>0</v>
      </c>
      <c r="R72" s="22">
        <v>0</v>
      </c>
      <c r="S72" s="22">
        <v>0</v>
      </c>
      <c r="T72" s="22">
        <v>0</v>
      </c>
      <c r="U72" s="23">
        <f>E72-SUM(R72:T72)</f>
        <v>0</v>
      </c>
      <c r="V72" s="22">
        <v>0</v>
      </c>
      <c r="W72" s="22">
        <v>0</v>
      </c>
      <c r="X72" s="22">
        <v>0</v>
      </c>
      <c r="Y72" s="23">
        <f>F72-SUM(V72:X72)</f>
        <v>0</v>
      </c>
      <c r="Z72" s="22">
        <v>0</v>
      </c>
      <c r="AA72" s="22">
        <f>0-Z72</f>
        <v>0</v>
      </c>
      <c r="AB72" s="22">
        <f>0-AA72-Z72</f>
        <v>0</v>
      </c>
      <c r="AC72" s="23">
        <f>G72-SUM(Z72:AB72)</f>
        <v>0</v>
      </c>
      <c r="AD72" s="22">
        <v>0</v>
      </c>
      <c r="AE72" s="22">
        <f>0-AD72</f>
        <v>0</v>
      </c>
      <c r="AF72" s="22">
        <f>0-AE72-AD72</f>
        <v>0</v>
      </c>
      <c r="AG72" s="23">
        <f>H72-SUM(AD72:AF72)</f>
        <v>0</v>
      </c>
      <c r="AH72" s="22">
        <v>0</v>
      </c>
      <c r="AI72" s="22">
        <v>0</v>
      </c>
      <c r="AJ72" s="22">
        <f>-27.771-AI72-AH72</f>
        <v>-27.771000000000001</v>
      </c>
      <c r="AK72" s="23">
        <f>I72-SUM(AH72:AJ72)</f>
        <v>27.771000000000001</v>
      </c>
      <c r="AL72" s="23">
        <f>J72-SUM(AH72:AJ72)</f>
        <v>27.771000000000001</v>
      </c>
      <c r="AM72" s="22">
        <v>0</v>
      </c>
      <c r="AN72" s="22">
        <v>0</v>
      </c>
      <c r="AO72" s="22">
        <v>0</v>
      </c>
      <c r="AP72" s="22">
        <v>0</v>
      </c>
      <c r="AQ72" s="22">
        <f>0-AO72-AM72</f>
        <v>0</v>
      </c>
      <c r="AR72" s="22">
        <f>0-AP72-AN72</f>
        <v>0</v>
      </c>
      <c r="AS72" s="23">
        <f>K72-SUM(AM72,AO72:AQ72)</f>
        <v>0</v>
      </c>
      <c r="AT72" s="23">
        <f t="shared" si="300"/>
        <v>0</v>
      </c>
      <c r="AU72" s="22">
        <v>0</v>
      </c>
      <c r="AV72" s="22">
        <f>0-AU72</f>
        <v>0</v>
      </c>
      <c r="AW72" s="22">
        <f>0-AU72-AV72</f>
        <v>0</v>
      </c>
      <c r="AX72" s="23">
        <f>M72-SUM(AU72,AV72,AW72)</f>
        <v>0</v>
      </c>
      <c r="AY72" s="22">
        <v>0</v>
      </c>
      <c r="AZ72" s="23">
        <f>BL72-AY72</f>
        <v>0</v>
      </c>
      <c r="BA72" s="23">
        <f t="shared" si="301"/>
        <v>0</v>
      </c>
      <c r="BB72" s="23">
        <f t="shared" si="302"/>
        <v>0</v>
      </c>
      <c r="BC72" s="22">
        <v>0</v>
      </c>
      <c r="BD72" s="126"/>
      <c r="BE72" s="22">
        <v>0</v>
      </c>
      <c r="BF72" s="23">
        <f>BK72-BE72</f>
        <v>0</v>
      </c>
      <c r="BG72" s="23">
        <f t="shared" si="303"/>
        <v>0</v>
      </c>
      <c r="BH72" s="23">
        <f t="shared" si="304"/>
        <v>0</v>
      </c>
      <c r="BI72" s="22">
        <v>0</v>
      </c>
      <c r="BJ72" s="22"/>
      <c r="BK72" s="22">
        <v>0</v>
      </c>
      <c r="BL72" s="22">
        <v>0</v>
      </c>
      <c r="BM72" s="22"/>
      <c r="BN72" s="22">
        <v>0</v>
      </c>
      <c r="BO72" s="22">
        <v>0</v>
      </c>
      <c r="BP72" s="22"/>
      <c r="BQ72" s="22">
        <f>0-AA72-Z72</f>
        <v>0</v>
      </c>
      <c r="BR72" s="22">
        <v>0</v>
      </c>
      <c r="BS72" s="22">
        <v>0</v>
      </c>
      <c r="BU72" s="300"/>
    </row>
    <row r="73" spans="2:73">
      <c r="B73" s="25" t="s">
        <v>221</v>
      </c>
      <c r="C73" s="22">
        <v>-114.825333</v>
      </c>
      <c r="D73" s="22">
        <v>-71.917000000000002</v>
      </c>
      <c r="E73" s="22">
        <v>-101.877</v>
      </c>
      <c r="F73" s="22">
        <v>0</v>
      </c>
      <c r="G73" s="22">
        <v>-6.6859999999999999</v>
      </c>
      <c r="H73" s="22">
        <v>-373.34100000000001</v>
      </c>
      <c r="I73" s="22">
        <v>-120.63200000000001</v>
      </c>
      <c r="J73" s="22">
        <v>-198.768</v>
      </c>
      <c r="K73" s="22">
        <v>-199.81100000000001</v>
      </c>
      <c r="L73" s="22">
        <v>-288.48500000000001</v>
      </c>
      <c r="M73" s="22">
        <v>-364.77100000000002</v>
      </c>
      <c r="N73" s="22">
        <v>-477.45699999999999</v>
      </c>
      <c r="O73" s="22">
        <f>-3835.15</f>
        <v>-3835.15</v>
      </c>
      <c r="P73" s="23">
        <f>SUM(AZ73:BC73)</f>
        <v>-3835.15</v>
      </c>
      <c r="R73" s="22">
        <v>0</v>
      </c>
      <c r="S73" s="22">
        <v>0</v>
      </c>
      <c r="T73" s="22">
        <v>0</v>
      </c>
      <c r="U73" s="23">
        <f>E73-SUM(R73:T73)</f>
        <v>-101.877</v>
      </c>
      <c r="V73" s="22">
        <v>0</v>
      </c>
      <c r="W73" s="22">
        <v>0</v>
      </c>
      <c r="X73" s="22">
        <v>0</v>
      </c>
      <c r="Y73" s="23">
        <f>F73-SUM(V73:X73)</f>
        <v>0</v>
      </c>
      <c r="Z73" s="22">
        <v>0</v>
      </c>
      <c r="AA73" s="22">
        <f>0-Z73</f>
        <v>0</v>
      </c>
      <c r="AB73" s="22">
        <f>0-AA73-Z73</f>
        <v>0</v>
      </c>
      <c r="AC73" s="23">
        <f>G73-SUM(Z73:AB73)</f>
        <v>-6.6859999999999999</v>
      </c>
      <c r="AD73" s="22">
        <v>-66.025000000000006</v>
      </c>
      <c r="AE73" s="22">
        <f>-349.292-AD73</f>
        <v>-283.26699999999994</v>
      </c>
      <c r="AF73" s="22">
        <f>-349.291-AE73-AD73</f>
        <v>9.9999999994793143E-4</v>
      </c>
      <c r="AG73" s="23">
        <f>H73-SUM(AD73:AF73)</f>
        <v>-24.050000000000068</v>
      </c>
      <c r="AH73" s="22">
        <v>0</v>
      </c>
      <c r="AI73" s="22">
        <f>0-AH73</f>
        <v>0</v>
      </c>
      <c r="AJ73" s="22">
        <f>-119.59-AI73-AH73</f>
        <v>-119.59</v>
      </c>
      <c r="AK73" s="23">
        <f>I73-SUM(AH73:AJ73)</f>
        <v>-1.0420000000000016</v>
      </c>
      <c r="AL73" s="23">
        <f>J73-SUM(AH73:AJ73)</f>
        <v>-79.177999999999997</v>
      </c>
      <c r="AM73" s="22">
        <v>0</v>
      </c>
      <c r="AN73" s="22">
        <v>0</v>
      </c>
      <c r="AO73" s="22">
        <f>-199.811-AM73</f>
        <v>-199.81100000000001</v>
      </c>
      <c r="AP73" s="22">
        <f>-342.871-AN73</f>
        <v>-342.87099999999998</v>
      </c>
      <c r="AQ73" s="22">
        <f>-199.811-AO73-AM73</f>
        <v>0</v>
      </c>
      <c r="AR73" s="22">
        <f>-298.488-AP73-AN73</f>
        <v>44.382999999999981</v>
      </c>
      <c r="AS73" s="23">
        <f>K73-SUM(AM73,AO73:AQ73)</f>
        <v>342.87099999999998</v>
      </c>
      <c r="AT73" s="23">
        <f t="shared" si="300"/>
        <v>10.002999999999986</v>
      </c>
      <c r="AU73" s="22">
        <v>0</v>
      </c>
      <c r="AV73" s="22">
        <f>-341.779-AU73</f>
        <v>-341.779</v>
      </c>
      <c r="AW73" s="22">
        <f>-341.779-AU73-AV73</f>
        <v>0</v>
      </c>
      <c r="AX73" s="23">
        <f>M73-SUM(AU73,AV73,AW73)</f>
        <v>-22.992000000000019</v>
      </c>
      <c r="AY73" s="22">
        <v>0</v>
      </c>
      <c r="AZ73" s="23">
        <f>BL73-AY73</f>
        <v>-3436.3240000000001</v>
      </c>
      <c r="BA73" s="23">
        <f t="shared" si="301"/>
        <v>-243.92499999999973</v>
      </c>
      <c r="BB73" s="23">
        <f t="shared" si="302"/>
        <v>-154.90100000000029</v>
      </c>
      <c r="BC73" s="22">
        <v>0</v>
      </c>
      <c r="BD73" s="22"/>
      <c r="BE73" s="22">
        <v>0</v>
      </c>
      <c r="BF73" s="23">
        <f>BK73-BE73</f>
        <v>-461.56799999999998</v>
      </c>
      <c r="BG73" s="23">
        <f t="shared" si="303"/>
        <v>5.9969999999999573</v>
      </c>
      <c r="BH73" s="23">
        <f t="shared" si="304"/>
        <v>-21.885999999999967</v>
      </c>
      <c r="BI73" s="22">
        <v>0</v>
      </c>
      <c r="BJ73" s="22"/>
      <c r="BK73" s="22">
        <v>-461.56799999999998</v>
      </c>
      <c r="BL73" s="22">
        <v>-3436.3240000000001</v>
      </c>
      <c r="BM73" s="22"/>
      <c r="BN73" s="22">
        <v>-455.57100000000003</v>
      </c>
      <c r="BO73" s="22">
        <v>-3680.2489999999998</v>
      </c>
      <c r="BP73" s="22"/>
      <c r="BQ73" s="22">
        <f>0-AA73-Z73</f>
        <v>0</v>
      </c>
      <c r="BR73" s="22">
        <v>-66.025000000000006</v>
      </c>
      <c r="BS73" s="22">
        <f>-349.292-BR73</f>
        <v>-283.26699999999994</v>
      </c>
    </row>
    <row r="74" spans="2:73">
      <c r="B74" s="25" t="s">
        <v>222</v>
      </c>
      <c r="C74" s="22">
        <f>952.561529-1219.19359</f>
        <v>-266.63206100000014</v>
      </c>
      <c r="D74" s="22">
        <f>3599.63-2783.124</f>
        <v>816.50600000000031</v>
      </c>
      <c r="E74" s="22">
        <f>389.808-861.537</f>
        <v>-471.72900000000004</v>
      </c>
      <c r="F74" s="22">
        <f>317.922-345.444</f>
        <v>-27.521999999999991</v>
      </c>
      <c r="G74" s="22">
        <f>8446.445-6634.184</f>
        <v>1812.2609999999995</v>
      </c>
      <c r="H74" s="22">
        <f>1588.167-1705.798</f>
        <v>-117.63100000000009</v>
      </c>
      <c r="I74" s="22">
        <f>2022.496-3047.8</f>
        <v>-1025.3040000000001</v>
      </c>
      <c r="J74" s="22">
        <f>3945.711-5945.987</f>
        <v>-2000.2760000000003</v>
      </c>
      <c r="K74" s="22">
        <f>1168.555-8067.427</f>
        <v>-6898.8719999999994</v>
      </c>
      <c r="L74" s="22">
        <f>1687.145-11647.652</f>
        <v>-9960.5069999999996</v>
      </c>
      <c r="M74" s="22">
        <f>27721.943-16717.555</f>
        <v>11004.387999999999</v>
      </c>
      <c r="N74" s="22">
        <f>36285.897-21881.997</f>
        <v>14403.899999999998</v>
      </c>
      <c r="O74" s="22">
        <f>28925.964-33560.771</f>
        <v>-4634.8070000000007</v>
      </c>
      <c r="P74" s="23">
        <f>SUM(AZ74:BC74)</f>
        <v>-8320.8940000000002</v>
      </c>
      <c r="R74" s="22">
        <f>+-147.002+225.101</f>
        <v>78.09899999999999</v>
      </c>
      <c r="S74" s="22">
        <f>246.58-645.388-R74</f>
        <v>-476.90699999999998</v>
      </c>
      <c r="T74" s="22">
        <f>-729.707+309.462-R74-S74</f>
        <v>-21.437000000000012</v>
      </c>
      <c r="U74" s="23">
        <f>E74-SUM(R74:T74)</f>
        <v>-51.484000000000037</v>
      </c>
      <c r="V74" s="22">
        <f>-21.104</f>
        <v>-21.103999999999999</v>
      </c>
      <c r="W74" s="22">
        <f>206.719-57.102-V74</f>
        <v>170.721</v>
      </c>
      <c r="X74" s="22">
        <f>320.342-78.258-V74-W74</f>
        <v>92.466999999999985</v>
      </c>
      <c r="Y74" s="23">
        <f>F74-SUM(V74:X74)</f>
        <v>-269.60599999999999</v>
      </c>
      <c r="Z74" s="22">
        <f>17.215-73.016</f>
        <v>-55.801000000000002</v>
      </c>
      <c r="AA74" s="22">
        <f>3123.611-2733.053-Z74</f>
        <v>446.35899999999998</v>
      </c>
      <c r="AB74" s="22">
        <f>3191.759-2827.304-AA74-Z74</f>
        <v>-26.103000000000051</v>
      </c>
      <c r="AC74" s="23">
        <f>G74-SUM(Z74:AB74)</f>
        <v>1447.8059999999996</v>
      </c>
      <c r="AD74" s="22">
        <f>1.073-26.169</f>
        <v>-25.096</v>
      </c>
      <c r="AE74" s="22">
        <f>2.279-174.017-AD74</f>
        <v>-146.642</v>
      </c>
      <c r="AF74" s="22">
        <f>1183.493-937.099-AE74-AD74</f>
        <v>418.13199999999989</v>
      </c>
      <c r="AG74" s="23">
        <f>H74-SUM(AD74:AF74)</f>
        <v>-364.02499999999998</v>
      </c>
      <c r="AH74" s="22">
        <f>62.847-291.963</f>
        <v>-229.11600000000001</v>
      </c>
      <c r="AI74" s="22">
        <f>1639.011-1469.462-AH74</f>
        <v>398.66499999999996</v>
      </c>
      <c r="AJ74" s="22">
        <f>1678.74-1747.701-AI74-AH74</f>
        <v>-238.50999999999996</v>
      </c>
      <c r="AK74" s="23">
        <f>I74-SUM(AH74:AJ74)</f>
        <v>-956.34300000000007</v>
      </c>
      <c r="AL74" s="23">
        <f>J74-SUM(AH74:AJ74)</f>
        <v>-1931.3150000000003</v>
      </c>
      <c r="AM74" s="22">
        <f>757.967-514.048</f>
        <v>243.91899999999998</v>
      </c>
      <c r="AN74" s="22">
        <f>1163.274-886.655</f>
        <v>276.61899999999991</v>
      </c>
      <c r="AO74" s="22">
        <f>93.946-3927.859-AM74</f>
        <v>-4077.8319999999999</v>
      </c>
      <c r="AP74" s="22">
        <f>1605.825-8480.726-AN74</f>
        <v>-7151.52</v>
      </c>
      <c r="AQ74" s="22">
        <f>93.946-5592.763-AO74-AM74</f>
        <v>-1664.904</v>
      </c>
      <c r="AR74" s="22">
        <f>1778.104-11531.601-AP74-AN74</f>
        <v>-2878.5960000000005</v>
      </c>
      <c r="AS74" s="23">
        <f>K74-SUM(AM74,AO74:AQ74)</f>
        <v>5751.465000000002</v>
      </c>
      <c r="AT74" s="23">
        <f t="shared" si="300"/>
        <v>-207.0099999999984</v>
      </c>
      <c r="AU74" s="22">
        <f>1385.227-970.447</f>
        <v>414.78000000000009</v>
      </c>
      <c r="AV74" s="22">
        <f>7564.245-3501.194-AU74</f>
        <v>3648.2709999999997</v>
      </c>
      <c r="AW74" s="22">
        <f>26845.727-15740.082-AU74-AV74</f>
        <v>7042.5939999999982</v>
      </c>
      <c r="AX74" s="23">
        <f>M74-SUM(AU74,AV74,AW74)</f>
        <v>-101.25699999999961</v>
      </c>
      <c r="AY74" s="22">
        <f>5918.984-2733.493</f>
        <v>3185.4910000000004</v>
      </c>
      <c r="AZ74" s="23">
        <f>BL74-AY74</f>
        <v>4854.68</v>
      </c>
      <c r="BA74" s="23">
        <f t="shared" si="301"/>
        <v>2.476999999999407</v>
      </c>
      <c r="BB74" s="23">
        <f t="shared" si="302"/>
        <v>-12677.455</v>
      </c>
      <c r="BC74" s="22">
        <f>8605.397-9105.993</f>
        <v>-500.59599999999955</v>
      </c>
      <c r="BD74" s="22"/>
      <c r="BE74" s="22">
        <f>1913.05-1340.224</f>
        <v>572.82600000000002</v>
      </c>
      <c r="BF74" s="23">
        <f>BK74-BE74</f>
        <v>4914.2700000000004</v>
      </c>
      <c r="BG74" s="23">
        <f t="shared" si="303"/>
        <v>9316.0629999999983</v>
      </c>
      <c r="BH74" s="23">
        <f t="shared" si="304"/>
        <v>-399.25900000000092</v>
      </c>
      <c r="BI74" s="22">
        <f>7746.049-3577.264</f>
        <v>4168.7849999999999</v>
      </c>
      <c r="BJ74" s="22"/>
      <c r="BK74" s="22">
        <f>10215.411-4728.315</f>
        <v>5487.0960000000005</v>
      </c>
      <c r="BL74" s="22">
        <f>11929.882-3889.711</f>
        <v>8040.1710000000003</v>
      </c>
      <c r="BM74" s="22"/>
      <c r="BN74" s="22">
        <f>(35783746-20980587)/1000</f>
        <v>14803.159</v>
      </c>
      <c r="BO74" s="22">
        <f>(13261465-5218817)/1000</f>
        <v>8042.6480000000001</v>
      </c>
      <c r="BP74" s="22"/>
      <c r="BQ74" s="22">
        <f>3549.816-3357.035-AA74-Z74</f>
        <v>-197.77700000000004</v>
      </c>
      <c r="BR74" s="22">
        <f>736.887-112.134</f>
        <v>624.75299999999993</v>
      </c>
      <c r="BS74" s="22">
        <f>1204.337-668.154-BR74</f>
        <v>-88.569999999999936</v>
      </c>
    </row>
    <row r="75" spans="2:73">
      <c r="B75" s="25" t="s">
        <v>223</v>
      </c>
      <c r="C75" s="22">
        <f>-0.357129-2.502818-78.764095</f>
        <v>-81.624042000000003</v>
      </c>
      <c r="D75" s="22">
        <f>-0.072+4.81-6.534-637.265</f>
        <v>-639.06100000000004</v>
      </c>
      <c r="E75" s="22">
        <f>1.901-43.664-239.632</f>
        <v>-281.39499999999998</v>
      </c>
      <c r="F75" s="22">
        <f>-23.795-1.064</f>
        <v>-24.859000000000002</v>
      </c>
      <c r="G75" s="22">
        <f>-33.849+0.02+500.271</f>
        <v>466.44200000000001</v>
      </c>
      <c r="H75" s="22">
        <f>47.165-54.699-0.12</f>
        <v>-7.653999999999999</v>
      </c>
      <c r="I75" s="22">
        <f>2.648-87.282</f>
        <v>-84.634</v>
      </c>
      <c r="J75" s="22">
        <f>4.576-185.979</f>
        <v>-181.40300000000002</v>
      </c>
      <c r="K75" s="22">
        <f>695.576-287.904</f>
        <v>407.67200000000003</v>
      </c>
      <c r="L75" s="22">
        <f>1004.264-415.672</f>
        <v>588.59199999999998</v>
      </c>
      <c r="M75" s="22">
        <v>-630.19399999999996</v>
      </c>
      <c r="N75" s="22">
        <v>-824.87599999999998</v>
      </c>
      <c r="O75" s="22">
        <f>-3032.387-1111.953</f>
        <v>-4144.34</v>
      </c>
      <c r="P75" s="23">
        <f>SUM(AZ75:BC75)</f>
        <v>-3611.2539999999999</v>
      </c>
      <c r="R75" s="22">
        <f>-4.194+6.929+1.901</f>
        <v>4.6360000000000001</v>
      </c>
      <c r="S75" s="22">
        <f>-7.279+1.901-238.511-R75</f>
        <v>-248.52500000000001</v>
      </c>
      <c r="T75" s="22">
        <f>1.901-19.49-239.907-S75-R75</f>
        <v>-13.606999999999974</v>
      </c>
      <c r="U75" s="23">
        <f>E75-SUM(R75:T75)</f>
        <v>-23.899000000000001</v>
      </c>
      <c r="V75" s="22">
        <f>-15.929+1.522</f>
        <v>-14.407</v>
      </c>
      <c r="W75" s="22">
        <f>-13.602-0.821-V75</f>
        <v>-1.6000000000000014E-2</v>
      </c>
      <c r="X75" s="22">
        <f>-20.184+0.017-V75-W75</f>
        <v>-5.7440000000000015</v>
      </c>
      <c r="Y75" s="23">
        <f>F75-SUM(V75:X75)</f>
        <v>-4.6920000000000002</v>
      </c>
      <c r="Z75" s="22">
        <f>-6.044+2.987</f>
        <v>-3.0569999999999995</v>
      </c>
      <c r="AA75" s="22">
        <f>500.271-18.011+1.41-Z75</f>
        <v>486.72700000000003</v>
      </c>
      <c r="AB75" s="22">
        <f>500.271-25.15+0.586-AA75-Z75</f>
        <v>-7.9629999999999823</v>
      </c>
      <c r="AC75" s="23">
        <f>G75-SUM(Z75:AB75)</f>
        <v>-9.2650000000000432</v>
      </c>
      <c r="AD75" s="22">
        <f>-6.865-0.094</f>
        <v>-6.9590000000000005</v>
      </c>
      <c r="AE75" s="22">
        <f>0-13.448-0.133-AD75</f>
        <v>-6.621999999999999</v>
      </c>
      <c r="AF75" s="22">
        <f>47.165-29.96+0.437-AE75-AD75</f>
        <v>31.222999999999999</v>
      </c>
      <c r="AG75" s="23">
        <f>H75-SUM(AD75:AF75)</f>
        <v>-25.295999999999999</v>
      </c>
      <c r="AH75" s="22">
        <f>-18.173+0</f>
        <v>-18.172999999999998</v>
      </c>
      <c r="AI75" s="22">
        <f>-31.223-AH75</f>
        <v>-13.05</v>
      </c>
      <c r="AJ75" s="22">
        <f>0-59.363+0-AI75-AH75</f>
        <v>-28.140000000000004</v>
      </c>
      <c r="AK75" s="23">
        <f>I75-SUM(AH75:AJ75)</f>
        <v>-25.271000000000001</v>
      </c>
      <c r="AL75" s="23">
        <f>J75-SUM(AH75:AJ75)</f>
        <v>-122.04000000000002</v>
      </c>
      <c r="AM75" s="22">
        <v>-41.98</v>
      </c>
      <c r="AN75" s="22">
        <v>-44.027999999999999</v>
      </c>
      <c r="AO75" s="22">
        <f>-95.341+454.161-AM75</f>
        <v>400.8</v>
      </c>
      <c r="AP75" s="22">
        <f>-171.168+810.23-AN75</f>
        <v>683.09</v>
      </c>
      <c r="AQ75" s="22">
        <f>540.991-160.26+0-AO75-AM75</f>
        <v>21.91099999999998</v>
      </c>
      <c r="AR75" s="22">
        <f>840.205-290.384-AP75-AN75</f>
        <v>-89.241000000000014</v>
      </c>
      <c r="AS75" s="23">
        <f>K75-SUM(AM75,AO75:AQ75)</f>
        <v>-656.14900000000011</v>
      </c>
      <c r="AT75" s="23">
        <f t="shared" si="300"/>
        <v>38.770999999999958</v>
      </c>
      <c r="AU75" s="22">
        <v>-75.433999999999997</v>
      </c>
      <c r="AV75" s="22">
        <f>-276.097-AU75</f>
        <v>-200.66299999999998</v>
      </c>
      <c r="AW75" s="22">
        <f>-277.049-AU75-AV75</f>
        <v>-0.95199999999999818</v>
      </c>
      <c r="AX75" s="23">
        <f>M75-SUM(AU75,AV75,AW75)</f>
        <v>-353.14499999999998</v>
      </c>
      <c r="AY75" s="22">
        <f>-1136.431-337.525</f>
        <v>-1473.9560000000001</v>
      </c>
      <c r="AZ75" s="23">
        <f>BL75-AY75</f>
        <v>-428.95899999999983</v>
      </c>
      <c r="BA75" s="23">
        <f t="shared" si="301"/>
        <v>-849.22600000000011</v>
      </c>
      <c r="BB75" s="23">
        <f t="shared" si="302"/>
        <v>-1392.1990000000001</v>
      </c>
      <c r="BC75" s="22">
        <f>-543.784-397.086</f>
        <v>-940.87</v>
      </c>
      <c r="BD75" s="22"/>
      <c r="BE75" s="22">
        <f>-104.177</f>
        <v>-104.17700000000001</v>
      </c>
      <c r="BF75" s="23">
        <f>BK75-BE75</f>
        <v>-268.68799999999999</v>
      </c>
      <c r="BG75" s="23">
        <f t="shared" si="303"/>
        <v>3.5749999999999744</v>
      </c>
      <c r="BH75" s="23">
        <f t="shared" si="304"/>
        <v>-455.5859999999999</v>
      </c>
      <c r="BI75" s="22">
        <f>-1487.223-441.712</f>
        <v>-1928.9349999999999</v>
      </c>
      <c r="BJ75" s="22"/>
      <c r="BK75" s="22">
        <f>-372.865</f>
        <v>-372.86500000000001</v>
      </c>
      <c r="BL75" s="22">
        <f>-1384.824-518.091</f>
        <v>-1902.915</v>
      </c>
      <c r="BM75" s="22"/>
      <c r="BN75" s="22">
        <v>-369.29</v>
      </c>
      <c r="BO75" s="22">
        <f>(-2029006-723135)/1000</f>
        <v>-2752.1410000000001</v>
      </c>
      <c r="BP75" s="22"/>
      <c r="BQ75" s="22">
        <f>500.271-29.543+0.566-AA75-Z75</f>
        <v>-12.376000000000051</v>
      </c>
      <c r="BR75" s="22">
        <f>-9.095-0.12</f>
        <v>-9.2149999999999999</v>
      </c>
      <c r="BS75" s="22">
        <f>-30.559-0.12-BR75</f>
        <v>-21.464000000000002</v>
      </c>
    </row>
    <row r="76" spans="2:73">
      <c r="B76" s="32" t="s">
        <v>224</v>
      </c>
      <c r="C76" s="16">
        <f t="shared" ref="C76:G76" si="305">SUM(C70:C75)</f>
        <v>666.50405799999976</v>
      </c>
      <c r="D76" s="16">
        <f t="shared" si="305"/>
        <v>490.68500000000029</v>
      </c>
      <c r="E76" s="16">
        <f t="shared" si="305"/>
        <v>-1161.3080000000002</v>
      </c>
      <c r="F76" s="16">
        <f t="shared" si="305"/>
        <v>1613.8380000000002</v>
      </c>
      <c r="G76" s="16">
        <f t="shared" si="305"/>
        <v>1283.6249999999995</v>
      </c>
      <c r="H76" s="16">
        <f t="shared" ref="H76:I76" si="306">SUM(H70:H75)</f>
        <v>-3289.6179999999999</v>
      </c>
      <c r="I76" s="16">
        <f t="shared" si="306"/>
        <v>4293.9059999999999</v>
      </c>
      <c r="J76" s="16">
        <f t="shared" ref="J76" si="307">SUM(J70:J75)</f>
        <v>4555.9500000000007</v>
      </c>
      <c r="K76" s="16">
        <f t="shared" ref="K76" si="308">SUM(K70:K75)</f>
        <v>-5827.2429999999986</v>
      </c>
      <c r="L76" s="16">
        <f t="shared" ref="L76:M76" si="309">SUM(L70:L75)</f>
        <v>-8413.3019999999997</v>
      </c>
      <c r="M76" s="16">
        <f t="shared" si="309"/>
        <v>10182.867000000002</v>
      </c>
      <c r="N76" s="16">
        <f t="shared" ref="N76:O76" si="310">SUM(N70:N75)</f>
        <v>13328.593999999997</v>
      </c>
      <c r="O76" s="16">
        <f t="shared" si="310"/>
        <v>-12329.839</v>
      </c>
      <c r="P76" s="16">
        <f>SUM(P70:P75)</f>
        <v>-15396.541999999994</v>
      </c>
      <c r="R76" s="16">
        <f>SUM(R70:R75)</f>
        <v>-22.471000000000029</v>
      </c>
      <c r="S76" s="16">
        <f>SUM(S70:S75)</f>
        <v>-1071.769</v>
      </c>
      <c r="T76" s="16">
        <f>SUM(T70:T75)</f>
        <v>-110.60200000000029</v>
      </c>
      <c r="U76" s="16">
        <f t="shared" ref="U76:AC76" si="311">SUM(U70:U75)</f>
        <v>43.534000000000091</v>
      </c>
      <c r="V76" s="16">
        <f t="shared" si="311"/>
        <v>-119.37099999999995</v>
      </c>
      <c r="W76" s="16">
        <f t="shared" si="311"/>
        <v>906.93500000000006</v>
      </c>
      <c r="X76" s="16">
        <f t="shared" si="311"/>
        <v>-770.37500000000011</v>
      </c>
      <c r="Y76" s="16">
        <f t="shared" si="311"/>
        <v>1596.6489999999999</v>
      </c>
      <c r="Z76" s="16">
        <f t="shared" si="311"/>
        <v>-1137.981</v>
      </c>
      <c r="AA76" s="16">
        <f t="shared" si="311"/>
        <v>1708.5010000000002</v>
      </c>
      <c r="AB76" s="16">
        <f t="shared" si="311"/>
        <v>-20.948999999999618</v>
      </c>
      <c r="AC76" s="16">
        <f t="shared" si="311"/>
        <v>734.05399999999941</v>
      </c>
      <c r="AD76" s="16">
        <f t="shared" ref="AD76:AG76" si="312">SUM(AD70:AD75)</f>
        <v>-993.40299999999991</v>
      </c>
      <c r="AE76" s="16">
        <f t="shared" si="312"/>
        <v>-734.56200000000001</v>
      </c>
      <c r="AF76" s="16">
        <f t="shared" si="312"/>
        <v>109.89600000000029</v>
      </c>
      <c r="AG76" s="16">
        <f t="shared" si="312"/>
        <v>-1671.5490000000011</v>
      </c>
      <c r="AH76" s="16">
        <f t="shared" ref="AH76" si="313">SUM(AH70:AH75)</f>
        <v>-749.38300000000004</v>
      </c>
      <c r="AI76" s="16">
        <f>SUM(AI70:AI75)</f>
        <v>-247.38700000000011</v>
      </c>
      <c r="AJ76" s="16">
        <f t="shared" ref="AJ76:AM76" si="314">SUM(AJ70:AJ75)</f>
        <v>-412.92599999999925</v>
      </c>
      <c r="AK76" s="16">
        <f t="shared" si="314"/>
        <v>5703.601999999999</v>
      </c>
      <c r="AL76" s="16">
        <f t="shared" ref="AL76" si="315">SUM(AL70:AL75)</f>
        <v>5375.9970000000012</v>
      </c>
      <c r="AM76" s="16">
        <f t="shared" si="314"/>
        <v>-271.06100000000015</v>
      </c>
      <c r="AN76" s="16">
        <f t="shared" ref="AN76" si="316">SUM(AN70:AN75)</f>
        <v>-734.35700000000054</v>
      </c>
      <c r="AO76" s="16">
        <f>SUM(AO70:AO75)</f>
        <v>-4550.54</v>
      </c>
      <c r="AP76" s="16">
        <f>SUM(AP70:AP75)</f>
        <v>-8812.7609999999986</v>
      </c>
      <c r="AQ76" s="16">
        <f t="shared" ref="AQ76:AU76" si="317">SUM(AQ70:AQ75)</f>
        <v>412.96600000000029</v>
      </c>
      <c r="AR76" s="16">
        <f t="shared" ref="AR76" si="318">SUM(AR70:AR75)</f>
        <v>275.99600000000009</v>
      </c>
      <c r="AS76" s="16">
        <f t="shared" si="317"/>
        <v>6162.612000000001</v>
      </c>
      <c r="AT76" s="16">
        <f t="shared" ref="AT76" si="319">SUM(AT70:AT75)</f>
        <v>857.8199999999988</v>
      </c>
      <c r="AU76" s="16">
        <f t="shared" si="317"/>
        <v>-2090.1180000000004</v>
      </c>
      <c r="AV76" s="16">
        <f>SUM(AV70:AV75)</f>
        <v>5031.1460000000015</v>
      </c>
      <c r="AW76" s="16">
        <f t="shared" ref="AW76:AY76" si="320">SUM(AW70:AW75)</f>
        <v>5161.9869999999983</v>
      </c>
      <c r="AX76" s="16">
        <f t="shared" si="320"/>
        <v>2079.8520000000021</v>
      </c>
      <c r="AY76" s="16">
        <f t="shared" si="320"/>
        <v>-5859.095000000003</v>
      </c>
      <c r="AZ76" s="16">
        <f>SUM(AZ70:AZ75)</f>
        <v>1120.5420000000031</v>
      </c>
      <c r="BA76" s="16">
        <f t="shared" ref="BA76:BC76" si="321">SUM(BA70:BA75)</f>
        <v>512.47900000000027</v>
      </c>
      <c r="BB76" s="16">
        <f t="shared" si="321"/>
        <v>-8103.7649999999994</v>
      </c>
      <c r="BC76" s="16">
        <f t="shared" si="321"/>
        <v>-8925.7980000000007</v>
      </c>
      <c r="BD76" s="16"/>
      <c r="BE76" s="16">
        <f t="shared" ref="BE76:BF76" si="322">SUM(BE70:BE75)</f>
        <v>-2886.5350000000008</v>
      </c>
      <c r="BF76" s="16">
        <f t="shared" si="322"/>
        <v>6858.3520000000008</v>
      </c>
      <c r="BG76" s="16">
        <f t="shared" ref="BG76:BI76" si="323">SUM(BG70:BG75)</f>
        <v>6829.0159999999987</v>
      </c>
      <c r="BH76" s="16">
        <f t="shared" si="323"/>
        <v>2527.7609999999995</v>
      </c>
      <c r="BI76" s="16">
        <f t="shared" si="323"/>
        <v>-7667.6729999999989</v>
      </c>
      <c r="BJ76" s="16"/>
      <c r="BK76" s="16">
        <f t="shared" ref="BK76:BL76" si="324">SUM(BK70:BK75)</f>
        <v>3971.8170000000009</v>
      </c>
      <c r="BL76" s="16">
        <f t="shared" si="324"/>
        <v>-4738.5530000000026</v>
      </c>
      <c r="BM76" s="16"/>
      <c r="BN76" s="16">
        <f t="shared" ref="BN76:BO76" si="325">SUM(BN70:BN75)</f>
        <v>10800.832999999999</v>
      </c>
      <c r="BO76" s="16">
        <f t="shared" si="325"/>
        <v>-4226.0739999999987</v>
      </c>
      <c r="BP76" s="16"/>
      <c r="BQ76" s="16">
        <f t="shared" ref="BQ76:BS76" si="326">SUM(BQ70:BQ75)</f>
        <v>-40.443999999999804</v>
      </c>
      <c r="BR76" s="16">
        <f t="shared" si="326"/>
        <v>-862.59300000000019</v>
      </c>
      <c r="BS76" s="16">
        <f t="shared" si="326"/>
        <v>-545.74799999999971</v>
      </c>
    </row>
    <row r="77" spans="2:73">
      <c r="B77" s="25" t="s">
        <v>225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-3182.0790000000002</v>
      </c>
      <c r="K77" s="22">
        <v>-5994.6270000000004</v>
      </c>
      <c r="L77" s="22">
        <v>-8654.9689999999991</v>
      </c>
      <c r="M77" s="22">
        <v>-5173.3320000000003</v>
      </c>
      <c r="N77" s="22">
        <v>-6771.4949999999999</v>
      </c>
      <c r="O77" s="22">
        <v>-8127.1980000000003</v>
      </c>
      <c r="P77" s="23">
        <f>SUM(AZ77:BC77)</f>
        <v>-7821.5810000000001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22">
        <v>0</v>
      </c>
      <c r="AI77" s="22">
        <v>0</v>
      </c>
      <c r="AJ77" s="22">
        <v>0</v>
      </c>
      <c r="AK77" s="23">
        <f>I77-SUM(AH77:AJ77)</f>
        <v>0</v>
      </c>
      <c r="AL77" s="23">
        <f>J77-SUM(AH77:AJ77)</f>
        <v>-3182.0790000000002</v>
      </c>
      <c r="AM77" s="22">
        <v>0</v>
      </c>
      <c r="AN77" s="22">
        <v>-1952.614</v>
      </c>
      <c r="AO77" s="22">
        <v>0</v>
      </c>
      <c r="AP77" s="22">
        <f>-3140.319-AN77</f>
        <v>-1187.7049999999999</v>
      </c>
      <c r="AQ77" s="22">
        <v>0</v>
      </c>
      <c r="AR77" s="22">
        <f>-6892.636-AP77-AN77</f>
        <v>-3752.3170000000005</v>
      </c>
      <c r="AS77" s="23">
        <f>K77-SUM(AM77,AO77:AQ77)</f>
        <v>-4806.9220000000005</v>
      </c>
      <c r="AT77" s="23">
        <f>L77-SUM(AN77,AP77,AR77)</f>
        <v>-1762.3329999999987</v>
      </c>
      <c r="AU77" s="22">
        <v>-1756</v>
      </c>
      <c r="AV77" s="22">
        <f>-2883.366-AU77</f>
        <v>-1127.366</v>
      </c>
      <c r="AW77" s="22">
        <f>-4180.32-AV77-AU77</f>
        <v>-1296.9539999999997</v>
      </c>
      <c r="AX77" s="23">
        <f>M77-SUM(AU77,AV77,AW77)</f>
        <v>-993.01200000000063</v>
      </c>
      <c r="AY77" s="22">
        <v>-2647.3270000000002</v>
      </c>
      <c r="AZ77" s="23">
        <f>BL77-AY77</f>
        <v>-1739.2749999999996</v>
      </c>
      <c r="BA77" s="23">
        <f>BO77-AZ77-AY77</f>
        <v>-2303.451</v>
      </c>
      <c r="BB77" s="23">
        <f>O77-SUM(AY77,AZ77,BA77)</f>
        <v>-1437.1450000000004</v>
      </c>
      <c r="BC77" s="22">
        <v>-2341.71</v>
      </c>
      <c r="BD77" s="22"/>
      <c r="BE77" s="22">
        <v>-2425.1030000000001</v>
      </c>
      <c r="BF77" s="23">
        <f>BK77-BE77</f>
        <v>-1468.8440000000001</v>
      </c>
      <c r="BG77" s="23">
        <f t="shared" ref="BG77:BG79" si="327">BN77-BF77-BE77</f>
        <v>-1678.1710000000003</v>
      </c>
      <c r="BH77" s="23">
        <f>N77-BG77-BF77-BE77</f>
        <v>-1199.3769999999995</v>
      </c>
      <c r="BI77" s="22">
        <v>-3464.5010000000002</v>
      </c>
      <c r="BJ77" s="22"/>
      <c r="BK77" s="22">
        <v>-3893.9470000000001</v>
      </c>
      <c r="BL77" s="22">
        <v>-4386.6019999999999</v>
      </c>
      <c r="BM77" s="22"/>
      <c r="BN77" s="22">
        <v>-5572.1180000000004</v>
      </c>
      <c r="BO77" s="22">
        <v>-6690.0529999999999</v>
      </c>
      <c r="BP77" s="16"/>
      <c r="BQ77" s="16"/>
      <c r="BR77" s="16"/>
      <c r="BS77" s="16"/>
    </row>
    <row r="78" spans="2:73" s="361" customFormat="1">
      <c r="B78" s="25" t="s">
        <v>226</v>
      </c>
      <c r="C78" s="359">
        <f>666.993424-C76</f>
        <v>0.48936600000024555</v>
      </c>
      <c r="D78" s="359">
        <f>454.283-D76</f>
        <v>-36.402000000000271</v>
      </c>
      <c r="E78" s="359">
        <f>-1088.666-E76</f>
        <v>72.64200000000028</v>
      </c>
      <c r="F78" s="359">
        <f>1707.987-F76</f>
        <v>94.148999999999887</v>
      </c>
      <c r="G78" s="359">
        <f>1448.005-G76</f>
        <v>164.38000000000056</v>
      </c>
      <c r="H78" s="359">
        <f>-2771.86-H76</f>
        <v>517.75799999999981</v>
      </c>
      <c r="I78" s="359">
        <f>5298.289-I76</f>
        <v>1004.3829999999998</v>
      </c>
      <c r="J78" s="359">
        <f>7116.221-J76-J77-J79</f>
        <v>3570.2379999999985</v>
      </c>
      <c r="K78" s="359">
        <f>-3592.238-K76-K77-K79</f>
        <v>2387.7429999999995</v>
      </c>
      <c r="L78" s="359">
        <f>-5186.429-L76-L77-L79</f>
        <v>3447.3939999999984</v>
      </c>
      <c r="M78" s="359">
        <f>9477.59-M76-M77-M79</f>
        <v>1825.6679999999983</v>
      </c>
      <c r="N78" s="359">
        <f>12405.438-N76-N77-N79</f>
        <v>2389.6570000000029</v>
      </c>
      <c r="O78" s="359">
        <f>-11116.659-O76-O77-O79</f>
        <v>3354.9400000000005</v>
      </c>
      <c r="P78" s="359">
        <f>SUM(AZ78:BC78)</f>
        <v>4126.8679999999986</v>
      </c>
      <c r="Q78" s="360"/>
      <c r="R78" s="359">
        <f>60.879-R76</f>
        <v>83.350000000000023</v>
      </c>
      <c r="S78" s="359">
        <f>-967.008-S76-R76-R78</f>
        <v>43.881999999999977</v>
      </c>
      <c r="T78" s="359">
        <f>-967.358-T76-S76-R76-R78-S78</f>
        <v>110.25200000000041</v>
      </c>
      <c r="U78" s="359">
        <f>E78-SUM(R78:T78)</f>
        <v>-164.84200000000013</v>
      </c>
      <c r="V78" s="359">
        <f>15.574-V76</f>
        <v>134.94499999999996</v>
      </c>
      <c r="W78" s="359">
        <f>941.995-W76-V76-V78</f>
        <v>19.485999999999933</v>
      </c>
      <c r="X78" s="359">
        <f>162.757-X76-W76-V76-V78-W78</f>
        <v>-8.8629999999999427</v>
      </c>
      <c r="Y78" s="359">
        <f>F78-SUM(V78:X78)</f>
        <v>-51.419000000000068</v>
      </c>
      <c r="Z78" s="359">
        <f>-948.983-Z76</f>
        <v>188.99800000000005</v>
      </c>
      <c r="AA78" s="359">
        <f>724.622-AA76-Z76-Z78</f>
        <v>-34.896000000000299</v>
      </c>
      <c r="AB78" s="359">
        <f>811.624-AB76-AA76-Z76-Z78-AA78</f>
        <v>107.95099999999968</v>
      </c>
      <c r="AC78" s="359">
        <f>G78-SUM(Z78:AB78)</f>
        <v>-97.672999999998865</v>
      </c>
      <c r="AD78" s="359">
        <f>-798.884-AD76</f>
        <v>194.51899999999989</v>
      </c>
      <c r="AE78" s="359">
        <f>-1557.391-AE76-AD76-AD78</f>
        <v>-23.94500000000005</v>
      </c>
      <c r="AF78" s="359">
        <f>-1486.759-AF76-AE76-AD76-AD78-AE78</f>
        <v>-39.264000000000124</v>
      </c>
      <c r="AG78" s="359">
        <f>H78-SUM(AD78:AF78)</f>
        <v>386.44800000000009</v>
      </c>
      <c r="AH78" s="359">
        <f>-260.228-AH76</f>
        <v>489.15500000000003</v>
      </c>
      <c r="AI78" s="359">
        <f>-307.978-AI76-AH76-AH78</f>
        <v>199.63700000000011</v>
      </c>
      <c r="AJ78" s="359">
        <f>-166.908-AJ76-AI76-AH76-AH78-AI78</f>
        <v>553.99599999999941</v>
      </c>
      <c r="AK78" s="359">
        <f>I78-SUM(AH78:AJ78)</f>
        <v>-238.40499999999975</v>
      </c>
      <c r="AL78" s="359">
        <f>J78-SUM(AH78:AJ78)</f>
        <v>2327.4499999999989</v>
      </c>
      <c r="AM78" s="359">
        <f>446.598-AM76</f>
        <v>717.65900000000011</v>
      </c>
      <c r="AN78" s="359">
        <f>-930.423-AN76-AN77-AN79</f>
        <v>1482.4410000000007</v>
      </c>
      <c r="AO78" s="359">
        <f>-3327.869-AO76-AM76-AM78</f>
        <v>776.07299999999987</v>
      </c>
      <c r="AP78" s="359">
        <f>-3992.848-AP76-AP77-AP79</f>
        <v>1282.1839999999984</v>
      </c>
      <c r="AQ78" s="359">
        <f>-2914.008-AQ76-AO76-AM76-AM78-AO78</f>
        <v>0.89499999999998181</v>
      </c>
      <c r="AR78" s="359">
        <f>-6253.094-AR76-AR77-AR79</f>
        <v>-4060.9089999999992</v>
      </c>
      <c r="AS78" s="359">
        <f>K78-SUM(AM78,AO78:AQ78)</f>
        <v>-389.06799999999885</v>
      </c>
      <c r="AT78" s="359">
        <f t="shared" ref="AT78:AT79" si="328">L78-SUM(AN78,AP78,AR78)</f>
        <v>4743.6779999999981</v>
      </c>
      <c r="AU78" s="359">
        <f>-750.729-AU76-AU77-AU79</f>
        <v>1262.671</v>
      </c>
      <c r="AV78" s="359">
        <f>2184.257-AV76-AV77-AV79</f>
        <v>-938.07500000000141</v>
      </c>
      <c r="AW78" s="359">
        <f>7491.789-AW76-AW77-AW79</f>
        <v>2504.813000000001</v>
      </c>
      <c r="AX78" s="359">
        <f>M78-SUM(AU78,AV78,AW78)</f>
        <v>-1003.7410000000013</v>
      </c>
      <c r="AY78" s="359">
        <f>-5018.543-AY76-AY77-AY79</f>
        <v>1591.3740000000034</v>
      </c>
      <c r="AZ78" s="359">
        <f>-3303.358-AZ76-AZ77-AZ79-AY76-AY77-AY79-AY78</f>
        <v>563.59199999999601</v>
      </c>
      <c r="BA78" s="359">
        <f>BO78-AZ78-AY78</f>
        <v>261.54999999999927</v>
      </c>
      <c r="BB78" s="359">
        <f>O78-SUM(AY78,AZ78,BA78)</f>
        <v>938.4240000000018</v>
      </c>
      <c r="BC78" s="359">
        <f>-8499.309-BC76-BC77-BC79</f>
        <v>2363.3020000000015</v>
      </c>
      <c r="BD78" s="359"/>
      <c r="BE78" s="359">
        <f>-1036.785-BE76-BE77-BE79</f>
        <v>1743.7980000000011</v>
      </c>
      <c r="BF78" s="359">
        <f>2949.81-BF76-BF77-BF79-BE76-BE77-BE79-BE78</f>
        <v>-291.5840000000012</v>
      </c>
      <c r="BG78" s="359">
        <f t="shared" si="327"/>
        <v>408.41400000000158</v>
      </c>
      <c r="BH78" s="359">
        <f>N78-BG78-BF78-BE78</f>
        <v>529.02900000000136</v>
      </c>
      <c r="BI78" s="359">
        <f>-6567.66-BI76-BI77-BI79</f>
        <v>2082.599999999999</v>
      </c>
      <c r="BJ78" s="359"/>
      <c r="BK78" s="359">
        <f>2949.81-BK76-BK77-BK79</f>
        <v>1452.213999999999</v>
      </c>
      <c r="BL78" s="359">
        <f>-3303.358-BL76-BL77-BL79</f>
        <v>2154.9660000000022</v>
      </c>
      <c r="BM78" s="359"/>
      <c r="BN78" s="359">
        <f>9986.106-BN76-BN77-BN79</f>
        <v>1860.6280000000015</v>
      </c>
      <c r="BO78" s="359">
        <f>-3427.941-BO76-BO77-BO79</f>
        <v>2416.5159999999987</v>
      </c>
      <c r="BP78" s="359"/>
      <c r="BQ78" s="359">
        <f>794.036-BQ76-AA76-Z76-Z78-AA78</f>
        <v>109.85799999999983</v>
      </c>
      <c r="BR78" s="359">
        <f>-786.442-BR76</f>
        <v>76.151000000000181</v>
      </c>
      <c r="BS78" s="359">
        <f>-1287.454-BS76-BR76-BR78</f>
        <v>44.735999999999763</v>
      </c>
    </row>
    <row r="79" spans="2:73" ht="12.75">
      <c r="B79" s="25" t="s">
        <v>227</v>
      </c>
      <c r="C79" s="22">
        <v>245.57457099999999</v>
      </c>
      <c r="D79" s="22">
        <v>447.24299999999999</v>
      </c>
      <c r="E79" s="22">
        <v>1277.5619999999999</v>
      </c>
      <c r="F79" s="22">
        <v>-679.85</v>
      </c>
      <c r="G79" s="22">
        <v>348.71600000000001</v>
      </c>
      <c r="H79" s="22">
        <v>1941.174</v>
      </c>
      <c r="I79" s="22">
        <v>951.71100000000001</v>
      </c>
      <c r="J79" s="22">
        <v>2172.1120000000001</v>
      </c>
      <c r="K79" s="22">
        <v>5841.8890000000001</v>
      </c>
      <c r="L79" s="22">
        <v>8434.4480000000003</v>
      </c>
      <c r="M79" s="22">
        <v>2642.3870000000002</v>
      </c>
      <c r="N79" s="22">
        <v>3458.6819999999998</v>
      </c>
      <c r="O79" s="22">
        <v>5985.4380000000001</v>
      </c>
      <c r="P79" s="23">
        <f>SUM(AZ79:BC79)</f>
        <v>4493.83</v>
      </c>
      <c r="Q79" s="22"/>
      <c r="R79" s="22">
        <v>247.21</v>
      </c>
      <c r="S79" s="22">
        <f>866.427-R79</f>
        <v>619.21699999999998</v>
      </c>
      <c r="T79" s="22">
        <f>1811.772-S79-R79</f>
        <v>945.3449999999998</v>
      </c>
      <c r="U79" s="23">
        <f>E79-SUM(R79:T79)</f>
        <v>-534.21</v>
      </c>
      <c r="V79" s="22">
        <v>90.549000000000007</v>
      </c>
      <c r="W79" s="22">
        <f>90.985-V79</f>
        <v>0.43599999999999284</v>
      </c>
      <c r="X79" s="22">
        <f>274.384-V79-W79</f>
        <v>183.399</v>
      </c>
      <c r="Y79" s="23">
        <f>F79-SUM(V79:X79)</f>
        <v>-954.23400000000004</v>
      </c>
      <c r="Z79" s="22">
        <v>140.739</v>
      </c>
      <c r="AA79" s="22">
        <f>203.779-Z79</f>
        <v>63.039999999999992</v>
      </c>
      <c r="AB79" s="22">
        <f>693.145-Z79-AA79</f>
        <v>489.36599999999999</v>
      </c>
      <c r="AC79" s="23">
        <f>G79-SUM(Z79:AB79)</f>
        <v>-344.42899999999997</v>
      </c>
      <c r="AD79" s="22">
        <v>342.19799999999998</v>
      </c>
      <c r="AE79" s="22">
        <f>495.207-AD79</f>
        <v>153.00900000000001</v>
      </c>
      <c r="AF79" s="22">
        <f>513.848-AD79-AE79</f>
        <v>18.640999999999963</v>
      </c>
      <c r="AG79" s="23">
        <f>H79-SUM(AD79:AF79)</f>
        <v>1427.326</v>
      </c>
      <c r="AH79" s="22">
        <v>240.50700000000001</v>
      </c>
      <c r="AI79" s="22">
        <f>627.196-AH79</f>
        <v>386.68900000000002</v>
      </c>
      <c r="AJ79" s="22">
        <f>927.485-AH79-AI79</f>
        <v>300.28900000000004</v>
      </c>
      <c r="AK79" s="23">
        <f>I79-SUM(AH79:AJ79)</f>
        <v>24.225999999999885</v>
      </c>
      <c r="AL79" s="23">
        <f>J79-SUM(AH79:AJ79)</f>
        <v>1244.627</v>
      </c>
      <c r="AM79" s="22">
        <v>160.06</v>
      </c>
      <c r="AN79" s="22">
        <v>274.10700000000003</v>
      </c>
      <c r="AO79" s="22">
        <f>2831.049-AM79</f>
        <v>2670.989</v>
      </c>
      <c r="AP79" s="22">
        <f>4999.541-AN79</f>
        <v>4725.4340000000002</v>
      </c>
      <c r="AQ79" s="22">
        <f>3342.124-AM79-AO79</f>
        <v>511.07499999999982</v>
      </c>
      <c r="AR79" s="22">
        <f>6283.677-AN79-AP79</f>
        <v>1284.1359999999995</v>
      </c>
      <c r="AS79" s="23">
        <f>K79-SUM(AM79,AO79:AQ79)</f>
        <v>-2225.6689999999999</v>
      </c>
      <c r="AT79" s="23">
        <f t="shared" si="328"/>
        <v>2150.7710000000006</v>
      </c>
      <c r="AU79" s="22">
        <v>1832.7180000000001</v>
      </c>
      <c r="AV79" s="22">
        <f>1051.27-AU79</f>
        <v>-781.44800000000009</v>
      </c>
      <c r="AW79" s="22">
        <f>2173.213-AV79-AU79</f>
        <v>1121.943</v>
      </c>
      <c r="AX79" s="23">
        <f>M79-SUM(AU79,AV79,AW79)</f>
        <v>469.17400000000043</v>
      </c>
      <c r="AY79" s="22">
        <v>1896.5050000000001</v>
      </c>
      <c r="AZ79" s="23">
        <f>BL79-AY79</f>
        <v>1770.326</v>
      </c>
      <c r="BA79" s="23">
        <f>BO79-AZ79-AY79</f>
        <v>1404.8389999999999</v>
      </c>
      <c r="BB79" s="23">
        <f>O79-SUM(AY79,AZ79,BA79)</f>
        <v>913.76800000000003</v>
      </c>
      <c r="BC79" s="22">
        <v>404.89699999999999</v>
      </c>
      <c r="BD79" s="22"/>
      <c r="BE79" s="22">
        <v>2531.0549999999998</v>
      </c>
      <c r="BF79" s="23">
        <f>BK79-BE79</f>
        <v>-1111.3289999999997</v>
      </c>
      <c r="BG79" s="23">
        <f t="shared" si="327"/>
        <v>1477.0369999999998</v>
      </c>
      <c r="BH79" s="23">
        <f>N79-BG79-BF79-BE79</f>
        <v>561.91899999999987</v>
      </c>
      <c r="BI79" s="22">
        <v>2481.9140000000002</v>
      </c>
      <c r="BJ79" s="22"/>
      <c r="BK79" s="22">
        <v>1419.7260000000001</v>
      </c>
      <c r="BL79" s="22">
        <v>3666.8310000000001</v>
      </c>
      <c r="BM79" s="22"/>
      <c r="BN79" s="22">
        <v>2896.7629999999999</v>
      </c>
      <c r="BO79" s="22">
        <v>5071.67</v>
      </c>
      <c r="BP79" s="22"/>
      <c r="BQ79" s="22">
        <f>698.916-AA79-Z79</f>
        <v>495.13700000000006</v>
      </c>
      <c r="BR79" s="22">
        <v>345.47699999999998</v>
      </c>
      <c r="BS79" s="22">
        <f>501.871-BR79</f>
        <v>156.39400000000001</v>
      </c>
    </row>
    <row r="80" spans="2:73">
      <c r="B80" s="25" t="s">
        <v>228</v>
      </c>
      <c r="C80" s="23">
        <f t="shared" ref="C80:E80" si="329">SUM(C76:C79)</f>
        <v>912.567995</v>
      </c>
      <c r="D80" s="23">
        <f t="shared" si="329"/>
        <v>901.52600000000007</v>
      </c>
      <c r="E80" s="23">
        <f t="shared" si="329"/>
        <v>188.89599999999996</v>
      </c>
      <c r="F80" s="23">
        <f t="shared" ref="F80:K80" si="330">SUM(F76:F79)</f>
        <v>1028.1370000000002</v>
      </c>
      <c r="G80" s="23">
        <f t="shared" si="330"/>
        <v>1796.721</v>
      </c>
      <c r="H80" s="23">
        <f t="shared" si="330"/>
        <v>-830.68600000000015</v>
      </c>
      <c r="I80" s="23">
        <f t="shared" si="330"/>
        <v>6250</v>
      </c>
      <c r="J80" s="23">
        <f t="shared" si="330"/>
        <v>7116.2209999999986</v>
      </c>
      <c r="K80" s="23">
        <f t="shared" si="330"/>
        <v>-3592.2380000000003</v>
      </c>
      <c r="L80" s="23">
        <f t="shared" ref="L80:P80" si="331">SUM(L76:L79)</f>
        <v>-5186.4290000000019</v>
      </c>
      <c r="M80" s="23">
        <f t="shared" si="331"/>
        <v>9477.59</v>
      </c>
      <c r="N80" s="23">
        <f t="shared" ref="N80:O80" si="332">SUM(N76:N79)</f>
        <v>12405.438000000002</v>
      </c>
      <c r="O80" s="23">
        <f t="shared" si="332"/>
        <v>-11116.659000000001</v>
      </c>
      <c r="P80" s="23">
        <f t="shared" si="331"/>
        <v>-14597.424999999994</v>
      </c>
      <c r="R80" s="23">
        <f>SUM(R76:R79)</f>
        <v>308.089</v>
      </c>
      <c r="S80" s="23">
        <f>SUM(S76:S79)</f>
        <v>-408.66999999999996</v>
      </c>
      <c r="T80" s="23">
        <f>SUM(T76:T79)</f>
        <v>944.99499999999989</v>
      </c>
      <c r="U80" s="23">
        <f t="shared" ref="U80:V80" si="333">SUM(U76:U79)</f>
        <v>-655.51800000000003</v>
      </c>
      <c r="V80" s="23">
        <f t="shared" si="333"/>
        <v>106.12300000000002</v>
      </c>
      <c r="W80" s="23">
        <f t="shared" ref="W80:Y80" si="334">SUM(W76:W79)</f>
        <v>926.85700000000008</v>
      </c>
      <c r="X80" s="23">
        <f t="shared" si="334"/>
        <v>-595.83900000000006</v>
      </c>
      <c r="Y80" s="23">
        <f t="shared" si="334"/>
        <v>590.99599999999975</v>
      </c>
      <c r="Z80" s="23">
        <f>SUM(Z76:Z79)</f>
        <v>-808.24399999999991</v>
      </c>
      <c r="AA80" s="23">
        <f>SUM(AA76:AA79)</f>
        <v>1736.645</v>
      </c>
      <c r="AB80" s="23">
        <f>SUM(AB76:AB79)</f>
        <v>576.36800000000005</v>
      </c>
      <c r="AC80" s="23">
        <f>G80-SUM(Z80:AB80)</f>
        <v>291.95199999999977</v>
      </c>
      <c r="AD80" s="23">
        <f>SUM(AD76:AD79)</f>
        <v>-456.68600000000004</v>
      </c>
      <c r="AE80" s="23">
        <f>SUM(AE76:AE79)</f>
        <v>-605.49800000000005</v>
      </c>
      <c r="AF80" s="23">
        <f>SUM(AF76:AF79)</f>
        <v>89.273000000000124</v>
      </c>
      <c r="AG80" s="23">
        <f>H80-SUM(AD80:AF80)</f>
        <v>142.22499999999991</v>
      </c>
      <c r="AH80" s="23">
        <f>SUM(AH76:AH79)</f>
        <v>-19.721000000000004</v>
      </c>
      <c r="AI80" s="23">
        <f>SUM(AI76:AI79)</f>
        <v>338.93900000000002</v>
      </c>
      <c r="AJ80" s="23">
        <f>SUM(AJ76:AJ79)</f>
        <v>441.35900000000021</v>
      </c>
      <c r="AK80" s="23">
        <f>I80-SUM(AH80:AJ80)</f>
        <v>5489.4229999999998</v>
      </c>
      <c r="AL80" s="23">
        <f>J80-SUM(AH80:AJ80)</f>
        <v>6355.6439999999984</v>
      </c>
      <c r="AM80" s="23">
        <f t="shared" ref="AM80:AQ80" si="335">SUM(AM76:AM79)</f>
        <v>606.6579999999999</v>
      </c>
      <c r="AN80" s="23">
        <f t="shared" si="335"/>
        <v>-930.42299999999977</v>
      </c>
      <c r="AO80" s="23">
        <f t="shared" si="335"/>
        <v>-1103.4780000000001</v>
      </c>
      <c r="AP80" s="23">
        <f t="shared" si="335"/>
        <v>-3992.847999999999</v>
      </c>
      <c r="AQ80" s="23">
        <f t="shared" si="335"/>
        <v>924.93600000000015</v>
      </c>
      <c r="AR80" s="23">
        <f t="shared" ref="AR80" si="336">SUM(AR76:AR79)</f>
        <v>-6253.0940000000001</v>
      </c>
      <c r="AS80" s="23">
        <f>K80-SUM(AM80,AO80:AQ80)</f>
        <v>-27.506000000000768</v>
      </c>
      <c r="AT80" s="23">
        <f t="shared" ref="AT80" si="337">SUM(AT76:AT79)</f>
        <v>5989.9359999999988</v>
      </c>
      <c r="AU80" s="23">
        <f>SUM(AU76:AU79)</f>
        <v>-750.72900000000004</v>
      </c>
      <c r="AV80" s="23">
        <f t="shared" ref="AV80" si="338">SUM(AV76:AV79)</f>
        <v>2184.2569999999996</v>
      </c>
      <c r="AW80" s="23">
        <f t="shared" ref="AW80:AX80" si="339">SUM(AW76:AW79)</f>
        <v>7491.7889999999998</v>
      </c>
      <c r="AX80" s="23">
        <f t="shared" si="339"/>
        <v>552.27300000000059</v>
      </c>
      <c r="AY80" s="23">
        <f>SUM(AY76:AY79)</f>
        <v>-5018.5429999999988</v>
      </c>
      <c r="AZ80" s="23">
        <f t="shared" ref="AZ80:BB80" si="340">SUM(AZ76:AZ79)</f>
        <v>1715.1849999999995</v>
      </c>
      <c r="BA80" s="23">
        <f t="shared" si="340"/>
        <v>-124.58300000000054</v>
      </c>
      <c r="BB80" s="23">
        <f t="shared" si="340"/>
        <v>-7688.7179999999971</v>
      </c>
      <c r="BC80" s="23">
        <f>SUM(BC76:BC79)</f>
        <v>-8499.3089999999993</v>
      </c>
      <c r="BD80" s="23"/>
      <c r="BE80" s="23">
        <f>SUM(BE76:BE79)</f>
        <v>-1036.7849999999999</v>
      </c>
      <c r="BF80" s="23">
        <f>SUM(BF76:BF79)</f>
        <v>3986.5949999999993</v>
      </c>
      <c r="BG80" s="23">
        <f>SUM(BG76:BG79)</f>
        <v>7036.2960000000003</v>
      </c>
      <c r="BH80" s="23">
        <f>SUM(BH76:BH79)</f>
        <v>2419.3320000000012</v>
      </c>
      <c r="BI80" s="23">
        <f>SUM(BI76:BI79)</f>
        <v>-6567.66</v>
      </c>
      <c r="BJ80" s="23"/>
      <c r="BK80" s="23">
        <f>SUM(BK76:BK79)</f>
        <v>2949.81</v>
      </c>
      <c r="BL80" s="23">
        <f>SUM(BL76:BL79)</f>
        <v>-3303.3580000000002</v>
      </c>
      <c r="BM80" s="23"/>
      <c r="BN80" s="23">
        <f>SUM(BN76:BN79)</f>
        <v>9986.1059999999998</v>
      </c>
      <c r="BO80" s="23">
        <f>SUM(BO76:BO79)</f>
        <v>-3427.9410000000007</v>
      </c>
      <c r="BP80" s="23"/>
      <c r="BQ80" s="23">
        <f>SUM(BQ76:BQ79)</f>
        <v>564.55100000000004</v>
      </c>
      <c r="BR80" s="23">
        <f>SUM(BR76:BR79)</f>
        <v>-440.96500000000003</v>
      </c>
      <c r="BS80" s="23">
        <f>SUM(BS76:BS79)</f>
        <v>-344.61799999999994</v>
      </c>
    </row>
    <row r="81" spans="2:71">
      <c r="B81" s="32" t="s">
        <v>24</v>
      </c>
      <c r="C81" s="16">
        <f>1360.002831+C80</f>
        <v>2272.5708260000001</v>
      </c>
      <c r="D81" s="16">
        <f>2288.339+D80</f>
        <v>3189.8649999999998</v>
      </c>
      <c r="E81" s="16">
        <f>D81+E80</f>
        <v>3378.7609999999995</v>
      </c>
      <c r="F81" s="16">
        <f>999.462+F80</f>
        <v>2027.5990000000002</v>
      </c>
      <c r="G81" s="16">
        <f>F81+G80</f>
        <v>3824.32</v>
      </c>
      <c r="H81" s="16">
        <f>3835.52+H80</f>
        <v>3004.8339999999998</v>
      </c>
      <c r="I81" s="16">
        <f>H81+I80</f>
        <v>9254.8339999999989</v>
      </c>
      <c r="J81" s="16">
        <f>8133.239+J80</f>
        <v>15249.46</v>
      </c>
      <c r="K81" s="16">
        <f>J81+K80</f>
        <v>11657.221999999998</v>
      </c>
      <c r="L81" s="16">
        <f>K81+L80+(22016.983-11657.222)</f>
        <v>16830.553999999996</v>
      </c>
      <c r="M81" s="16">
        <f>L81+M80</f>
        <v>26308.143999999997</v>
      </c>
      <c r="N81" s="16">
        <f>22029.904+N80</f>
        <v>34435.342000000004</v>
      </c>
      <c r="O81" s="16">
        <f>N81+O80</f>
        <v>23318.683000000005</v>
      </c>
      <c r="P81" s="16">
        <f>BC81</f>
        <v>17161.084000000003</v>
      </c>
      <c r="R81" s="16">
        <f>3189.865+R80</f>
        <v>3497.9539999999997</v>
      </c>
      <c r="S81" s="16">
        <f>R81+S80</f>
        <v>3089.2839999999997</v>
      </c>
      <c r="T81" s="16">
        <f>S81+T80</f>
        <v>4034.2789999999995</v>
      </c>
      <c r="U81" s="16">
        <f>T81+U80</f>
        <v>3378.7609999999995</v>
      </c>
      <c r="V81" s="16">
        <f>999.462+V80</f>
        <v>1105.585</v>
      </c>
      <c r="W81" s="16">
        <f>V81+W80</f>
        <v>2032.442</v>
      </c>
      <c r="X81" s="16">
        <f>W81+X80</f>
        <v>1436.6030000000001</v>
      </c>
      <c r="Y81" s="16">
        <f>X81+Y80</f>
        <v>2027.5989999999997</v>
      </c>
      <c r="Z81" s="16">
        <f>Y81+Z80</f>
        <v>1219.3549999999998</v>
      </c>
      <c r="AA81" s="16">
        <f>+Z81+AA80</f>
        <v>2956</v>
      </c>
      <c r="AB81" s="16">
        <f>+AA81+AB80</f>
        <v>3532.3679999999999</v>
      </c>
      <c r="AC81" s="16">
        <f>+AB81+AC80</f>
        <v>3824.3199999999997</v>
      </c>
      <c r="AD81" s="16">
        <f>AC81+AD80</f>
        <v>3367.6339999999996</v>
      </c>
      <c r="AE81" s="16">
        <f>+AD81+AE80</f>
        <v>2762.1359999999995</v>
      </c>
      <c r="AF81" s="16">
        <f>+AE81+AF80</f>
        <v>2851.4089999999997</v>
      </c>
      <c r="AG81" s="16">
        <f>+AF81+AG80</f>
        <v>2993.6339999999996</v>
      </c>
      <c r="AH81" s="16">
        <f>3004.834+AH80</f>
        <v>2985.1129999999998</v>
      </c>
      <c r="AI81" s="16">
        <f>AH81+AI80</f>
        <v>3324.0519999999997</v>
      </c>
      <c r="AJ81" s="16">
        <f>+AI81+AJ80</f>
        <v>3765.4110000000001</v>
      </c>
      <c r="AK81" s="16">
        <f>+AJ81+AK80</f>
        <v>9254.8339999999989</v>
      </c>
      <c r="AL81" s="16">
        <f>+AK81+AL80</f>
        <v>15610.477999999997</v>
      </c>
      <c r="AM81" s="16">
        <f>9254.834+AM80</f>
        <v>9861.4920000000002</v>
      </c>
      <c r="AN81" s="16">
        <f>17546.581+AN80</f>
        <v>16616.157999999999</v>
      </c>
      <c r="AO81" s="16">
        <f>AM81+AO80</f>
        <v>8758.0139999999992</v>
      </c>
      <c r="AP81" s="16">
        <f>19021.351+AP80</f>
        <v>15028.503000000001</v>
      </c>
      <c r="AQ81" s="16">
        <f>+AO81+AQ80</f>
        <v>9682.9499999999989</v>
      </c>
      <c r="AR81" s="16">
        <f>20717.968+AR80</f>
        <v>14464.874</v>
      </c>
      <c r="AS81" s="16">
        <f>+AQ81+AS80+(15249.46-9254.834)</f>
        <v>15650.069999999996</v>
      </c>
      <c r="AT81" s="16">
        <f>L81</f>
        <v>16830.553999999996</v>
      </c>
      <c r="AU81" s="16">
        <f>13413.222+AU80</f>
        <v>12662.493</v>
      </c>
      <c r="AV81" s="16">
        <f>14540.588+AV80</f>
        <v>16724.845000000001</v>
      </c>
      <c r="AW81" s="224">
        <f>15837.542+AW80</f>
        <v>23329.330999999998</v>
      </c>
      <c r="AX81" s="16">
        <f>AW81+AX80+2426.54</f>
        <v>26308.144</v>
      </c>
      <c r="AY81" s="16">
        <f>28955.471+AY80</f>
        <v>23936.928000000004</v>
      </c>
      <c r="AZ81" s="16">
        <f>30694.746+AZ80+AY80</f>
        <v>27391.387999999999</v>
      </c>
      <c r="BA81" s="16">
        <f>32998.197+BA80+AZ80+AY80</f>
        <v>29570.256000000001</v>
      </c>
      <c r="BB81" s="16">
        <f>34435.342+BB80+BA80+AZ80+AY80</f>
        <v>23318.682999999997</v>
      </c>
      <c r="BC81" s="16">
        <f>25660.393+BC80</f>
        <v>17161.084000000003</v>
      </c>
      <c r="BD81" s="16"/>
      <c r="BE81" s="16">
        <f>18524.173+BE80</f>
        <v>17487.387999999999</v>
      </c>
      <c r="BF81" s="16">
        <f>19636.869+BF80+BE80</f>
        <v>22586.679</v>
      </c>
      <c r="BG81" s="16">
        <f>21110.495+BG80+BF80+BE80</f>
        <v>31096.600999999999</v>
      </c>
      <c r="BH81" s="16">
        <f>22029.904+BH80+BG80+BF80+BE80</f>
        <v>34435.342000000004</v>
      </c>
      <c r="BI81" s="16">
        <f>37893.409+BI80</f>
        <v>31325.749</v>
      </c>
      <c r="BJ81" s="16"/>
      <c r="BK81" s="16">
        <f>19636.869+BK80</f>
        <v>22586.679</v>
      </c>
      <c r="BL81" s="16">
        <f>30694.746+BL80</f>
        <v>27391.387999999999</v>
      </c>
      <c r="BM81" s="16"/>
      <c r="BN81" s="16">
        <f>21110.495+BN80</f>
        <v>31096.600999999999</v>
      </c>
      <c r="BO81" s="16">
        <f>32998.197+BO80</f>
        <v>29570.256000000001</v>
      </c>
      <c r="BP81" s="16"/>
      <c r="BQ81" s="16">
        <f>+AA81+BQ80</f>
        <v>3520.5509999999999</v>
      </c>
      <c r="BR81" s="16">
        <f>3835.52+BR80</f>
        <v>3394.5549999999998</v>
      </c>
      <c r="BS81" s="16">
        <f>+AD81+BS80</f>
        <v>3023.0159999999996</v>
      </c>
    </row>
    <row r="82" spans="2:71">
      <c r="B82" s="3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25"/>
      <c r="R82" s="22"/>
      <c r="S82" s="22"/>
      <c r="T82" s="22"/>
      <c r="U82" s="23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>
        <f>AT81-L81</f>
        <v>0</v>
      </c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</row>
    <row r="83" spans="2:71" ht="12.75">
      <c r="B83" s="33" t="s">
        <v>229</v>
      </c>
      <c r="C83" s="310"/>
      <c r="D83" s="310"/>
      <c r="E83" s="310">
        <f>3.378-(E66+E78-E65)</f>
        <v>-1.5631940186722204E-13</v>
      </c>
      <c r="F83" s="310">
        <f>795.579-(F66+F78-F65)</f>
        <v>-0.10400000000004184</v>
      </c>
      <c r="G83" s="310">
        <f>536.204-(G66+G78-G65)</f>
        <v>0</v>
      </c>
      <c r="H83" s="310">
        <f>27.339-(H66+H78-H65)</f>
        <v>2.8421709430404007E-13</v>
      </c>
      <c r="I83" s="310">
        <f>2699.276-(I66+I78-I65)</f>
        <v>0</v>
      </c>
      <c r="J83" s="310">
        <f>4021.785-(J66+J78-J65)</f>
        <v>0</v>
      </c>
      <c r="K83" s="310">
        <f>7351.044-(K66+K78-K65)</f>
        <v>0</v>
      </c>
      <c r="L83" s="310">
        <f>10613.347-(L66+L78-L65)</f>
        <v>0</v>
      </c>
      <c r="M83" s="310">
        <f>5788.055-(M66+M78-M65)</f>
        <v>0</v>
      </c>
      <c r="N83" s="310">
        <f>7576.119-(N66+N78-N65)</f>
        <v>0</v>
      </c>
      <c r="O83" s="310">
        <f>5903.389-(O66+O78-O65)</f>
        <v>0</v>
      </c>
      <c r="P83" s="310"/>
      <c r="Q83" s="311"/>
      <c r="R83" s="310"/>
      <c r="S83" s="310"/>
      <c r="T83" s="310"/>
      <c r="U83" s="310"/>
      <c r="V83" s="310">
        <f>51.656-(V66+V78-V65)</f>
        <v>0</v>
      </c>
      <c r="W83" s="310">
        <f>211.473-51.656-(W66+W78-W65)</f>
        <v>0</v>
      </c>
      <c r="X83" s="310">
        <f>268.46-211.473-(X66+X78-X65)</f>
        <v>-7.1054273576010019E-14</v>
      </c>
      <c r="Y83" s="310"/>
      <c r="Z83" s="310">
        <f>77.499-(Z66+Z78-Z65)</f>
        <v>0</v>
      </c>
      <c r="AA83" s="310">
        <f>117.066-77.499-(AA66+AA78-AA65)</f>
        <v>2.4158453015843406E-13</v>
      </c>
      <c r="AB83" s="310">
        <f>-11.298-117.066-(AB66+AB78-AB65)</f>
        <v>3.1263880373444408E-13</v>
      </c>
      <c r="AC83" s="310"/>
      <c r="AD83" s="310">
        <f>467.612-(AD66+AD78-AD65)</f>
        <v>0</v>
      </c>
      <c r="AE83" s="310">
        <f>502.746-467.612-(AE66+AE78-AE65)</f>
        <v>1.1368683772161603E-13</v>
      </c>
      <c r="AF83" s="310">
        <f>309.308-502.746-(AF66+AF78-AF65)</f>
        <v>0</v>
      </c>
      <c r="AG83" s="310"/>
      <c r="AH83" s="310">
        <f>360.405-(AH66+AH78-AH65)</f>
        <v>0</v>
      </c>
      <c r="AI83" s="310">
        <f>739.351-360.405-(AI66+AI78-AI65)</f>
        <v>0</v>
      </c>
      <c r="AJ83" s="310">
        <f>562.839-739.351-(AJ66+AJ78-AJ65)</f>
        <v>0</v>
      </c>
      <c r="AK83" s="310"/>
      <c r="AL83" s="310"/>
      <c r="AM83" s="310">
        <f>87.024-(AM66+AM78-AM65)</f>
        <v>0</v>
      </c>
      <c r="AN83" s="310">
        <f>188.699-(AN66+AN78-AN65)</f>
        <v>0</v>
      </c>
      <c r="AO83" s="310">
        <f>1647.276-87.024-(AO66+AO78-AO65)</f>
        <v>0</v>
      </c>
      <c r="AP83" s="310">
        <f>2875.651-188.699-(AP66+AP78-AP65)</f>
        <v>930.42300000000068</v>
      </c>
      <c r="AQ83" s="310">
        <f>3772.017-1647.276-(AQ66+AQ78-AQ65)</f>
        <v>0</v>
      </c>
      <c r="AR83" s="310">
        <f>5858.853-2875.651-(AR66+AR78-AR65)</f>
        <v>3992.8479999999986</v>
      </c>
      <c r="AS83" s="310"/>
      <c r="AT83" s="312"/>
      <c r="AU83" s="310">
        <f>-913.414-(AU66+AU78-AU65)</f>
        <v>0</v>
      </c>
      <c r="AV83" s="310">
        <f>2224.059+913.414-(AV66+AV78-AV65)</f>
        <v>750.72900000000027</v>
      </c>
      <c r="AW83" s="310">
        <f>1249.997-2224.059-(AW66+AW78-AW65)</f>
        <v>-2184.2570000000014</v>
      </c>
      <c r="AX83" s="310"/>
      <c r="AY83" s="310">
        <f>-5741.318-(AY66+AY78-AY65)</f>
        <v>0</v>
      </c>
      <c r="AZ83" s="310">
        <f>-4480.642+5741.318-(AZ66+AZ78-AZ65)</f>
        <v>2.0463630789890885E-12</v>
      </c>
      <c r="BA83" s="310">
        <f>-2365.851+4480.642-(BA66+BA78-BA65)</f>
        <v>0</v>
      </c>
      <c r="BB83" s="310"/>
      <c r="BC83" s="310">
        <f>-4531.892-(BC66+BC78-BC65)</f>
        <v>0</v>
      </c>
      <c r="BD83" s="310"/>
      <c r="BE83" s="310">
        <f>-1261.46-(BE66+BE78-BE65)</f>
        <v>0</v>
      </c>
      <c r="BF83" s="310">
        <f>3003.562+1261.46-(BF66+BF78-BF65)</f>
        <v>0</v>
      </c>
      <c r="BG83" s="310">
        <f>1666.173-(BG66+BG78-BG65)-3003.562</f>
        <v>0</v>
      </c>
      <c r="BH83" s="310">
        <f>7576.119-(BH66+BH78-BH65)-1666.173</f>
        <v>-2.0463630789890885E-12</v>
      </c>
      <c r="BI83" s="310">
        <f>-7513.538-(BI66+BI78-BI65)</f>
        <v>0</v>
      </c>
      <c r="BJ83" s="310"/>
      <c r="BK83" s="310">
        <f>3003.562-(BK66+BK78-BK65)</f>
        <v>0</v>
      </c>
      <c r="BL83" s="310">
        <f>-4480.642-(BL66+BL78-BL65)</f>
        <v>0</v>
      </c>
      <c r="BM83" s="310"/>
      <c r="BN83" s="310">
        <f>1666.173-(BN66+BN78-BN65)</f>
        <v>0</v>
      </c>
      <c r="BO83" s="310">
        <f>-2365.851-(BO66+BO78-BO65)</f>
        <v>0</v>
      </c>
      <c r="BP83" s="44"/>
      <c r="BQ83" s="44">
        <f>292.658-117.066-(BQ66+BQ78-BQ65)</f>
        <v>0</v>
      </c>
      <c r="BR83" s="44">
        <f>-197.696-(BR66+BR78-BR65)</f>
        <v>0</v>
      </c>
      <c r="BS83" s="44">
        <f>71.257+197.696-(BS66+BS78-BS65)</f>
        <v>0</v>
      </c>
    </row>
    <row r="84" spans="2:71" ht="12.75">
      <c r="B84" s="33" t="s">
        <v>230</v>
      </c>
      <c r="C84" s="313">
        <f>C81-C127</f>
        <v>-16.523173999999926</v>
      </c>
      <c r="D84" s="313">
        <f>D81-D127</f>
        <v>-0.61900000000014188</v>
      </c>
      <c r="E84" s="313">
        <f>E81-E127</f>
        <v>-0.7020000000006803</v>
      </c>
      <c r="F84" s="313">
        <f t="shared" ref="F84:P84" si="341">F81-F125</f>
        <v>0</v>
      </c>
      <c r="G84" s="313">
        <f t="shared" si="341"/>
        <v>0</v>
      </c>
      <c r="H84" s="313">
        <f t="shared" si="341"/>
        <v>0</v>
      </c>
      <c r="I84" s="313">
        <f t="shared" si="341"/>
        <v>0</v>
      </c>
      <c r="J84" s="313">
        <f t="shared" si="341"/>
        <v>0</v>
      </c>
      <c r="K84" s="313">
        <f t="shared" si="341"/>
        <v>0</v>
      </c>
      <c r="L84" s="313">
        <f t="shared" si="341"/>
        <v>0</v>
      </c>
      <c r="M84" s="313">
        <f t="shared" si="341"/>
        <v>0</v>
      </c>
      <c r="N84" s="313">
        <f t="shared" si="341"/>
        <v>0</v>
      </c>
      <c r="O84" s="313">
        <f t="shared" si="341"/>
        <v>0</v>
      </c>
      <c r="P84" s="313">
        <f t="shared" si="341"/>
        <v>0</v>
      </c>
      <c r="Q84" s="328"/>
      <c r="R84" s="313">
        <f t="shared" ref="R84:AE84" si="342">R81-R125</f>
        <v>15.020999999999731</v>
      </c>
      <c r="S84" s="313">
        <f t="shared" si="342"/>
        <v>-1.8830000000002656</v>
      </c>
      <c r="T84" s="313">
        <f t="shared" si="342"/>
        <v>-1.9160000000006221</v>
      </c>
      <c r="U84" s="313">
        <f t="shared" si="342"/>
        <v>0</v>
      </c>
      <c r="V84" s="313">
        <f t="shared" si="342"/>
        <v>-2724.4209999999998</v>
      </c>
      <c r="W84" s="313">
        <f t="shared" si="342"/>
        <v>-2085.8329999999996</v>
      </c>
      <c r="X84" s="313">
        <f t="shared" si="342"/>
        <v>-2379.299</v>
      </c>
      <c r="Y84" s="313">
        <f t="shared" si="342"/>
        <v>0</v>
      </c>
      <c r="Z84" s="313">
        <f t="shared" si="342"/>
        <v>0</v>
      </c>
      <c r="AA84" s="313">
        <f t="shared" si="342"/>
        <v>0</v>
      </c>
      <c r="AB84" s="313">
        <f t="shared" si="342"/>
        <v>0</v>
      </c>
      <c r="AC84" s="313">
        <f t="shared" si="342"/>
        <v>0</v>
      </c>
      <c r="AD84" s="313">
        <f t="shared" si="342"/>
        <v>0</v>
      </c>
      <c r="AE84" s="313">
        <f t="shared" si="342"/>
        <v>0</v>
      </c>
      <c r="AF84" s="313">
        <f>AF81-AF125+(3835.52-AC81)</f>
        <v>0</v>
      </c>
      <c r="AG84" s="313">
        <f>AG81-AG125</f>
        <v>-11.200000000000273</v>
      </c>
      <c r="AH84" s="313">
        <f>AH81-AH125</f>
        <v>0</v>
      </c>
      <c r="AI84" s="313">
        <f>AI81-AI125</f>
        <v>0</v>
      </c>
      <c r="AJ84" s="313">
        <f>AJ81-AJ125+(3004.834-AG81-11.2)</f>
        <v>2.7355895326763857E-13</v>
      </c>
      <c r="AK84" s="313">
        <f>AK81-AK125</f>
        <v>0</v>
      </c>
      <c r="AL84" s="313">
        <f>AL81-AL125</f>
        <v>361.01799999999821</v>
      </c>
      <c r="AM84" s="313">
        <f>AM81-AM125</f>
        <v>0</v>
      </c>
      <c r="AN84" s="313">
        <f>AN81-AN125</f>
        <v>0</v>
      </c>
      <c r="AO84" s="314">
        <f>AO81-AO125</f>
        <v>0</v>
      </c>
      <c r="AP84" s="314"/>
      <c r="AQ84" s="313">
        <f>AQ81-AQ125</f>
        <v>0</v>
      </c>
      <c r="AR84" s="313"/>
      <c r="AS84" s="313">
        <f>AS81-AS125</f>
        <v>3992.8479999999963</v>
      </c>
      <c r="AT84" s="312"/>
      <c r="AU84" s="314">
        <f t="shared" ref="AU84:BC84" si="343">AU81-AU125</f>
        <v>0</v>
      </c>
      <c r="AV84" s="314">
        <f t="shared" si="343"/>
        <v>0</v>
      </c>
      <c r="AW84" s="313">
        <f t="shared" si="343"/>
        <v>0</v>
      </c>
      <c r="AX84" s="313">
        <f t="shared" si="343"/>
        <v>0</v>
      </c>
      <c r="AY84" s="314">
        <f t="shared" si="343"/>
        <v>0</v>
      </c>
      <c r="AZ84" s="314">
        <f t="shared" si="343"/>
        <v>0</v>
      </c>
      <c r="BA84" s="313">
        <f t="shared" si="343"/>
        <v>0</v>
      </c>
      <c r="BB84" s="313">
        <f t="shared" si="343"/>
        <v>0</v>
      </c>
      <c r="BC84" s="314">
        <f t="shared" si="343"/>
        <v>0</v>
      </c>
      <c r="BD84" s="314"/>
      <c r="BE84" s="314"/>
      <c r="BF84" s="314"/>
      <c r="BG84" s="314"/>
      <c r="BH84" s="314"/>
      <c r="BI84" s="314"/>
      <c r="BJ84" s="314"/>
      <c r="BK84" s="315"/>
      <c r="BL84" s="315"/>
      <c r="BM84" s="315"/>
      <c r="BN84" s="315"/>
      <c r="BO84" s="315"/>
      <c r="BP84" s="35"/>
      <c r="BQ84" s="35"/>
    </row>
    <row r="85" spans="2:71"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BJ85" s="38"/>
      <c r="BK85" s="38"/>
      <c r="BL85" s="38"/>
      <c r="BM85" s="38"/>
      <c r="BN85" s="38"/>
      <c r="BO85" s="38"/>
      <c r="BP85" s="38"/>
      <c r="BQ85" s="38"/>
    </row>
    <row r="86" spans="2:71">
      <c r="B86" s="12" t="s">
        <v>231</v>
      </c>
      <c r="C86" s="29">
        <f t="shared" ref="C86:O86" si="344">C3</f>
        <v>42735</v>
      </c>
      <c r="D86" s="29">
        <f t="shared" si="344"/>
        <v>43100</v>
      </c>
      <c r="E86" s="29">
        <f t="shared" si="344"/>
        <v>43465</v>
      </c>
      <c r="F86" s="29">
        <f t="shared" si="344"/>
        <v>43830</v>
      </c>
      <c r="G86" s="29">
        <f t="shared" si="344"/>
        <v>44196</v>
      </c>
      <c r="H86" s="29">
        <f t="shared" si="344"/>
        <v>44561</v>
      </c>
      <c r="I86" s="29">
        <f t="shared" si="344"/>
        <v>44926</v>
      </c>
      <c r="J86" s="29">
        <f t="shared" si="344"/>
        <v>44926</v>
      </c>
      <c r="K86" s="29">
        <f t="shared" si="344"/>
        <v>45291</v>
      </c>
      <c r="L86" s="29">
        <f t="shared" si="344"/>
        <v>45291</v>
      </c>
      <c r="M86" s="29">
        <f t="shared" si="344"/>
        <v>45657</v>
      </c>
      <c r="N86" s="29">
        <f t="shared" si="344"/>
        <v>45657</v>
      </c>
      <c r="O86" s="29">
        <f t="shared" si="344"/>
        <v>46022</v>
      </c>
      <c r="P86" s="29" t="str">
        <f>P2</f>
        <v>LTM</v>
      </c>
      <c r="R86" s="29">
        <f t="shared" ref="R86:BC86" si="345">R3</f>
        <v>43190</v>
      </c>
      <c r="S86" s="29">
        <f t="shared" si="345"/>
        <v>43281</v>
      </c>
      <c r="T86" s="29">
        <f t="shared" si="345"/>
        <v>43373</v>
      </c>
      <c r="U86" s="29">
        <f t="shared" si="345"/>
        <v>43465</v>
      </c>
      <c r="V86" s="29">
        <f t="shared" si="345"/>
        <v>43555</v>
      </c>
      <c r="W86" s="29">
        <f t="shared" si="345"/>
        <v>43646</v>
      </c>
      <c r="X86" s="29">
        <f t="shared" si="345"/>
        <v>43738</v>
      </c>
      <c r="Y86" s="29">
        <f t="shared" si="345"/>
        <v>43830</v>
      </c>
      <c r="Z86" s="29">
        <f t="shared" si="345"/>
        <v>43921</v>
      </c>
      <c r="AA86" s="29">
        <f t="shared" si="345"/>
        <v>44012</v>
      </c>
      <c r="AB86" s="29">
        <f t="shared" si="345"/>
        <v>44104</v>
      </c>
      <c r="AC86" s="29">
        <f t="shared" si="345"/>
        <v>44196</v>
      </c>
      <c r="AD86" s="29">
        <f t="shared" si="345"/>
        <v>44286</v>
      </c>
      <c r="AE86" s="29">
        <f t="shared" si="345"/>
        <v>44377</v>
      </c>
      <c r="AF86" s="29">
        <f t="shared" si="345"/>
        <v>44469</v>
      </c>
      <c r="AG86" s="29">
        <f t="shared" si="345"/>
        <v>44561</v>
      </c>
      <c r="AH86" s="29">
        <f t="shared" si="345"/>
        <v>44651</v>
      </c>
      <c r="AI86" s="29">
        <f t="shared" si="345"/>
        <v>44742</v>
      </c>
      <c r="AJ86" s="29">
        <f t="shared" si="345"/>
        <v>44834</v>
      </c>
      <c r="AK86" s="29">
        <f t="shared" si="345"/>
        <v>44926</v>
      </c>
      <c r="AL86" s="29">
        <f t="shared" si="345"/>
        <v>44926</v>
      </c>
      <c r="AM86" s="29">
        <f t="shared" si="345"/>
        <v>45016</v>
      </c>
      <c r="AN86" s="29">
        <f t="shared" si="345"/>
        <v>45016</v>
      </c>
      <c r="AO86" s="29">
        <f t="shared" si="345"/>
        <v>45107</v>
      </c>
      <c r="AP86" s="29">
        <f t="shared" si="345"/>
        <v>45107</v>
      </c>
      <c r="AQ86" s="29">
        <f t="shared" si="345"/>
        <v>45199</v>
      </c>
      <c r="AR86" s="29">
        <f t="shared" si="345"/>
        <v>45199</v>
      </c>
      <c r="AS86" s="29">
        <f t="shared" si="345"/>
        <v>45291</v>
      </c>
      <c r="AT86" s="29">
        <f t="shared" si="345"/>
        <v>45291</v>
      </c>
      <c r="AU86" s="29">
        <f t="shared" si="345"/>
        <v>45382</v>
      </c>
      <c r="AV86" s="29">
        <f t="shared" si="345"/>
        <v>45473</v>
      </c>
      <c r="AW86" s="29">
        <f t="shared" si="345"/>
        <v>45565</v>
      </c>
      <c r="AX86" s="29">
        <f t="shared" si="345"/>
        <v>45657</v>
      </c>
      <c r="AY86" s="29">
        <f t="shared" si="345"/>
        <v>45747</v>
      </c>
      <c r="AZ86" s="29">
        <f t="shared" si="345"/>
        <v>45838</v>
      </c>
      <c r="BA86" s="29">
        <f t="shared" si="345"/>
        <v>45930</v>
      </c>
      <c r="BB86" s="29">
        <f t="shared" si="345"/>
        <v>46022</v>
      </c>
      <c r="BC86" s="29">
        <f t="shared" si="345"/>
        <v>46112</v>
      </c>
      <c r="BD86" s="234"/>
      <c r="BE86" s="29">
        <f>BE3</f>
        <v>45382</v>
      </c>
      <c r="BF86" s="29">
        <f>BF3</f>
        <v>45473</v>
      </c>
      <c r="BG86" s="29">
        <f>BG3</f>
        <v>45565</v>
      </c>
      <c r="BH86" s="29">
        <f>BH3</f>
        <v>45656</v>
      </c>
      <c r="BI86" s="29">
        <f>BI3</f>
        <v>45747</v>
      </c>
      <c r="BJ86" s="234"/>
      <c r="BK86" s="38"/>
      <c r="BL86" s="38"/>
      <c r="BM86" s="38"/>
      <c r="BN86" s="38"/>
      <c r="BO86" s="38"/>
      <c r="BP86" s="234"/>
    </row>
    <row r="87" spans="2:71">
      <c r="B87" s="11" t="str">
        <f t="shared" ref="B87:P87" si="346">+B7</f>
        <v>Revenue</v>
      </c>
      <c r="C87" s="23">
        <f t="shared" si="346"/>
        <v>4193.7747460000001</v>
      </c>
      <c r="D87" s="23">
        <f t="shared" si="346"/>
        <v>4825.6480000000001</v>
      </c>
      <c r="E87" s="23">
        <f t="shared" si="346"/>
        <v>5955.5079999999998</v>
      </c>
      <c r="F87" s="23">
        <f t="shared" si="346"/>
        <v>7803.12</v>
      </c>
      <c r="G87" s="23">
        <f t="shared" si="346"/>
        <v>9400.8610000000008</v>
      </c>
      <c r="H87" s="23">
        <f t="shared" si="346"/>
        <v>12537.08</v>
      </c>
      <c r="I87" s="23">
        <f t="shared" si="346"/>
        <v>28196.847000000002</v>
      </c>
      <c r="J87" s="23">
        <f t="shared" si="346"/>
        <v>51981.207999999999</v>
      </c>
      <c r="K87" s="23">
        <f t="shared" si="346"/>
        <v>55836.141000000003</v>
      </c>
      <c r="L87" s="23">
        <f t="shared" si="346"/>
        <v>80615.534</v>
      </c>
      <c r="M87" s="23">
        <f t="shared" si="346"/>
        <v>84097.907999999996</v>
      </c>
      <c r="N87" s="23">
        <f t="shared" si="346"/>
        <v>110077.71</v>
      </c>
      <c r="O87" s="23">
        <f t="shared" si="346"/>
        <v>111904.601</v>
      </c>
      <c r="P87" s="23">
        <f t="shared" si="346"/>
        <v>118848.70499999999</v>
      </c>
      <c r="R87" s="100"/>
      <c r="S87" s="100"/>
      <c r="T87" s="100"/>
      <c r="U87" s="23">
        <f t="shared" ref="U87:AK87" si="347">SUM(R7:U7)</f>
        <v>5955.5079999999998</v>
      </c>
      <c r="V87" s="23">
        <f t="shared" si="347"/>
        <v>6490.1779999999999</v>
      </c>
      <c r="W87" s="23">
        <f t="shared" si="347"/>
        <v>6998.4069999999992</v>
      </c>
      <c r="X87" s="23">
        <f t="shared" si="347"/>
        <v>7453.8420000000006</v>
      </c>
      <c r="Y87" s="23">
        <f t="shared" si="347"/>
        <v>7803.12</v>
      </c>
      <c r="Z87" s="23">
        <f t="shared" si="347"/>
        <v>8236.8859999999986</v>
      </c>
      <c r="AA87" s="23">
        <f t="shared" si="347"/>
        <v>8561.0289999999986</v>
      </c>
      <c r="AB87" s="23">
        <f t="shared" si="347"/>
        <v>8896.719000000001</v>
      </c>
      <c r="AC87" s="23">
        <f t="shared" si="347"/>
        <v>9400.8610000000008</v>
      </c>
      <c r="AD87" s="23">
        <f t="shared" si="347"/>
        <v>9714.4130000000005</v>
      </c>
      <c r="AE87" s="23">
        <f t="shared" si="347"/>
        <v>10112.188000000002</v>
      </c>
      <c r="AF87" s="23">
        <f t="shared" si="347"/>
        <v>10859.522000000001</v>
      </c>
      <c r="AG87" s="23">
        <f t="shared" si="347"/>
        <v>12537.08</v>
      </c>
      <c r="AH87" s="23">
        <f t="shared" si="347"/>
        <v>15733.420000000002</v>
      </c>
      <c r="AI87" s="23">
        <f t="shared" si="347"/>
        <v>19182.046000000002</v>
      </c>
      <c r="AJ87" s="23">
        <f t="shared" si="347"/>
        <v>23507.733</v>
      </c>
      <c r="AK87" s="23">
        <f t="shared" si="347"/>
        <v>28196.847000000002</v>
      </c>
      <c r="AL87" s="23">
        <f>SUM(AH7:AJ7,AL7)</f>
        <v>51981.207999999999</v>
      </c>
      <c r="AM87" s="23">
        <f>SUM(AI7:AK7,AM7)</f>
        <v>32422.584999999999</v>
      </c>
      <c r="AN87" s="23">
        <f>SUM(AI7:AJ7,AL7,AN7)</f>
        <v>63442.044999999998</v>
      </c>
      <c r="AO87" s="23">
        <f>SUM(AJ7,AL7,AN7:AO7)</f>
        <v>66962.856999999989</v>
      </c>
      <c r="AP87" s="23">
        <f>SUM(AK7,AM7,AO7:AP7)</f>
        <v>45037.27</v>
      </c>
      <c r="AQ87" s="23">
        <f>SUM(AQ7,AO7,AM7,AK7)</f>
        <v>41050.154999999999</v>
      </c>
      <c r="AR87" s="23">
        <f>SUM(AL7,AN7,AP7,AR7)</f>
        <v>84354.281999999992</v>
      </c>
      <c r="AS87" s="23">
        <f>SUM(AM7,AO7,AQ7,AS7)</f>
        <v>55836.141000000003</v>
      </c>
      <c r="AT87" s="23">
        <f>SUM(AN7,AP7,AR7,AT7)</f>
        <v>80615.534</v>
      </c>
      <c r="AU87" s="23">
        <f>SUM(AP7:AU7)-AS7-AQ7</f>
        <v>82869.615000000005</v>
      </c>
      <c r="AV87" s="23">
        <f>SUM(AR7,AT7,AU7:AV7)-AU7</f>
        <v>62182.315000000002</v>
      </c>
      <c r="AW87" s="23">
        <f>SUM(AT7:AW7)-AU7</f>
        <v>62569.313999999998</v>
      </c>
      <c r="AX87" s="23">
        <f>SUM(AU7,AV7,AW7,AX7)</f>
        <v>84097.907999999996</v>
      </c>
      <c r="AY87" s="23">
        <f>SUM(AV7,AW7,AX7,AY7)</f>
        <v>91459.28899999999</v>
      </c>
      <c r="AZ87" s="23">
        <f>SUM(AW7,AX7,AY7:AZ7)</f>
        <v>99207.64499999999</v>
      </c>
      <c r="BA87" s="23">
        <f>SUM(AX7:BA7)</f>
        <v>106422.37299999999</v>
      </c>
      <c r="BB87" s="23">
        <f>SUM(AY7,AZ7,BA7,BB7)</f>
        <v>111904.601</v>
      </c>
      <c r="BC87" s="23">
        <f>SUM(AZ7,BA7,BB7,BC7)</f>
        <v>118848.70499999999</v>
      </c>
      <c r="BD87" s="23"/>
      <c r="BE87" s="23">
        <f>SUM(AP7,AT7,AR7,BE7)</f>
        <v>90338.322</v>
      </c>
      <c r="BF87" s="23">
        <f>SUM(AR7,BE7,AT7,BF7)</f>
        <v>94617.672000000006</v>
      </c>
      <c r="BG87" s="23">
        <f>BG7+BF7+BE7+AT7</f>
        <v>101062.984</v>
      </c>
      <c r="BH87" s="23">
        <f>SUM(BE7:BH7)</f>
        <v>110077.71</v>
      </c>
      <c r="BI87" s="23">
        <f>SUM(BF7:BI7)</f>
        <v>118293.07799999999</v>
      </c>
      <c r="BJ87" s="23"/>
      <c r="BK87" s="38"/>
      <c r="BL87" s="38"/>
      <c r="BM87" s="38"/>
      <c r="BN87" s="38"/>
      <c r="BO87" s="38"/>
      <c r="BP87" s="23"/>
    </row>
    <row r="88" spans="2:71">
      <c r="B88" s="11" t="s">
        <v>187</v>
      </c>
      <c r="C88" s="23">
        <f t="shared" ref="C88:P88" si="348">+C19</f>
        <v>839.61561299999971</v>
      </c>
      <c r="D88" s="23">
        <f t="shared" si="348"/>
        <v>1199.1750000000002</v>
      </c>
      <c r="E88" s="23">
        <f t="shared" si="348"/>
        <v>2474.6429999999996</v>
      </c>
      <c r="F88" s="23">
        <f t="shared" si="348"/>
        <v>2274.3789999999999</v>
      </c>
      <c r="G88" s="23">
        <f t="shared" si="348"/>
        <v>3311.9580000000005</v>
      </c>
      <c r="H88" s="23">
        <f t="shared" si="348"/>
        <v>8395.2009999999991</v>
      </c>
      <c r="I88" s="23">
        <f t="shared" si="348"/>
        <v>8132.6480000000001</v>
      </c>
      <c r="J88" s="23">
        <f t="shared" si="348"/>
        <v>11622.115000000002</v>
      </c>
      <c r="K88" s="23">
        <f t="shared" si="348"/>
        <v>18197.749000000007</v>
      </c>
      <c r="L88" s="23">
        <f t="shared" si="348"/>
        <v>26273.686999999998</v>
      </c>
      <c r="M88" s="23">
        <f t="shared" si="348"/>
        <v>20123.422999999992</v>
      </c>
      <c r="N88" s="23">
        <f t="shared" si="348"/>
        <v>26340.017000000011</v>
      </c>
      <c r="O88" s="23">
        <f t="shared" si="348"/>
        <v>27113.465999999997</v>
      </c>
      <c r="P88" s="23">
        <f t="shared" si="348"/>
        <v>24853.378999999979</v>
      </c>
      <c r="R88" s="100"/>
      <c r="S88" s="100"/>
      <c r="T88" s="100"/>
      <c r="U88" s="23">
        <f t="shared" ref="U88:AK88" si="349">SUM(R19:U19)</f>
        <v>2474.643</v>
      </c>
      <c r="V88" s="23">
        <f t="shared" si="349"/>
        <v>2802.962</v>
      </c>
      <c r="W88" s="23">
        <f t="shared" si="349"/>
        <v>2423.8230000000003</v>
      </c>
      <c r="X88" s="23">
        <f t="shared" si="349"/>
        <v>1112.634</v>
      </c>
      <c r="Y88" s="23">
        <f t="shared" si="349"/>
        <v>2274.3789999999995</v>
      </c>
      <c r="Z88" s="23">
        <f t="shared" si="349"/>
        <v>1899.848</v>
      </c>
      <c r="AA88" s="23">
        <f t="shared" si="349"/>
        <v>2555.7370000000001</v>
      </c>
      <c r="AB88" s="23">
        <f t="shared" si="349"/>
        <v>4046.7579999999998</v>
      </c>
      <c r="AC88" s="23">
        <f t="shared" si="349"/>
        <v>3311.958000000001</v>
      </c>
      <c r="AD88" s="23">
        <f t="shared" si="349"/>
        <v>4775.8600000000006</v>
      </c>
      <c r="AE88" s="23">
        <f t="shared" si="349"/>
        <v>4763.612000000001</v>
      </c>
      <c r="AF88" s="23">
        <f t="shared" si="349"/>
        <v>3370.3450000000007</v>
      </c>
      <c r="AG88" s="23">
        <f t="shared" si="349"/>
        <v>8395.2010000000009</v>
      </c>
      <c r="AH88" s="23">
        <f t="shared" si="349"/>
        <v>8159.1040000000012</v>
      </c>
      <c r="AI88" s="23">
        <f t="shared" si="349"/>
        <v>8910.0330000000013</v>
      </c>
      <c r="AJ88" s="23">
        <f t="shared" si="349"/>
        <v>11029.826000000001</v>
      </c>
      <c r="AK88" s="23">
        <f t="shared" si="349"/>
        <v>8132.6479999999983</v>
      </c>
      <c r="AL88" s="23">
        <f>SUM(AH19:AJ19,AL19)</f>
        <v>11622.114999999998</v>
      </c>
      <c r="AM88" s="23">
        <f>SUM(AI19:AK19,AM19)</f>
        <v>9191.8849999999984</v>
      </c>
      <c r="AN88" s="23">
        <f>SUM(AI19:AJ19,AL19,AN19)</f>
        <v>14031.235999999997</v>
      </c>
      <c r="AO88" s="23">
        <f>SUM(AJ19,AL19,AN19:AO19)</f>
        <v>18053.106999999996</v>
      </c>
      <c r="AP88" s="23">
        <f>SUM(AK19,AM19,AO19:AP19)</f>
        <v>20345.927999999993</v>
      </c>
      <c r="AQ88" s="23">
        <f>SUM(AQ19,AO19,AM19,AK19)</f>
        <v>14082.395999999995</v>
      </c>
      <c r="AR88" s="23">
        <f>SUM(AL19,AN19,AP19,AR19)</f>
        <v>23779.002999999993</v>
      </c>
      <c r="AS88" s="23">
        <f>SUM(AM19,AO19,AQ19,AS19)</f>
        <v>18197.749</v>
      </c>
      <c r="AT88" s="23">
        <f>SUM(AN19,AP19,AR19,AT19)</f>
        <v>26273.686999999994</v>
      </c>
      <c r="AU88" s="23">
        <f>SUM(AP19:AU19)-AS19-AQ19</f>
        <v>27700.362999999998</v>
      </c>
      <c r="AV88" s="23">
        <f>SUM(AR19,AT19,AU19:AV19)-AU19</f>
        <v>15798.662999999997</v>
      </c>
      <c r="AW88" s="23">
        <f>SUM(AT19:AW19)-AU19</f>
        <v>15778.308999999997</v>
      </c>
      <c r="AX88" s="23">
        <f>SUM(AU19,AV19,AW19,AX19)</f>
        <v>20123.422999999995</v>
      </c>
      <c r="AY88" s="23">
        <f>SUM(AV19,AW19,AX19,AY19)</f>
        <v>22798.770999999993</v>
      </c>
      <c r="AZ88" s="23">
        <f>SUM(AW19,AX19,AY19:AZ19)</f>
        <v>25618.582999999995</v>
      </c>
      <c r="BA88" s="23">
        <f>SUM(AX19:BA19)</f>
        <v>27865.374</v>
      </c>
      <c r="BB88" s="23">
        <f>SUM(AY19,AZ19,BA19,BB19)</f>
        <v>27113.465999999982</v>
      </c>
      <c r="BC88" s="23">
        <f>SUM(AZ19,BA19,BB19,BC19)</f>
        <v>24853.378999999986</v>
      </c>
      <c r="BD88" s="23"/>
      <c r="BE88" s="23">
        <f>SUM(AP19,AT19,AR19,BE19)</f>
        <v>29801.300999999992</v>
      </c>
      <c r="BF88" s="23">
        <f>SUM(AR19,BE19,AT19,BF19)</f>
        <v>24532.173999999995</v>
      </c>
      <c r="BG88" s="23">
        <f>BG19+BF19+BE19+AT19</f>
        <v>25985.384999999998</v>
      </c>
      <c r="BH88" s="23">
        <f>SUM(BE19:BH19)</f>
        <v>26340.017000000007</v>
      </c>
      <c r="BI88" s="23">
        <f>SUM(BF19:BI19)</f>
        <v>29442.218000000008</v>
      </c>
      <c r="BJ88" s="23"/>
      <c r="BK88" s="38"/>
      <c r="BL88" s="38"/>
      <c r="BM88" s="38"/>
      <c r="BN88" s="38"/>
      <c r="BO88" s="38"/>
      <c r="BP88" s="23"/>
    </row>
    <row r="89" spans="2:71">
      <c r="B89" s="11" t="s">
        <v>232</v>
      </c>
      <c r="C89" s="23">
        <f t="shared" ref="C89:P89" si="350">+C52</f>
        <v>596.05228799999975</v>
      </c>
      <c r="D89" s="23">
        <f t="shared" si="350"/>
        <v>732.17200000000014</v>
      </c>
      <c r="E89" s="23">
        <f t="shared" si="350"/>
        <v>928.38799999999969</v>
      </c>
      <c r="F89" s="23">
        <f t="shared" si="350"/>
        <v>1324.828</v>
      </c>
      <c r="G89" s="23">
        <f t="shared" si="350"/>
        <v>1679.2090000000007</v>
      </c>
      <c r="H89" s="23">
        <f t="shared" si="350"/>
        <v>2659.9989999999989</v>
      </c>
      <c r="I89" s="23">
        <f t="shared" si="350"/>
        <v>6207.6710000000003</v>
      </c>
      <c r="J89" s="23">
        <f t="shared" si="350"/>
        <v>8225.7740000000013</v>
      </c>
      <c r="K89" s="23">
        <f t="shared" si="350"/>
        <v>12177.023000000008</v>
      </c>
      <c r="L89" s="23">
        <f t="shared" si="350"/>
        <v>17581.036999999997</v>
      </c>
      <c r="M89" s="23">
        <f t="shared" si="350"/>
        <v>16098.832999999991</v>
      </c>
      <c r="N89" s="23">
        <f t="shared" si="350"/>
        <v>21072.13800000001</v>
      </c>
      <c r="O89" s="23">
        <f t="shared" si="350"/>
        <v>19187.701999999997</v>
      </c>
      <c r="P89" s="23">
        <f t="shared" si="350"/>
        <v>18772.940999999977</v>
      </c>
      <c r="R89" s="100"/>
      <c r="S89" s="100"/>
      <c r="T89" s="100"/>
      <c r="U89" s="23">
        <f t="shared" ref="U89:AK89" si="351">SUM(R52:U52)</f>
        <v>928.38800000000026</v>
      </c>
      <c r="V89" s="23">
        <f t="shared" si="351"/>
        <v>1042.7860000000001</v>
      </c>
      <c r="W89" s="23">
        <f t="shared" si="351"/>
        <v>1161.473</v>
      </c>
      <c r="X89" s="23">
        <f t="shared" si="351"/>
        <v>1202.953</v>
      </c>
      <c r="Y89" s="23">
        <f t="shared" si="351"/>
        <v>1324.8279999999995</v>
      </c>
      <c r="Z89" s="23">
        <f t="shared" si="351"/>
        <v>1428.3799999999999</v>
      </c>
      <c r="AA89" s="23">
        <f t="shared" si="351"/>
        <v>1495.9659999999999</v>
      </c>
      <c r="AB89" s="23">
        <f t="shared" si="351"/>
        <v>1628.5419999999999</v>
      </c>
      <c r="AC89" s="23">
        <f t="shared" si="351"/>
        <v>1679.2090000000007</v>
      </c>
      <c r="AD89" s="23">
        <f t="shared" si="351"/>
        <v>1752.8310000000006</v>
      </c>
      <c r="AE89" s="23">
        <f t="shared" si="351"/>
        <v>1713.0310000000006</v>
      </c>
      <c r="AF89" s="23">
        <f t="shared" si="351"/>
        <v>1795.5040000000008</v>
      </c>
      <c r="AG89" s="23">
        <f t="shared" si="351"/>
        <v>2659.9989999999998</v>
      </c>
      <c r="AH89" s="23">
        <f t="shared" si="351"/>
        <v>3557.8140000000003</v>
      </c>
      <c r="AI89" s="23">
        <f t="shared" si="351"/>
        <v>4577.0609999999997</v>
      </c>
      <c r="AJ89" s="23">
        <f t="shared" si="351"/>
        <v>5695.1770000000006</v>
      </c>
      <c r="AK89" s="23">
        <f t="shared" si="351"/>
        <v>6207.6709999999994</v>
      </c>
      <c r="AL89" s="23">
        <f>SUM(AH52:AJ52,AL52)</f>
        <v>8205.4739999999983</v>
      </c>
      <c r="AM89" s="23">
        <f>SUM(AI52:AK52,AM52)</f>
        <v>7158.6399999999985</v>
      </c>
      <c r="AN89" s="23">
        <f>SUM(AI52:AJ52,AL52,AN52)</f>
        <v>10407.846999999998</v>
      </c>
      <c r="AO89" s="23">
        <f>SUM(AJ52,AL52,AN52:AO52)</f>
        <v>11977.792999999996</v>
      </c>
      <c r="AP89" s="23">
        <f>SUM(AK52,AM52,AO52:AP52)</f>
        <v>12038.780999999995</v>
      </c>
      <c r="AQ89" s="23">
        <f>SUM(AQ52,AO52,AM52,AK52)</f>
        <v>9680.2809999999954</v>
      </c>
      <c r="AR89" s="23">
        <f>SUM(AL52,AN52,AP52,AR52)</f>
        <v>15699.093999999997</v>
      </c>
      <c r="AS89" s="23">
        <f>SUM(AM52,AO52,AQ52,AS52)</f>
        <v>12177.023000000001</v>
      </c>
      <c r="AT89" s="23">
        <f>SUM(AN52,AP52,AR52,AT52)</f>
        <v>17581.036999999993</v>
      </c>
      <c r="AU89" s="23">
        <f>SUM(AP52:AU52)-AS52-AQ52</f>
        <v>18532.313999999995</v>
      </c>
      <c r="AV89" s="23">
        <f>SUM(AR52,AT52,AU52:AV52)-AU52</f>
        <v>11989.110999999994</v>
      </c>
      <c r="AW89" s="23">
        <f>SUM(AT52:AW52)-AU52</f>
        <v>11529.750999999993</v>
      </c>
      <c r="AX89" s="23">
        <f>SUM(AU52,AV52,AW52,AX52)</f>
        <v>16098.832999999995</v>
      </c>
      <c r="AY89" s="23">
        <f>SUM(AV52,AW52,AX52,AY52)</f>
        <v>17428.117999999995</v>
      </c>
      <c r="AZ89" s="23">
        <f>SUM(AW52,AX52,AY52:AZ52)</f>
        <v>17925.436999999994</v>
      </c>
      <c r="BA89" s="23">
        <f>SUM(AX52:BA52)</f>
        <v>19827.808000000001</v>
      </c>
      <c r="BB89" s="23">
        <f>SUM(AY52,AZ52,BA52,BB52)</f>
        <v>19187.701999999983</v>
      </c>
      <c r="BC89" s="23">
        <f>SUM(AZ52,BA52,BB52,BC52)</f>
        <v>18772.940999999988</v>
      </c>
      <c r="BD89" s="23"/>
      <c r="BE89" s="23">
        <f>SUM(AP52,AT52,AR52,BE52)</f>
        <v>20272.251999999993</v>
      </c>
      <c r="BF89" s="23">
        <f>SUM(AR52,BE52,AT52,BF52)</f>
        <v>19324.092999999997</v>
      </c>
      <c r="BG89" s="23">
        <f>BG52+BF52+BE52+AT52</f>
        <v>19813.425999999999</v>
      </c>
      <c r="BH89" s="23">
        <f>SUM(BE52:BH52)</f>
        <v>21072.138000000006</v>
      </c>
      <c r="BI89" s="23">
        <f>SUM(BF52:BI52)</f>
        <v>22481.329000000005</v>
      </c>
      <c r="BJ89" s="23"/>
      <c r="BK89" s="38"/>
      <c r="BL89" s="38"/>
      <c r="BM89" s="38"/>
      <c r="BN89" s="38"/>
      <c r="BO89" s="38"/>
      <c r="BP89" s="23"/>
    </row>
    <row r="90" spans="2:71" s="7" customFormat="1" ht="12.75">
      <c r="B90" s="11" t="s">
        <v>233</v>
      </c>
      <c r="C90" s="23">
        <f t="shared" ref="C90:P90" si="352">+C57</f>
        <v>575.29999999999995</v>
      </c>
      <c r="D90" s="23">
        <f t="shared" si="352"/>
        <v>733.59199999999998</v>
      </c>
      <c r="E90" s="23">
        <f t="shared" si="352"/>
        <v>939.16800000000001</v>
      </c>
      <c r="F90" s="23">
        <f t="shared" si="352"/>
        <v>1303.5260000000001</v>
      </c>
      <c r="G90" s="23">
        <f t="shared" si="352"/>
        <v>1621.152</v>
      </c>
      <c r="H90" s="23">
        <f t="shared" si="352"/>
        <v>2328.3589999999999</v>
      </c>
      <c r="I90" s="23">
        <f t="shared" si="352"/>
        <v>5467.0209999999997</v>
      </c>
      <c r="J90" s="23">
        <f t="shared" si="352"/>
        <v>6702.9049999999997</v>
      </c>
      <c r="K90" s="23">
        <f t="shared" si="352"/>
        <v>10600.588</v>
      </c>
      <c r="L90" s="23">
        <f t="shared" si="352"/>
        <v>15304.999</v>
      </c>
      <c r="M90" s="23">
        <f t="shared" si="352"/>
        <v>15595.955</v>
      </c>
      <c r="N90" s="23">
        <f t="shared" si="352"/>
        <v>20413.909</v>
      </c>
      <c r="O90" s="23">
        <f t="shared" si="352"/>
        <v>18416.037</v>
      </c>
      <c r="P90" s="23">
        <f t="shared" si="352"/>
        <v>18061.336000000003</v>
      </c>
      <c r="R90" s="100"/>
      <c r="S90" s="100"/>
      <c r="T90" s="100"/>
      <c r="U90" s="23">
        <f t="shared" ref="U90:AK90" si="353">SUM(R57:U57)</f>
        <v>939.16800000000001</v>
      </c>
      <c r="V90" s="23">
        <f t="shared" si="353"/>
        <v>1044.3780000000002</v>
      </c>
      <c r="W90" s="23">
        <f t="shared" si="353"/>
        <v>1162.6300000000001</v>
      </c>
      <c r="X90" s="23">
        <f t="shared" si="353"/>
        <v>1241.835</v>
      </c>
      <c r="Y90" s="23">
        <f t="shared" si="353"/>
        <v>1303.5260000000001</v>
      </c>
      <c r="Z90" s="23">
        <f t="shared" si="353"/>
        <v>1388.4849999999999</v>
      </c>
      <c r="AA90" s="23">
        <f t="shared" si="353"/>
        <v>1449.694</v>
      </c>
      <c r="AB90" s="23">
        <f t="shared" si="353"/>
        <v>1521.4970000000001</v>
      </c>
      <c r="AC90" s="23">
        <f t="shared" si="353"/>
        <v>1621.152</v>
      </c>
      <c r="AD90" s="23">
        <f t="shared" si="353"/>
        <v>1663.4870000000001</v>
      </c>
      <c r="AE90" s="23">
        <f t="shared" si="353"/>
        <v>1635.346</v>
      </c>
      <c r="AF90" s="23">
        <f t="shared" si="353"/>
        <v>1935.585</v>
      </c>
      <c r="AG90" s="23">
        <f t="shared" si="353"/>
        <v>2328.3589999999999</v>
      </c>
      <c r="AH90" s="23">
        <f t="shared" si="353"/>
        <v>3115.482</v>
      </c>
      <c r="AI90" s="23">
        <f t="shared" si="353"/>
        <v>3898.2150000000001</v>
      </c>
      <c r="AJ90" s="23">
        <f t="shared" si="353"/>
        <v>4465.3549999999996</v>
      </c>
      <c r="AK90" s="23">
        <f t="shared" si="353"/>
        <v>5467.0209999999997</v>
      </c>
      <c r="AL90" s="23">
        <f>SUM(AH57:AJ57,AL57)</f>
        <v>6113.2559999999994</v>
      </c>
      <c r="AM90" s="23">
        <f>SUM(AI57:AK57,AM57)</f>
        <v>6565.41</v>
      </c>
      <c r="AN90" s="23">
        <f>SUM(AI57:AJ57,AL57,AN57)</f>
        <v>8440.7239999999983</v>
      </c>
      <c r="AO90" s="23">
        <f>SUM(AJ57,AL57,AN57:AO57)</f>
        <v>9221.4219999999987</v>
      </c>
      <c r="AP90" s="23">
        <f>SUM(AK57,AM57,AO57:AP57)</f>
        <v>9254.134</v>
      </c>
      <c r="AQ90" s="23">
        <f>SUM(AQ57,AO57,AM57,AK57)</f>
        <v>8761.5280000000002</v>
      </c>
      <c r="AR90" s="23">
        <f>SUM(AL57,AN57,AP57,AR57)</f>
        <v>13482.562000000002</v>
      </c>
      <c r="AS90" s="23">
        <f>SUM(AM57,AO57,AQ57,AS57)</f>
        <v>10600.588</v>
      </c>
      <c r="AT90" s="23">
        <f>SUM(AN57,AP57,AR57,AT57)</f>
        <v>15304.999</v>
      </c>
      <c r="AU90" s="23">
        <f>SUM(AP57:AU57)-AS57-AQ57</f>
        <v>15775.174000000001</v>
      </c>
      <c r="AV90" s="23">
        <f>SUM(AR57,AT57,AU57:AV57)-AU57</f>
        <v>11845.952000000001</v>
      </c>
      <c r="AW90" s="23">
        <f>SUM(AT57:AW57)-AU57</f>
        <v>11132.429</v>
      </c>
      <c r="AX90" s="23">
        <f>SUM(AU57,AV57,AW57,AX57)</f>
        <v>15595.955</v>
      </c>
      <c r="AY90" s="23">
        <f>SUM(AV57,AW57,AX57,AY57)</f>
        <v>17038.147000000001</v>
      </c>
      <c r="AZ90" s="23">
        <f>SUM(AW57,AX57,AY57:AZ57)</f>
        <v>17464.589</v>
      </c>
      <c r="BA90" s="23">
        <f>SUM(AX57:BA57)</f>
        <v>19106.710999999999</v>
      </c>
      <c r="BB90" s="23">
        <f>SUM(AY57,AZ57,BA57,BB57)</f>
        <v>18416.037</v>
      </c>
      <c r="BC90" s="23">
        <f>SUM(AZ57,BA57,BB57,BC57)</f>
        <v>18061.336000000003</v>
      </c>
      <c r="BD90" s="23"/>
      <c r="BE90" s="23">
        <f>SUM(AP57,AT57,AR57,BE57)</f>
        <v>17315.432000000001</v>
      </c>
      <c r="BF90" s="23">
        <f>SUM(AR57,BE57,AT57,BF57)</f>
        <v>18452.760999999999</v>
      </c>
      <c r="BG90" s="23">
        <f>BG57+BF57+BE57+AT57</f>
        <v>18794.339</v>
      </c>
      <c r="BH90" s="23">
        <f>BH57+BG57+BF57+BE57</f>
        <v>20413.909</v>
      </c>
      <c r="BI90" s="23">
        <f>BI57+BH57+BG57+BF57</f>
        <v>22008.779000000002</v>
      </c>
      <c r="BJ90" s="23"/>
      <c r="BK90" s="38"/>
      <c r="BL90" s="38"/>
      <c r="BM90" s="38"/>
      <c r="BN90" s="38"/>
      <c r="BO90" s="38"/>
      <c r="BP90" s="15"/>
      <c r="BQ90" s="11"/>
    </row>
    <row r="91" spans="2:71">
      <c r="B91" s="11" t="s">
        <v>213</v>
      </c>
      <c r="C91" s="23">
        <f t="shared" ref="C91:P91" si="354">-C65</f>
        <v>75.880255000000005</v>
      </c>
      <c r="D91" s="23">
        <f t="shared" si="354"/>
        <v>173.43</v>
      </c>
      <c r="E91" s="23">
        <f t="shared" si="354"/>
        <v>337.13</v>
      </c>
      <c r="F91" s="23">
        <f t="shared" si="354"/>
        <v>414.64400000000001</v>
      </c>
      <c r="G91" s="23">
        <f t="shared" si="354"/>
        <v>364.13299999999998</v>
      </c>
      <c r="H91" s="23">
        <f t="shared" si="354"/>
        <v>756.74900000000002</v>
      </c>
      <c r="I91" s="23">
        <f t="shared" si="354"/>
        <v>2014.2439999999999</v>
      </c>
      <c r="J91" s="23">
        <f t="shared" si="354"/>
        <v>3851.84</v>
      </c>
      <c r="K91" s="23">
        <f t="shared" si="354"/>
        <v>3670.6660000000002</v>
      </c>
      <c r="L91" s="23">
        <f t="shared" si="354"/>
        <v>5299.6620000000003</v>
      </c>
      <c r="M91" s="23">
        <f t="shared" si="354"/>
        <v>4132.1670000000004</v>
      </c>
      <c r="N91" s="23">
        <f t="shared" si="354"/>
        <v>5408.69</v>
      </c>
      <c r="O91" s="23">
        <f t="shared" si="354"/>
        <v>5224.8509999999997</v>
      </c>
      <c r="P91" s="23">
        <f t="shared" si="354"/>
        <v>5651.2649999999994</v>
      </c>
      <c r="R91" s="100"/>
      <c r="S91" s="100"/>
      <c r="T91" s="100"/>
      <c r="U91" s="23">
        <f t="shared" ref="U91:AK91" si="355">-SUM(R65:U65)</f>
        <v>337.13</v>
      </c>
      <c r="V91" s="23">
        <f t="shared" si="355"/>
        <v>353.45499999999998</v>
      </c>
      <c r="W91" s="23">
        <f t="shared" si="355"/>
        <v>371.84899999999999</v>
      </c>
      <c r="X91" s="23">
        <f t="shared" si="355"/>
        <v>415.81100000000004</v>
      </c>
      <c r="Y91" s="23">
        <f t="shared" si="355"/>
        <v>414.64400000000001</v>
      </c>
      <c r="Z91" s="23">
        <f t="shared" si="355"/>
        <v>419.26099999999997</v>
      </c>
      <c r="AA91" s="23">
        <f t="shared" si="355"/>
        <v>394.96500000000003</v>
      </c>
      <c r="AB91" s="23">
        <f t="shared" si="355"/>
        <v>344.077</v>
      </c>
      <c r="AC91" s="23">
        <f t="shared" si="355"/>
        <v>364.13299999999998</v>
      </c>
      <c r="AD91" s="23">
        <f t="shared" si="355"/>
        <v>364.30399999999997</v>
      </c>
      <c r="AE91" s="23">
        <f t="shared" si="355"/>
        <v>530.53399999999999</v>
      </c>
      <c r="AF91" s="23">
        <f t="shared" si="355"/>
        <v>660.51900000000001</v>
      </c>
      <c r="AG91" s="23">
        <f t="shared" si="355"/>
        <v>756.74900000000002</v>
      </c>
      <c r="AH91" s="23">
        <f t="shared" si="355"/>
        <v>774.75700000000006</v>
      </c>
      <c r="AI91" s="23">
        <f t="shared" si="355"/>
        <v>1193.9110000000001</v>
      </c>
      <c r="AJ91" s="23">
        <f t="shared" si="355"/>
        <v>1068.5569999999998</v>
      </c>
      <c r="AK91" s="23">
        <f t="shared" si="355"/>
        <v>2014.2439999999997</v>
      </c>
      <c r="AL91" s="23">
        <f>-SUM(AH65:AJ65,AL65)</f>
        <v>3851.84</v>
      </c>
      <c r="AM91" s="23">
        <f>-SUM(AI65:AK65,AM65)</f>
        <v>2013.6789999999996</v>
      </c>
      <c r="AN91" s="23">
        <f>-SUM(AI65:AJ65,AL65,AN65)</f>
        <v>3901.0170000000003</v>
      </c>
      <c r="AO91" s="23">
        <f>-SUM(AJ65,AL65,AN65:AO65)</f>
        <v>4119.299</v>
      </c>
      <c r="AP91" s="23">
        <f>-SUM(AK65,AM65,AO65:AP65)</f>
        <v>3918.1199999999994</v>
      </c>
      <c r="AQ91" s="23">
        <f>-SUM(AQ65,AO65,AM65,AK65)</f>
        <v>2232.2839999999997</v>
      </c>
      <c r="AR91" s="23">
        <f>-SUM(AL65,AN65,AP65,AR65)</f>
        <v>4933.2330000000002</v>
      </c>
      <c r="AS91" s="23">
        <f>-SUM(AM65,AO65,AQ65,AS65)</f>
        <v>3670.6660000000002</v>
      </c>
      <c r="AT91" s="23">
        <f>-SUM(AN65,AP65,AR65,AT65)</f>
        <v>5299.6620000000003</v>
      </c>
      <c r="AU91" s="23">
        <f>-SUM(AP65:AU65)+AS65+AQ65</f>
        <v>5266.86</v>
      </c>
      <c r="AV91" s="23">
        <f>-SUM(AR65,AT65,AU65:AV65)+AU65</f>
        <v>5134.4470000000001</v>
      </c>
      <c r="AW91" s="23">
        <f>-SUM(AT65:AW65)-AU65</f>
        <v>5951.5750000000007</v>
      </c>
      <c r="AX91" s="23">
        <f>-SUM(AU65,AV65,AW65,AX65)</f>
        <v>4132.1670000000004</v>
      </c>
      <c r="AY91" s="23">
        <f>-SUM(AV65,AW65,AX65,AY65)</f>
        <v>4847.9620000000004</v>
      </c>
      <c r="AZ91" s="23">
        <f>-SUM(AW65,AX65,AY65:AZ65)</f>
        <v>4921.6130000000003</v>
      </c>
      <c r="BA91" s="23">
        <f>-SUM(AX65:BA65)</f>
        <v>5466.3109999999997</v>
      </c>
      <c r="BB91" s="23">
        <f>-SUM(AY65,AZ65,BA65,BB65)</f>
        <v>5224.8509999999997</v>
      </c>
      <c r="BC91" s="23">
        <f>-SUM(AZ65,BA65,BB65,BC65)</f>
        <v>5651.2649999999994</v>
      </c>
      <c r="BD91" s="23"/>
      <c r="BE91" s="23">
        <f>-SUM(AP65,AT65,AR65,BE65)</f>
        <v>5294.4780000000001</v>
      </c>
      <c r="BF91" s="23">
        <f>-SUM(AR65,BE65,AT65,BF65)</f>
        <v>5809.2180000000008</v>
      </c>
      <c r="BG91" s="23">
        <f>-(BG65+BF65+BE65+AT65)</f>
        <v>6697.8990000000003</v>
      </c>
      <c r="BH91" s="23">
        <f>-(BH65+BG65+BF65+BE65)</f>
        <v>5408.6900000000005</v>
      </c>
      <c r="BI91" s="23">
        <f>-(BI65+BH65+BG65+BF65)</f>
        <v>6340.1909999999998</v>
      </c>
      <c r="BJ91" s="23"/>
      <c r="BK91" s="38"/>
      <c r="BL91" s="38"/>
      <c r="BM91" s="38"/>
      <c r="BN91" s="38"/>
      <c r="BO91" s="38"/>
      <c r="BP91" s="23"/>
    </row>
    <row r="92" spans="2:71">
      <c r="B92" s="11" t="s">
        <v>234</v>
      </c>
      <c r="C92" s="23">
        <f t="shared" ref="C92:P92" si="356">+C29</f>
        <v>284.29641599999974</v>
      </c>
      <c r="D92" s="23">
        <f t="shared" si="356"/>
        <v>444.99700000000018</v>
      </c>
      <c r="E92" s="23">
        <f t="shared" si="356"/>
        <v>787.6209999999993</v>
      </c>
      <c r="F92" s="23">
        <f t="shared" si="356"/>
        <v>1102.425</v>
      </c>
      <c r="G92" s="23">
        <f t="shared" si="356"/>
        <v>1203.5850000000003</v>
      </c>
      <c r="H92" s="23">
        <f t="shared" si="356"/>
        <v>-162.41900000000055</v>
      </c>
      <c r="I92" s="23">
        <f t="shared" si="356"/>
        <v>199.52000000000055</v>
      </c>
      <c r="J92" s="23">
        <f t="shared" si="356"/>
        <v>1429.5060000000008</v>
      </c>
      <c r="K92" s="23">
        <f t="shared" si="356"/>
        <v>4222.7640000000083</v>
      </c>
      <c r="L92" s="23">
        <f t="shared" si="356"/>
        <v>6096.7749999999978</v>
      </c>
      <c r="M92" s="23">
        <f t="shared" si="356"/>
        <v>8016.1059999999934</v>
      </c>
      <c r="N92" s="23">
        <f t="shared" si="356"/>
        <v>10492.467000000013</v>
      </c>
      <c r="O92" s="23">
        <f t="shared" si="356"/>
        <v>5206.2119999999959</v>
      </c>
      <c r="P92" s="23">
        <f t="shared" si="356"/>
        <v>4462.293999999978</v>
      </c>
      <c r="R92" s="100"/>
      <c r="S92" s="100"/>
      <c r="T92" s="100"/>
      <c r="U92" s="23">
        <f t="shared" ref="U92:AK92" si="357">SUM(R29:U29)</f>
        <v>787.62099999999998</v>
      </c>
      <c r="V92" s="23">
        <f t="shared" si="357"/>
        <v>1034.79</v>
      </c>
      <c r="W92" s="23">
        <f t="shared" si="357"/>
        <v>945.03999999999962</v>
      </c>
      <c r="X92" s="23">
        <f t="shared" si="357"/>
        <v>961.11099999999965</v>
      </c>
      <c r="Y92" s="23">
        <f t="shared" si="357"/>
        <v>1102.4249999999993</v>
      </c>
      <c r="Z92" s="23">
        <f t="shared" si="357"/>
        <v>658.83599999999979</v>
      </c>
      <c r="AA92" s="23">
        <f t="shared" si="357"/>
        <v>1052.3759999999997</v>
      </c>
      <c r="AB92" s="23">
        <f t="shared" si="357"/>
        <v>1153.0919999999996</v>
      </c>
      <c r="AC92" s="23">
        <f t="shared" si="357"/>
        <v>1203.5850000000005</v>
      </c>
      <c r="AD92" s="23">
        <f t="shared" si="357"/>
        <v>1788.8519999999999</v>
      </c>
      <c r="AE92" s="23">
        <f t="shared" si="357"/>
        <v>1481.9740000000002</v>
      </c>
      <c r="AF92" s="23">
        <f t="shared" si="357"/>
        <v>1141.6960000000001</v>
      </c>
      <c r="AG92" s="23">
        <f t="shared" si="357"/>
        <v>-162.41899999999896</v>
      </c>
      <c r="AH92" s="23">
        <f t="shared" si="357"/>
        <v>-1034.5989999999986</v>
      </c>
      <c r="AI92" s="23">
        <f t="shared" si="357"/>
        <v>-1821.8299999999986</v>
      </c>
      <c r="AJ92" s="23">
        <f t="shared" si="357"/>
        <v>-1955.1359999999981</v>
      </c>
      <c r="AK92" s="23">
        <f t="shared" si="357"/>
        <v>199.51999999999862</v>
      </c>
      <c r="AL92" s="23">
        <f>SUM(AH29:AJ29,AL29)</f>
        <v>1429.5059999999967</v>
      </c>
      <c r="AM92" s="23">
        <f>SUM(AI29:AK29,AM29)</f>
        <v>1684.018999999998</v>
      </c>
      <c r="AN92" s="23">
        <f>SUM(AI29:AJ29,AL29,AN29)</f>
        <v>4250.7759999999971</v>
      </c>
      <c r="AO92" s="23">
        <f>SUM(AJ29,AL29,AN29:AO29)</f>
        <v>3414.6089999999954</v>
      </c>
      <c r="AP92" s="23">
        <f>SUM(AK29,AM29,AO29:AP29)</f>
        <v>-1127.246000000006</v>
      </c>
      <c r="AQ92" s="23">
        <f>SUM(AQ29,AO29,AM29,AK29)</f>
        <v>2584.0229999999951</v>
      </c>
      <c r="AR92" s="23">
        <f>SUM(AL29,AN29,AP29,AR29)</f>
        <v>6219.7169999999951</v>
      </c>
      <c r="AS92" s="23">
        <f>SUM(AM29,AO29,AQ29,AS29)</f>
        <v>4222.7640000000029</v>
      </c>
      <c r="AT92" s="23">
        <f>SUM(AN29,AP29,AR29,AT29)</f>
        <v>6096.7749999999933</v>
      </c>
      <c r="AU92" s="23">
        <f>SUM(AP29:AU29)-AS29-AQ29</f>
        <v>6087.6439999999939</v>
      </c>
      <c r="AV92" s="23">
        <f>SUM(AR29,AT29,AU29:AV29)-AU29</f>
        <v>7016.2359999999953</v>
      </c>
      <c r="AW92" s="23">
        <f>SUM(AT29:AW29)-AU29</f>
        <v>4135.8039999999946</v>
      </c>
      <c r="AX92" s="23">
        <f>SUM(AU29,AV29,AW29,AX29)</f>
        <v>8016.1059999999952</v>
      </c>
      <c r="AY92" s="23">
        <f>SUM(AV29,AW29,AX29,AY29)</f>
        <v>8114.067999999992</v>
      </c>
      <c r="AZ92" s="23">
        <f>SUM(AW29,AX29,AY29:AZ29)</f>
        <v>7535.7689999999948</v>
      </c>
      <c r="BA92" s="23">
        <f>SUM(AX29:BA29)</f>
        <v>8129.7779999999984</v>
      </c>
      <c r="BB92" s="23">
        <f>SUM(AY29,AZ29,BA29,BB29)</f>
        <v>5206.2119999999813</v>
      </c>
      <c r="BC92" s="23">
        <f>SUM(AZ29,BA29,BB29,BC29)</f>
        <v>4462.2939999999853</v>
      </c>
      <c r="BD92" s="23"/>
      <c r="BE92" s="23">
        <f>SUM(AP29,AT29,AR29,BE29)</f>
        <v>7033.031999999992</v>
      </c>
      <c r="BF92" s="23">
        <f>SUM(AR29,BE29,AT29,BF29)</f>
        <v>10910.422999999997</v>
      </c>
      <c r="BG92" s="23">
        <f>BG29+BF29+BE29+AT29</f>
        <v>8199.4489999999969</v>
      </c>
      <c r="BH92" s="23">
        <f>BH29+BG29+BF29+BE29</f>
        <v>10492.46700000001</v>
      </c>
      <c r="BI92" s="23">
        <f>BI29+BH29+BG29+BF29</f>
        <v>10441.13800000001</v>
      </c>
      <c r="BJ92" s="23"/>
      <c r="BK92" s="38"/>
      <c r="BL92" s="38"/>
      <c r="BM92" s="38"/>
      <c r="BN92" s="38"/>
      <c r="BO92" s="38"/>
      <c r="BP92" s="23"/>
    </row>
    <row r="93" spans="2:71">
      <c r="B93" s="11" t="s">
        <v>235</v>
      </c>
      <c r="C93" s="23">
        <f t="shared" ref="C93:P93" si="358">-C67</f>
        <v>263.88751500000001</v>
      </c>
      <c r="D93" s="23">
        <f t="shared" si="358"/>
        <v>318.21000000000004</v>
      </c>
      <c r="E93" s="23">
        <f t="shared" si="358"/>
        <v>185.13900000000001</v>
      </c>
      <c r="F93" s="23">
        <f t="shared" si="358"/>
        <v>128.02799999999999</v>
      </c>
      <c r="G93" s="23">
        <f t="shared" si="358"/>
        <v>189.07499999999999</v>
      </c>
      <c r="H93" s="23">
        <f t="shared" si="358"/>
        <v>437.45299999999997</v>
      </c>
      <c r="I93" s="23">
        <f t="shared" si="358"/>
        <v>670.89099999999996</v>
      </c>
      <c r="J93" s="23">
        <f t="shared" si="358"/>
        <v>1135.3530000000001</v>
      </c>
      <c r="K93" s="23">
        <f t="shared" si="358"/>
        <v>1107.691</v>
      </c>
      <c r="L93" s="23">
        <f t="shared" si="358"/>
        <v>1599.271</v>
      </c>
      <c r="M93" s="23">
        <f t="shared" si="358"/>
        <v>2540.665</v>
      </c>
      <c r="N93" s="23">
        <f t="shared" si="358"/>
        <v>3325.5349999999999</v>
      </c>
      <c r="O93" s="23">
        <f t="shared" si="358"/>
        <v>1554.297</v>
      </c>
      <c r="P93" s="23">
        <f t="shared" si="358"/>
        <v>1574.3710000000001</v>
      </c>
      <c r="R93" s="100"/>
      <c r="S93" s="100"/>
      <c r="T93" s="100"/>
      <c r="U93" s="23">
        <f t="shared" ref="U93:AK93" si="359">-SUM(R67:U67)</f>
        <v>185.13900000000001</v>
      </c>
      <c r="V93" s="23">
        <f t="shared" si="359"/>
        <v>162.22800000000001</v>
      </c>
      <c r="W93" s="23">
        <f t="shared" si="359"/>
        <v>130.05099999999999</v>
      </c>
      <c r="X93" s="23">
        <f t="shared" si="359"/>
        <v>90.456999999999994</v>
      </c>
      <c r="Y93" s="23">
        <f t="shared" si="359"/>
        <v>128.02799999999999</v>
      </c>
      <c r="Z93" s="23">
        <f t="shared" si="359"/>
        <v>130.44900000000001</v>
      </c>
      <c r="AA93" s="23">
        <f t="shared" si="359"/>
        <v>134.09699999999998</v>
      </c>
      <c r="AB93" s="23">
        <f t="shared" si="359"/>
        <v>141.297</v>
      </c>
      <c r="AC93" s="23">
        <f t="shared" si="359"/>
        <v>189.07499999999999</v>
      </c>
      <c r="AD93" s="23">
        <f t="shared" si="359"/>
        <v>162.52800000000002</v>
      </c>
      <c r="AE93" s="23">
        <f t="shared" si="359"/>
        <v>196.55200000000002</v>
      </c>
      <c r="AF93" s="23">
        <f t="shared" si="359"/>
        <v>204.01299999999998</v>
      </c>
      <c r="AG93" s="23">
        <f t="shared" si="359"/>
        <v>437.45299999999997</v>
      </c>
      <c r="AH93" s="23">
        <f t="shared" si="359"/>
        <v>517.202</v>
      </c>
      <c r="AI93" s="23">
        <f t="shared" si="359"/>
        <v>562.28</v>
      </c>
      <c r="AJ93" s="23">
        <f t="shared" si="359"/>
        <v>663.20399999999995</v>
      </c>
      <c r="AK93" s="23">
        <f t="shared" si="359"/>
        <v>670.89099999999996</v>
      </c>
      <c r="AL93" s="23">
        <f>-SUM(AH67:AJ67,AL67)</f>
        <v>1135.3530000000001</v>
      </c>
      <c r="AM93" s="23">
        <f>-SUM(AI67:AK67,AM67)</f>
        <v>748.99</v>
      </c>
      <c r="AN93" s="23">
        <f>-SUM(AI67:AJ67,AL67,AN67)</f>
        <v>1314.6290000000004</v>
      </c>
      <c r="AO93" s="23">
        <f>-SUM(AJ67,AL67,AN67:AO67)</f>
        <v>1360.4610000000002</v>
      </c>
      <c r="AP93" s="23">
        <f>-SUM(AK67,AM67,AO67:AP67)</f>
        <v>907.89100000000008</v>
      </c>
      <c r="AQ93" s="23">
        <f>-SUM(AQ67,AO67,AM67,AK67)</f>
        <v>927.97399999999993</v>
      </c>
      <c r="AR93" s="23">
        <f>-SUM(AL67,AN67,AP67,AR67)</f>
        <v>1786.0660000000003</v>
      </c>
      <c r="AS93" s="23">
        <f>-SUM(AM67,AO67,AQ67,AS67)</f>
        <v>850.36299999999994</v>
      </c>
      <c r="AT93" s="23">
        <f>-SUM(AN67,AP67,AR67,AT67)</f>
        <v>1599.271</v>
      </c>
      <c r="AU93" s="23">
        <f>-SUM(AP67:AU67)+AS67+AQ67</f>
        <v>1611.4920000000002</v>
      </c>
      <c r="AV93" s="23">
        <f>-SUM(AR67,AT67,AU67:AV67)+AU67</f>
        <v>1431.1</v>
      </c>
      <c r="AW93" s="23">
        <f>-SUM(AT67:AW67)-AU67</f>
        <v>2159.8850000000002</v>
      </c>
      <c r="AX93" s="23">
        <f>-SUM(AU67,AV67,AW67,AX67)</f>
        <v>2540.665</v>
      </c>
      <c r="AY93" s="23">
        <f>-SUM(AV67,AW67,AX67,AY67)</f>
        <v>2450.2379999999998</v>
      </c>
      <c r="AZ93" s="23">
        <f>-SUM(AW67,AX67,AY67:AZ67)</f>
        <v>2382.453</v>
      </c>
      <c r="BA93" s="23">
        <f>-SUM(AX67:BA67)</f>
        <v>2345.2489999999998</v>
      </c>
      <c r="BB93" s="23">
        <f>-SUM(AY67,AZ67,BA67,BB67)</f>
        <v>1554.297</v>
      </c>
      <c r="BC93" s="23">
        <f>-SUM(AZ67,BA67,BB67,BC67)</f>
        <v>1574.3710000000001</v>
      </c>
      <c r="BD93" s="23"/>
      <c r="BE93" s="23">
        <f>-SUM(AP67,AT67,AR67,BE67)</f>
        <v>1712.8500000000001</v>
      </c>
      <c r="BF93" s="23">
        <f>-SUM(AR67,BE67,AT67,BF67)</f>
        <v>1910.5339999999999</v>
      </c>
      <c r="BG93" s="23">
        <f>-(BG67+BF67+BE67+AT67)</f>
        <v>2316.4389999999999</v>
      </c>
      <c r="BH93" s="23">
        <f>-(BH67+BG67+BF67+BE67)</f>
        <v>3325.5349999999999</v>
      </c>
      <c r="BI93" s="23">
        <f>-(BI67+BH67+BG67+BF67)</f>
        <v>3187.9490000000001</v>
      </c>
      <c r="BJ93" s="23"/>
      <c r="BK93" s="38"/>
      <c r="BL93" s="38"/>
      <c r="BM93" s="38"/>
      <c r="BN93" s="38"/>
      <c r="BO93" s="38"/>
      <c r="BP93" s="23"/>
    </row>
    <row r="94" spans="2:71">
      <c r="B94" s="11" t="s">
        <v>218</v>
      </c>
      <c r="C94" s="23">
        <f t="shared" ref="C94:P94" si="360">+C70</f>
        <v>227.03698299999988</v>
      </c>
      <c r="D94" s="23">
        <f t="shared" si="360"/>
        <v>292.82599999999996</v>
      </c>
      <c r="E94" s="23">
        <f t="shared" si="360"/>
        <v>-557.64800000000014</v>
      </c>
      <c r="F94" s="23">
        <f t="shared" si="360"/>
        <v>153.68400000000011</v>
      </c>
      <c r="G94" s="23">
        <f t="shared" si="360"/>
        <v>-184.11199999999985</v>
      </c>
      <c r="H94" s="23">
        <f t="shared" si="360"/>
        <v>-5422.3239999999996</v>
      </c>
      <c r="I94" s="23">
        <f t="shared" si="360"/>
        <v>-996.71500000000003</v>
      </c>
      <c r="J94" s="23">
        <f t="shared" si="360"/>
        <v>-4546.7270000000008</v>
      </c>
      <c r="K94" s="23">
        <f t="shared" si="360"/>
        <v>181.42600000000019</v>
      </c>
      <c r="L94" s="23">
        <f t="shared" si="360"/>
        <v>261.93999999999932</v>
      </c>
      <c r="M94" s="23">
        <f t="shared" si="360"/>
        <v>-2719.0919999999974</v>
      </c>
      <c r="N94" s="23">
        <f t="shared" si="360"/>
        <v>-3559.0810000000001</v>
      </c>
      <c r="O94" s="23">
        <f t="shared" si="360"/>
        <v>-4253.7419999999984</v>
      </c>
      <c r="P94" s="23">
        <f t="shared" si="360"/>
        <v>-4299.268999999993</v>
      </c>
      <c r="R94" s="100"/>
      <c r="S94" s="100"/>
      <c r="T94" s="100"/>
      <c r="U94" s="23">
        <f t="shared" ref="U94:AK94" si="361">SUM(R70:U70)</f>
        <v>-557.64800000000014</v>
      </c>
      <c r="V94" s="23">
        <f t="shared" si="361"/>
        <v>-493.85700000000014</v>
      </c>
      <c r="W94" s="23">
        <f t="shared" si="361"/>
        <v>-210.45200000000011</v>
      </c>
      <c r="X94" s="23">
        <f t="shared" si="361"/>
        <v>-91.252999999999844</v>
      </c>
      <c r="Y94" s="23">
        <f t="shared" si="361"/>
        <v>153.68400000000005</v>
      </c>
      <c r="Z94" s="23">
        <f t="shared" si="361"/>
        <v>-825.17200000000003</v>
      </c>
      <c r="AA94" s="23">
        <f t="shared" si="361"/>
        <v>-33.009000000000015</v>
      </c>
      <c r="AB94" s="23">
        <f t="shared" si="361"/>
        <v>1482.0600000000002</v>
      </c>
      <c r="AC94" s="23">
        <f t="shared" si="361"/>
        <v>-184.11199999999985</v>
      </c>
      <c r="AD94" s="23">
        <f t="shared" si="361"/>
        <v>-20.936999999999784</v>
      </c>
      <c r="AE94" s="23">
        <f t="shared" si="361"/>
        <v>-1080.5919999999999</v>
      </c>
      <c r="AF94" s="23">
        <f t="shared" si="361"/>
        <v>-5022.4369999999999</v>
      </c>
      <c r="AG94" s="23">
        <f t="shared" si="361"/>
        <v>-5422.3240000000005</v>
      </c>
      <c r="AH94" s="23">
        <f t="shared" si="361"/>
        <v>-4739.4480000000003</v>
      </c>
      <c r="AI94" s="23">
        <f t="shared" si="361"/>
        <v>-5085.4430000000002</v>
      </c>
      <c r="AJ94" s="23">
        <f t="shared" si="361"/>
        <v>-2454.1070000000004</v>
      </c>
      <c r="AK94" s="23">
        <f t="shared" si="361"/>
        <v>-996.71499999999958</v>
      </c>
      <c r="AL94" s="23">
        <f>SUM(AH70:AJ70,AL70)</f>
        <v>-5136.3760000000002</v>
      </c>
      <c r="AM94" s="23">
        <f>SUM(AI70:AK70,AM70)</f>
        <v>-1358.6009999999997</v>
      </c>
      <c r="AN94" s="23">
        <f>SUM(AI70:AJ70,AL70,AN70)</f>
        <v>-6540.3170000000009</v>
      </c>
      <c r="AO94" s="23">
        <f>SUM(AJ70,AL70,AN70:AO70)</f>
        <v>-6192.4549999999999</v>
      </c>
      <c r="AP94" s="23">
        <f>SUM(AK70,AM70,AO70:AP70)</f>
        <v>-2231.8449999999993</v>
      </c>
      <c r="AQ94" s="23">
        <f>SUM(AQ70,AO70,AM70,AK70)</f>
        <v>635.88999999999976</v>
      </c>
      <c r="AR94" s="23">
        <f>SUM(AL70,AN70,AP70,AR70)</f>
        <v>-4544.6519999999991</v>
      </c>
      <c r="AS94" s="23">
        <f>SUM(AM70,AO70,AQ70,AS70)</f>
        <v>-4.2740000000002283</v>
      </c>
      <c r="AT94" s="23">
        <f>SUM(AN70,AP70,AR70,AT70)</f>
        <v>261.93999999999886</v>
      </c>
      <c r="AU94" s="23">
        <f>SUM(AP70:AU70)-AS70-AQ70</f>
        <v>-594.24800000000187</v>
      </c>
      <c r="AV94" s="23">
        <f>SUM(AR70,AT70,AU70:AV70)-AU70</f>
        <v>4315.9319999999989</v>
      </c>
      <c r="AW94" s="23">
        <f>SUM(AT70:AW70)-AU70</f>
        <v>-950.56000000000176</v>
      </c>
      <c r="AX94" s="23">
        <f>SUM(AU70,AV70,AW70,AX70)</f>
        <v>-2719.0919999999974</v>
      </c>
      <c r="AY94" s="23">
        <f>SUM(AV70,AW70,AX70,AY70)</f>
        <v>-8486.0010000000002</v>
      </c>
      <c r="AZ94" s="23">
        <f>SUM(AW70,AX70,AY70:AZ70)</f>
        <v>-11122.440999999999</v>
      </c>
      <c r="BA94" s="23">
        <f>SUM(AX70:BA70)</f>
        <v>-8478.5549999999967</v>
      </c>
      <c r="BB94" s="23">
        <f>SUM(AY70,AZ70,BA70,BB70)</f>
        <v>-4253.7419999999975</v>
      </c>
      <c r="BC94" s="23">
        <f>SUM(AZ70,BA70,BB70,BC70)</f>
        <v>-4299.2689999999948</v>
      </c>
      <c r="BD94" s="23"/>
      <c r="BE94" s="23">
        <f>SUM(AP70,AT70,AR70,BE70)</f>
        <v>-1542.5970000000016</v>
      </c>
      <c r="BF94" s="23">
        <f>SUM(AR70,BE70,AT70,BF70)</f>
        <v>1383.6149999999982</v>
      </c>
      <c r="BG94" s="23">
        <f>(BG70+BF70+BE70+AT70)</f>
        <v>-4755.4690000000019</v>
      </c>
      <c r="BH94" s="23">
        <f>(BH70+BG70+BF70+BE70)</f>
        <v>-3559.0809999999988</v>
      </c>
      <c r="BI94" s="23">
        <f>(BI70+BH70+BG70+BF70)</f>
        <v>-10938.690999999997</v>
      </c>
      <c r="BJ94" s="23"/>
      <c r="BK94" s="38"/>
      <c r="BL94" s="38"/>
      <c r="BM94" s="38"/>
      <c r="BN94" s="38"/>
      <c r="BO94" s="38"/>
      <c r="BP94" s="23"/>
    </row>
    <row r="95" spans="2:71"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38"/>
      <c r="BL95" s="38"/>
      <c r="BM95" s="38"/>
      <c r="BN95" s="38"/>
      <c r="BO95" s="38"/>
      <c r="BP95" s="23"/>
    </row>
    <row r="96" spans="2:71">
      <c r="B96" s="12" t="s">
        <v>236</v>
      </c>
      <c r="C96" s="29">
        <f t="shared" ref="C96:O96" si="362">C3</f>
        <v>42735</v>
      </c>
      <c r="D96" s="29">
        <f t="shared" si="362"/>
        <v>43100</v>
      </c>
      <c r="E96" s="29">
        <f t="shared" si="362"/>
        <v>43465</v>
      </c>
      <c r="F96" s="29">
        <f t="shared" si="362"/>
        <v>43830</v>
      </c>
      <c r="G96" s="29">
        <f t="shared" si="362"/>
        <v>44196</v>
      </c>
      <c r="H96" s="29">
        <f t="shared" si="362"/>
        <v>44561</v>
      </c>
      <c r="I96" s="29">
        <f t="shared" si="362"/>
        <v>44926</v>
      </c>
      <c r="J96" s="29">
        <f t="shared" si="362"/>
        <v>44926</v>
      </c>
      <c r="K96" s="29">
        <f t="shared" si="362"/>
        <v>45291</v>
      </c>
      <c r="L96" s="29">
        <f t="shared" si="362"/>
        <v>45291</v>
      </c>
      <c r="M96" s="29">
        <f t="shared" si="362"/>
        <v>45657</v>
      </c>
      <c r="N96" s="29">
        <f t="shared" si="362"/>
        <v>45657</v>
      </c>
      <c r="O96" s="29">
        <f t="shared" si="362"/>
        <v>46022</v>
      </c>
      <c r="P96" s="29" t="str">
        <f>P2</f>
        <v>LTM</v>
      </c>
      <c r="R96" s="29">
        <f t="shared" ref="R96:BC96" si="363">R3</f>
        <v>43190</v>
      </c>
      <c r="S96" s="29">
        <f t="shared" si="363"/>
        <v>43281</v>
      </c>
      <c r="T96" s="29">
        <f t="shared" si="363"/>
        <v>43373</v>
      </c>
      <c r="U96" s="29">
        <f t="shared" si="363"/>
        <v>43465</v>
      </c>
      <c r="V96" s="29">
        <f t="shared" si="363"/>
        <v>43555</v>
      </c>
      <c r="W96" s="29">
        <f t="shared" si="363"/>
        <v>43646</v>
      </c>
      <c r="X96" s="29">
        <f t="shared" si="363"/>
        <v>43738</v>
      </c>
      <c r="Y96" s="29">
        <f t="shared" si="363"/>
        <v>43830</v>
      </c>
      <c r="Z96" s="29">
        <f t="shared" si="363"/>
        <v>43921</v>
      </c>
      <c r="AA96" s="29">
        <f t="shared" si="363"/>
        <v>44012</v>
      </c>
      <c r="AB96" s="29">
        <f t="shared" si="363"/>
        <v>44104</v>
      </c>
      <c r="AC96" s="29">
        <f t="shared" si="363"/>
        <v>44196</v>
      </c>
      <c r="AD96" s="29">
        <f t="shared" si="363"/>
        <v>44286</v>
      </c>
      <c r="AE96" s="29">
        <f t="shared" si="363"/>
        <v>44377</v>
      </c>
      <c r="AF96" s="29">
        <f t="shared" si="363"/>
        <v>44469</v>
      </c>
      <c r="AG96" s="29">
        <f t="shared" si="363"/>
        <v>44561</v>
      </c>
      <c r="AH96" s="29">
        <f t="shared" si="363"/>
        <v>44651</v>
      </c>
      <c r="AI96" s="29">
        <f t="shared" si="363"/>
        <v>44742</v>
      </c>
      <c r="AJ96" s="29">
        <f t="shared" si="363"/>
        <v>44834</v>
      </c>
      <c r="AK96" s="29">
        <f t="shared" si="363"/>
        <v>44926</v>
      </c>
      <c r="AL96" s="29">
        <f t="shared" si="363"/>
        <v>44926</v>
      </c>
      <c r="AM96" s="29">
        <f t="shared" si="363"/>
        <v>45016</v>
      </c>
      <c r="AN96" s="29">
        <f t="shared" si="363"/>
        <v>45016</v>
      </c>
      <c r="AO96" s="29">
        <f t="shared" si="363"/>
        <v>45107</v>
      </c>
      <c r="AP96" s="29">
        <f t="shared" si="363"/>
        <v>45107</v>
      </c>
      <c r="AQ96" s="29">
        <f t="shared" si="363"/>
        <v>45199</v>
      </c>
      <c r="AR96" s="29">
        <f t="shared" si="363"/>
        <v>45199</v>
      </c>
      <c r="AS96" s="29">
        <f t="shared" si="363"/>
        <v>45291</v>
      </c>
      <c r="AT96" s="29">
        <f t="shared" si="363"/>
        <v>45291</v>
      </c>
      <c r="AU96" s="29">
        <f t="shared" si="363"/>
        <v>45382</v>
      </c>
      <c r="AV96" s="29">
        <f t="shared" si="363"/>
        <v>45473</v>
      </c>
      <c r="AW96" s="29">
        <f t="shared" si="363"/>
        <v>45565</v>
      </c>
      <c r="AX96" s="29">
        <f t="shared" si="363"/>
        <v>45657</v>
      </c>
      <c r="AY96" s="29">
        <f t="shared" si="363"/>
        <v>45747</v>
      </c>
      <c r="AZ96" s="29">
        <f t="shared" si="363"/>
        <v>45838</v>
      </c>
      <c r="BA96" s="29">
        <f t="shared" si="363"/>
        <v>45930</v>
      </c>
      <c r="BB96" s="29">
        <f t="shared" si="363"/>
        <v>46022</v>
      </c>
      <c r="BC96" s="29">
        <f t="shared" si="363"/>
        <v>46112</v>
      </c>
      <c r="BD96" s="234"/>
      <c r="BE96" s="29">
        <f>BE3</f>
        <v>45382</v>
      </c>
      <c r="BF96" s="29">
        <f>BF3</f>
        <v>45473</v>
      </c>
      <c r="BG96" s="29">
        <f>BG3</f>
        <v>45565</v>
      </c>
      <c r="BH96" s="29">
        <f>BH3</f>
        <v>45656</v>
      </c>
      <c r="BI96" s="29">
        <f>BI3</f>
        <v>45747</v>
      </c>
      <c r="BJ96" s="234"/>
      <c r="BK96" s="38"/>
      <c r="BL96" s="38"/>
      <c r="BM96" s="38"/>
      <c r="BN96" s="38"/>
      <c r="BO96" s="38"/>
      <c r="BP96" s="234"/>
    </row>
    <row r="97" spans="2:69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BJ97" s="22"/>
      <c r="BK97" s="38"/>
      <c r="BL97" s="38"/>
      <c r="BM97" s="38"/>
      <c r="BN97" s="38"/>
      <c r="BO97" s="38"/>
      <c r="BP97" s="22"/>
    </row>
    <row r="98" spans="2:69" s="7" customFormat="1" ht="12.75">
      <c r="B98" s="11" t="s">
        <v>237</v>
      </c>
      <c r="C98" s="22">
        <v>1118.7650000000001</v>
      </c>
      <c r="D98" s="22">
        <v>2098.7800000000002</v>
      </c>
      <c r="E98" s="22">
        <v>2276.366</v>
      </c>
      <c r="F98" s="22">
        <f>2383.177+21.155</f>
        <v>2404.3320000000003</v>
      </c>
      <c r="G98" s="22">
        <f>2687.913+26.145</f>
        <v>2714.058</v>
      </c>
      <c r="H98" s="22">
        <v>3640.893</v>
      </c>
      <c r="I98" s="22">
        <v>6817.0110000000004</v>
      </c>
      <c r="J98" s="22">
        <v>14702.973</v>
      </c>
      <c r="K98" s="22">
        <v>16274.328</v>
      </c>
      <c r="L98" s="22">
        <v>23496.674999999999</v>
      </c>
      <c r="M98" s="22">
        <v>23257.108</v>
      </c>
      <c r="N98" s="22">
        <v>30441.77</v>
      </c>
      <c r="O98" s="22">
        <v>31331.326000000001</v>
      </c>
      <c r="P98" s="23">
        <f>BC98</f>
        <v>33521.790999999997</v>
      </c>
      <c r="R98" s="22">
        <f>2053.211+16.192</f>
        <v>2069.4029999999998</v>
      </c>
      <c r="S98" s="22">
        <f>16.185+2196.005</f>
        <v>2212.19</v>
      </c>
      <c r="T98" s="22">
        <f>2355.854+16.196</f>
        <v>2372.0499999999997</v>
      </c>
      <c r="U98" s="23">
        <f>E98</f>
        <v>2276.366</v>
      </c>
      <c r="V98" s="22">
        <f>2297.472+21.036</f>
        <v>2318.5080000000003</v>
      </c>
      <c r="W98" s="22">
        <f>2363.467+21.036</f>
        <v>2384.5030000000002</v>
      </c>
      <c r="X98" s="22">
        <f>2337.141+21.036</f>
        <v>2358.1770000000001</v>
      </c>
      <c r="Y98" s="23">
        <f>F98</f>
        <v>2404.3320000000003</v>
      </c>
      <c r="Z98" s="22">
        <f>2394.753+21.155</f>
        <v>2415.9080000000004</v>
      </c>
      <c r="AA98" s="22">
        <f>2418.095+21.155</f>
        <v>2439.25</v>
      </c>
      <c r="AB98" s="22">
        <f>2491.983+21.155</f>
        <v>2513.1380000000004</v>
      </c>
      <c r="AC98" s="23">
        <f>G98</f>
        <v>2714.058</v>
      </c>
      <c r="AD98" s="22">
        <f>2747.508</f>
        <v>2747.5079999999998</v>
      </c>
      <c r="AE98" s="22">
        <f>2791.451+0</f>
        <v>2791.451</v>
      </c>
      <c r="AF98" s="22">
        <v>2943.6959999999999</v>
      </c>
      <c r="AG98" s="23">
        <f>H98</f>
        <v>3640.893</v>
      </c>
      <c r="AH98" s="22">
        <v>3680.5459999999998</v>
      </c>
      <c r="AI98" s="22">
        <v>3869.1</v>
      </c>
      <c r="AJ98" s="22">
        <v>4084.893</v>
      </c>
      <c r="AK98" s="23">
        <f t="shared" ref="AK98:AL102" si="364">I98</f>
        <v>6817.0110000000004</v>
      </c>
      <c r="AL98" s="23">
        <f t="shared" si="364"/>
        <v>14702.973</v>
      </c>
      <c r="AM98" s="22">
        <v>6823.652</v>
      </c>
      <c r="AN98" s="22">
        <v>6823.652</v>
      </c>
      <c r="AO98" s="22">
        <v>7446.5140000000001</v>
      </c>
      <c r="AP98" s="22">
        <v>7446.5140000000001</v>
      </c>
      <c r="AQ98" s="22">
        <v>7676.9189999999999</v>
      </c>
      <c r="AR98" s="22">
        <v>7676.9189999999999</v>
      </c>
      <c r="AS98" s="23">
        <f>K98</f>
        <v>16274.328</v>
      </c>
      <c r="AT98" s="23">
        <f>K98</f>
        <v>16274.328</v>
      </c>
      <c r="AU98" s="22">
        <v>18307.402999999998</v>
      </c>
      <c r="AV98" s="22">
        <v>19590.031999999999</v>
      </c>
      <c r="AW98" s="22">
        <v>21438.911</v>
      </c>
      <c r="AX98" s="23">
        <f>M98</f>
        <v>23257.108</v>
      </c>
      <c r="AY98" s="22">
        <v>25199.949000000001</v>
      </c>
      <c r="AZ98" s="22">
        <v>26432.007000000001</v>
      </c>
      <c r="BA98" s="22">
        <v>28267.63</v>
      </c>
      <c r="BB98" s="23">
        <f>O98</f>
        <v>31331.326000000001</v>
      </c>
      <c r="BC98" s="22">
        <v>33521.790999999997</v>
      </c>
      <c r="BD98" s="22"/>
      <c r="BE98" s="23">
        <f t="shared" ref="BE98:BG102" si="365">AU98</f>
        <v>18307.402999999998</v>
      </c>
      <c r="BF98" s="23">
        <f t="shared" si="365"/>
        <v>19590.031999999999</v>
      </c>
      <c r="BG98" s="23">
        <f t="shared" si="365"/>
        <v>21438.911</v>
      </c>
      <c r="BH98" s="23">
        <f>N98</f>
        <v>30441.77</v>
      </c>
      <c r="BI98" s="23">
        <f>AY98</f>
        <v>25199.949000000001</v>
      </c>
      <c r="BJ98" s="22"/>
      <c r="BK98" s="38"/>
      <c r="BL98" s="38"/>
      <c r="BM98" s="38"/>
      <c r="BN98" s="38"/>
      <c r="BO98" s="38"/>
      <c r="BP98" s="22"/>
      <c r="BQ98" s="11"/>
    </row>
    <row r="99" spans="2:69" s="7" customFormat="1" ht="12.75">
      <c r="B99" s="11" t="s">
        <v>238</v>
      </c>
      <c r="C99" s="39">
        <v>31.675999999999998</v>
      </c>
      <c r="D99" s="39">
        <v>28.577000000000002</v>
      </c>
      <c r="E99" s="22">
        <v>33.332000000000001</v>
      </c>
      <c r="F99" s="22">
        <v>44.822000000000003</v>
      </c>
      <c r="G99" s="22">
        <v>49.874000000000002</v>
      </c>
      <c r="H99" s="22">
        <v>76.956999999999994</v>
      </c>
      <c r="I99" s="22">
        <v>132.37100000000001</v>
      </c>
      <c r="J99" s="22">
        <v>218.11199999999999</v>
      </c>
      <c r="K99" s="22">
        <v>284.93799999999999</v>
      </c>
      <c r="L99" s="22">
        <v>411.39</v>
      </c>
      <c r="M99" s="22">
        <v>523.80999999999995</v>
      </c>
      <c r="N99" s="22">
        <v>1124.3530000000001</v>
      </c>
      <c r="O99" s="22">
        <v>908.88699999999994</v>
      </c>
      <c r="P99" s="23">
        <f t="shared" ref="P99:P102" si="366">BC99</f>
        <v>1064.6659999999999</v>
      </c>
      <c r="R99" s="22">
        <v>44.728999999999999</v>
      </c>
      <c r="S99" s="22">
        <v>38.700000000000003</v>
      </c>
      <c r="T99" s="22">
        <v>39.765000000000001</v>
      </c>
      <c r="U99" s="23">
        <f>E99</f>
        <v>33.332000000000001</v>
      </c>
      <c r="V99" s="39">
        <v>50.087000000000003</v>
      </c>
      <c r="W99" s="39">
        <v>51.368000000000002</v>
      </c>
      <c r="X99" s="22">
        <v>42.524999999999999</v>
      </c>
      <c r="Y99" s="40">
        <f>F99</f>
        <v>44.822000000000003</v>
      </c>
      <c r="Z99" s="39">
        <v>55.926000000000002</v>
      </c>
      <c r="AA99" s="39">
        <v>53.185000000000002</v>
      </c>
      <c r="AB99" s="39">
        <v>49.441000000000003</v>
      </c>
      <c r="AC99" s="23">
        <f>G99</f>
        <v>49.874000000000002</v>
      </c>
      <c r="AD99" s="39">
        <v>76.123000000000005</v>
      </c>
      <c r="AE99" s="39">
        <v>66.385999999999996</v>
      </c>
      <c r="AF99" s="39">
        <v>67.552999999999997</v>
      </c>
      <c r="AG99" s="23">
        <f>H99</f>
        <v>76.956999999999994</v>
      </c>
      <c r="AH99" s="39">
        <v>101.646</v>
      </c>
      <c r="AI99" s="39">
        <v>101.208</v>
      </c>
      <c r="AJ99" s="39">
        <v>137.202</v>
      </c>
      <c r="AK99" s="23">
        <f t="shared" si="364"/>
        <v>132.37100000000001</v>
      </c>
      <c r="AL99" s="23">
        <f t="shared" si="364"/>
        <v>218.11199999999999</v>
      </c>
      <c r="AM99" s="39">
        <v>344.154</v>
      </c>
      <c r="AN99" s="39">
        <v>344.154</v>
      </c>
      <c r="AO99" s="39">
        <v>226.61500000000001</v>
      </c>
      <c r="AP99" s="39">
        <v>226.61500000000001</v>
      </c>
      <c r="AQ99" s="39">
        <v>286.66800000000001</v>
      </c>
      <c r="AR99" s="39">
        <v>286.66800000000001</v>
      </c>
      <c r="AS99" s="23">
        <f>K99</f>
        <v>284.93799999999999</v>
      </c>
      <c r="AT99" s="23">
        <f>K99</f>
        <v>284.93799999999999</v>
      </c>
      <c r="AU99" s="39">
        <v>665.32899999999995</v>
      </c>
      <c r="AV99" s="39">
        <v>408.85700000000003</v>
      </c>
      <c r="AW99" s="39">
        <v>505.471</v>
      </c>
      <c r="AX99" s="23">
        <f>M99</f>
        <v>523.80999999999995</v>
      </c>
      <c r="AY99" s="39">
        <v>687.28099999999995</v>
      </c>
      <c r="AZ99" s="39">
        <v>616.15200000000004</v>
      </c>
      <c r="BA99" s="39">
        <v>927.78499999999997</v>
      </c>
      <c r="BB99" s="23">
        <f t="shared" ref="BB99:BB102" si="367">O99</f>
        <v>908.88699999999994</v>
      </c>
      <c r="BC99" s="39">
        <v>1064.6659999999999</v>
      </c>
      <c r="BD99" s="39"/>
      <c r="BE99" s="23">
        <f t="shared" si="365"/>
        <v>665.32899999999995</v>
      </c>
      <c r="BF99" s="23">
        <f t="shared" si="365"/>
        <v>408.85700000000003</v>
      </c>
      <c r="BG99" s="23">
        <f t="shared" si="365"/>
        <v>505.471</v>
      </c>
      <c r="BH99" s="23">
        <f t="shared" ref="BH99:BH102" si="368">N99</f>
        <v>1124.3530000000001</v>
      </c>
      <c r="BI99" s="23">
        <f>AY99</f>
        <v>687.28099999999995</v>
      </c>
      <c r="BJ99" s="39"/>
      <c r="BK99" s="38"/>
      <c r="BL99" s="38"/>
      <c r="BM99" s="38"/>
      <c r="BN99" s="38"/>
      <c r="BO99" s="38"/>
      <c r="BP99" s="39"/>
      <c r="BQ99" s="11"/>
    </row>
    <row r="100" spans="2:69" s="7" customFormat="1" ht="12.75">
      <c r="B100" s="25" t="s">
        <v>239</v>
      </c>
      <c r="C100" s="22">
        <v>406.274</v>
      </c>
      <c r="D100" s="22">
        <v>583.58100000000002</v>
      </c>
      <c r="E100" s="22">
        <v>604.55399999999997</v>
      </c>
      <c r="F100" s="22">
        <v>592.69799999999998</v>
      </c>
      <c r="G100" s="22">
        <v>871.48</v>
      </c>
      <c r="H100" s="22">
        <v>3218.2310000000002</v>
      </c>
      <c r="I100" s="22">
        <v>4996.3500000000004</v>
      </c>
      <c r="J100" s="22">
        <v>8516.384</v>
      </c>
      <c r="K100" s="22">
        <v>8391.268</v>
      </c>
      <c r="L100" s="22">
        <v>12115.21</v>
      </c>
      <c r="M100" s="22">
        <v>11830.655000000001</v>
      </c>
      <c r="N100" s="22">
        <v>15485.42</v>
      </c>
      <c r="O100" s="22">
        <v>23671.382000000001</v>
      </c>
      <c r="P100" s="23">
        <f t="shared" si="366"/>
        <v>28469.837</v>
      </c>
      <c r="R100" s="22">
        <v>534.61400000000003</v>
      </c>
      <c r="S100" s="22">
        <v>506.80700000000002</v>
      </c>
      <c r="T100" s="22">
        <v>584.47299999999996</v>
      </c>
      <c r="U100" s="23">
        <f>E100</f>
        <v>604.55399999999997</v>
      </c>
      <c r="V100" s="22">
        <v>596.24199999999996</v>
      </c>
      <c r="W100" s="22">
        <v>661.13900000000001</v>
      </c>
      <c r="X100" s="22">
        <v>681.43200000000002</v>
      </c>
      <c r="Y100" s="40">
        <f>F100</f>
        <v>592.69799999999998</v>
      </c>
      <c r="Z100" s="22">
        <v>671.92899999999997</v>
      </c>
      <c r="AA100" s="22">
        <v>804.70299999999997</v>
      </c>
      <c r="AB100" s="22">
        <v>897.90899999999999</v>
      </c>
      <c r="AC100" s="23">
        <f>G100</f>
        <v>871.48</v>
      </c>
      <c r="AD100" s="22">
        <v>928.95</v>
      </c>
      <c r="AE100" s="22">
        <v>961.33900000000006</v>
      </c>
      <c r="AF100" s="22">
        <v>2028.702</v>
      </c>
      <c r="AG100" s="23">
        <f>H100</f>
        <v>3218.2310000000002</v>
      </c>
      <c r="AH100" s="22">
        <v>3744.893</v>
      </c>
      <c r="AI100" s="22">
        <v>4279.7690000000002</v>
      </c>
      <c r="AJ100" s="22">
        <v>5402.1350000000002</v>
      </c>
      <c r="AK100" s="23">
        <f t="shared" si="364"/>
        <v>4996.3500000000004</v>
      </c>
      <c r="AL100" s="23">
        <f t="shared" si="364"/>
        <v>8516.384</v>
      </c>
      <c r="AM100" s="22">
        <v>5520.6270000000004</v>
      </c>
      <c r="AN100" s="22">
        <v>5520.6270000000004</v>
      </c>
      <c r="AO100" s="22">
        <v>6555.1589999999997</v>
      </c>
      <c r="AP100" s="22">
        <v>6555.1589999999997</v>
      </c>
      <c r="AQ100" s="22">
        <v>6664.3450000000003</v>
      </c>
      <c r="AR100" s="22">
        <v>6664.3450000000003</v>
      </c>
      <c r="AS100" s="23">
        <f>K100</f>
        <v>8391.268</v>
      </c>
      <c r="AT100" s="23">
        <f>K100</f>
        <v>8391.268</v>
      </c>
      <c r="AU100" s="22">
        <v>8999.0550000000003</v>
      </c>
      <c r="AV100" s="22">
        <v>10414.885</v>
      </c>
      <c r="AW100" s="22">
        <v>10998.733</v>
      </c>
      <c r="AX100" s="23">
        <f>M100</f>
        <v>11830.655000000001</v>
      </c>
      <c r="AY100" s="22">
        <v>19099.042000000001</v>
      </c>
      <c r="AZ100" s="22">
        <v>23571.112000000001</v>
      </c>
      <c r="BA100" s="22">
        <v>23046.205000000002</v>
      </c>
      <c r="BB100" s="23">
        <f t="shared" si="367"/>
        <v>23671.382000000001</v>
      </c>
      <c r="BC100" s="22">
        <v>28469.837</v>
      </c>
      <c r="BD100" s="22"/>
      <c r="BE100" s="23">
        <f t="shared" si="365"/>
        <v>8999.0550000000003</v>
      </c>
      <c r="BF100" s="23">
        <f t="shared" si="365"/>
        <v>10414.885</v>
      </c>
      <c r="BG100" s="23">
        <f t="shared" si="365"/>
        <v>10998.733</v>
      </c>
      <c r="BH100" s="23">
        <f t="shared" si="368"/>
        <v>15485.42</v>
      </c>
      <c r="BI100" s="23">
        <f>AY100</f>
        <v>19099.042000000001</v>
      </c>
      <c r="BJ100" s="22"/>
      <c r="BK100" s="38"/>
      <c r="BL100" s="38"/>
      <c r="BM100" s="38"/>
      <c r="BN100" s="38"/>
      <c r="BO100" s="38"/>
      <c r="BP100" s="22"/>
      <c r="BQ100" s="11"/>
    </row>
    <row r="101" spans="2:69" s="7" customFormat="1" ht="12.75">
      <c r="B101" s="25" t="s">
        <v>240</v>
      </c>
      <c r="C101" s="22">
        <f>587.415+175.851</f>
        <v>763.26599999999996</v>
      </c>
      <c r="D101" s="22">
        <f>534.993+241.929</f>
        <v>776.92200000000003</v>
      </c>
      <c r="E101" s="22">
        <f>1564.689+334.397</f>
        <v>1899.086</v>
      </c>
      <c r="F101" s="22">
        <f>2106.741+259.061</f>
        <v>2365.8020000000001</v>
      </c>
      <c r="G101" s="22">
        <f>2031.627+848.06</f>
        <v>2879.6869999999999</v>
      </c>
      <c r="H101" s="22">
        <f>2522.152+2165.759</f>
        <v>4687.9110000000001</v>
      </c>
      <c r="I101" s="22">
        <f>4100.552+3287.788</f>
        <v>7388.34</v>
      </c>
      <c r="J101" s="22">
        <f>6756.599+5417.384</f>
        <v>12173.983</v>
      </c>
      <c r="K101" s="22">
        <f>6733.195+5333.616</f>
        <v>12066.811</v>
      </c>
      <c r="L101" s="22">
        <f>9721.304+7700.609</f>
        <v>17421.913</v>
      </c>
      <c r="M101" s="22">
        <f>14521.162+7378.523</f>
        <v>21899.685000000001</v>
      </c>
      <c r="N101" s="22">
        <f>19007.087+9657.921</f>
        <v>28665.008000000002</v>
      </c>
      <c r="O101" s="22">
        <f>18882.923+10436.987</f>
        <v>29319.909999999996</v>
      </c>
      <c r="P101" s="23">
        <f t="shared" si="366"/>
        <v>34687.716999999997</v>
      </c>
      <c r="R101" s="22">
        <f>856.115+300.229</f>
        <v>1156.3440000000001</v>
      </c>
      <c r="S101" s="22">
        <f>1092.696+299.443</f>
        <v>1392.1389999999999</v>
      </c>
      <c r="T101" s="22">
        <f>1450.097+399.967</f>
        <v>1850.0639999999999</v>
      </c>
      <c r="U101" s="23">
        <f>E101</f>
        <v>1899.086</v>
      </c>
      <c r="V101" s="22">
        <f>1864.947+426.447</f>
        <v>2291.3939999999998</v>
      </c>
      <c r="W101" s="22">
        <f>1886.371+426.607</f>
        <v>2312.9780000000001</v>
      </c>
      <c r="X101" s="22">
        <f>2156.046+410.204</f>
        <v>2566.25</v>
      </c>
      <c r="Y101" s="40">
        <f>F101</f>
        <v>2365.8020000000001</v>
      </c>
      <c r="Z101" s="22">
        <f>2390.615+336.284</f>
        <v>2726.8989999999999</v>
      </c>
      <c r="AA101" s="22">
        <f>2296.692+280.55</f>
        <v>2577.2420000000002</v>
      </c>
      <c r="AB101" s="22">
        <f>2000.771+888.787</f>
        <v>2889.558</v>
      </c>
      <c r="AC101" s="23">
        <f>G101</f>
        <v>2879.6869999999999</v>
      </c>
      <c r="AD101" s="22">
        <f>2141.962+1114.735</f>
        <v>3256.6970000000001</v>
      </c>
      <c r="AE101" s="22">
        <f>2187.52+1097.4</f>
        <v>3284.92</v>
      </c>
      <c r="AF101" s="22">
        <f>2357.206+1284.907</f>
        <v>3642.1130000000003</v>
      </c>
      <c r="AG101" s="23">
        <f>H101</f>
        <v>4687.9110000000001</v>
      </c>
      <c r="AH101" s="22">
        <f>3187.991+2668.082</f>
        <v>5856.0730000000003</v>
      </c>
      <c r="AI101" s="22">
        <f>2791.415+2998.206</f>
        <v>5789.6210000000001</v>
      </c>
      <c r="AJ101" s="22">
        <f>3673.181+3369.507</f>
        <v>7042.6880000000001</v>
      </c>
      <c r="AK101" s="23">
        <f t="shared" si="364"/>
        <v>7388.34</v>
      </c>
      <c r="AL101" s="23">
        <f t="shared" si="364"/>
        <v>12173.983</v>
      </c>
      <c r="AM101" s="22">
        <f>5602.348+3922.531</f>
        <v>9524.8790000000008</v>
      </c>
      <c r="AN101" s="22">
        <f>5602.348+3922.531</f>
        <v>9524.8790000000008</v>
      </c>
      <c r="AO101" s="22">
        <f>5246.057+4646.703</f>
        <v>9892.76</v>
      </c>
      <c r="AP101" s="22">
        <f>5246.057+4646.703</f>
        <v>9892.76</v>
      </c>
      <c r="AQ101" s="22">
        <f>5937.903+4955.254</f>
        <v>10893.156999999999</v>
      </c>
      <c r="AR101" s="22">
        <f>5937.903+4955.254</f>
        <v>10893.156999999999</v>
      </c>
      <c r="AS101" s="23">
        <f>K101</f>
        <v>12066.811</v>
      </c>
      <c r="AT101" s="23">
        <f>K101</f>
        <v>12066.811</v>
      </c>
      <c r="AU101" s="22">
        <f>10225.914+6130.93</f>
        <v>16356.844000000001</v>
      </c>
      <c r="AV101" s="22">
        <f>8675.247+6455.954</f>
        <v>15131.200999999999</v>
      </c>
      <c r="AW101" s="22">
        <f>11670.631+6770.726</f>
        <v>18441.357</v>
      </c>
      <c r="AX101" s="23">
        <f>M101</f>
        <v>21899.685000000001</v>
      </c>
      <c r="AY101" s="22">
        <f>18634.177+8744.771</f>
        <v>27378.948</v>
      </c>
      <c r="AZ101" s="22">
        <f>17455.651+9066.372</f>
        <v>26522.023000000001</v>
      </c>
      <c r="BA101" s="22">
        <f>20079.94+9538.39</f>
        <v>29618.329999999998</v>
      </c>
      <c r="BB101" s="23">
        <f t="shared" si="367"/>
        <v>29319.909999999996</v>
      </c>
      <c r="BC101" s="22">
        <f>23024.799+11662.918</f>
        <v>34687.716999999997</v>
      </c>
      <c r="BD101" s="22"/>
      <c r="BE101" s="23">
        <f t="shared" si="365"/>
        <v>16356.844000000001</v>
      </c>
      <c r="BF101" s="23">
        <f t="shared" si="365"/>
        <v>15131.200999999999</v>
      </c>
      <c r="BG101" s="23">
        <f t="shared" si="365"/>
        <v>18441.357</v>
      </c>
      <c r="BH101" s="23">
        <f t="shared" si="368"/>
        <v>28665.008000000002</v>
      </c>
      <c r="BI101" s="23">
        <f>AY101</f>
        <v>27378.948</v>
      </c>
      <c r="BJ101" s="22"/>
      <c r="BK101" s="38"/>
      <c r="BL101" s="38"/>
      <c r="BM101" s="38"/>
      <c r="BN101" s="38"/>
      <c r="BO101" s="38"/>
      <c r="BP101" s="22"/>
      <c r="BQ101" s="11"/>
    </row>
    <row r="102" spans="2:69" s="7" customFormat="1" ht="12.75">
      <c r="B102" s="25" t="s">
        <v>241</v>
      </c>
      <c r="C102" s="22">
        <f>341.189+328.31</f>
        <v>669.49900000000002</v>
      </c>
      <c r="D102" s="22">
        <f>353.465+591.861</f>
        <v>945.32600000000002</v>
      </c>
      <c r="E102" s="22">
        <f>520.308+593.789</f>
        <v>1114.097</v>
      </c>
      <c r="F102" s="22">
        <f>607.365+617.233</f>
        <v>1224.598</v>
      </c>
      <c r="G102" s="22">
        <f>374.544+827.715</f>
        <v>1202.259</v>
      </c>
      <c r="H102" s="22">
        <f>475.461+1794.96</f>
        <v>2270.4210000000003</v>
      </c>
      <c r="I102" s="22">
        <f>1079.457+3081.81</f>
        <v>4161.2669999999998</v>
      </c>
      <c r="J102" s="22">
        <f>1778.653+5077.988</f>
        <v>6856.6410000000005</v>
      </c>
      <c r="K102" s="22">
        <f>2290.127+5344.931</f>
        <v>7635.0579999999991</v>
      </c>
      <c r="L102" s="22">
        <f>3306.457+7716.946</f>
        <v>11023.403</v>
      </c>
      <c r="M102" s="22">
        <f>3111.05+7157.284</f>
        <v>10268.333999999999</v>
      </c>
      <c r="N102" s="22">
        <f>4072.329+9368.336</f>
        <v>13440.664999999999</v>
      </c>
      <c r="O102" s="22">
        <f>5036.055+9170.668</f>
        <v>14206.723</v>
      </c>
      <c r="P102" s="23">
        <f t="shared" si="366"/>
        <v>12112.004000000001</v>
      </c>
      <c r="R102" s="22">
        <f>425.114+570.86</f>
        <v>995.97399999999993</v>
      </c>
      <c r="S102" s="22">
        <f>349.258+450.522</f>
        <v>799.78</v>
      </c>
      <c r="T102" s="22">
        <f>490.274+537.218</f>
        <v>1027.492</v>
      </c>
      <c r="U102" s="23">
        <f>E102</f>
        <v>1114.097</v>
      </c>
      <c r="V102" s="22">
        <f>524.161+564.839</f>
        <v>1089</v>
      </c>
      <c r="W102" s="22">
        <f>565.96+515.941</f>
        <v>1081.9010000000001</v>
      </c>
      <c r="X102" s="22">
        <f>590.244+552.512</f>
        <v>1142.7559999999999</v>
      </c>
      <c r="Y102" s="40">
        <f>F102</f>
        <v>1224.598</v>
      </c>
      <c r="Z102" s="22">
        <f>534.128+628.886</f>
        <v>1163.0140000000001</v>
      </c>
      <c r="AA102" s="22">
        <f>398.629+555.87</f>
        <v>954.49900000000002</v>
      </c>
      <c r="AB102" s="22">
        <f>263.79+738.068</f>
        <v>1001.8579999999999</v>
      </c>
      <c r="AC102" s="23">
        <f>G102</f>
        <v>1202.259</v>
      </c>
      <c r="AD102" s="22">
        <f>578.708+838.498</f>
        <v>1417.2060000000001</v>
      </c>
      <c r="AE102" s="22">
        <f>591.41+825.489</f>
        <v>1416.8989999999999</v>
      </c>
      <c r="AF102" s="22">
        <f>321.535+1049.637</f>
        <v>1371.172</v>
      </c>
      <c r="AG102" s="23">
        <f>H102</f>
        <v>2270.4210000000003</v>
      </c>
      <c r="AH102" s="22">
        <f>753.85+2195.744</f>
        <v>2949.5940000000001</v>
      </c>
      <c r="AI102" s="22">
        <f>916.126+2353.913</f>
        <v>3270.0389999999998</v>
      </c>
      <c r="AJ102" s="22">
        <f>954.513+2843.544</f>
        <v>3798.0569999999998</v>
      </c>
      <c r="AK102" s="23">
        <f t="shared" si="364"/>
        <v>4161.2669999999998</v>
      </c>
      <c r="AL102" s="23">
        <f t="shared" si="364"/>
        <v>6856.6410000000005</v>
      </c>
      <c r="AM102" s="22">
        <f>918.986+2951.694</f>
        <v>3870.68</v>
      </c>
      <c r="AN102" s="22">
        <f>918.986+2951.694</f>
        <v>3870.68</v>
      </c>
      <c r="AO102" s="22">
        <f>1142.045+1142.045</f>
        <v>2284.09</v>
      </c>
      <c r="AP102" s="22">
        <f>1142.045+1142.045</f>
        <v>2284.09</v>
      </c>
      <c r="AQ102" s="22">
        <f>1262.274+4216.418</f>
        <v>5478.6919999999991</v>
      </c>
      <c r="AR102" s="22">
        <f>1262.274+4216.418</f>
        <v>5478.6919999999991</v>
      </c>
      <c r="AS102" s="23">
        <f>K102</f>
        <v>7635.0579999999991</v>
      </c>
      <c r="AT102" s="23">
        <f>K102</f>
        <v>7635.0579999999991</v>
      </c>
      <c r="AU102" s="22">
        <f>1799.868+5146.613</f>
        <v>6946.4809999999998</v>
      </c>
      <c r="AV102" s="22">
        <f>2102.413+5150.492</f>
        <v>7252.9050000000007</v>
      </c>
      <c r="AW102" s="22">
        <f>2018.521+5013.602</f>
        <v>7032.1229999999996</v>
      </c>
      <c r="AX102" s="23">
        <f>M102</f>
        <v>10268.333999999999</v>
      </c>
      <c r="AY102" s="22">
        <f>3043.426+6817.662</f>
        <v>9861.0879999999997</v>
      </c>
      <c r="AZ102" s="22">
        <f>3224.387+6805.318</f>
        <v>10029.705</v>
      </c>
      <c r="BA102" s="22">
        <f>2754.053+6972.186</f>
        <v>9726.2389999999996</v>
      </c>
      <c r="BB102" s="23">
        <f t="shared" si="367"/>
        <v>14206.723</v>
      </c>
      <c r="BC102" s="22">
        <f>3047.577+9064.427</f>
        <v>12112.004000000001</v>
      </c>
      <c r="BD102" s="22"/>
      <c r="BE102" s="23">
        <f t="shared" si="365"/>
        <v>6946.4809999999998</v>
      </c>
      <c r="BF102" s="23">
        <f t="shared" si="365"/>
        <v>7252.9050000000007</v>
      </c>
      <c r="BG102" s="23">
        <f t="shared" si="365"/>
        <v>7032.1229999999996</v>
      </c>
      <c r="BH102" s="23">
        <f t="shared" si="368"/>
        <v>13440.664999999999</v>
      </c>
      <c r="BI102" s="23">
        <f>AY102</f>
        <v>9861.0879999999997</v>
      </c>
      <c r="BJ102" s="22"/>
      <c r="BK102" s="38"/>
      <c r="BL102" s="38"/>
      <c r="BM102" s="38"/>
      <c r="BN102" s="38"/>
      <c r="BO102" s="38"/>
      <c r="BP102" s="22"/>
      <c r="BQ102" s="11"/>
    </row>
    <row r="103" spans="2:69" s="7" customFormat="1" ht="12.75">
      <c r="B103" s="7" t="s">
        <v>242</v>
      </c>
      <c r="C103" s="16">
        <f t="shared" ref="C103:G103" si="369">+C100+C101-C102</f>
        <v>500.04099999999994</v>
      </c>
      <c r="D103" s="16">
        <f t="shared" si="369"/>
        <v>415.17700000000013</v>
      </c>
      <c r="E103" s="16">
        <f t="shared" si="369"/>
        <v>1389.5429999999999</v>
      </c>
      <c r="F103" s="16">
        <f t="shared" si="369"/>
        <v>1733.902</v>
      </c>
      <c r="G103" s="16">
        <f t="shared" si="369"/>
        <v>2548.9079999999999</v>
      </c>
      <c r="H103" s="16">
        <f t="shared" ref="H103:I103" si="370">+H100+H101-H102</f>
        <v>5635.7209999999995</v>
      </c>
      <c r="I103" s="16">
        <f t="shared" si="370"/>
        <v>8223.4230000000007</v>
      </c>
      <c r="J103" s="16">
        <f t="shared" ref="J103" si="371">+J100+J101-J102</f>
        <v>13833.725999999999</v>
      </c>
      <c r="K103" s="16">
        <f t="shared" ref="K103" si="372">+K100+K101-K102</f>
        <v>12823.020999999999</v>
      </c>
      <c r="L103" s="16">
        <f t="shared" ref="L103:M103" si="373">+L100+L101-L102</f>
        <v>18513.72</v>
      </c>
      <c r="M103" s="16">
        <f t="shared" si="373"/>
        <v>23462.006000000005</v>
      </c>
      <c r="N103" s="16">
        <f t="shared" ref="N103:O103" si="374">+N100+N101-N102</f>
        <v>30709.762999999999</v>
      </c>
      <c r="O103" s="16">
        <f t="shared" si="374"/>
        <v>38784.569000000003</v>
      </c>
      <c r="P103" s="16">
        <f>+P100+P101-P102</f>
        <v>51045.549999999996</v>
      </c>
      <c r="R103" s="16">
        <f t="shared" ref="R103:Z103" si="375">+R100+R101-R102</f>
        <v>694.98400000000015</v>
      </c>
      <c r="S103" s="16">
        <f t="shared" si="375"/>
        <v>1099.1659999999999</v>
      </c>
      <c r="T103" s="16">
        <f t="shared" si="375"/>
        <v>1407.0449999999998</v>
      </c>
      <c r="U103" s="16">
        <f t="shared" si="375"/>
        <v>1389.5429999999999</v>
      </c>
      <c r="V103" s="16">
        <f t="shared" si="375"/>
        <v>1798.6359999999995</v>
      </c>
      <c r="W103" s="16">
        <f t="shared" si="375"/>
        <v>1892.2160000000001</v>
      </c>
      <c r="X103" s="16">
        <f t="shared" si="375"/>
        <v>2104.9259999999999</v>
      </c>
      <c r="Y103" s="16">
        <f t="shared" si="375"/>
        <v>1733.902</v>
      </c>
      <c r="Z103" s="16">
        <f t="shared" si="375"/>
        <v>2235.8139999999999</v>
      </c>
      <c r="AA103" s="16">
        <f>+AA100+AA101-AA102</f>
        <v>2427.4459999999999</v>
      </c>
      <c r="AB103" s="16">
        <f>+AB100+AB101-AB102</f>
        <v>2785.6090000000004</v>
      </c>
      <c r="AC103" s="16">
        <f t="shared" ref="AC103:AD103" si="376">+AC100+AC101-AC102</f>
        <v>2548.9079999999999</v>
      </c>
      <c r="AD103" s="16">
        <f t="shared" si="376"/>
        <v>2768.4409999999998</v>
      </c>
      <c r="AE103" s="16">
        <f>+AE100+AE101-AE102</f>
        <v>2829.36</v>
      </c>
      <c r="AF103" s="16">
        <f>+AF100+AF101-AF102</f>
        <v>4299.643</v>
      </c>
      <c r="AG103" s="16">
        <f t="shared" ref="AG103:AI103" si="377">+AG100+AG101-AG102</f>
        <v>5635.7209999999995</v>
      </c>
      <c r="AH103" s="16">
        <f t="shared" si="377"/>
        <v>6651.3720000000003</v>
      </c>
      <c r="AI103" s="16">
        <f t="shared" si="377"/>
        <v>6799.3509999999997</v>
      </c>
      <c r="AJ103" s="16">
        <f>+AJ100+AJ101-AJ102</f>
        <v>8646.7659999999996</v>
      </c>
      <c r="AK103" s="16">
        <f t="shared" ref="AK103:AL103" si="378">+AK100+AK101-AK102</f>
        <v>8223.4230000000007</v>
      </c>
      <c r="AL103" s="16">
        <f t="shared" si="378"/>
        <v>13833.725999999999</v>
      </c>
      <c r="AM103" s="16">
        <f>+AM100+AM101-AM102</f>
        <v>11174.826000000001</v>
      </c>
      <c r="AN103" s="16">
        <f>+AN100+AN101-AN102</f>
        <v>11174.826000000001</v>
      </c>
      <c r="AO103" s="16">
        <f t="shared" ref="AO103:AP103" si="379">+AO100+AO101-AO102</f>
        <v>14163.829000000002</v>
      </c>
      <c r="AP103" s="16">
        <f t="shared" si="379"/>
        <v>14163.829000000002</v>
      </c>
      <c r="AQ103" s="16">
        <f>+AQ100+AQ101-AQ102</f>
        <v>12078.810000000001</v>
      </c>
      <c r="AR103" s="16">
        <f>+AR100+AR101-AR102</f>
        <v>12078.810000000001</v>
      </c>
      <c r="AS103" s="16">
        <f t="shared" ref="AS103:AT103" si="380">+AS100+AS101-AS102</f>
        <v>12823.020999999999</v>
      </c>
      <c r="AT103" s="16">
        <f t="shared" si="380"/>
        <v>12823.020999999999</v>
      </c>
      <c r="AU103" s="16">
        <f>+AU100+AU101-AU102</f>
        <v>18409.418000000001</v>
      </c>
      <c r="AV103" s="16">
        <f t="shared" ref="AV103" si="381">+AV100+AV101-AV102</f>
        <v>18293.180999999997</v>
      </c>
      <c r="AW103" s="16">
        <f>+AW100+AW101-AW102</f>
        <v>22407.967000000001</v>
      </c>
      <c r="AX103" s="16">
        <f t="shared" ref="AX103" si="382">+AX100+AX101-AX102</f>
        <v>23462.006000000005</v>
      </c>
      <c r="AY103" s="16">
        <f>+AY100+AY101-AY102</f>
        <v>36616.902000000002</v>
      </c>
      <c r="AZ103" s="16">
        <f t="shared" ref="AZ103" si="383">+AZ100+AZ101-AZ102</f>
        <v>40063.43</v>
      </c>
      <c r="BA103" s="16">
        <f>+BA100+BA101-BA102</f>
        <v>42938.296000000002</v>
      </c>
      <c r="BB103" s="16">
        <f t="shared" ref="BB103" si="384">+BB100+BB101-BB102</f>
        <v>38784.569000000003</v>
      </c>
      <c r="BC103" s="16">
        <f>+BC100+BC101-BC102</f>
        <v>51045.549999999996</v>
      </c>
      <c r="BD103" s="22"/>
      <c r="BE103" s="16">
        <f>+BE100+BE101-BE102</f>
        <v>18409.418000000001</v>
      </c>
      <c r="BF103" s="16">
        <f>+BF100+BF101-BF102</f>
        <v>18293.180999999997</v>
      </c>
      <c r="BG103" s="16">
        <f>+BG100+BG101-BG102</f>
        <v>22407.967000000001</v>
      </c>
      <c r="BH103" s="16">
        <f>+BH100+BH101-BH102</f>
        <v>30709.762999999999</v>
      </c>
      <c r="BI103" s="16">
        <f>+BI100+BI101-BI102</f>
        <v>36616.902000000002</v>
      </c>
      <c r="BJ103" s="16"/>
      <c r="BK103" s="38"/>
      <c r="BL103" s="38"/>
      <c r="BM103" s="38"/>
      <c r="BN103" s="38"/>
      <c r="BO103" s="38"/>
      <c r="BP103" s="16"/>
      <c r="BQ103" s="11"/>
    </row>
    <row r="104" spans="2:69" s="17" customFormat="1" ht="12.75">
      <c r="B104" s="41" t="s">
        <v>243</v>
      </c>
      <c r="C104" s="42">
        <f t="shared" ref="C104:V104" si="385">+C103/C87</f>
        <v>0.11923411014788918</v>
      </c>
      <c r="D104" s="42">
        <f t="shared" si="385"/>
        <v>8.6035492020967982E-2</v>
      </c>
      <c r="E104" s="42">
        <f t="shared" si="385"/>
        <v>0.23332065039623823</v>
      </c>
      <c r="F104" s="42">
        <f t="shared" ref="F104:K104" si="386">+F103/F87</f>
        <v>0.22220624570684547</v>
      </c>
      <c r="G104" s="42">
        <f t="shared" si="386"/>
        <v>0.27113559066557835</v>
      </c>
      <c r="H104" s="42">
        <f t="shared" si="386"/>
        <v>0.44952421137936421</v>
      </c>
      <c r="I104" s="19">
        <f t="shared" si="386"/>
        <v>0.29164335288977522</v>
      </c>
      <c r="J104" s="19">
        <f t="shared" si="386"/>
        <v>0.26612936736676068</v>
      </c>
      <c r="K104" s="19">
        <f t="shared" si="386"/>
        <v>0.22965449922479417</v>
      </c>
      <c r="L104" s="19">
        <f t="shared" ref="L104:M104" si="387">+L103/L87</f>
        <v>0.22965449810206556</v>
      </c>
      <c r="M104" s="19">
        <f t="shared" si="387"/>
        <v>0.27898441897032689</v>
      </c>
      <c r="N104" s="19">
        <f t="shared" ref="N104:O104" si="388">+N103/N87</f>
        <v>0.27898257512806179</v>
      </c>
      <c r="O104" s="19">
        <f t="shared" si="388"/>
        <v>0.3465860085592013</v>
      </c>
      <c r="P104" s="19">
        <f t="shared" ref="P104" si="389">+P103/P87</f>
        <v>0.42950026253967177</v>
      </c>
      <c r="Q104" s="7"/>
      <c r="R104" s="301"/>
      <c r="S104" s="301"/>
      <c r="T104" s="301"/>
      <c r="U104" s="19">
        <f t="shared" si="385"/>
        <v>0.23332065039623823</v>
      </c>
      <c r="V104" s="21">
        <f t="shared" si="385"/>
        <v>0.27713199853686593</v>
      </c>
      <c r="W104" s="21">
        <f t="shared" ref="W104:AB104" si="390">+W103/W87</f>
        <v>0.27037810175944332</v>
      </c>
      <c r="X104" s="19">
        <f t="shared" si="390"/>
        <v>0.2823947703747946</v>
      </c>
      <c r="Y104" s="21">
        <f t="shared" si="390"/>
        <v>0.22220624570684547</v>
      </c>
      <c r="Z104" s="21">
        <f t="shared" si="390"/>
        <v>0.27143923079668703</v>
      </c>
      <c r="AA104" s="21">
        <f t="shared" si="390"/>
        <v>0.28354605503614111</v>
      </c>
      <c r="AB104" s="21">
        <f t="shared" si="390"/>
        <v>0.31310520204133679</v>
      </c>
      <c r="AC104" s="21">
        <f t="shared" ref="AC104:AD104" si="391">+AC103/AC87</f>
        <v>0.27113559066557835</v>
      </c>
      <c r="AD104" s="21">
        <f t="shared" si="391"/>
        <v>0.28498283941603059</v>
      </c>
      <c r="AE104" s="21">
        <f>+AE103/AE87</f>
        <v>0.27979701326755391</v>
      </c>
      <c r="AF104" s="21">
        <f t="shared" ref="AF104" si="392">+AF103/AF87</f>
        <v>0.39593298857905529</v>
      </c>
      <c r="AG104" s="21">
        <f t="shared" ref="AG104:AJ104" si="393">+AG103/AG87</f>
        <v>0.44952421137936421</v>
      </c>
      <c r="AH104" s="21">
        <f t="shared" si="393"/>
        <v>0.42275436618357609</v>
      </c>
      <c r="AI104" s="21">
        <f t="shared" si="393"/>
        <v>0.35446432565118441</v>
      </c>
      <c r="AJ104" s="21">
        <f t="shared" si="393"/>
        <v>0.36782645098104522</v>
      </c>
      <c r="AK104" s="21">
        <f t="shared" ref="AK104:AQ104" si="394">+AK103/AK87</f>
        <v>0.29164335288977522</v>
      </c>
      <c r="AL104" s="21">
        <f t="shared" ref="AL104" si="395">+AL103/AL87</f>
        <v>0.26612936736676068</v>
      </c>
      <c r="AM104" s="21">
        <f t="shared" si="394"/>
        <v>0.34466178437037026</v>
      </c>
      <c r="AN104" s="21">
        <f t="shared" ref="AN104" si="396">+AN103/AN87</f>
        <v>0.17614227284129952</v>
      </c>
      <c r="AO104" s="21">
        <f t="shared" si="394"/>
        <v>0.21151769256201247</v>
      </c>
      <c r="AP104" s="21">
        <f t="shared" si="394"/>
        <v>0.31449128688306377</v>
      </c>
      <c r="AQ104" s="21">
        <f t="shared" si="394"/>
        <v>0.29424517398289973</v>
      </c>
      <c r="AR104" s="21">
        <f t="shared" ref="AR104" si="397">+AR103/AR87</f>
        <v>0.14319142684422353</v>
      </c>
      <c r="AS104" s="21">
        <f t="shared" ref="AS104:AW104" si="398">+AS103/AS87</f>
        <v>0.22965449922479417</v>
      </c>
      <c r="AT104" s="21">
        <f t="shared" ref="AT104" si="399">+AT103/AT87</f>
        <v>0.1590638970399923</v>
      </c>
      <c r="AU104" s="21">
        <f t="shared" si="398"/>
        <v>0.22214919183587375</v>
      </c>
      <c r="AV104" s="21">
        <f t="shared" si="398"/>
        <v>0.29418623285414824</v>
      </c>
      <c r="AW104" s="21">
        <f t="shared" si="398"/>
        <v>0.35813029690560455</v>
      </c>
      <c r="AX104" s="21">
        <f t="shared" ref="AX104:BA104" si="400">+AX103/AX87</f>
        <v>0.27898441897032689</v>
      </c>
      <c r="AY104" s="21">
        <f t="shared" si="400"/>
        <v>0.40036285434057994</v>
      </c>
      <c r="AZ104" s="21">
        <f t="shared" si="400"/>
        <v>0.40383409968052364</v>
      </c>
      <c r="BA104" s="21">
        <f t="shared" si="400"/>
        <v>0.40347057474465453</v>
      </c>
      <c r="BB104" s="21">
        <f t="shared" ref="BB104:BC104" si="401">+BB103/BB87</f>
        <v>0.3465860085592013</v>
      </c>
      <c r="BC104" s="21">
        <f t="shared" si="401"/>
        <v>0.42950026253967177</v>
      </c>
      <c r="BD104" s="22"/>
      <c r="BE104" s="21">
        <f t="shared" ref="BE104:BF104" si="402">+BE103/BE87</f>
        <v>0.20378304126569896</v>
      </c>
      <c r="BF104" s="21">
        <f t="shared" si="402"/>
        <v>0.19333788935327004</v>
      </c>
      <c r="BG104" s="21">
        <f t="shared" ref="BG104:BI104" si="403">+BG103/BG87</f>
        <v>0.22172279219461796</v>
      </c>
      <c r="BH104" s="21">
        <f t="shared" si="403"/>
        <v>0.27898257512806179</v>
      </c>
      <c r="BI104" s="21">
        <f t="shared" si="403"/>
        <v>0.30954391092942907</v>
      </c>
      <c r="BJ104" s="43"/>
      <c r="BK104" s="38"/>
      <c r="BL104" s="38"/>
      <c r="BM104" s="38"/>
      <c r="BN104" s="38"/>
      <c r="BO104" s="38"/>
      <c r="BP104" s="43"/>
      <c r="BQ104" s="11"/>
    </row>
    <row r="105" spans="2:69" ht="12.75"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23"/>
      <c r="Q105" s="7"/>
      <c r="R105" s="22"/>
      <c r="S105" s="22"/>
      <c r="T105" s="22"/>
      <c r="U105" s="23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38"/>
      <c r="BL105" s="38"/>
      <c r="BM105" s="38"/>
      <c r="BN105" s="38"/>
      <c r="BO105" s="38"/>
      <c r="BP105" s="22"/>
    </row>
    <row r="106" spans="2:69" ht="12.75">
      <c r="B106" s="17" t="s">
        <v>244</v>
      </c>
      <c r="C106" s="316">
        <f t="shared" ref="C106:P106" si="404">IFERROR((C100/-C9)*365,"-")</f>
        <v>47.53303746138819</v>
      </c>
      <c r="D106" s="316">
        <f t="shared" si="404"/>
        <v>59.60445362017888</v>
      </c>
      <c r="E106" s="316">
        <f t="shared" si="404"/>
        <v>50.205008938113032</v>
      </c>
      <c r="F106" s="316">
        <f t="shared" si="404"/>
        <v>38.195183625215577</v>
      </c>
      <c r="G106" s="316">
        <f t="shared" si="404"/>
        <v>47.07288219518815</v>
      </c>
      <c r="H106" s="316">
        <f t="shared" si="404"/>
        <v>131.61886916763822</v>
      </c>
      <c r="I106" s="316">
        <f t="shared" si="404"/>
        <v>92.158749626673909</v>
      </c>
      <c r="J106" s="316">
        <f t="shared" si="404"/>
        <v>76.46369969383332</v>
      </c>
      <c r="K106" s="316">
        <f t="shared" si="404"/>
        <v>77.227563750610472</v>
      </c>
      <c r="L106" s="316">
        <f t="shared" si="404"/>
        <v>77.227565741511484</v>
      </c>
      <c r="M106" s="316">
        <f t="shared" si="404"/>
        <v>73.150530882232658</v>
      </c>
      <c r="N106" s="316">
        <f t="shared" si="404"/>
        <v>73.150531538584119</v>
      </c>
      <c r="O106" s="316">
        <f t="shared" si="404"/>
        <v>108.59921954355332</v>
      </c>
      <c r="P106" s="316">
        <f t="shared" si="404"/>
        <v>120.73743825816504</v>
      </c>
      <c r="Q106" s="317"/>
      <c r="R106" s="318"/>
      <c r="S106" s="318"/>
      <c r="T106" s="318"/>
      <c r="U106" s="319"/>
      <c r="V106" s="318"/>
      <c r="W106" s="318"/>
      <c r="X106" s="318"/>
      <c r="Y106" s="318"/>
      <c r="Z106" s="316">
        <f t="shared" ref="Z106:BC106" si="405">IFERROR((Z100/-Z9)*(365/4),"-")</f>
        <v>36.93930532670219</v>
      </c>
      <c r="AA106" s="316">
        <f t="shared" si="405"/>
        <v>47.145339247489247</v>
      </c>
      <c r="AB106" s="316">
        <f t="shared" si="405"/>
        <v>50.99675801587771</v>
      </c>
      <c r="AC106" s="316">
        <f t="shared" si="405"/>
        <v>41.131105331976137</v>
      </c>
      <c r="AD106" s="316">
        <f t="shared" si="405"/>
        <v>44.239246499524818</v>
      </c>
      <c r="AE106" s="316">
        <f t="shared" si="405"/>
        <v>45.57713954456208</v>
      </c>
      <c r="AF106" s="316">
        <f t="shared" si="405"/>
        <v>85.231769944874401</v>
      </c>
      <c r="AG106" s="316">
        <f t="shared" si="405"/>
        <v>100.84871049087167</v>
      </c>
      <c r="AH106" s="316">
        <f t="shared" si="405"/>
        <v>84.648892982485691</v>
      </c>
      <c r="AI106" s="316">
        <f t="shared" si="405"/>
        <v>90.961733509078726</v>
      </c>
      <c r="AJ106" s="316">
        <f t="shared" si="405"/>
        <v>93.344531907141914</v>
      </c>
      <c r="AK106" s="316">
        <f t="shared" si="405"/>
        <v>73.806980547022306</v>
      </c>
      <c r="AL106" s="316">
        <f t="shared" si="405"/>
        <v>28.737690926357086</v>
      </c>
      <c r="AM106" s="316">
        <f t="shared" si="405"/>
        <v>75.85791075623419</v>
      </c>
      <c r="AN106" s="316">
        <f t="shared" si="405"/>
        <v>41.926531599002175</v>
      </c>
      <c r="AO106" s="316">
        <f t="shared" si="405"/>
        <v>91.814149598434724</v>
      </c>
      <c r="AP106" s="316">
        <f t="shared" si="405"/>
        <v>50.219721049526044</v>
      </c>
      <c r="AQ106" s="316">
        <f t="shared" si="405"/>
        <v>73.959634285507178</v>
      </c>
      <c r="AR106" s="316">
        <f t="shared" si="405"/>
        <v>49.007702121222771</v>
      </c>
      <c r="AS106" s="316">
        <f t="shared" si="405"/>
        <v>41.883916397274049</v>
      </c>
      <c r="AT106" s="316">
        <f t="shared" si="405"/>
        <v>36.592285841281885</v>
      </c>
      <c r="AU106" s="316">
        <f t="shared" si="405"/>
        <v>61.575457089715918</v>
      </c>
      <c r="AV106" s="316">
        <f t="shared" si="405"/>
        <v>89.385903555860452</v>
      </c>
      <c r="AW106" s="316">
        <f t="shared" si="405"/>
        <v>75.65764042111428</v>
      </c>
      <c r="AX106" s="316">
        <f t="shared" si="405"/>
        <v>49.524835571670728</v>
      </c>
      <c r="AY106" s="316">
        <f t="shared" si="405"/>
        <v>97.108244452858187</v>
      </c>
      <c r="AZ106" s="316">
        <f t="shared" si="405"/>
        <v>128.20859743381803</v>
      </c>
      <c r="BA106" s="316">
        <f t="shared" si="405"/>
        <v>116.95412778792424</v>
      </c>
      <c r="BB106" s="316">
        <f t="shared" si="405"/>
        <v>80.432983195123512</v>
      </c>
      <c r="BC106" s="316">
        <f t="shared" si="405"/>
        <v>106.23239882472909</v>
      </c>
      <c r="BD106" s="209"/>
      <c r="BE106" s="316">
        <f>IFERROR((BE100/-BE9)*(365/4),"-")</f>
        <v>44.586350976631856</v>
      </c>
      <c r="BF106" s="316">
        <f>IFERROR((BF100/-BF9)*(365/4),"-")</f>
        <v>66.187919982505122</v>
      </c>
      <c r="BG106" s="316">
        <f>IFERROR((BG100/-BG9)*(365/4),"-")</f>
        <v>56.759969952066172</v>
      </c>
      <c r="BH106" s="316">
        <f>IFERROR((BH100/-BH9)*(365/4),"-")</f>
        <v>52.706227404269981</v>
      </c>
      <c r="BI106" s="316">
        <f>IFERROR((BI100/-BI9)*(365/4),"-")</f>
        <v>74.203270659763234</v>
      </c>
      <c r="BJ106" s="209"/>
      <c r="BK106" s="38"/>
      <c r="BL106" s="38"/>
      <c r="BM106" s="38"/>
      <c r="BN106" s="38"/>
      <c r="BO106" s="38"/>
      <c r="BP106" s="22"/>
    </row>
    <row r="107" spans="2:69" ht="12.75">
      <c r="B107" s="17" t="s">
        <v>245</v>
      </c>
      <c r="C107" s="316">
        <f t="shared" ref="C107:P107" si="406">IFERROR((C101/C7)*365,"-")</f>
        <v>66.429912637944994</v>
      </c>
      <c r="D107" s="316">
        <f t="shared" si="406"/>
        <v>58.764445728324979</v>
      </c>
      <c r="E107" s="316">
        <f t="shared" si="406"/>
        <v>116.39080830720066</v>
      </c>
      <c r="F107" s="316">
        <f t="shared" si="406"/>
        <v>110.66313602764022</v>
      </c>
      <c r="G107" s="316">
        <f t="shared" si="406"/>
        <v>111.80739242926791</v>
      </c>
      <c r="H107" s="316">
        <f t="shared" si="406"/>
        <v>136.48214057818885</v>
      </c>
      <c r="I107" s="316">
        <f t="shared" si="406"/>
        <v>95.639916760905919</v>
      </c>
      <c r="J107" s="316">
        <f t="shared" si="406"/>
        <v>85.482888258387533</v>
      </c>
      <c r="K107" s="316">
        <f t="shared" si="406"/>
        <v>78.88055900926247</v>
      </c>
      <c r="L107" s="316">
        <f t="shared" si="406"/>
        <v>78.880557250913952</v>
      </c>
      <c r="M107" s="316">
        <f t="shared" si="406"/>
        <v>95.048559650259094</v>
      </c>
      <c r="N107" s="316">
        <f t="shared" si="406"/>
        <v>95.048560875766768</v>
      </c>
      <c r="O107" s="316">
        <f t="shared" si="406"/>
        <v>95.632950337761358</v>
      </c>
      <c r="P107" s="316">
        <f t="shared" si="406"/>
        <v>106.53053985737583</v>
      </c>
      <c r="Q107" s="317"/>
      <c r="R107" s="318"/>
      <c r="S107" s="318"/>
      <c r="T107" s="318"/>
      <c r="U107" s="319"/>
      <c r="V107" s="318"/>
      <c r="W107" s="318"/>
      <c r="X107" s="318"/>
      <c r="Y107" s="318"/>
      <c r="Z107" s="316">
        <f t="shared" ref="Z107:BC107" si="407">IFERROR((Z101/Z7)*(365/4),"-")</f>
        <v>104.72068137379918</v>
      </c>
      <c r="AA107" s="316">
        <f t="shared" si="407"/>
        <v>109.65626997711971</v>
      </c>
      <c r="AB107" s="316">
        <f t="shared" si="407"/>
        <v>118.3023536442721</v>
      </c>
      <c r="AC107" s="316">
        <f t="shared" si="407"/>
        <v>99.110600197262059</v>
      </c>
      <c r="AD107" s="316">
        <f t="shared" si="407"/>
        <v>110.48668325725237</v>
      </c>
      <c r="AE107" s="316">
        <f t="shared" si="407"/>
        <v>117.89925409531722</v>
      </c>
      <c r="AF107" s="316">
        <f t="shared" si="407"/>
        <v>111.66934113831608</v>
      </c>
      <c r="AG107" s="316">
        <f t="shared" si="407"/>
        <v>98.81875839858732</v>
      </c>
      <c r="AH107" s="316">
        <f t="shared" si="407"/>
        <v>90.785767432243674</v>
      </c>
      <c r="AI107" s="316">
        <f t="shared" si="407"/>
        <v>88.182141979642267</v>
      </c>
      <c r="AJ107" s="316">
        <f t="shared" si="407"/>
        <v>88.0116573676152</v>
      </c>
      <c r="AK107" s="316">
        <f t="shared" si="407"/>
        <v>74.760311830815084</v>
      </c>
      <c r="AL107" s="316">
        <f t="shared" si="407"/>
        <v>33.86576552584927</v>
      </c>
      <c r="AM107" s="316">
        <f t="shared" si="407"/>
        <v>85.953934089192828</v>
      </c>
      <c r="AN107" s="316">
        <f t="shared" si="407"/>
        <v>50.103906947397675</v>
      </c>
      <c r="AO107" s="316">
        <f t="shared" si="407"/>
        <v>94.904142767540392</v>
      </c>
      <c r="AP107" s="316">
        <f t="shared" si="407"/>
        <v>55.058017370781471</v>
      </c>
      <c r="AQ107" s="316">
        <f t="shared" si="407"/>
        <v>80.105921585051888</v>
      </c>
      <c r="AR107" s="316">
        <f t="shared" si="407"/>
        <v>55.813235783944727</v>
      </c>
      <c r="AS107" s="316">
        <f t="shared" si="407"/>
        <v>46.256876063820151</v>
      </c>
      <c r="AT107" s="316">
        <f t="shared" si="407"/>
        <v>37.885783642276685</v>
      </c>
      <c r="AU107" s="316">
        <f t="shared" si="407"/>
        <v>76.147486783284222</v>
      </c>
      <c r="AV107" s="316">
        <f t="shared" si="407"/>
        <v>90.18828266411937</v>
      </c>
      <c r="AW107" s="316">
        <f t="shared" si="407"/>
        <v>92.478367361574996</v>
      </c>
      <c r="AX107" s="316">
        <f t="shared" si="407"/>
        <v>64.481007704500229</v>
      </c>
      <c r="AY107" s="316">
        <f t="shared" si="407"/>
        <v>92.660026399066538</v>
      </c>
      <c r="AZ107" s="316">
        <f t="shared" si="407"/>
        <v>104.95999918248513</v>
      </c>
      <c r="BA107" s="316">
        <f t="shared" si="407"/>
        <v>106.35781617844428</v>
      </c>
      <c r="BB107" s="316">
        <f t="shared" si="407"/>
        <v>73.353099688962956</v>
      </c>
      <c r="BC107" s="316">
        <f t="shared" si="407"/>
        <v>93.352647755125787</v>
      </c>
      <c r="BD107" s="209"/>
      <c r="BE107" s="316">
        <f>IFERROR((BE101/BE7)*(365/4),"-")</f>
        <v>55.137853683552457</v>
      </c>
      <c r="BF107" s="316">
        <f>IFERROR((BF101/BF7)*(365/4),"-")</f>
        <v>66.782066245279395</v>
      </c>
      <c r="BG107" s="316">
        <f>IFERROR((BG101/BG7)*(365/4),"-")</f>
        <v>69.379236907639992</v>
      </c>
      <c r="BH107" s="316">
        <f>IFERROR((BH101/BH7)*(365/4),"-")</f>
        <v>68.692183418033366</v>
      </c>
      <c r="BI107" s="316">
        <f>IFERROR((BI101/BI7)*(365/4),"-")</f>
        <v>70.804257507529186</v>
      </c>
      <c r="BJ107" s="209"/>
      <c r="BK107" s="38"/>
      <c r="BL107" s="38"/>
      <c r="BM107" s="38"/>
      <c r="BN107" s="38"/>
      <c r="BO107" s="38"/>
      <c r="BP107" s="22"/>
    </row>
    <row r="108" spans="2:69">
      <c r="B108" s="17" t="s">
        <v>246</v>
      </c>
      <c r="C108" s="316">
        <f t="shared" ref="C108:P108" si="408">IFERROR((C102/-C9)*365,"-")</f>
        <v>78.329701254232205</v>
      </c>
      <c r="D108" s="316">
        <f t="shared" si="408"/>
        <v>96.551532217377229</v>
      </c>
      <c r="E108" s="316">
        <f t="shared" si="408"/>
        <v>92.519857354222978</v>
      </c>
      <c r="F108" s="316">
        <f t="shared" si="408"/>
        <v>78.916658191982663</v>
      </c>
      <c r="G108" s="316">
        <f t="shared" si="408"/>
        <v>64.9398681267553</v>
      </c>
      <c r="H108" s="316">
        <f t="shared" si="408"/>
        <v>92.855436590617131</v>
      </c>
      <c r="I108" s="316">
        <f t="shared" si="408"/>
        <v>76.755464205418036</v>
      </c>
      <c r="J108" s="316">
        <f t="shared" si="408"/>
        <v>61.56182463501235</v>
      </c>
      <c r="K108" s="316">
        <f t="shared" si="408"/>
        <v>70.267917606088673</v>
      </c>
      <c r="L108" s="316">
        <f t="shared" si="408"/>
        <v>70.267917756083065</v>
      </c>
      <c r="M108" s="316">
        <f t="shared" si="408"/>
        <v>63.490490034244047</v>
      </c>
      <c r="N108" s="316">
        <f t="shared" si="408"/>
        <v>63.491451247821729</v>
      </c>
      <c r="O108" s="316">
        <f t="shared" si="408"/>
        <v>65.177395644726133</v>
      </c>
      <c r="P108" s="316">
        <f t="shared" si="408"/>
        <v>51.36567290963584</v>
      </c>
      <c r="Q108" s="320"/>
      <c r="R108" s="318"/>
      <c r="S108" s="318"/>
      <c r="T108" s="318"/>
      <c r="U108" s="319"/>
      <c r="V108" s="318"/>
      <c r="W108" s="318"/>
      <c r="X108" s="318"/>
      <c r="Y108" s="318"/>
      <c r="Z108" s="316">
        <f t="shared" ref="Z108:BC108" si="409">IFERROR((Z102/-Z9)*(365/4),"-")</f>
        <v>63.936709451786164</v>
      </c>
      <c r="AA108" s="316">
        <f t="shared" si="409"/>
        <v>55.921475583400643</v>
      </c>
      <c r="AB108" s="316">
        <f t="shared" si="409"/>
        <v>56.900543364941448</v>
      </c>
      <c r="AC108" s="316">
        <f t="shared" si="409"/>
        <v>56.742830088259396</v>
      </c>
      <c r="AD108" s="316">
        <f t="shared" si="409"/>
        <v>67.491388744933062</v>
      </c>
      <c r="AE108" s="316">
        <f t="shared" si="409"/>
        <v>67.175266418558351</v>
      </c>
      <c r="AF108" s="316">
        <f t="shared" si="409"/>
        <v>57.606990311466795</v>
      </c>
      <c r="AG108" s="316">
        <f t="shared" si="409"/>
        <v>71.147481371410365</v>
      </c>
      <c r="AH108" s="316">
        <f t="shared" si="409"/>
        <v>66.672096331666054</v>
      </c>
      <c r="AI108" s="316">
        <f t="shared" si="409"/>
        <v>69.501044584951728</v>
      </c>
      <c r="AJ108" s="316">
        <f t="shared" si="409"/>
        <v>65.627358964861784</v>
      </c>
      <c r="AK108" s="316">
        <f t="shared" si="409"/>
        <v>61.470984322548617</v>
      </c>
      <c r="AL108" s="316">
        <f t="shared" si="409"/>
        <v>23.137053220121121</v>
      </c>
      <c r="AM108" s="316">
        <f t="shared" si="409"/>
        <v>53.186295325864357</v>
      </c>
      <c r="AN108" s="316">
        <f t="shared" si="409"/>
        <v>29.395970300044855</v>
      </c>
      <c r="AO108" s="316">
        <f t="shared" si="409"/>
        <v>31.991867925139385</v>
      </c>
      <c r="AP108" s="316">
        <f t="shared" si="409"/>
        <v>17.498639262909098</v>
      </c>
      <c r="AQ108" s="316">
        <f t="shared" si="409"/>
        <v>60.801482618762059</v>
      </c>
      <c r="AR108" s="316">
        <f t="shared" si="409"/>
        <v>40.288746388418694</v>
      </c>
      <c r="AS108" s="316">
        <f t="shared" si="409"/>
        <v>38.109393116789782</v>
      </c>
      <c r="AT108" s="316">
        <f t="shared" si="409"/>
        <v>33.294637324271612</v>
      </c>
      <c r="AU108" s="316">
        <f t="shared" si="409"/>
        <v>47.53085104380704</v>
      </c>
      <c r="AV108" s="316">
        <f t="shared" si="409"/>
        <v>62.248163741588904</v>
      </c>
      <c r="AW108" s="316">
        <f t="shared" si="409"/>
        <v>48.372283728593764</v>
      </c>
      <c r="AX108" s="316">
        <f t="shared" si="409"/>
        <v>42.984733554058998</v>
      </c>
      <c r="AY108" s="316">
        <f t="shared" si="409"/>
        <v>50.1382710229731</v>
      </c>
      <c r="AZ108" s="316">
        <f t="shared" si="409"/>
        <v>54.55382888702713</v>
      </c>
      <c r="BA108" s="316">
        <f t="shared" si="409"/>
        <v>49.35839974095051</v>
      </c>
      <c r="BB108" s="316">
        <f t="shared" si="409"/>
        <v>48.273020659156039</v>
      </c>
      <c r="BC108" s="316">
        <f t="shared" si="409"/>
        <v>45.194752590073286</v>
      </c>
      <c r="BD108" s="209"/>
      <c r="BE108" s="316">
        <f>IFERROR((BE102/-BE9)*(365/4),"-")</f>
        <v>34.416751527633132</v>
      </c>
      <c r="BF108" s="316">
        <f>IFERROR((BF102/-BF9)*(365/4),"-")</f>
        <v>46.093134564684227</v>
      </c>
      <c r="BG108" s="316">
        <f>IFERROR((BG102/-BG9)*(365/4),"-")</f>
        <v>36.289915409277903</v>
      </c>
      <c r="BH108" s="316">
        <f>IFERROR((BH102/-BH9)*(365/4),"-")</f>
        <v>45.746692434213116</v>
      </c>
      <c r="BI108" s="316">
        <f>IFERROR((BI102/-BI9)*(365/4),"-")</f>
        <v>38.312130098658521</v>
      </c>
      <c r="BJ108" s="209"/>
      <c r="BK108" s="38"/>
      <c r="BL108" s="38"/>
      <c r="BM108" s="38"/>
      <c r="BN108" s="38"/>
      <c r="BO108" s="38"/>
      <c r="BP108" s="22"/>
    </row>
    <row r="109" spans="2:69"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23"/>
      <c r="R109" s="22"/>
      <c r="S109" s="22"/>
      <c r="T109" s="22"/>
      <c r="U109" s="23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38"/>
      <c r="BL109" s="38"/>
      <c r="BM109" s="38"/>
      <c r="BN109" s="38"/>
      <c r="BO109" s="38"/>
      <c r="BP109" s="22"/>
    </row>
    <row r="110" spans="2:69">
      <c r="B110" s="75" t="s">
        <v>247</v>
      </c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BJ110" s="22"/>
      <c r="BK110" s="38"/>
      <c r="BL110" s="38"/>
      <c r="BM110" s="38"/>
      <c r="BN110" s="38"/>
      <c r="BO110" s="38"/>
      <c r="BP110" s="44"/>
    </row>
    <row r="111" spans="2:69">
      <c r="B111" s="78" t="s">
        <v>10</v>
      </c>
      <c r="C111" s="22">
        <f>544.791+1821.631</f>
        <v>2366.422</v>
      </c>
      <c r="D111" s="22">
        <f>433.371+457.356</f>
        <v>890.72699999999998</v>
      </c>
      <c r="E111" s="22">
        <f>85.519+369.129</f>
        <v>454.64800000000002</v>
      </c>
      <c r="F111" s="22">
        <f>150.764+5074.414</f>
        <v>5225.1779999999999</v>
      </c>
      <c r="G111" s="22">
        <f>11.408+431.144+318.467</f>
        <v>761.01900000000001</v>
      </c>
      <c r="H111" s="22">
        <f>1499.536+579.253+759.909</f>
        <v>2838.6980000000003</v>
      </c>
      <c r="I111" s="22">
        <f>9655.778+812.749+925.081</f>
        <v>11393.608</v>
      </c>
      <c r="J111" s="22">
        <f>1524.283+15910.107+1339.19</f>
        <v>18773.579999999998</v>
      </c>
      <c r="K111" s="22">
        <f>1140.185+3046.205+1273.041</f>
        <v>5459.4309999999996</v>
      </c>
      <c r="L111" s="22">
        <f>1646.185+6237.833</f>
        <v>7884.018</v>
      </c>
      <c r="M111" s="22">
        <f>4204.001+11070.42</f>
        <v>15274.421</v>
      </c>
      <c r="N111" s="22">
        <f>5502.715+2130.884+12357.619+1.827</f>
        <v>19993.045000000002</v>
      </c>
      <c r="O111" s="22">
        <f>12491.954+3225.238+1820.411</f>
        <v>17537.602999999999</v>
      </c>
      <c r="P111" s="23">
        <f t="shared" ref="P111:P112" si="410">BC111</f>
        <v>17384.16</v>
      </c>
      <c r="R111" s="22">
        <f>320.021+479.879</f>
        <v>799.90000000000009</v>
      </c>
      <c r="S111" s="22">
        <f>170.622+246.773</f>
        <v>417.39499999999998</v>
      </c>
      <c r="T111" s="22">
        <f>192.618+219.539</f>
        <v>412.15699999999998</v>
      </c>
      <c r="U111" s="23">
        <f>E111</f>
        <v>454.64800000000002</v>
      </c>
      <c r="V111" s="22">
        <f>77.245+392.56</f>
        <v>469.80500000000001</v>
      </c>
      <c r="W111" s="22">
        <f>263.751+2608.307</f>
        <v>2872.058</v>
      </c>
      <c r="X111" s="22">
        <f>355.486+2518.239</f>
        <v>2873.7249999999999</v>
      </c>
      <c r="Y111" s="23">
        <f>+F111</f>
        <v>5225.1779999999999</v>
      </c>
      <c r="Z111" s="22">
        <f>140.003+5560.634</f>
        <v>5700.6369999999997</v>
      </c>
      <c r="AA111" s="22">
        <f>115.995+3347.15</f>
        <v>3463.145</v>
      </c>
      <c r="AB111" s="22">
        <f>69.362+3980.636</f>
        <v>4049.998</v>
      </c>
      <c r="AC111" s="23">
        <f>G111</f>
        <v>761.01900000000001</v>
      </c>
      <c r="AD111" s="22">
        <f>470.663+368.139</f>
        <v>838.80200000000002</v>
      </c>
      <c r="AE111" s="22">
        <f>1.319+494.091+377.089</f>
        <v>872.49900000000002</v>
      </c>
      <c r="AF111" s="22">
        <f>33.25+690.318+1037.494+392.536</f>
        <v>2153.598</v>
      </c>
      <c r="AG111" s="23">
        <f>H111</f>
        <v>2838.6980000000003</v>
      </c>
      <c r="AH111" s="22">
        <f>1624.323+647.136+707.289</f>
        <v>2978.7479999999996</v>
      </c>
      <c r="AI111" s="22">
        <f>8656.566+723.935+1277.648</f>
        <v>10658.148999999999</v>
      </c>
      <c r="AJ111" s="22">
        <f>9136.15+818.905+1463.691</f>
        <v>11418.746000000001</v>
      </c>
      <c r="AK111" s="23">
        <f>I111</f>
        <v>11393.608</v>
      </c>
      <c r="AL111" s="23">
        <f>J111</f>
        <v>18773.579999999998</v>
      </c>
      <c r="AM111" s="22">
        <f>10256.886+846.966+1268.448</f>
        <v>12372.300000000001</v>
      </c>
      <c r="AN111" s="22">
        <f>10256.886+846.966+1268.448</f>
        <v>12372.300000000001</v>
      </c>
      <c r="AO111" s="22">
        <f>1598.56+2567.485+1122.118</f>
        <v>5288.1630000000005</v>
      </c>
      <c r="AP111" s="22">
        <f>1598.56+2567.485+1122.118</f>
        <v>5288.1630000000005</v>
      </c>
      <c r="AQ111" s="22">
        <f>2679.303+1207.277+1094.307</f>
        <v>4980.8869999999997</v>
      </c>
      <c r="AR111" s="22">
        <f>2679.303+1207.277+1094.307</f>
        <v>4980.8869999999997</v>
      </c>
      <c r="AS111" s="23">
        <f>K111</f>
        <v>5459.4309999999996</v>
      </c>
      <c r="AT111" s="23">
        <f>K111</f>
        <v>5459.4309999999996</v>
      </c>
      <c r="AU111" s="22">
        <f>3345.172+1423.746+1668.098</f>
        <v>6437.0159999999996</v>
      </c>
      <c r="AV111" s="22">
        <f>3108.267+1738.118+1419.399</f>
        <v>6265.7839999999997</v>
      </c>
      <c r="AW111" s="22">
        <f>3966.044+3687.592-1.697</f>
        <v>7651.9390000000003</v>
      </c>
      <c r="AX111" s="23">
        <f>M111</f>
        <v>15274.421</v>
      </c>
      <c r="AY111" s="22">
        <f>7796.383+1835.185+10267.035</f>
        <v>19898.602999999999</v>
      </c>
      <c r="AZ111" s="22">
        <f>14005.143+19689.936+10712.631</f>
        <v>44407.71</v>
      </c>
      <c r="BA111" s="22">
        <f>14520.268+21085.424+11353.579</f>
        <v>46959.270999999993</v>
      </c>
      <c r="BB111" s="23">
        <f t="shared" ref="BB111:BB112" si="411">O111</f>
        <v>17537.602999999999</v>
      </c>
      <c r="BC111" s="22">
        <f>12235.408+5148.752</f>
        <v>17384.16</v>
      </c>
      <c r="BD111" s="22"/>
      <c r="BE111" s="23">
        <f t="shared" ref="BE111:BG112" si="412">AU111</f>
        <v>6437.0159999999996</v>
      </c>
      <c r="BF111" s="23">
        <f t="shared" si="412"/>
        <v>6265.7839999999997</v>
      </c>
      <c r="BG111" s="23">
        <f t="shared" si="412"/>
        <v>7651.9390000000003</v>
      </c>
      <c r="BH111" s="23">
        <f>N111</f>
        <v>19993.045000000002</v>
      </c>
      <c r="BI111" s="23">
        <f>AY111</f>
        <v>19898.602999999999</v>
      </c>
      <c r="BJ111" s="22"/>
      <c r="BK111" s="38"/>
      <c r="BL111" s="38"/>
      <c r="BM111" s="38"/>
      <c r="BN111" s="38"/>
      <c r="BO111" s="38"/>
      <c r="BP111" s="22"/>
    </row>
    <row r="112" spans="2:69">
      <c r="B112" s="78" t="s">
        <v>14</v>
      </c>
      <c r="C112" s="22">
        <v>586.43200000000002</v>
      </c>
      <c r="D112" s="22">
        <v>3419.6759999999999</v>
      </c>
      <c r="E112" s="22">
        <v>4791.1049999999996</v>
      </c>
      <c r="F112" s="22">
        <v>652.49</v>
      </c>
      <c r="G112" s="22">
        <f>4097.309+4479.923</f>
        <v>8577.232</v>
      </c>
      <c r="H112" s="22">
        <f>7148.942+8157.834</f>
        <v>15306.776</v>
      </c>
      <c r="I112" s="22">
        <f>1315.059+11031.399</f>
        <v>12346.457999999999</v>
      </c>
      <c r="J112" s="22">
        <f>2166.861+18176.758</f>
        <v>20343.619000000002</v>
      </c>
      <c r="K112" s="22">
        <f>9188.165+15913.031</f>
        <v>25101.196000000004</v>
      </c>
      <c r="L112" s="22">
        <v>36242.813999999998</v>
      </c>
      <c r="M112" s="22">
        <v>32734.945</v>
      </c>
      <c r="N112" s="22">
        <f>18628.989+24218.543</f>
        <v>42847.532000000007</v>
      </c>
      <c r="O112" s="22">
        <f>17280.429+22527.348</f>
        <v>39807.777000000002</v>
      </c>
      <c r="P112" s="23">
        <f t="shared" si="410"/>
        <v>40868.248</v>
      </c>
      <c r="R112" s="22">
        <v>3906.6930000000002</v>
      </c>
      <c r="S112" s="22">
        <v>4381.652</v>
      </c>
      <c r="T112" s="22">
        <v>5762.607</v>
      </c>
      <c r="U112" s="23">
        <f>E112</f>
        <v>4791.1049999999996</v>
      </c>
      <c r="V112" s="22">
        <v>5087.4970000000003</v>
      </c>
      <c r="W112" s="22">
        <v>3011.3270000000002</v>
      </c>
      <c r="X112" s="22">
        <v>2880.328</v>
      </c>
      <c r="Y112" s="23">
        <f>+F112</f>
        <v>652.49</v>
      </c>
      <c r="Z112" s="22">
        <f>667.124</f>
        <v>667.12400000000002</v>
      </c>
      <c r="AA112" s="22">
        <v>3712.7220000000002</v>
      </c>
      <c r="AB112" s="22">
        <v>4356.3680000000004</v>
      </c>
      <c r="AC112" s="23">
        <f>G112</f>
        <v>8577.232</v>
      </c>
      <c r="AD112" s="22">
        <f>4525.666+5178.668</f>
        <v>9704.3339999999989</v>
      </c>
      <c r="AE112" s="22">
        <f>4582.72+5308.538</f>
        <v>9891.2579999999998</v>
      </c>
      <c r="AF112" s="22">
        <f>5019.26+5525.557</f>
        <v>10544.816999999999</v>
      </c>
      <c r="AG112" s="23">
        <f>G112</f>
        <v>8577.232</v>
      </c>
      <c r="AH112" s="22">
        <f>7751.662+9113.845</f>
        <v>16865.506999999998</v>
      </c>
      <c r="AI112" s="22">
        <f>1211.906+10200.526</f>
        <v>11412.432000000001</v>
      </c>
      <c r="AJ112" s="22">
        <f>1258.034+11538.698</f>
        <v>12796.732</v>
      </c>
      <c r="AK112" s="23">
        <f>I112</f>
        <v>12346.457999999999</v>
      </c>
      <c r="AL112" s="23">
        <f>J112</f>
        <v>20343.619000000002</v>
      </c>
      <c r="AM112" s="22">
        <f>1332.721+11495.292</f>
        <v>12828.012999999999</v>
      </c>
      <c r="AN112" s="22">
        <f>1332.721+11495.292</f>
        <v>12828.012999999999</v>
      </c>
      <c r="AO112" s="22">
        <f>23317.042-2.069</f>
        <v>23314.973000000002</v>
      </c>
      <c r="AP112" s="22">
        <f>23317.042-2.069</f>
        <v>23314.973000000002</v>
      </c>
      <c r="AQ112" s="22">
        <f>8512.677+15077.99</f>
        <v>23590.667000000001</v>
      </c>
      <c r="AR112" s="22">
        <f>8512.677+15077.99</f>
        <v>23590.667000000001</v>
      </c>
      <c r="AS112" s="23">
        <f>K112</f>
        <v>25101.196000000004</v>
      </c>
      <c r="AT112" s="23">
        <f>K112</f>
        <v>25101.196000000004</v>
      </c>
      <c r="AU112" s="22">
        <f>10078.163+17796.852</f>
        <v>27875.014999999999</v>
      </c>
      <c r="AV112" s="22">
        <f>31478.927-0.552</f>
        <v>31478.375</v>
      </c>
      <c r="AW112" s="22">
        <f>39885.968-0.055</f>
        <v>39885.913</v>
      </c>
      <c r="AX112" s="23">
        <f>M112</f>
        <v>32734.945</v>
      </c>
      <c r="AY112" s="22">
        <f>16065.955+19455.607</f>
        <v>35521.561999999998</v>
      </c>
      <c r="AZ112" s="22">
        <v>20879.281999999999</v>
      </c>
      <c r="BA112" s="22">
        <f>118.717+21395.215</f>
        <v>21513.932000000001</v>
      </c>
      <c r="BB112" s="23">
        <f t="shared" si="411"/>
        <v>39807.777000000002</v>
      </c>
      <c r="BC112" s="22">
        <v>40868.248</v>
      </c>
      <c r="BD112" s="22"/>
      <c r="BE112" s="23">
        <f t="shared" si="412"/>
        <v>27875.014999999999</v>
      </c>
      <c r="BF112" s="23">
        <f t="shared" si="412"/>
        <v>31478.375</v>
      </c>
      <c r="BG112" s="23">
        <f t="shared" si="412"/>
        <v>39885.913</v>
      </c>
      <c r="BH112" s="23">
        <f>N112</f>
        <v>42847.532000000007</v>
      </c>
      <c r="BI112" s="23">
        <f>AY112</f>
        <v>35521.561999999998</v>
      </c>
      <c r="BJ112" s="22"/>
      <c r="BK112" s="38"/>
      <c r="BL112" s="38"/>
      <c r="BM112" s="38"/>
      <c r="BN112" s="38"/>
      <c r="BO112" s="38"/>
      <c r="BP112" s="22"/>
    </row>
    <row r="113" spans="2:69">
      <c r="B113" s="75" t="s">
        <v>37</v>
      </c>
      <c r="C113" s="16">
        <f t="shared" ref="C113:E113" si="413">SUM(C111:C112)</f>
        <v>2952.8540000000003</v>
      </c>
      <c r="D113" s="16">
        <f t="shared" si="413"/>
        <v>4310.4030000000002</v>
      </c>
      <c r="E113" s="16">
        <f t="shared" si="413"/>
        <v>5245.7529999999997</v>
      </c>
      <c r="F113" s="16">
        <f t="shared" ref="F113:K113" si="414">SUM(F111:F112)</f>
        <v>5877.6679999999997</v>
      </c>
      <c r="G113" s="16">
        <f t="shared" si="414"/>
        <v>9338.2510000000002</v>
      </c>
      <c r="H113" s="16">
        <f t="shared" si="414"/>
        <v>18145.474000000002</v>
      </c>
      <c r="I113" s="16">
        <f t="shared" si="414"/>
        <v>23740.065999999999</v>
      </c>
      <c r="J113" s="16">
        <f t="shared" si="414"/>
        <v>39117.199000000001</v>
      </c>
      <c r="K113" s="16">
        <f t="shared" si="414"/>
        <v>30560.627000000004</v>
      </c>
      <c r="L113" s="16">
        <f t="shared" ref="L113:M113" si="415">SUM(L111:L112)</f>
        <v>44126.831999999995</v>
      </c>
      <c r="M113" s="16">
        <f t="shared" si="415"/>
        <v>48009.366000000002</v>
      </c>
      <c r="N113" s="16">
        <f t="shared" ref="N113:O113" si="416">SUM(N111:N112)</f>
        <v>62840.577000000005</v>
      </c>
      <c r="O113" s="16">
        <f t="shared" si="416"/>
        <v>57345.380000000005</v>
      </c>
      <c r="P113" s="16">
        <f t="shared" ref="P113" si="417">SUM(P111:P112)</f>
        <v>58252.407999999996</v>
      </c>
      <c r="R113" s="16">
        <f t="shared" ref="R113:U113" si="418">SUM(R111:R112)</f>
        <v>4706.5930000000008</v>
      </c>
      <c r="S113" s="16">
        <f t="shared" si="418"/>
        <v>4799.0470000000005</v>
      </c>
      <c r="T113" s="16">
        <f t="shared" si="418"/>
        <v>6174.7640000000001</v>
      </c>
      <c r="U113" s="16">
        <f t="shared" si="418"/>
        <v>5245.7529999999997</v>
      </c>
      <c r="V113" s="16">
        <f t="shared" ref="V113:AB113" si="419">SUM(V111:V112)</f>
        <v>5557.3020000000006</v>
      </c>
      <c r="W113" s="16">
        <f t="shared" si="419"/>
        <v>5883.3850000000002</v>
      </c>
      <c r="X113" s="16">
        <f t="shared" si="419"/>
        <v>5754.0529999999999</v>
      </c>
      <c r="Y113" s="16">
        <f t="shared" si="419"/>
        <v>5877.6679999999997</v>
      </c>
      <c r="Z113" s="16">
        <f t="shared" si="419"/>
        <v>6367.7609999999995</v>
      </c>
      <c r="AA113" s="16">
        <f t="shared" si="419"/>
        <v>7175.8670000000002</v>
      </c>
      <c r="AB113" s="16">
        <f t="shared" si="419"/>
        <v>8406.366</v>
      </c>
      <c r="AC113" s="16">
        <f t="shared" ref="AC113:AF113" si="420">SUM(AC111:AC112)</f>
        <v>9338.2510000000002</v>
      </c>
      <c r="AD113" s="16">
        <f t="shared" si="420"/>
        <v>10543.135999999999</v>
      </c>
      <c r="AE113" s="16">
        <f t="shared" si="420"/>
        <v>10763.757</v>
      </c>
      <c r="AF113" s="16">
        <f t="shared" si="420"/>
        <v>12698.414999999999</v>
      </c>
      <c r="AG113" s="16">
        <f t="shared" ref="AG113:AJ113" si="421">SUM(AG111:AG112)</f>
        <v>11415.93</v>
      </c>
      <c r="AH113" s="16">
        <f t="shared" si="421"/>
        <v>19844.254999999997</v>
      </c>
      <c r="AI113" s="16">
        <f t="shared" si="421"/>
        <v>22070.580999999998</v>
      </c>
      <c r="AJ113" s="16">
        <f t="shared" si="421"/>
        <v>24215.478000000003</v>
      </c>
      <c r="AK113" s="16">
        <f t="shared" ref="AK113:AL113" si="422">SUM(AK111:AK112)</f>
        <v>23740.065999999999</v>
      </c>
      <c r="AL113" s="16">
        <f t="shared" si="422"/>
        <v>39117.199000000001</v>
      </c>
      <c r="AM113" s="16">
        <f>SUM(AM111:AM112)</f>
        <v>25200.313000000002</v>
      </c>
      <c r="AN113" s="16">
        <f>SUM(AN111:AN112)</f>
        <v>25200.313000000002</v>
      </c>
      <c r="AO113" s="16">
        <f t="shared" ref="AO113:AS113" si="423">SUM(AO111:AO112)</f>
        <v>28603.136000000002</v>
      </c>
      <c r="AP113" s="16">
        <f t="shared" si="423"/>
        <v>28603.136000000002</v>
      </c>
      <c r="AQ113" s="16">
        <f t="shared" si="423"/>
        <v>28571.554</v>
      </c>
      <c r="AR113" s="16">
        <f t="shared" ref="AR113" si="424">SUM(AR111:AR112)</f>
        <v>28571.554</v>
      </c>
      <c r="AS113" s="16">
        <f t="shared" si="423"/>
        <v>30560.627000000004</v>
      </c>
      <c r="AT113" s="16">
        <f t="shared" ref="AT113" si="425">SUM(AT111:AT112)</f>
        <v>30560.627000000004</v>
      </c>
      <c r="AU113" s="16">
        <f>SUM(AU111:AU112)</f>
        <v>34312.031000000003</v>
      </c>
      <c r="AV113" s="16">
        <f t="shared" ref="AV113:AX113" si="426">SUM(AV111:AV112)</f>
        <v>37744.159</v>
      </c>
      <c r="AW113" s="16">
        <f t="shared" si="426"/>
        <v>47537.851999999999</v>
      </c>
      <c r="AX113" s="16">
        <f t="shared" si="426"/>
        <v>48009.366000000002</v>
      </c>
      <c r="AY113" s="16">
        <f>SUM(AY111:AY112)</f>
        <v>55420.164999999994</v>
      </c>
      <c r="AZ113" s="16">
        <f t="shared" ref="AZ113:BB113" si="427">SUM(AZ111:AZ112)</f>
        <v>65286.991999999998</v>
      </c>
      <c r="BA113" s="16">
        <f t="shared" si="427"/>
        <v>68473.202999999994</v>
      </c>
      <c r="BB113" s="16">
        <f t="shared" si="427"/>
        <v>57345.380000000005</v>
      </c>
      <c r="BC113" s="16">
        <f>SUM(BC111:BC112)</f>
        <v>58252.407999999996</v>
      </c>
      <c r="BD113" s="16"/>
      <c r="BE113" s="16">
        <f>SUM(BE111:BE112)</f>
        <v>34312.031000000003</v>
      </c>
      <c r="BF113" s="16">
        <f>SUM(BF111:BF112)</f>
        <v>37744.159</v>
      </c>
      <c r="BG113" s="16">
        <f>SUM(BG111:BG112)</f>
        <v>47537.851999999999</v>
      </c>
      <c r="BH113" s="16">
        <f>SUM(BH111:BH112)</f>
        <v>62840.577000000005</v>
      </c>
      <c r="BI113" s="16">
        <f>SUM(BI111:BI112)</f>
        <v>55420.164999999994</v>
      </c>
      <c r="BJ113" s="16"/>
      <c r="BK113" s="38"/>
      <c r="BL113" s="38"/>
      <c r="BM113" s="38"/>
      <c r="BN113" s="38"/>
      <c r="BO113" s="38"/>
      <c r="BP113" s="16"/>
    </row>
    <row r="114" spans="2:69"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23"/>
      <c r="R114" s="22"/>
      <c r="S114" s="22"/>
      <c r="T114" s="22"/>
      <c r="U114" s="23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38"/>
      <c r="BL114" s="38"/>
      <c r="BM114" s="38"/>
      <c r="BN114" s="38"/>
      <c r="BO114" s="38"/>
      <c r="BP114" s="44"/>
    </row>
    <row r="115" spans="2:69">
      <c r="B115" s="75" t="s">
        <v>248</v>
      </c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23"/>
      <c r="R115" s="22"/>
      <c r="S115" s="22"/>
      <c r="T115" s="22"/>
      <c r="U115" s="23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38"/>
      <c r="BL115" s="38"/>
      <c r="BM115" s="38"/>
      <c r="BN115" s="38"/>
      <c r="BO115" s="38"/>
      <c r="BP115" s="44"/>
    </row>
    <row r="116" spans="2:69">
      <c r="B116" s="78" t="s">
        <v>249</v>
      </c>
      <c r="C116" s="22">
        <v>6.0000000000000001E-3</v>
      </c>
      <c r="D116" s="22">
        <v>0</v>
      </c>
      <c r="E116" s="22">
        <v>0</v>
      </c>
      <c r="F116" s="22">
        <v>13.824999999999999</v>
      </c>
      <c r="G116" s="22">
        <v>19.111999999999998</v>
      </c>
      <c r="H116" s="22">
        <v>24.350999999999999</v>
      </c>
      <c r="I116" s="22">
        <v>7.8789999999999996</v>
      </c>
      <c r="J116" s="22">
        <v>12.983000000000001</v>
      </c>
      <c r="K116" s="22">
        <v>1.218</v>
      </c>
      <c r="L116" s="22">
        <v>1.76</v>
      </c>
      <c r="M116" s="22">
        <v>1.3959999999999999</v>
      </c>
      <c r="N116" s="22">
        <v>1.827</v>
      </c>
      <c r="O116" s="22">
        <v>0</v>
      </c>
      <c r="P116" s="23">
        <f t="shared" ref="P116:P117" si="428">BC116</f>
        <v>0</v>
      </c>
      <c r="R116" s="22">
        <v>0</v>
      </c>
      <c r="S116" s="22">
        <v>0</v>
      </c>
      <c r="T116" s="22">
        <v>0</v>
      </c>
      <c r="U116" s="23">
        <f>E116</f>
        <v>0</v>
      </c>
      <c r="V116" s="22">
        <v>0</v>
      </c>
      <c r="W116" s="22">
        <v>9.8520000000000003</v>
      </c>
      <c r="X116" s="22">
        <v>12.923</v>
      </c>
      <c r="Y116" s="23">
        <f>+F116</f>
        <v>13.824999999999999</v>
      </c>
      <c r="Z116" s="22">
        <v>16.013000000000002</v>
      </c>
      <c r="AA116" s="22">
        <v>16.972999999999999</v>
      </c>
      <c r="AB116" s="22">
        <v>17.042000000000002</v>
      </c>
      <c r="AC116" s="23">
        <f>G116</f>
        <v>19.111999999999998</v>
      </c>
      <c r="AD116" s="22">
        <v>20.323</v>
      </c>
      <c r="AE116" s="22">
        <v>21.581</v>
      </c>
      <c r="AF116" s="22">
        <v>22.902999999999999</v>
      </c>
      <c r="AG116" s="23">
        <f>H116</f>
        <v>24.350999999999999</v>
      </c>
      <c r="AH116" s="22">
        <v>25.896999999999998</v>
      </c>
      <c r="AI116" s="22">
        <v>20.061</v>
      </c>
      <c r="AJ116" s="22">
        <v>13.821</v>
      </c>
      <c r="AK116" s="23">
        <f>I116</f>
        <v>7.8789999999999996</v>
      </c>
      <c r="AL116" s="23">
        <f>J116</f>
        <v>12.983000000000001</v>
      </c>
      <c r="AM116" s="22">
        <v>0.88800000000000001</v>
      </c>
      <c r="AN116" s="22">
        <v>0.88800000000000001</v>
      </c>
      <c r="AO116" s="22">
        <v>0.99099999999999999</v>
      </c>
      <c r="AP116" s="22">
        <v>0.99099999999999999</v>
      </c>
      <c r="AQ116" s="22">
        <v>1.135</v>
      </c>
      <c r="AR116" s="22">
        <v>1.135</v>
      </c>
      <c r="AS116" s="23">
        <f>K116</f>
        <v>1.218</v>
      </c>
      <c r="AT116" s="23">
        <f>K116</f>
        <v>1.218</v>
      </c>
      <c r="AU116" s="22">
        <v>1.3620000000000001</v>
      </c>
      <c r="AV116" s="22">
        <v>1.518</v>
      </c>
      <c r="AW116" s="22">
        <v>1.6970000000000001</v>
      </c>
      <c r="AX116" s="23">
        <f>M116</f>
        <v>1.3959999999999999</v>
      </c>
      <c r="AY116" s="22">
        <v>0.995</v>
      </c>
      <c r="AZ116" s="22">
        <v>0.55200000000000005</v>
      </c>
      <c r="BA116" s="22">
        <v>5.6000000000000001E-2</v>
      </c>
      <c r="BB116" s="23">
        <f t="shared" ref="BB116:BB117" si="429">O116</f>
        <v>0</v>
      </c>
      <c r="BC116" s="22">
        <v>0</v>
      </c>
      <c r="BD116" s="22"/>
      <c r="BE116" s="23">
        <f t="shared" ref="BE116:BG117" si="430">AU116</f>
        <v>1.3620000000000001</v>
      </c>
      <c r="BF116" s="23">
        <f t="shared" si="430"/>
        <v>1.518</v>
      </c>
      <c r="BG116" s="23">
        <f t="shared" si="430"/>
        <v>1.6970000000000001</v>
      </c>
      <c r="BH116" s="23">
        <f>N116</f>
        <v>1.827</v>
      </c>
      <c r="BI116" s="23">
        <f>AY116</f>
        <v>0.995</v>
      </c>
      <c r="BJ116" s="22"/>
      <c r="BK116" s="38"/>
      <c r="BL116" s="38"/>
      <c r="BM116" s="38"/>
      <c r="BN116" s="38"/>
      <c r="BO116" s="38"/>
      <c r="BP116" s="22"/>
    </row>
    <row r="117" spans="2:69">
      <c r="B117" s="78" t="s">
        <v>250</v>
      </c>
      <c r="C117" s="22">
        <f>0.066</f>
        <v>6.6000000000000003E-2</v>
      </c>
      <c r="D117" s="22">
        <v>0</v>
      </c>
      <c r="E117" s="22">
        <v>0</v>
      </c>
      <c r="F117" s="22">
        <v>48.828000000000003</v>
      </c>
      <c r="G117" s="22">
        <v>30.719000000000001</v>
      </c>
      <c r="H117" s="22">
        <v>7</v>
      </c>
      <c r="I117" s="22">
        <v>2.673</v>
      </c>
      <c r="J117" s="22">
        <v>4.4050000000000002</v>
      </c>
      <c r="K117" s="22">
        <v>1.3959999999999999</v>
      </c>
      <c r="L117" s="22">
        <v>2.016</v>
      </c>
      <c r="M117" s="22">
        <v>0</v>
      </c>
      <c r="N117" s="22">
        <v>0</v>
      </c>
      <c r="O117" s="22">
        <v>0</v>
      </c>
      <c r="P117" s="23">
        <f t="shared" si="428"/>
        <v>0</v>
      </c>
      <c r="R117" s="22">
        <v>0</v>
      </c>
      <c r="S117" s="22">
        <v>0</v>
      </c>
      <c r="T117" s="22">
        <v>0</v>
      </c>
      <c r="U117" s="23">
        <f>E117</f>
        <v>0</v>
      </c>
      <c r="V117" s="22">
        <v>0</v>
      </c>
      <c r="W117" s="22">
        <v>58.451999999999998</v>
      </c>
      <c r="X117" s="22">
        <v>52.640999999999998</v>
      </c>
      <c r="Y117" s="23">
        <f>+F117</f>
        <v>48.828000000000003</v>
      </c>
      <c r="Z117" s="22">
        <v>44.747999999999998</v>
      </c>
      <c r="AA117" s="22">
        <v>40.383000000000003</v>
      </c>
      <c r="AB117" s="22">
        <v>35.713999999999999</v>
      </c>
      <c r="AC117" s="23">
        <f>G117</f>
        <v>30.719000000000001</v>
      </c>
      <c r="AD117" s="22">
        <v>25.375</v>
      </c>
      <c r="AE117" s="22">
        <v>19.658999999999999</v>
      </c>
      <c r="AF117" s="22">
        <v>13.542</v>
      </c>
      <c r="AG117" s="23">
        <f>H117</f>
        <v>7</v>
      </c>
      <c r="AH117" s="22">
        <v>0</v>
      </c>
      <c r="AI117" s="22">
        <v>0</v>
      </c>
      <c r="AJ117" s="22">
        <v>0</v>
      </c>
      <c r="AK117" s="23">
        <f>I117</f>
        <v>2.673</v>
      </c>
      <c r="AL117" s="23">
        <f>J117</f>
        <v>4.4050000000000002</v>
      </c>
      <c r="AM117" s="22">
        <v>2.3570000000000002</v>
      </c>
      <c r="AN117" s="22">
        <v>2.3570000000000002</v>
      </c>
      <c r="AO117" s="22">
        <v>2.069</v>
      </c>
      <c r="AP117" s="22">
        <v>2.069</v>
      </c>
      <c r="AQ117" s="22">
        <v>1.7210000000000001</v>
      </c>
      <c r="AR117" s="22">
        <v>1.7210000000000001</v>
      </c>
      <c r="AS117" s="23">
        <f>K117</f>
        <v>1.3959999999999999</v>
      </c>
      <c r="AT117" s="23">
        <f>K117</f>
        <v>1.3959999999999999</v>
      </c>
      <c r="AU117" s="22">
        <v>0.995</v>
      </c>
      <c r="AV117" s="22">
        <v>0.55200000000000005</v>
      </c>
      <c r="AW117" s="22">
        <v>5.5E-2</v>
      </c>
      <c r="AX117" s="23">
        <f>M117</f>
        <v>0</v>
      </c>
      <c r="AY117" s="22">
        <v>0</v>
      </c>
      <c r="AZ117" s="22">
        <v>0</v>
      </c>
      <c r="BA117" s="22">
        <v>0</v>
      </c>
      <c r="BB117" s="23">
        <f t="shared" si="429"/>
        <v>0</v>
      </c>
      <c r="BC117" s="22">
        <v>0</v>
      </c>
      <c r="BD117" s="22"/>
      <c r="BE117" s="23">
        <f t="shared" si="430"/>
        <v>0.995</v>
      </c>
      <c r="BF117" s="23">
        <f t="shared" si="430"/>
        <v>0.55200000000000005</v>
      </c>
      <c r="BG117" s="23">
        <f t="shared" si="430"/>
        <v>5.5E-2</v>
      </c>
      <c r="BH117" s="23">
        <f>N117</f>
        <v>0</v>
      </c>
      <c r="BI117" s="23">
        <f>AY117</f>
        <v>0</v>
      </c>
      <c r="BJ117" s="22"/>
      <c r="BK117" s="38"/>
      <c r="BL117" s="38"/>
      <c r="BM117" s="38"/>
      <c r="BN117" s="38"/>
      <c r="BO117" s="38"/>
      <c r="BP117" s="22"/>
    </row>
    <row r="118" spans="2:69">
      <c r="B118" s="75" t="s">
        <v>251</v>
      </c>
      <c r="C118" s="16">
        <f>SUM(C116:C117)</f>
        <v>7.2000000000000008E-2</v>
      </c>
      <c r="D118" s="16">
        <f>SUM(D116:D117)</f>
        <v>0</v>
      </c>
      <c r="E118" s="16">
        <f t="shared" ref="E118" si="431">SUM(E116:E117)</f>
        <v>0</v>
      </c>
      <c r="F118" s="16">
        <f t="shared" ref="F118:K118" si="432">SUM(F116:F117)</f>
        <v>62.653000000000006</v>
      </c>
      <c r="G118" s="16">
        <f t="shared" si="432"/>
        <v>49.831000000000003</v>
      </c>
      <c r="H118" s="16">
        <f t="shared" si="432"/>
        <v>31.350999999999999</v>
      </c>
      <c r="I118" s="16">
        <f t="shared" si="432"/>
        <v>10.552</v>
      </c>
      <c r="J118" s="16">
        <f t="shared" si="432"/>
        <v>17.388000000000002</v>
      </c>
      <c r="K118" s="16">
        <f t="shared" si="432"/>
        <v>2.6139999999999999</v>
      </c>
      <c r="L118" s="16">
        <f t="shared" ref="L118:M118" si="433">SUM(L116:L117)</f>
        <v>3.7759999999999998</v>
      </c>
      <c r="M118" s="16">
        <f t="shared" si="433"/>
        <v>1.3959999999999999</v>
      </c>
      <c r="N118" s="16">
        <f t="shared" ref="N118:O118" si="434">SUM(N116:N117)</f>
        <v>1.827</v>
      </c>
      <c r="O118" s="16">
        <f t="shared" si="434"/>
        <v>0</v>
      </c>
      <c r="P118" s="16">
        <f>SUM(P116:P117)</f>
        <v>0</v>
      </c>
      <c r="R118" s="16">
        <f t="shared" ref="R118:U118" si="435">SUM(R116:R117)</f>
        <v>0</v>
      </c>
      <c r="S118" s="16">
        <f t="shared" si="435"/>
        <v>0</v>
      </c>
      <c r="T118" s="16">
        <f t="shared" si="435"/>
        <v>0</v>
      </c>
      <c r="U118" s="16">
        <f t="shared" si="435"/>
        <v>0</v>
      </c>
      <c r="V118" s="16">
        <f t="shared" ref="V118:AB118" si="436">SUM(V116:V117)</f>
        <v>0</v>
      </c>
      <c r="W118" s="16">
        <f t="shared" si="436"/>
        <v>68.304000000000002</v>
      </c>
      <c r="X118" s="16">
        <f t="shared" si="436"/>
        <v>65.563999999999993</v>
      </c>
      <c r="Y118" s="16">
        <f t="shared" si="436"/>
        <v>62.653000000000006</v>
      </c>
      <c r="Z118" s="16">
        <f t="shared" si="436"/>
        <v>60.760999999999996</v>
      </c>
      <c r="AA118" s="16">
        <f t="shared" si="436"/>
        <v>57.356000000000002</v>
      </c>
      <c r="AB118" s="16">
        <f t="shared" si="436"/>
        <v>52.756</v>
      </c>
      <c r="AC118" s="16">
        <f t="shared" ref="AC118:AF118" si="437">SUM(AC116:AC117)</f>
        <v>49.831000000000003</v>
      </c>
      <c r="AD118" s="16">
        <f t="shared" si="437"/>
        <v>45.698</v>
      </c>
      <c r="AE118" s="16">
        <f t="shared" si="437"/>
        <v>41.239999999999995</v>
      </c>
      <c r="AF118" s="16">
        <f t="shared" si="437"/>
        <v>36.445</v>
      </c>
      <c r="AG118" s="16">
        <f t="shared" ref="AG118:AJ118" si="438">SUM(AG116:AG117)</f>
        <v>31.350999999999999</v>
      </c>
      <c r="AH118" s="16">
        <f t="shared" si="438"/>
        <v>25.896999999999998</v>
      </c>
      <c r="AI118" s="16">
        <f t="shared" si="438"/>
        <v>20.061</v>
      </c>
      <c r="AJ118" s="16">
        <f t="shared" si="438"/>
        <v>13.821</v>
      </c>
      <c r="AK118" s="16">
        <f t="shared" ref="AK118:AQ118" si="439">SUM(AK116:AK117)</f>
        <v>10.552</v>
      </c>
      <c r="AL118" s="16">
        <f t="shared" ref="AL118" si="440">SUM(AL116:AL117)</f>
        <v>17.388000000000002</v>
      </c>
      <c r="AM118" s="16">
        <f t="shared" si="439"/>
        <v>3.2450000000000001</v>
      </c>
      <c r="AN118" s="16">
        <f t="shared" ref="AN118" si="441">SUM(AN116:AN117)</f>
        <v>3.2450000000000001</v>
      </c>
      <c r="AO118" s="16">
        <f t="shared" si="439"/>
        <v>3.06</v>
      </c>
      <c r="AP118" s="16">
        <f t="shared" si="439"/>
        <v>3.06</v>
      </c>
      <c r="AQ118" s="16">
        <f t="shared" si="439"/>
        <v>2.8559999999999999</v>
      </c>
      <c r="AR118" s="16">
        <f t="shared" ref="AR118" si="442">SUM(AR116:AR117)</f>
        <v>2.8559999999999999</v>
      </c>
      <c r="AS118" s="16">
        <f t="shared" ref="AS118:AW118" si="443">SUM(AS116:AS117)</f>
        <v>2.6139999999999999</v>
      </c>
      <c r="AT118" s="16">
        <f t="shared" ref="AT118" si="444">SUM(AT116:AT117)</f>
        <v>2.6139999999999999</v>
      </c>
      <c r="AU118" s="16">
        <f t="shared" si="443"/>
        <v>2.3570000000000002</v>
      </c>
      <c r="AV118" s="16">
        <f t="shared" si="443"/>
        <v>2.0700000000000003</v>
      </c>
      <c r="AW118" s="16">
        <f t="shared" si="443"/>
        <v>1.752</v>
      </c>
      <c r="AX118" s="16">
        <f t="shared" ref="AX118:BA118" si="445">SUM(AX116:AX117)</f>
        <v>1.3959999999999999</v>
      </c>
      <c r="AY118" s="16">
        <f t="shared" si="445"/>
        <v>0.995</v>
      </c>
      <c r="AZ118" s="16">
        <f t="shared" si="445"/>
        <v>0.55200000000000005</v>
      </c>
      <c r="BA118" s="16">
        <f t="shared" si="445"/>
        <v>5.6000000000000001E-2</v>
      </c>
      <c r="BB118" s="16">
        <f t="shared" ref="BB118:BC118" si="446">SUM(BB116:BB117)</f>
        <v>0</v>
      </c>
      <c r="BC118" s="16">
        <f t="shared" si="446"/>
        <v>0</v>
      </c>
      <c r="BD118" s="16"/>
      <c r="BE118" s="16">
        <f t="shared" ref="BE118:BF118" si="447">SUM(BE116:BE117)</f>
        <v>2.3570000000000002</v>
      </c>
      <c r="BF118" s="16">
        <f t="shared" si="447"/>
        <v>2.0700000000000003</v>
      </c>
      <c r="BG118" s="16">
        <f t="shared" ref="BG118:BI118" si="448">SUM(BG116:BG117)</f>
        <v>1.752</v>
      </c>
      <c r="BH118" s="16">
        <f t="shared" si="448"/>
        <v>1.827</v>
      </c>
      <c r="BI118" s="16">
        <f t="shared" si="448"/>
        <v>0.995</v>
      </c>
      <c r="BJ118" s="16"/>
      <c r="BK118" s="38"/>
      <c r="BL118" s="38"/>
      <c r="BM118" s="38"/>
      <c r="BN118" s="38"/>
      <c r="BO118" s="38"/>
      <c r="BP118" s="16"/>
    </row>
    <row r="119" spans="2:69">
      <c r="B119" s="7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23"/>
      <c r="R119" s="22"/>
      <c r="S119" s="22"/>
      <c r="T119" s="22"/>
      <c r="U119" s="23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38"/>
      <c r="BL119" s="38"/>
      <c r="BM119" s="38"/>
      <c r="BN119" s="38"/>
      <c r="BO119" s="38"/>
      <c r="BP119" s="44"/>
    </row>
    <row r="120" spans="2:69">
      <c r="B120" s="75" t="s">
        <v>252</v>
      </c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BJ120" s="22"/>
      <c r="BK120" s="38"/>
      <c r="BL120" s="38"/>
      <c r="BM120" s="38"/>
      <c r="BN120" s="38"/>
      <c r="BO120" s="38"/>
      <c r="BP120" s="44"/>
    </row>
    <row r="121" spans="2:69">
      <c r="B121" s="78" t="s">
        <v>10</v>
      </c>
      <c r="C121" s="23">
        <f t="shared" ref="C121:L121" si="449">C111</f>
        <v>2366.422</v>
      </c>
      <c r="D121" s="23">
        <f t="shared" si="449"/>
        <v>890.72699999999998</v>
      </c>
      <c r="E121" s="23">
        <f t="shared" si="449"/>
        <v>454.64800000000002</v>
      </c>
      <c r="F121" s="23">
        <f t="shared" si="449"/>
        <v>5225.1779999999999</v>
      </c>
      <c r="G121" s="23">
        <f t="shared" si="449"/>
        <v>761.01900000000001</v>
      </c>
      <c r="H121" s="23">
        <f t="shared" si="449"/>
        <v>2838.6980000000003</v>
      </c>
      <c r="I121" s="23">
        <f t="shared" si="449"/>
        <v>11393.608</v>
      </c>
      <c r="J121" s="23">
        <f t="shared" si="449"/>
        <v>18773.579999999998</v>
      </c>
      <c r="K121" s="23">
        <f t="shared" si="449"/>
        <v>5459.4309999999996</v>
      </c>
      <c r="L121" s="23">
        <f t="shared" si="449"/>
        <v>7884.018</v>
      </c>
      <c r="M121" s="23">
        <f t="shared" ref="M121:P122" si="450">M111</f>
        <v>15274.421</v>
      </c>
      <c r="N121" s="23">
        <f t="shared" si="450"/>
        <v>19993.045000000002</v>
      </c>
      <c r="O121" s="23">
        <f t="shared" si="450"/>
        <v>17537.602999999999</v>
      </c>
      <c r="P121" s="23">
        <f t="shared" si="450"/>
        <v>17384.16</v>
      </c>
      <c r="R121" s="23">
        <f t="shared" ref="R121:AX121" si="451">R111</f>
        <v>799.90000000000009</v>
      </c>
      <c r="S121" s="23">
        <f t="shared" si="451"/>
        <v>417.39499999999998</v>
      </c>
      <c r="T121" s="23">
        <f t="shared" si="451"/>
        <v>412.15699999999998</v>
      </c>
      <c r="U121" s="23">
        <f t="shared" si="451"/>
        <v>454.64800000000002</v>
      </c>
      <c r="V121" s="23">
        <f t="shared" si="451"/>
        <v>469.80500000000001</v>
      </c>
      <c r="W121" s="23">
        <f t="shared" si="451"/>
        <v>2872.058</v>
      </c>
      <c r="X121" s="23">
        <f t="shared" si="451"/>
        <v>2873.7249999999999</v>
      </c>
      <c r="Y121" s="23">
        <f t="shared" si="451"/>
        <v>5225.1779999999999</v>
      </c>
      <c r="Z121" s="23">
        <f t="shared" si="451"/>
        <v>5700.6369999999997</v>
      </c>
      <c r="AA121" s="23">
        <f t="shared" si="451"/>
        <v>3463.145</v>
      </c>
      <c r="AB121" s="23">
        <f t="shared" si="451"/>
        <v>4049.998</v>
      </c>
      <c r="AC121" s="23">
        <f t="shared" si="451"/>
        <v>761.01900000000001</v>
      </c>
      <c r="AD121" s="23">
        <f t="shared" si="451"/>
        <v>838.80200000000002</v>
      </c>
      <c r="AE121" s="23">
        <f t="shared" si="451"/>
        <v>872.49900000000002</v>
      </c>
      <c r="AF121" s="23">
        <f t="shared" si="451"/>
        <v>2153.598</v>
      </c>
      <c r="AG121" s="23">
        <f t="shared" si="451"/>
        <v>2838.6980000000003</v>
      </c>
      <c r="AH121" s="23">
        <f t="shared" si="451"/>
        <v>2978.7479999999996</v>
      </c>
      <c r="AI121" s="23">
        <f t="shared" si="451"/>
        <v>10658.148999999999</v>
      </c>
      <c r="AJ121" s="23">
        <f t="shared" si="451"/>
        <v>11418.746000000001</v>
      </c>
      <c r="AK121" s="23">
        <f t="shared" si="451"/>
        <v>11393.608</v>
      </c>
      <c r="AL121" s="23">
        <f t="shared" si="451"/>
        <v>18773.579999999998</v>
      </c>
      <c r="AM121" s="23">
        <f t="shared" si="451"/>
        <v>12372.300000000001</v>
      </c>
      <c r="AN121" s="23">
        <f t="shared" si="451"/>
        <v>12372.300000000001</v>
      </c>
      <c r="AO121" s="23">
        <f t="shared" si="451"/>
        <v>5288.1630000000005</v>
      </c>
      <c r="AP121" s="23">
        <f t="shared" si="451"/>
        <v>5288.1630000000005</v>
      </c>
      <c r="AQ121" s="23">
        <f t="shared" si="451"/>
        <v>4980.8869999999997</v>
      </c>
      <c r="AR121" s="23">
        <f t="shared" si="451"/>
        <v>4980.8869999999997</v>
      </c>
      <c r="AS121" s="23">
        <f t="shared" si="451"/>
        <v>5459.4309999999996</v>
      </c>
      <c r="AT121" s="23">
        <f t="shared" si="451"/>
        <v>5459.4309999999996</v>
      </c>
      <c r="AU121" s="23">
        <f t="shared" si="451"/>
        <v>6437.0159999999996</v>
      </c>
      <c r="AV121" s="23">
        <f t="shared" si="451"/>
        <v>6265.7839999999997</v>
      </c>
      <c r="AW121" s="23">
        <f t="shared" si="451"/>
        <v>7651.9390000000003</v>
      </c>
      <c r="AX121" s="23">
        <f t="shared" si="451"/>
        <v>15274.421</v>
      </c>
      <c r="AY121" s="23">
        <f t="shared" ref="AY121:BB121" si="452">AY111</f>
        <v>19898.602999999999</v>
      </c>
      <c r="AZ121" s="23">
        <f t="shared" si="452"/>
        <v>44407.71</v>
      </c>
      <c r="BA121" s="23">
        <f t="shared" si="452"/>
        <v>46959.270999999993</v>
      </c>
      <c r="BB121" s="23">
        <f t="shared" si="452"/>
        <v>17537.602999999999</v>
      </c>
      <c r="BC121" s="23">
        <f t="shared" ref="BC121" si="453">BC111</f>
        <v>17384.16</v>
      </c>
      <c r="BD121" s="23"/>
      <c r="BE121" s="23">
        <f t="shared" ref="BE121:BF121" si="454">BE111</f>
        <v>6437.0159999999996</v>
      </c>
      <c r="BF121" s="23">
        <f t="shared" si="454"/>
        <v>6265.7839999999997</v>
      </c>
      <c r="BG121" s="23">
        <f t="shared" ref="BG121:BI121" si="455">BG111</f>
        <v>7651.9390000000003</v>
      </c>
      <c r="BH121" s="23">
        <f t="shared" si="455"/>
        <v>19993.045000000002</v>
      </c>
      <c r="BI121" s="23">
        <f t="shared" si="455"/>
        <v>19898.602999999999</v>
      </c>
      <c r="BJ121" s="23"/>
      <c r="BK121" s="38"/>
      <c r="BL121" s="38"/>
      <c r="BM121" s="38"/>
      <c r="BN121" s="38"/>
      <c r="BO121" s="38"/>
      <c r="BP121" s="23"/>
    </row>
    <row r="122" spans="2:69">
      <c r="B122" s="78" t="s">
        <v>14</v>
      </c>
      <c r="C122" s="23">
        <f t="shared" ref="C122:L122" si="456">C112</f>
        <v>586.43200000000002</v>
      </c>
      <c r="D122" s="23">
        <f t="shared" si="456"/>
        <v>3419.6759999999999</v>
      </c>
      <c r="E122" s="23">
        <f t="shared" si="456"/>
        <v>4791.1049999999996</v>
      </c>
      <c r="F122" s="23">
        <f t="shared" si="456"/>
        <v>652.49</v>
      </c>
      <c r="G122" s="23">
        <f t="shared" si="456"/>
        <v>8577.232</v>
      </c>
      <c r="H122" s="23">
        <f t="shared" si="456"/>
        <v>15306.776</v>
      </c>
      <c r="I122" s="23">
        <f t="shared" si="456"/>
        <v>12346.457999999999</v>
      </c>
      <c r="J122" s="23">
        <f t="shared" si="456"/>
        <v>20343.619000000002</v>
      </c>
      <c r="K122" s="23">
        <f t="shared" si="456"/>
        <v>25101.196000000004</v>
      </c>
      <c r="L122" s="23">
        <f t="shared" si="456"/>
        <v>36242.813999999998</v>
      </c>
      <c r="M122" s="23">
        <f t="shared" si="450"/>
        <v>32734.945</v>
      </c>
      <c r="N122" s="23">
        <f t="shared" si="450"/>
        <v>42847.532000000007</v>
      </c>
      <c r="O122" s="23">
        <f t="shared" si="450"/>
        <v>39807.777000000002</v>
      </c>
      <c r="P122" s="23">
        <f t="shared" si="450"/>
        <v>40868.248</v>
      </c>
      <c r="R122" s="23">
        <f t="shared" ref="R122:AX122" si="457">R112</f>
        <v>3906.6930000000002</v>
      </c>
      <c r="S122" s="23">
        <f t="shared" si="457"/>
        <v>4381.652</v>
      </c>
      <c r="T122" s="23">
        <f t="shared" si="457"/>
        <v>5762.607</v>
      </c>
      <c r="U122" s="23">
        <f t="shared" si="457"/>
        <v>4791.1049999999996</v>
      </c>
      <c r="V122" s="23">
        <f t="shared" si="457"/>
        <v>5087.4970000000003</v>
      </c>
      <c r="W122" s="23">
        <f t="shared" si="457"/>
        <v>3011.3270000000002</v>
      </c>
      <c r="X122" s="23">
        <f t="shared" si="457"/>
        <v>2880.328</v>
      </c>
      <c r="Y122" s="23">
        <f t="shared" si="457"/>
        <v>652.49</v>
      </c>
      <c r="Z122" s="23">
        <f t="shared" si="457"/>
        <v>667.12400000000002</v>
      </c>
      <c r="AA122" s="23">
        <f t="shared" si="457"/>
        <v>3712.7220000000002</v>
      </c>
      <c r="AB122" s="23">
        <f t="shared" si="457"/>
        <v>4356.3680000000004</v>
      </c>
      <c r="AC122" s="23">
        <f t="shared" si="457"/>
        <v>8577.232</v>
      </c>
      <c r="AD122" s="23">
        <f t="shared" si="457"/>
        <v>9704.3339999999989</v>
      </c>
      <c r="AE122" s="23">
        <f t="shared" si="457"/>
        <v>9891.2579999999998</v>
      </c>
      <c r="AF122" s="23">
        <f t="shared" si="457"/>
        <v>10544.816999999999</v>
      </c>
      <c r="AG122" s="23">
        <f t="shared" si="457"/>
        <v>8577.232</v>
      </c>
      <c r="AH122" s="23">
        <f t="shared" si="457"/>
        <v>16865.506999999998</v>
      </c>
      <c r="AI122" s="23">
        <f t="shared" si="457"/>
        <v>11412.432000000001</v>
      </c>
      <c r="AJ122" s="23">
        <f t="shared" si="457"/>
        <v>12796.732</v>
      </c>
      <c r="AK122" s="23">
        <f t="shared" si="457"/>
        <v>12346.457999999999</v>
      </c>
      <c r="AL122" s="23">
        <f t="shared" si="457"/>
        <v>20343.619000000002</v>
      </c>
      <c r="AM122" s="23">
        <f t="shared" si="457"/>
        <v>12828.012999999999</v>
      </c>
      <c r="AN122" s="23">
        <f t="shared" si="457"/>
        <v>12828.012999999999</v>
      </c>
      <c r="AO122" s="23">
        <f t="shared" si="457"/>
        <v>23314.973000000002</v>
      </c>
      <c r="AP122" s="23">
        <f t="shared" si="457"/>
        <v>23314.973000000002</v>
      </c>
      <c r="AQ122" s="23">
        <f t="shared" si="457"/>
        <v>23590.667000000001</v>
      </c>
      <c r="AR122" s="23">
        <f t="shared" si="457"/>
        <v>23590.667000000001</v>
      </c>
      <c r="AS122" s="23">
        <f t="shared" si="457"/>
        <v>25101.196000000004</v>
      </c>
      <c r="AT122" s="23">
        <f t="shared" si="457"/>
        <v>25101.196000000004</v>
      </c>
      <c r="AU122" s="23">
        <f t="shared" si="457"/>
        <v>27875.014999999999</v>
      </c>
      <c r="AV122" s="23">
        <f t="shared" si="457"/>
        <v>31478.375</v>
      </c>
      <c r="AW122" s="23">
        <f t="shared" si="457"/>
        <v>39885.913</v>
      </c>
      <c r="AX122" s="23">
        <f t="shared" si="457"/>
        <v>32734.945</v>
      </c>
      <c r="AY122" s="23">
        <f t="shared" ref="AY122:BB122" si="458">AY112</f>
        <v>35521.561999999998</v>
      </c>
      <c r="AZ122" s="23">
        <f t="shared" si="458"/>
        <v>20879.281999999999</v>
      </c>
      <c r="BA122" s="23">
        <f t="shared" si="458"/>
        <v>21513.932000000001</v>
      </c>
      <c r="BB122" s="23">
        <f t="shared" si="458"/>
        <v>39807.777000000002</v>
      </c>
      <c r="BC122" s="23">
        <f t="shared" ref="BC122" si="459">BC112</f>
        <v>40868.248</v>
      </c>
      <c r="BD122" s="23"/>
      <c r="BE122" s="23">
        <f t="shared" ref="BE122:BF122" si="460">BE112</f>
        <v>27875.014999999999</v>
      </c>
      <c r="BF122" s="23">
        <f t="shared" si="460"/>
        <v>31478.375</v>
      </c>
      <c r="BG122" s="23">
        <f t="shared" ref="BG122:BI122" si="461">BG112</f>
        <v>39885.913</v>
      </c>
      <c r="BH122" s="23">
        <f t="shared" si="461"/>
        <v>42847.532000000007</v>
      </c>
      <c r="BI122" s="23">
        <f t="shared" si="461"/>
        <v>35521.561999999998</v>
      </c>
      <c r="BJ122" s="23"/>
      <c r="BK122" s="38"/>
      <c r="BL122" s="38"/>
      <c r="BM122" s="38"/>
      <c r="BN122" s="38"/>
      <c r="BO122" s="38"/>
      <c r="BP122" s="23"/>
    </row>
    <row r="123" spans="2:69" s="7" customFormat="1" ht="12.75">
      <c r="B123" s="7" t="s">
        <v>253</v>
      </c>
      <c r="C123" s="16">
        <f t="shared" ref="C123:E123" si="462">SUM(C121:C122)</f>
        <v>2952.8540000000003</v>
      </c>
      <c r="D123" s="16">
        <f t="shared" si="462"/>
        <v>4310.4030000000002</v>
      </c>
      <c r="E123" s="16">
        <f t="shared" si="462"/>
        <v>5245.7529999999997</v>
      </c>
      <c r="F123" s="16">
        <f t="shared" ref="F123:K123" si="463">SUM(F121:F122)</f>
        <v>5877.6679999999997</v>
      </c>
      <c r="G123" s="16">
        <f t="shared" si="463"/>
        <v>9338.2510000000002</v>
      </c>
      <c r="H123" s="16">
        <f t="shared" si="463"/>
        <v>18145.474000000002</v>
      </c>
      <c r="I123" s="16">
        <f t="shared" si="463"/>
        <v>23740.065999999999</v>
      </c>
      <c r="J123" s="16">
        <f t="shared" si="463"/>
        <v>39117.199000000001</v>
      </c>
      <c r="K123" s="16">
        <f t="shared" si="463"/>
        <v>30560.627000000004</v>
      </c>
      <c r="L123" s="16">
        <f t="shared" ref="L123:M123" si="464">SUM(L121:L122)</f>
        <v>44126.831999999995</v>
      </c>
      <c r="M123" s="16">
        <f t="shared" si="464"/>
        <v>48009.366000000002</v>
      </c>
      <c r="N123" s="16">
        <f t="shared" ref="N123:O123" si="465">SUM(N121:N122)</f>
        <v>62840.577000000005</v>
      </c>
      <c r="O123" s="16">
        <f t="shared" si="465"/>
        <v>57345.380000000005</v>
      </c>
      <c r="P123" s="16">
        <f t="shared" ref="P123" si="466">SUM(P121:P122)</f>
        <v>58252.407999999996</v>
      </c>
      <c r="R123" s="16">
        <f t="shared" ref="R123:U123" si="467">SUM(R121:R122)</f>
        <v>4706.5930000000008</v>
      </c>
      <c r="S123" s="16">
        <f t="shared" si="467"/>
        <v>4799.0470000000005</v>
      </c>
      <c r="T123" s="16">
        <f t="shared" si="467"/>
        <v>6174.7640000000001</v>
      </c>
      <c r="U123" s="16">
        <f t="shared" si="467"/>
        <v>5245.7529999999997</v>
      </c>
      <c r="V123" s="16">
        <f t="shared" ref="V123:AB123" si="468">SUM(V121:V122)</f>
        <v>5557.3020000000006</v>
      </c>
      <c r="W123" s="16">
        <f t="shared" si="468"/>
        <v>5883.3850000000002</v>
      </c>
      <c r="X123" s="16">
        <f t="shared" si="468"/>
        <v>5754.0529999999999</v>
      </c>
      <c r="Y123" s="16">
        <f t="shared" si="468"/>
        <v>5877.6679999999997</v>
      </c>
      <c r="Z123" s="16">
        <f t="shared" si="468"/>
        <v>6367.7609999999995</v>
      </c>
      <c r="AA123" s="16">
        <f t="shared" si="468"/>
        <v>7175.8670000000002</v>
      </c>
      <c r="AB123" s="16">
        <f t="shared" si="468"/>
        <v>8406.366</v>
      </c>
      <c r="AC123" s="16">
        <f t="shared" ref="AC123:AF123" si="469">SUM(AC121:AC122)</f>
        <v>9338.2510000000002</v>
      </c>
      <c r="AD123" s="16">
        <f t="shared" si="469"/>
        <v>10543.135999999999</v>
      </c>
      <c r="AE123" s="16">
        <f t="shared" si="469"/>
        <v>10763.757</v>
      </c>
      <c r="AF123" s="16">
        <f t="shared" si="469"/>
        <v>12698.414999999999</v>
      </c>
      <c r="AG123" s="16">
        <f t="shared" ref="AG123:AH123" si="470">SUM(AG121:AG122)</f>
        <v>11415.93</v>
      </c>
      <c r="AH123" s="16">
        <f t="shared" si="470"/>
        <v>19844.254999999997</v>
      </c>
      <c r="AI123" s="16">
        <f t="shared" ref="AI123:AM123" si="471">SUM(AI121:AI122)</f>
        <v>22070.580999999998</v>
      </c>
      <c r="AJ123" s="16">
        <f t="shared" si="471"/>
        <v>24215.478000000003</v>
      </c>
      <c r="AK123" s="16">
        <f t="shared" si="471"/>
        <v>23740.065999999999</v>
      </c>
      <c r="AL123" s="16">
        <f t="shared" ref="AL123" si="472">SUM(AL121:AL122)</f>
        <v>39117.199000000001</v>
      </c>
      <c r="AM123" s="16">
        <f t="shared" si="471"/>
        <v>25200.313000000002</v>
      </c>
      <c r="AN123" s="16">
        <f t="shared" ref="AN123" si="473">SUM(AN121:AN122)</f>
        <v>25200.313000000002</v>
      </c>
      <c r="AO123" s="16">
        <f t="shared" ref="AO123:AU123" si="474">SUM(AO121:AO122)</f>
        <v>28603.136000000002</v>
      </c>
      <c r="AP123" s="16">
        <f t="shared" si="474"/>
        <v>28603.136000000002</v>
      </c>
      <c r="AQ123" s="16">
        <f t="shared" si="474"/>
        <v>28571.554</v>
      </c>
      <c r="AR123" s="16">
        <f t="shared" ref="AR123" si="475">SUM(AR121:AR122)</f>
        <v>28571.554</v>
      </c>
      <c r="AS123" s="16">
        <f t="shared" si="474"/>
        <v>30560.627000000004</v>
      </c>
      <c r="AT123" s="16">
        <f t="shared" ref="AT123" si="476">SUM(AT121:AT122)</f>
        <v>30560.627000000004</v>
      </c>
      <c r="AU123" s="16">
        <f t="shared" si="474"/>
        <v>34312.031000000003</v>
      </c>
      <c r="AV123" s="16">
        <f t="shared" ref="AV123:AY123" si="477">SUM(AV121:AV122)</f>
        <v>37744.159</v>
      </c>
      <c r="AW123" s="16">
        <f t="shared" si="477"/>
        <v>47537.851999999999</v>
      </c>
      <c r="AX123" s="16">
        <f t="shared" si="477"/>
        <v>48009.366000000002</v>
      </c>
      <c r="AY123" s="16">
        <f t="shared" si="477"/>
        <v>55420.164999999994</v>
      </c>
      <c r="AZ123" s="16">
        <f t="shared" ref="AZ123:BC123" si="478">SUM(AZ121:AZ122)</f>
        <v>65286.991999999998</v>
      </c>
      <c r="BA123" s="16">
        <f t="shared" si="478"/>
        <v>68473.202999999994</v>
      </c>
      <c r="BB123" s="16">
        <f t="shared" si="478"/>
        <v>57345.380000000005</v>
      </c>
      <c r="BC123" s="16">
        <f t="shared" si="478"/>
        <v>58252.407999999996</v>
      </c>
      <c r="BD123" s="16"/>
      <c r="BE123" s="16">
        <f t="shared" ref="BE123:BF123" si="479">SUM(BE121:BE122)</f>
        <v>34312.031000000003</v>
      </c>
      <c r="BF123" s="16">
        <f t="shared" si="479"/>
        <v>37744.159</v>
      </c>
      <c r="BG123" s="16">
        <f t="shared" ref="BG123:BI123" si="480">SUM(BG121:BG122)</f>
        <v>47537.851999999999</v>
      </c>
      <c r="BH123" s="16">
        <f t="shared" si="480"/>
        <v>62840.577000000005</v>
      </c>
      <c r="BI123" s="16">
        <f t="shared" si="480"/>
        <v>55420.164999999994</v>
      </c>
      <c r="BJ123" s="16"/>
      <c r="BK123" s="38"/>
      <c r="BL123" s="38"/>
      <c r="BM123" s="38"/>
      <c r="BN123" s="38"/>
      <c r="BO123" s="38"/>
      <c r="BP123" s="16"/>
      <c r="BQ123" s="11"/>
    </row>
    <row r="124" spans="2:69" s="7" customFormat="1" ht="12.75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BJ124" s="16"/>
      <c r="BK124" s="38"/>
      <c r="BL124" s="38"/>
      <c r="BM124" s="38"/>
      <c r="BN124" s="38"/>
      <c r="BO124" s="38"/>
      <c r="BP124" s="16"/>
      <c r="BQ124" s="11"/>
    </row>
    <row r="125" spans="2:69" s="7" customFormat="1" ht="12.75">
      <c r="B125" s="25" t="s">
        <v>24</v>
      </c>
      <c r="C125" s="22">
        <v>2288.3389999999999</v>
      </c>
      <c r="D125" s="22">
        <v>3189.8649999999998</v>
      </c>
      <c r="E125" s="22">
        <v>3378.761</v>
      </c>
      <c r="F125" s="22">
        <v>2027.5989999999999</v>
      </c>
      <c r="G125" s="22">
        <v>3824.32</v>
      </c>
      <c r="H125" s="22">
        <v>3004.8339999999998</v>
      </c>
      <c r="I125" s="22">
        <v>9254.8340000000007</v>
      </c>
      <c r="J125" s="22">
        <v>15249.46</v>
      </c>
      <c r="K125" s="22">
        <v>11657.222</v>
      </c>
      <c r="L125" s="22">
        <v>16830.554</v>
      </c>
      <c r="M125" s="22">
        <v>26308.144</v>
      </c>
      <c r="N125" s="22">
        <v>34435.341999999997</v>
      </c>
      <c r="O125" s="22">
        <v>23318.683000000001</v>
      </c>
      <c r="P125" s="23">
        <f>BC125</f>
        <v>17161.083999999999</v>
      </c>
      <c r="R125" s="22">
        <v>3482.933</v>
      </c>
      <c r="S125" s="22">
        <v>3091.1669999999999</v>
      </c>
      <c r="T125" s="22">
        <v>4036.1950000000002</v>
      </c>
      <c r="U125" s="23">
        <f>E125</f>
        <v>3378.761</v>
      </c>
      <c r="V125" s="22">
        <v>3830.0059999999999</v>
      </c>
      <c r="W125" s="22">
        <v>4118.2749999999996</v>
      </c>
      <c r="X125" s="22">
        <v>3815.902</v>
      </c>
      <c r="Y125" s="40">
        <f>F125</f>
        <v>2027.5989999999999</v>
      </c>
      <c r="Z125" s="22">
        <v>1219.355</v>
      </c>
      <c r="AA125" s="22">
        <f>2956</f>
        <v>2956</v>
      </c>
      <c r="AB125" s="22">
        <v>3532.3679999999999</v>
      </c>
      <c r="AC125" s="23">
        <f>G125</f>
        <v>3824.32</v>
      </c>
      <c r="AD125" s="22">
        <v>3367.634</v>
      </c>
      <c r="AE125" s="22">
        <v>2762.136</v>
      </c>
      <c r="AF125" s="22">
        <v>2862.6089999999999</v>
      </c>
      <c r="AG125" s="23">
        <f>H125</f>
        <v>3004.8339999999998</v>
      </c>
      <c r="AH125" s="22">
        <v>2985.1129999999998</v>
      </c>
      <c r="AI125" s="22">
        <v>3324.0520000000001</v>
      </c>
      <c r="AJ125" s="22">
        <v>3765.4110000000001</v>
      </c>
      <c r="AK125" s="23">
        <f>I125</f>
        <v>9254.8340000000007</v>
      </c>
      <c r="AL125" s="23">
        <f>J125</f>
        <v>15249.46</v>
      </c>
      <c r="AM125" s="22">
        <v>9861.4920000000002</v>
      </c>
      <c r="AN125" s="22">
        <v>16616.157999999999</v>
      </c>
      <c r="AO125" s="22">
        <v>8758.0139999999992</v>
      </c>
      <c r="AP125" s="22">
        <v>8758.0139999999992</v>
      </c>
      <c r="AQ125" s="22">
        <v>9682.9500000000007</v>
      </c>
      <c r="AR125" s="22">
        <v>9682.9500000000007</v>
      </c>
      <c r="AS125" s="23">
        <f>K125</f>
        <v>11657.222</v>
      </c>
      <c r="AT125" s="23">
        <f>K125</f>
        <v>11657.222</v>
      </c>
      <c r="AU125" s="22">
        <v>12662.493</v>
      </c>
      <c r="AV125" s="22">
        <v>16724.845000000001</v>
      </c>
      <c r="AW125" s="22">
        <v>23329.330999999998</v>
      </c>
      <c r="AX125" s="23">
        <f>M125</f>
        <v>26308.144</v>
      </c>
      <c r="AY125" s="22">
        <v>23936.928</v>
      </c>
      <c r="AZ125" s="22">
        <v>27391.387999999999</v>
      </c>
      <c r="BA125" s="22">
        <v>29570.256000000001</v>
      </c>
      <c r="BB125" s="23">
        <f t="shared" ref="BB125:BB126" si="481">O125</f>
        <v>23318.683000000001</v>
      </c>
      <c r="BC125" s="22">
        <v>17161.083999999999</v>
      </c>
      <c r="BD125" s="22"/>
      <c r="BE125" s="23">
        <f t="shared" ref="BE125:BG126" si="482">AU125</f>
        <v>12662.493</v>
      </c>
      <c r="BF125" s="23">
        <f t="shared" si="482"/>
        <v>16724.845000000001</v>
      </c>
      <c r="BG125" s="23">
        <f t="shared" si="482"/>
        <v>23329.330999999998</v>
      </c>
      <c r="BH125" s="23">
        <f>N125</f>
        <v>34435.341999999997</v>
      </c>
      <c r="BI125" s="23">
        <f>AY125</f>
        <v>23936.928</v>
      </c>
      <c r="BJ125" s="22"/>
      <c r="BK125" s="38"/>
      <c r="BL125" s="38"/>
      <c r="BM125" s="38"/>
      <c r="BN125" s="38"/>
      <c r="BO125" s="38"/>
      <c r="BP125" s="22"/>
      <c r="BQ125" s="11"/>
    </row>
    <row r="126" spans="2:69" s="7" customFormat="1" ht="12.75">
      <c r="B126" s="11" t="s">
        <v>18</v>
      </c>
      <c r="C126" s="22">
        <v>0.755</v>
      </c>
      <c r="D126" s="22">
        <v>0.61899999999999999</v>
      </c>
      <c r="E126" s="22">
        <v>0.70199999999999996</v>
      </c>
      <c r="F126" s="22">
        <v>3057.4589999999998</v>
      </c>
      <c r="G126" s="22">
        <v>3639.4740000000002</v>
      </c>
      <c r="H126" s="22">
        <v>6414.8689999999997</v>
      </c>
      <c r="I126" s="22">
        <v>210.49700000000001</v>
      </c>
      <c r="J126" s="22">
        <v>346.84199999999998</v>
      </c>
      <c r="K126" s="22">
        <v>4.2300000000000004</v>
      </c>
      <c r="L126" s="22">
        <v>6.1070000000000002</v>
      </c>
      <c r="M126" s="22">
        <v>5.4429999999999996</v>
      </c>
      <c r="N126" s="22">
        <v>7.1239999999999997</v>
      </c>
      <c r="O126" s="22">
        <v>6.42</v>
      </c>
      <c r="P126" s="23">
        <f>BC126</f>
        <v>6.6139999999999999</v>
      </c>
      <c r="R126" s="22">
        <v>0.57999999999999996</v>
      </c>
      <c r="S126" s="22">
        <v>0.59899999999999998</v>
      </c>
      <c r="T126" s="22">
        <v>0.73399999999999999</v>
      </c>
      <c r="U126" s="23">
        <f>E126</f>
        <v>0.70199999999999996</v>
      </c>
      <c r="V126" s="22">
        <v>0.751</v>
      </c>
      <c r="W126" s="22">
        <v>0.81899999999999995</v>
      </c>
      <c r="X126" s="22">
        <v>0.72099999999999997</v>
      </c>
      <c r="Y126" s="40">
        <f>F126</f>
        <v>3057.4589999999998</v>
      </c>
      <c r="Z126" s="22">
        <v>3820.23</v>
      </c>
      <c r="AA126" s="22">
        <v>3605.7280000000001</v>
      </c>
      <c r="AB126" s="22">
        <v>2374.6410000000001</v>
      </c>
      <c r="AC126" s="23">
        <f>G126</f>
        <v>3639.4740000000002</v>
      </c>
      <c r="AD126" s="22">
        <v>5597.49</v>
      </c>
      <c r="AE126" s="22">
        <v>6005.89</v>
      </c>
      <c r="AF126" s="22">
        <v>4277.96</v>
      </c>
      <c r="AG126" s="23">
        <f>H126</f>
        <v>6414.8689999999997</v>
      </c>
      <c r="AH126" s="22">
        <v>6345.1080000000002</v>
      </c>
      <c r="AI126" s="22">
        <v>6366.1260000000002</v>
      </c>
      <c r="AJ126" s="22">
        <v>5721.3459999999995</v>
      </c>
      <c r="AK126" s="23">
        <f>I126</f>
        <v>210.49700000000001</v>
      </c>
      <c r="AL126" s="23">
        <f>J126</f>
        <v>346.84199999999998</v>
      </c>
      <c r="AM126" s="22">
        <v>3.2</v>
      </c>
      <c r="AN126" s="22">
        <v>3.2</v>
      </c>
      <c r="AO126" s="22">
        <v>3.9569999999999999</v>
      </c>
      <c r="AP126" s="22">
        <v>3.9569999999999999</v>
      </c>
      <c r="AQ126" s="22">
        <v>3.5649999999999999</v>
      </c>
      <c r="AR126" s="22">
        <v>3.5649999999999999</v>
      </c>
      <c r="AS126" s="23">
        <f>K126</f>
        <v>4.2300000000000004</v>
      </c>
      <c r="AT126" s="23">
        <f>K126</f>
        <v>4.2300000000000004</v>
      </c>
      <c r="AU126" s="22">
        <v>4.5940000000000003</v>
      </c>
      <c r="AV126" s="22">
        <v>4.6639999999999997</v>
      </c>
      <c r="AW126" s="22">
        <v>4.8250000000000002</v>
      </c>
      <c r="AX126" s="23">
        <f>M126</f>
        <v>5.4429999999999996</v>
      </c>
      <c r="AY126" s="22">
        <v>5.7679999999999998</v>
      </c>
      <c r="AZ126" s="22">
        <v>6.0209999999999999</v>
      </c>
      <c r="BA126" s="22">
        <v>6.2450000000000001</v>
      </c>
      <c r="BB126" s="23">
        <f t="shared" si="481"/>
        <v>6.42</v>
      </c>
      <c r="BC126" s="22">
        <v>6.6139999999999999</v>
      </c>
      <c r="BD126" s="22"/>
      <c r="BE126" s="23">
        <f t="shared" si="482"/>
        <v>4.5940000000000003</v>
      </c>
      <c r="BF126" s="23">
        <f t="shared" si="482"/>
        <v>4.6639999999999997</v>
      </c>
      <c r="BG126" s="23">
        <f t="shared" si="482"/>
        <v>4.8250000000000002</v>
      </c>
      <c r="BH126" s="23">
        <f>N126</f>
        <v>7.1239999999999997</v>
      </c>
      <c r="BI126" s="23">
        <f>AY126</f>
        <v>5.7679999999999998</v>
      </c>
      <c r="BJ126" s="22"/>
      <c r="BK126" s="38"/>
      <c r="BL126" s="38"/>
      <c r="BM126" s="38"/>
      <c r="BN126" s="38"/>
      <c r="BO126" s="38"/>
      <c r="BP126" s="22"/>
      <c r="BQ126" s="11"/>
    </row>
    <row r="127" spans="2:69">
      <c r="B127" s="32" t="s">
        <v>30</v>
      </c>
      <c r="C127" s="16">
        <f t="shared" ref="C127:E127" si="483">SUM(C125:C126)</f>
        <v>2289.0940000000001</v>
      </c>
      <c r="D127" s="16">
        <f t="shared" si="483"/>
        <v>3190.4839999999999</v>
      </c>
      <c r="E127" s="16">
        <f t="shared" si="483"/>
        <v>3379.4630000000002</v>
      </c>
      <c r="F127" s="16">
        <f t="shared" ref="F127:K127" si="484">SUM(F125:F126)</f>
        <v>5085.058</v>
      </c>
      <c r="G127" s="16">
        <f t="shared" si="484"/>
        <v>7463.7939999999999</v>
      </c>
      <c r="H127" s="16">
        <f t="shared" si="484"/>
        <v>9419.7029999999995</v>
      </c>
      <c r="I127" s="16">
        <f t="shared" si="484"/>
        <v>9465.3310000000001</v>
      </c>
      <c r="J127" s="16">
        <f t="shared" si="484"/>
        <v>15596.302</v>
      </c>
      <c r="K127" s="16">
        <f t="shared" si="484"/>
        <v>11661.451999999999</v>
      </c>
      <c r="L127" s="16">
        <f t="shared" ref="L127:M127" si="485">SUM(L125:L126)</f>
        <v>16836.661</v>
      </c>
      <c r="M127" s="16">
        <f t="shared" si="485"/>
        <v>26313.587</v>
      </c>
      <c r="N127" s="16">
        <f t="shared" ref="N127:O127" si="486">SUM(N125:N126)</f>
        <v>34442.466</v>
      </c>
      <c r="O127" s="16">
        <f t="shared" si="486"/>
        <v>23325.102999999999</v>
      </c>
      <c r="P127" s="16">
        <f>SUM(P125:P126)</f>
        <v>17167.698</v>
      </c>
      <c r="R127" s="16">
        <f t="shared" ref="R127:BC127" si="487">SUM(R125:R126)</f>
        <v>3483.5129999999999</v>
      </c>
      <c r="S127" s="16">
        <f t="shared" si="487"/>
        <v>3091.7660000000001</v>
      </c>
      <c r="T127" s="16">
        <f t="shared" si="487"/>
        <v>4036.9290000000001</v>
      </c>
      <c r="U127" s="16">
        <f t="shared" si="487"/>
        <v>3379.4630000000002</v>
      </c>
      <c r="V127" s="16">
        <f t="shared" si="487"/>
        <v>3830.7570000000001</v>
      </c>
      <c r="W127" s="16">
        <f t="shared" si="487"/>
        <v>4119.0940000000001</v>
      </c>
      <c r="X127" s="16">
        <f t="shared" si="487"/>
        <v>3816.623</v>
      </c>
      <c r="Y127" s="49">
        <f t="shared" si="487"/>
        <v>5085.058</v>
      </c>
      <c r="Z127" s="16">
        <f t="shared" si="487"/>
        <v>5039.585</v>
      </c>
      <c r="AA127" s="16">
        <f t="shared" si="487"/>
        <v>6561.7280000000001</v>
      </c>
      <c r="AB127" s="16">
        <f t="shared" si="487"/>
        <v>5907.009</v>
      </c>
      <c r="AC127" s="49">
        <f t="shared" si="487"/>
        <v>7463.7939999999999</v>
      </c>
      <c r="AD127" s="16">
        <f t="shared" si="487"/>
        <v>8965.1239999999998</v>
      </c>
      <c r="AE127" s="16">
        <f t="shared" si="487"/>
        <v>8768.0259999999998</v>
      </c>
      <c r="AF127" s="16">
        <f t="shared" si="487"/>
        <v>7140.5689999999995</v>
      </c>
      <c r="AG127" s="49">
        <f t="shared" si="487"/>
        <v>9419.7029999999995</v>
      </c>
      <c r="AH127" s="16">
        <f t="shared" si="487"/>
        <v>9330.2209999999995</v>
      </c>
      <c r="AI127" s="16">
        <f t="shared" si="487"/>
        <v>9690.1779999999999</v>
      </c>
      <c r="AJ127" s="16">
        <f t="shared" si="487"/>
        <v>9486.7569999999996</v>
      </c>
      <c r="AK127" s="49">
        <f t="shared" si="487"/>
        <v>9465.3310000000001</v>
      </c>
      <c r="AL127" s="49">
        <f t="shared" si="487"/>
        <v>15596.302</v>
      </c>
      <c r="AM127" s="16">
        <f t="shared" si="487"/>
        <v>9864.6920000000009</v>
      </c>
      <c r="AN127" s="16">
        <f t="shared" si="487"/>
        <v>16619.358</v>
      </c>
      <c r="AO127" s="16">
        <f t="shared" si="487"/>
        <v>8761.9709999999995</v>
      </c>
      <c r="AP127" s="16">
        <f t="shared" si="487"/>
        <v>8761.9709999999995</v>
      </c>
      <c r="AQ127" s="16">
        <f t="shared" si="487"/>
        <v>9686.5150000000012</v>
      </c>
      <c r="AR127" s="16">
        <f t="shared" si="487"/>
        <v>9686.5150000000012</v>
      </c>
      <c r="AS127" s="49">
        <f t="shared" si="487"/>
        <v>11661.451999999999</v>
      </c>
      <c r="AT127" s="49">
        <f t="shared" si="487"/>
        <v>11661.451999999999</v>
      </c>
      <c r="AU127" s="16">
        <f t="shared" si="487"/>
        <v>12667.087</v>
      </c>
      <c r="AV127" s="16">
        <f t="shared" si="487"/>
        <v>16729.509000000002</v>
      </c>
      <c r="AW127" s="16">
        <f t="shared" si="487"/>
        <v>23334.155999999999</v>
      </c>
      <c r="AX127" s="49">
        <f t="shared" si="487"/>
        <v>26313.587</v>
      </c>
      <c r="AY127" s="16">
        <f t="shared" si="487"/>
        <v>23942.696</v>
      </c>
      <c r="AZ127" s="16">
        <f t="shared" si="487"/>
        <v>27397.409</v>
      </c>
      <c r="BA127" s="16">
        <f t="shared" si="487"/>
        <v>29576.501</v>
      </c>
      <c r="BB127" s="49">
        <f t="shared" si="487"/>
        <v>23325.102999999999</v>
      </c>
      <c r="BC127" s="16">
        <f t="shared" si="487"/>
        <v>17167.698</v>
      </c>
      <c r="BD127" s="16"/>
      <c r="BE127" s="16">
        <f>SUM(BE125:BE126)</f>
        <v>12667.087</v>
      </c>
      <c r="BF127" s="16">
        <f>SUM(BF125:BF126)</f>
        <v>16729.509000000002</v>
      </c>
      <c r="BG127" s="16">
        <f>SUM(BG125:BG126)</f>
        <v>23334.155999999999</v>
      </c>
      <c r="BH127" s="16">
        <f>SUM(BH125:BH126)</f>
        <v>34442.466</v>
      </c>
      <c r="BI127" s="16">
        <f>SUM(BI125:BI126)</f>
        <v>23942.696</v>
      </c>
      <c r="BJ127" s="16"/>
      <c r="BK127" s="38"/>
      <c r="BL127" s="38"/>
      <c r="BM127" s="38"/>
      <c r="BN127" s="38"/>
      <c r="BO127" s="38"/>
      <c r="BP127" s="16"/>
    </row>
    <row r="128" spans="2:69">
      <c r="B128" s="25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3"/>
      <c r="R128" s="22"/>
      <c r="S128" s="22"/>
      <c r="T128" s="22"/>
      <c r="U128" s="23"/>
      <c r="V128" s="22"/>
      <c r="W128" s="22"/>
      <c r="X128" s="22"/>
      <c r="Y128" s="40"/>
      <c r="Z128" s="22"/>
      <c r="AA128" s="22"/>
      <c r="AB128" s="22"/>
      <c r="AC128" s="40"/>
      <c r="AD128" s="22"/>
      <c r="AE128" s="22"/>
      <c r="AF128" s="22"/>
      <c r="AG128" s="40"/>
      <c r="AH128" s="22"/>
      <c r="AI128" s="22"/>
      <c r="AJ128" s="22"/>
      <c r="AK128" s="40"/>
      <c r="AL128" s="40"/>
      <c r="AM128" s="22"/>
      <c r="AN128" s="22"/>
      <c r="AO128" s="22"/>
      <c r="AP128" s="22"/>
      <c r="AQ128" s="22"/>
      <c r="AR128" s="22"/>
      <c r="AS128" s="40"/>
      <c r="AT128" s="40"/>
      <c r="AU128" s="22"/>
      <c r="AV128" s="22"/>
      <c r="AW128" s="22"/>
      <c r="AX128" s="40"/>
      <c r="AY128" s="22"/>
      <c r="AZ128" s="22"/>
      <c r="BA128" s="22"/>
      <c r="BB128" s="40"/>
      <c r="BC128" s="22"/>
      <c r="BD128" s="22"/>
      <c r="BE128" s="22"/>
      <c r="BF128" s="22"/>
      <c r="BG128" s="22"/>
      <c r="BH128" s="22"/>
      <c r="BI128" s="22"/>
      <c r="BJ128" s="22"/>
      <c r="BK128" s="38"/>
      <c r="BL128" s="38"/>
      <c r="BM128" s="38"/>
      <c r="BN128" s="38"/>
      <c r="BO128" s="38"/>
      <c r="BP128" s="22"/>
    </row>
    <row r="129" spans="2:69">
      <c r="B129" s="7" t="s">
        <v>254</v>
      </c>
      <c r="C129" s="16">
        <f t="shared" ref="C129:G129" si="488">+C123-C125</f>
        <v>664.51500000000033</v>
      </c>
      <c r="D129" s="16">
        <f t="shared" si="488"/>
        <v>1120.5380000000005</v>
      </c>
      <c r="E129" s="16">
        <f t="shared" si="488"/>
        <v>1866.9919999999997</v>
      </c>
      <c r="F129" s="16">
        <f t="shared" si="488"/>
        <v>3850.0689999999995</v>
      </c>
      <c r="G129" s="16">
        <f t="shared" si="488"/>
        <v>5513.9310000000005</v>
      </c>
      <c r="H129" s="16">
        <f t="shared" ref="H129:I129" si="489">+H123-H125</f>
        <v>15140.640000000003</v>
      </c>
      <c r="I129" s="16">
        <f t="shared" si="489"/>
        <v>14485.231999999998</v>
      </c>
      <c r="J129" s="16">
        <f t="shared" ref="J129" si="490">+J123-J125</f>
        <v>23867.739000000001</v>
      </c>
      <c r="K129" s="16">
        <f t="shared" ref="K129" si="491">+K123-K125</f>
        <v>18903.405000000006</v>
      </c>
      <c r="L129" s="16">
        <f t="shared" ref="L129:M129" si="492">+L123-L125</f>
        <v>27296.277999999995</v>
      </c>
      <c r="M129" s="16">
        <f t="shared" si="492"/>
        <v>21701.222000000002</v>
      </c>
      <c r="N129" s="16">
        <f t="shared" ref="N129:O129" si="493">+N123-N125</f>
        <v>28405.235000000008</v>
      </c>
      <c r="O129" s="16">
        <f t="shared" si="493"/>
        <v>34026.697</v>
      </c>
      <c r="P129" s="16">
        <f>+P123-P125</f>
        <v>41091.323999999993</v>
      </c>
      <c r="R129" s="16">
        <f t="shared" ref="R129:BC129" si="494">+R123-R125</f>
        <v>1223.6600000000008</v>
      </c>
      <c r="S129" s="16">
        <f t="shared" si="494"/>
        <v>1707.8800000000006</v>
      </c>
      <c r="T129" s="16">
        <f t="shared" si="494"/>
        <v>2138.569</v>
      </c>
      <c r="U129" s="16">
        <f t="shared" si="494"/>
        <v>1866.9919999999997</v>
      </c>
      <c r="V129" s="16">
        <f t="shared" si="494"/>
        <v>1727.2960000000007</v>
      </c>
      <c r="W129" s="16">
        <f t="shared" si="494"/>
        <v>1765.1100000000006</v>
      </c>
      <c r="X129" s="16">
        <f t="shared" si="494"/>
        <v>1938.1509999999998</v>
      </c>
      <c r="Y129" s="16">
        <f t="shared" si="494"/>
        <v>3850.0689999999995</v>
      </c>
      <c r="Z129" s="16">
        <f t="shared" si="494"/>
        <v>5148.405999999999</v>
      </c>
      <c r="AA129" s="16">
        <f t="shared" si="494"/>
        <v>4219.8670000000002</v>
      </c>
      <c r="AB129" s="16">
        <f t="shared" si="494"/>
        <v>4873.9979999999996</v>
      </c>
      <c r="AC129" s="16">
        <f t="shared" si="494"/>
        <v>5513.9310000000005</v>
      </c>
      <c r="AD129" s="16">
        <f t="shared" si="494"/>
        <v>7175.5019999999986</v>
      </c>
      <c r="AE129" s="16">
        <f t="shared" si="494"/>
        <v>8001.6209999999992</v>
      </c>
      <c r="AF129" s="16">
        <f t="shared" si="494"/>
        <v>9835.8059999999987</v>
      </c>
      <c r="AG129" s="16">
        <f t="shared" si="494"/>
        <v>8411.0960000000014</v>
      </c>
      <c r="AH129" s="16">
        <f t="shared" si="494"/>
        <v>16859.141999999996</v>
      </c>
      <c r="AI129" s="16">
        <f t="shared" si="494"/>
        <v>18746.528999999999</v>
      </c>
      <c r="AJ129" s="16">
        <f t="shared" si="494"/>
        <v>20450.067000000003</v>
      </c>
      <c r="AK129" s="16">
        <f t="shared" si="494"/>
        <v>14485.231999999998</v>
      </c>
      <c r="AL129" s="16">
        <f t="shared" si="494"/>
        <v>23867.739000000001</v>
      </c>
      <c r="AM129" s="16">
        <f t="shared" si="494"/>
        <v>15338.821000000002</v>
      </c>
      <c r="AN129" s="16">
        <f t="shared" si="494"/>
        <v>8584.1550000000025</v>
      </c>
      <c r="AO129" s="16">
        <f t="shared" si="494"/>
        <v>19845.122000000003</v>
      </c>
      <c r="AP129" s="16">
        <f t="shared" si="494"/>
        <v>19845.122000000003</v>
      </c>
      <c r="AQ129" s="16">
        <f t="shared" si="494"/>
        <v>18888.603999999999</v>
      </c>
      <c r="AR129" s="16">
        <f t="shared" si="494"/>
        <v>18888.603999999999</v>
      </c>
      <c r="AS129" s="16">
        <f t="shared" si="494"/>
        <v>18903.405000000006</v>
      </c>
      <c r="AT129" s="16">
        <f t="shared" si="494"/>
        <v>18903.405000000006</v>
      </c>
      <c r="AU129" s="16">
        <f t="shared" si="494"/>
        <v>21649.538</v>
      </c>
      <c r="AV129" s="16">
        <f t="shared" si="494"/>
        <v>21019.313999999998</v>
      </c>
      <c r="AW129" s="16">
        <f t="shared" si="494"/>
        <v>24208.521000000001</v>
      </c>
      <c r="AX129" s="16">
        <f t="shared" si="494"/>
        <v>21701.222000000002</v>
      </c>
      <c r="AY129" s="16">
        <f t="shared" si="494"/>
        <v>31483.236999999994</v>
      </c>
      <c r="AZ129" s="16">
        <f t="shared" si="494"/>
        <v>37895.603999999999</v>
      </c>
      <c r="BA129" s="16">
        <f t="shared" si="494"/>
        <v>38902.946999999993</v>
      </c>
      <c r="BB129" s="16">
        <f t="shared" si="494"/>
        <v>34026.697</v>
      </c>
      <c r="BC129" s="16">
        <f t="shared" si="494"/>
        <v>41091.323999999993</v>
      </c>
      <c r="BD129" s="16"/>
      <c r="BE129" s="16">
        <f>+BE123-BE125</f>
        <v>21649.538</v>
      </c>
      <c r="BF129" s="16">
        <f>+BF123-BF125</f>
        <v>21019.313999999998</v>
      </c>
      <c r="BG129" s="16">
        <f>+BG123-BG125</f>
        <v>24208.521000000001</v>
      </c>
      <c r="BH129" s="16">
        <f>+BH123-BH125</f>
        <v>28405.235000000008</v>
      </c>
      <c r="BI129" s="16">
        <f>+BI123-BI125</f>
        <v>31483.236999999994</v>
      </c>
      <c r="BJ129" s="16"/>
      <c r="BK129" s="38"/>
      <c r="BL129" s="38"/>
      <c r="BM129" s="38"/>
      <c r="BN129" s="38"/>
      <c r="BO129" s="38"/>
      <c r="BP129" s="16"/>
    </row>
    <row r="130" spans="2:69">
      <c r="B130" s="7" t="s">
        <v>255</v>
      </c>
      <c r="C130" s="16">
        <f t="shared" ref="C130:G130" si="495">+C123-C127</f>
        <v>663.76000000000022</v>
      </c>
      <c r="D130" s="16">
        <f t="shared" si="495"/>
        <v>1119.9190000000003</v>
      </c>
      <c r="E130" s="16">
        <f t="shared" si="495"/>
        <v>1866.2899999999995</v>
      </c>
      <c r="F130" s="16">
        <f t="shared" si="495"/>
        <v>792.60999999999967</v>
      </c>
      <c r="G130" s="16">
        <f t="shared" si="495"/>
        <v>1874.4570000000003</v>
      </c>
      <c r="H130" s="16">
        <f t="shared" ref="H130:I130" si="496">+H123-H127</f>
        <v>8725.7710000000025</v>
      </c>
      <c r="I130" s="16">
        <f t="shared" si="496"/>
        <v>14274.734999999999</v>
      </c>
      <c r="J130" s="16">
        <f t="shared" ref="J130" si="497">+J123-J127</f>
        <v>23520.897000000001</v>
      </c>
      <c r="K130" s="16">
        <f t="shared" ref="K130" si="498">+K123-K127</f>
        <v>18899.175000000003</v>
      </c>
      <c r="L130" s="16">
        <f t="shared" ref="L130:M130" si="499">+L123-L127</f>
        <v>27290.170999999995</v>
      </c>
      <c r="M130" s="16">
        <f t="shared" si="499"/>
        <v>21695.779000000002</v>
      </c>
      <c r="N130" s="16">
        <f t="shared" ref="N130:O130" si="500">+N123-N127</f>
        <v>28398.111000000004</v>
      </c>
      <c r="O130" s="16">
        <f t="shared" si="500"/>
        <v>34020.277000000002</v>
      </c>
      <c r="P130" s="16">
        <f>+P123-P127</f>
        <v>41084.709999999992</v>
      </c>
      <c r="R130" s="16">
        <f t="shared" ref="R130:AB130" si="501">+R123-R127</f>
        <v>1223.0800000000008</v>
      </c>
      <c r="S130" s="16">
        <f t="shared" si="501"/>
        <v>1707.2810000000004</v>
      </c>
      <c r="T130" s="16">
        <f t="shared" si="501"/>
        <v>2137.835</v>
      </c>
      <c r="U130" s="16">
        <f t="shared" si="501"/>
        <v>1866.2899999999995</v>
      </c>
      <c r="V130" s="16">
        <f t="shared" si="501"/>
        <v>1726.5450000000005</v>
      </c>
      <c r="W130" s="16">
        <f t="shared" si="501"/>
        <v>1764.2910000000002</v>
      </c>
      <c r="X130" s="16">
        <f t="shared" si="501"/>
        <v>1937.4299999999998</v>
      </c>
      <c r="Y130" s="16">
        <f t="shared" si="501"/>
        <v>792.60999999999967</v>
      </c>
      <c r="Z130" s="16">
        <f t="shared" si="501"/>
        <v>1328.1759999999995</v>
      </c>
      <c r="AA130" s="16">
        <f t="shared" si="501"/>
        <v>614.13900000000012</v>
      </c>
      <c r="AB130" s="16">
        <f t="shared" si="501"/>
        <v>2499.357</v>
      </c>
      <c r="AC130" s="16">
        <f t="shared" ref="AC130:AF130" si="502">+AC123-AC127</f>
        <v>1874.4570000000003</v>
      </c>
      <c r="AD130" s="16">
        <f t="shared" si="502"/>
        <v>1578.0119999999988</v>
      </c>
      <c r="AE130" s="16">
        <f t="shared" si="502"/>
        <v>1995.7309999999998</v>
      </c>
      <c r="AF130" s="16">
        <f t="shared" si="502"/>
        <v>5557.8459999999995</v>
      </c>
      <c r="AG130" s="16">
        <f t="shared" ref="AG130:AH130" si="503">+AG123-AG127</f>
        <v>1996.2270000000008</v>
      </c>
      <c r="AH130" s="16">
        <f t="shared" si="503"/>
        <v>10514.033999999998</v>
      </c>
      <c r="AI130" s="16">
        <f t="shared" ref="AI130:AM130" si="504">+AI123-AI127</f>
        <v>12380.402999999998</v>
      </c>
      <c r="AJ130" s="16">
        <f t="shared" si="504"/>
        <v>14728.721000000003</v>
      </c>
      <c r="AK130" s="16">
        <f t="shared" si="504"/>
        <v>14274.734999999999</v>
      </c>
      <c r="AL130" s="16">
        <f t="shared" ref="AL130" si="505">+AL123-AL127</f>
        <v>23520.897000000001</v>
      </c>
      <c r="AM130" s="16">
        <f t="shared" si="504"/>
        <v>15335.621000000001</v>
      </c>
      <c r="AN130" s="16">
        <f t="shared" ref="AN130" si="506">+AN123-AN127</f>
        <v>8580.9550000000017</v>
      </c>
      <c r="AO130" s="16">
        <f t="shared" ref="AO130:AS130" si="507">+AO123-AO127</f>
        <v>19841.165000000001</v>
      </c>
      <c r="AP130" s="16">
        <f t="shared" si="507"/>
        <v>19841.165000000001</v>
      </c>
      <c r="AQ130" s="16">
        <f t="shared" si="507"/>
        <v>18885.038999999997</v>
      </c>
      <c r="AR130" s="16">
        <f t="shared" ref="AR130" si="508">+AR123-AR127</f>
        <v>18885.038999999997</v>
      </c>
      <c r="AS130" s="16">
        <f t="shared" si="507"/>
        <v>18899.175000000003</v>
      </c>
      <c r="AT130" s="16">
        <f t="shared" ref="AT130" si="509">+AT123-AT127</f>
        <v>18899.175000000003</v>
      </c>
      <c r="AU130" s="16">
        <f>+AU123-AU127</f>
        <v>21644.944000000003</v>
      </c>
      <c r="AV130" s="16">
        <f>+AV123-AV127</f>
        <v>21014.649999999998</v>
      </c>
      <c r="AW130" s="16">
        <f t="shared" ref="AW130:AX130" si="510">+AW123-AW127</f>
        <v>24203.696</v>
      </c>
      <c r="AX130" s="16">
        <f t="shared" si="510"/>
        <v>21695.779000000002</v>
      </c>
      <c r="AY130" s="16">
        <f>+AY123-AY127</f>
        <v>31477.468999999994</v>
      </c>
      <c r="AZ130" s="16">
        <f>+AZ123-AZ127</f>
        <v>37889.582999999999</v>
      </c>
      <c r="BA130" s="16">
        <f t="shared" ref="BA130:BB130" si="511">+BA123-BA127</f>
        <v>38896.70199999999</v>
      </c>
      <c r="BB130" s="16">
        <f t="shared" si="511"/>
        <v>34020.277000000002</v>
      </c>
      <c r="BC130" s="16">
        <f>+BC123-BC127</f>
        <v>41084.709999999992</v>
      </c>
      <c r="BD130" s="16"/>
      <c r="BE130" s="16">
        <f>+BE123-BE127</f>
        <v>21644.944000000003</v>
      </c>
      <c r="BF130" s="16">
        <f>+BF123-BF127</f>
        <v>21014.649999999998</v>
      </c>
      <c r="BG130" s="16">
        <f>+BG123-BG127</f>
        <v>24203.696</v>
      </c>
      <c r="BH130" s="16">
        <f>+BH123-BH127</f>
        <v>28398.111000000004</v>
      </c>
      <c r="BI130" s="16">
        <f>+BI123-BI127</f>
        <v>31477.468999999994</v>
      </c>
      <c r="BJ130" s="16"/>
      <c r="BK130" s="38"/>
      <c r="BL130" s="38"/>
      <c r="BM130" s="38"/>
      <c r="BN130" s="38"/>
      <c r="BO130" s="38"/>
      <c r="BP130" s="16"/>
    </row>
    <row r="131" spans="2:69"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16"/>
      <c r="R131" s="46"/>
      <c r="S131" s="46"/>
      <c r="T131" s="46"/>
      <c r="U131" s="47"/>
      <c r="V131" s="48"/>
      <c r="W131" s="16"/>
      <c r="X131" s="16"/>
      <c r="Y131" s="48"/>
      <c r="Z131" s="48"/>
      <c r="AA131" s="16"/>
      <c r="AB131" s="16"/>
      <c r="AC131" s="48"/>
      <c r="AD131" s="48"/>
      <c r="AE131" s="16"/>
      <c r="AF131" s="16"/>
      <c r="AG131" s="48"/>
      <c r="AH131" s="48"/>
      <c r="AI131" s="48"/>
      <c r="AJ131" s="16"/>
      <c r="AK131" s="48"/>
      <c r="AL131" s="48"/>
      <c r="AM131" s="48"/>
      <c r="AN131" s="48"/>
      <c r="AO131" s="48"/>
      <c r="AP131" s="48"/>
      <c r="AQ131" s="16"/>
      <c r="AR131" s="16"/>
      <c r="AS131" s="48"/>
      <c r="AT131" s="48"/>
      <c r="AU131" s="48"/>
      <c r="AV131" s="48"/>
      <c r="AW131" s="16"/>
      <c r="AX131" s="48"/>
      <c r="AY131" s="48"/>
      <c r="AZ131" s="48"/>
      <c r="BA131" s="16"/>
      <c r="BB131" s="48"/>
      <c r="BC131" s="48"/>
      <c r="BD131" s="48"/>
      <c r="BE131" s="48"/>
      <c r="BF131" s="48"/>
      <c r="BG131" s="48"/>
      <c r="BH131" s="48"/>
      <c r="BI131" s="48"/>
      <c r="BJ131" s="48"/>
      <c r="BK131" s="38"/>
      <c r="BL131" s="38"/>
      <c r="BM131" s="38"/>
      <c r="BN131" s="38"/>
      <c r="BO131" s="38"/>
      <c r="BP131" s="232"/>
    </row>
    <row r="132" spans="2:69">
      <c r="B132" s="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6"/>
      <c r="R132" s="15"/>
      <c r="S132" s="15"/>
      <c r="T132" s="15"/>
      <c r="U132" s="16"/>
      <c r="V132" s="15"/>
      <c r="W132" s="15"/>
      <c r="X132" s="15"/>
      <c r="Y132" s="49"/>
      <c r="Z132" s="15"/>
      <c r="AA132" s="15"/>
      <c r="AB132" s="15"/>
      <c r="AC132" s="49"/>
      <c r="AD132" s="15"/>
      <c r="AE132" s="15"/>
      <c r="AF132" s="15"/>
      <c r="AG132" s="49"/>
      <c r="AH132" s="15"/>
      <c r="AI132" s="15"/>
      <c r="AJ132" s="15"/>
      <c r="AK132" s="49"/>
      <c r="AL132" s="49"/>
      <c r="AM132" s="15"/>
      <c r="AN132" s="15"/>
      <c r="AO132" s="15"/>
      <c r="AP132" s="15"/>
      <c r="AQ132" s="15"/>
      <c r="AR132" s="15"/>
      <c r="AS132" s="49"/>
      <c r="AT132" s="49"/>
      <c r="AU132" s="15"/>
      <c r="AV132" s="15"/>
      <c r="AW132" s="15"/>
      <c r="AX132" s="49"/>
      <c r="AY132" s="15"/>
      <c r="AZ132" s="15"/>
      <c r="BA132" s="15"/>
      <c r="BB132" s="49"/>
      <c r="BC132" s="15"/>
      <c r="BD132" s="15"/>
      <c r="BE132" s="15"/>
      <c r="BF132" s="15"/>
      <c r="BG132" s="15"/>
      <c r="BH132" s="15"/>
      <c r="BI132" s="15"/>
      <c r="BJ132" s="15"/>
      <c r="BK132" s="38"/>
      <c r="BL132" s="38"/>
      <c r="BM132" s="38"/>
      <c r="BN132" s="38"/>
      <c r="BO132" s="38"/>
      <c r="BP132" s="15"/>
    </row>
    <row r="133" spans="2:69">
      <c r="B133" s="11" t="s">
        <v>256</v>
      </c>
      <c r="C133" s="22">
        <v>1446.308</v>
      </c>
      <c r="D133" s="22">
        <v>2563.5369999999998</v>
      </c>
      <c r="E133" s="22">
        <v>3679.732</v>
      </c>
      <c r="F133" s="22">
        <v>4934.232</v>
      </c>
      <c r="G133" s="22">
        <v>6473.5609999999997</v>
      </c>
      <c r="H133" s="22">
        <v>4313.902</v>
      </c>
      <c r="I133" s="22">
        <v>7682.4920000000002</v>
      </c>
      <c r="J133" s="22">
        <v>15643.115</v>
      </c>
      <c r="K133" s="22">
        <v>19801.973000000002</v>
      </c>
      <c r="L133" s="22">
        <v>28589.846000000001</v>
      </c>
      <c r="M133" s="22">
        <v>33476.099000000002</v>
      </c>
      <c r="N133" s="22">
        <v>40946.74</v>
      </c>
      <c r="O133" s="22">
        <v>43301.841999999997</v>
      </c>
      <c r="P133" s="23">
        <f>BC133</f>
        <v>51814.711000000003</v>
      </c>
      <c r="R133" s="22">
        <v>2856.7089999999998</v>
      </c>
      <c r="S133" s="22">
        <v>2890.8649999999998</v>
      </c>
      <c r="T133" s="22">
        <v>3244.5569999999998</v>
      </c>
      <c r="U133" s="23">
        <f>E133</f>
        <v>3679.732</v>
      </c>
      <c r="V133" s="22">
        <v>4125.3500000000004</v>
      </c>
      <c r="W133" s="22">
        <v>4590.8360000000002</v>
      </c>
      <c r="X133" s="22">
        <v>4611.5540000000001</v>
      </c>
      <c r="Y133" s="40">
        <f>F133</f>
        <v>4934.232</v>
      </c>
      <c r="Z133" s="22">
        <v>4930.1139999999996</v>
      </c>
      <c r="AA133" s="22">
        <v>5628.7820000000002</v>
      </c>
      <c r="AB133" s="22">
        <v>6139.3760000000002</v>
      </c>
      <c r="AC133" s="23">
        <f>G133</f>
        <v>6473.5609999999997</v>
      </c>
      <c r="AD133" s="22">
        <v>7099.3559999999998</v>
      </c>
      <c r="AE133" s="22">
        <v>7103.4759999999997</v>
      </c>
      <c r="AF133" s="22">
        <v>3714.0410000000002</v>
      </c>
      <c r="AG133" s="23">
        <f>H133</f>
        <v>4313.902</v>
      </c>
      <c r="AH133" s="22">
        <v>4094.808</v>
      </c>
      <c r="AI133" s="22">
        <v>4233.107</v>
      </c>
      <c r="AJ133" s="22">
        <v>4550.8500000000004</v>
      </c>
      <c r="AK133" s="23">
        <f>I133</f>
        <v>7682.4920000000002</v>
      </c>
      <c r="AL133" s="23">
        <f>J133</f>
        <v>15643.115</v>
      </c>
      <c r="AM133" s="22">
        <v>8722.4419999999991</v>
      </c>
      <c r="AN133" s="22">
        <v>8722.4419999999991</v>
      </c>
      <c r="AO133" s="22">
        <v>8639.3240000000005</v>
      </c>
      <c r="AP133" s="22">
        <v>8639.3240000000005</v>
      </c>
      <c r="AQ133" s="22">
        <v>10509.041999999999</v>
      </c>
      <c r="AR133" s="22">
        <v>10509.041999999999</v>
      </c>
      <c r="AS133" s="23">
        <f>K133</f>
        <v>19801.973000000002</v>
      </c>
      <c r="AT133" s="23">
        <f>K133</f>
        <v>19801.973000000002</v>
      </c>
      <c r="AU133" s="22">
        <v>23486.438999999998</v>
      </c>
      <c r="AV133" s="22">
        <v>26009.65</v>
      </c>
      <c r="AW133" s="22">
        <v>29046.912</v>
      </c>
      <c r="AX133" s="23">
        <f>M133</f>
        <v>33476.099000000002</v>
      </c>
      <c r="AY133" s="22">
        <v>39176.542999999998</v>
      </c>
      <c r="AZ133" s="22">
        <v>38373.555</v>
      </c>
      <c r="BA133" s="22">
        <v>42583.578000000001</v>
      </c>
      <c r="BB133" s="23">
        <f t="shared" ref="BB133" si="512">O133</f>
        <v>43301.841999999997</v>
      </c>
      <c r="BC133" s="22">
        <v>51814.711000000003</v>
      </c>
      <c r="BD133" s="22"/>
      <c r="BE133" s="23">
        <f>AU133</f>
        <v>23486.438999999998</v>
      </c>
      <c r="BF133" s="23">
        <f>AV133</f>
        <v>26009.65</v>
      </c>
      <c r="BG133" s="23">
        <f>AW133</f>
        <v>29046.912</v>
      </c>
      <c r="BH133" s="23">
        <f>N133</f>
        <v>40946.74</v>
      </c>
      <c r="BI133" s="23">
        <f>AY133</f>
        <v>39176.542999999998</v>
      </c>
      <c r="BJ133" s="22"/>
      <c r="BK133" s="38"/>
      <c r="BL133" s="38"/>
      <c r="BM133" s="38"/>
      <c r="BN133" s="38"/>
      <c r="BO133" s="38"/>
      <c r="BP133" s="22"/>
    </row>
    <row r="134" spans="2:69" s="7" customFormat="1" ht="12.75">
      <c r="B134" s="7" t="s">
        <v>257</v>
      </c>
      <c r="C134" s="16">
        <f t="shared" ref="C134:G134" si="513">+C123+C133</f>
        <v>4399.1620000000003</v>
      </c>
      <c r="D134" s="16">
        <f t="shared" si="513"/>
        <v>6873.9400000000005</v>
      </c>
      <c r="E134" s="16">
        <f t="shared" si="513"/>
        <v>8925.4850000000006</v>
      </c>
      <c r="F134" s="16">
        <f t="shared" si="513"/>
        <v>10811.9</v>
      </c>
      <c r="G134" s="16">
        <f t="shared" si="513"/>
        <v>15811.812</v>
      </c>
      <c r="H134" s="16">
        <f t="shared" ref="H134:I134" si="514">+H123+H133</f>
        <v>22459.376000000004</v>
      </c>
      <c r="I134" s="16">
        <f t="shared" si="514"/>
        <v>31422.557999999997</v>
      </c>
      <c r="J134" s="16">
        <f t="shared" ref="J134" si="515">+J123+J133</f>
        <v>54760.313999999998</v>
      </c>
      <c r="K134" s="16">
        <f t="shared" ref="K134" si="516">+K123+K133</f>
        <v>50362.600000000006</v>
      </c>
      <c r="L134" s="16">
        <f t="shared" ref="L134:M134" si="517">+L123+L133</f>
        <v>72716.678</v>
      </c>
      <c r="M134" s="16">
        <f t="shared" si="517"/>
        <v>81485.464999999997</v>
      </c>
      <c r="N134" s="16">
        <f t="shared" ref="N134:O134" si="518">+N123+N133</f>
        <v>103787.31700000001</v>
      </c>
      <c r="O134" s="16">
        <f t="shared" si="518"/>
        <v>100647.22200000001</v>
      </c>
      <c r="P134" s="16">
        <f>+P123+P133</f>
        <v>110067.11900000001</v>
      </c>
      <c r="R134" s="16">
        <f t="shared" ref="R134:AB134" si="519">+R123+R133</f>
        <v>7563.3020000000006</v>
      </c>
      <c r="S134" s="16">
        <f t="shared" si="519"/>
        <v>7689.9120000000003</v>
      </c>
      <c r="T134" s="16">
        <f t="shared" si="519"/>
        <v>9419.3209999999999</v>
      </c>
      <c r="U134" s="16">
        <f t="shared" si="519"/>
        <v>8925.4850000000006</v>
      </c>
      <c r="V134" s="16">
        <f t="shared" si="519"/>
        <v>9682.6520000000019</v>
      </c>
      <c r="W134" s="16">
        <f t="shared" si="519"/>
        <v>10474.221000000001</v>
      </c>
      <c r="X134" s="16">
        <f t="shared" si="519"/>
        <v>10365.607</v>
      </c>
      <c r="Y134" s="16">
        <f t="shared" si="519"/>
        <v>10811.9</v>
      </c>
      <c r="Z134" s="16">
        <f t="shared" si="519"/>
        <v>11297.875</v>
      </c>
      <c r="AA134" s="16">
        <f t="shared" si="519"/>
        <v>12804.649000000001</v>
      </c>
      <c r="AB134" s="16">
        <f t="shared" si="519"/>
        <v>14545.742</v>
      </c>
      <c r="AC134" s="16">
        <f t="shared" ref="AC134:AD134" si="520">+AC123+AC133</f>
        <v>15811.812</v>
      </c>
      <c r="AD134" s="16">
        <f t="shared" si="520"/>
        <v>17642.491999999998</v>
      </c>
      <c r="AE134" s="16">
        <f>+AE123+AE133</f>
        <v>17867.233</v>
      </c>
      <c r="AF134" s="16">
        <f t="shared" ref="AF134" si="521">+AF123+AF133</f>
        <v>16412.455999999998</v>
      </c>
      <c r="AG134" s="16">
        <f t="shared" ref="AG134:AJ134" si="522">+AG123+AG133</f>
        <v>15729.832</v>
      </c>
      <c r="AH134" s="16">
        <f t="shared" si="522"/>
        <v>23939.062999999998</v>
      </c>
      <c r="AI134" s="16">
        <f t="shared" si="522"/>
        <v>26303.687999999998</v>
      </c>
      <c r="AJ134" s="16">
        <f t="shared" si="522"/>
        <v>28766.328000000001</v>
      </c>
      <c r="AK134" s="16">
        <f t="shared" ref="AK134:AQ134" si="523">+AK123+AK133</f>
        <v>31422.557999999997</v>
      </c>
      <c r="AL134" s="16">
        <f t="shared" ref="AL134" si="524">+AL123+AL133</f>
        <v>54760.313999999998</v>
      </c>
      <c r="AM134" s="16">
        <f t="shared" si="523"/>
        <v>33922.755000000005</v>
      </c>
      <c r="AN134" s="16">
        <f t="shared" ref="AN134" si="525">+AN123+AN133</f>
        <v>33922.755000000005</v>
      </c>
      <c r="AO134" s="16">
        <f t="shared" si="523"/>
        <v>37242.460000000006</v>
      </c>
      <c r="AP134" s="16">
        <f t="shared" si="523"/>
        <v>37242.460000000006</v>
      </c>
      <c r="AQ134" s="16">
        <f t="shared" si="523"/>
        <v>39080.595999999998</v>
      </c>
      <c r="AR134" s="16">
        <f t="shared" ref="AR134" si="526">+AR123+AR133</f>
        <v>39080.595999999998</v>
      </c>
      <c r="AS134" s="16">
        <f t="shared" ref="AS134:AW134" si="527">+AS123+AS133</f>
        <v>50362.600000000006</v>
      </c>
      <c r="AT134" s="16">
        <f t="shared" ref="AT134" si="528">+AT123+AT133</f>
        <v>50362.600000000006</v>
      </c>
      <c r="AU134" s="16">
        <f t="shared" si="527"/>
        <v>57798.47</v>
      </c>
      <c r="AV134" s="16">
        <f t="shared" si="527"/>
        <v>63753.809000000001</v>
      </c>
      <c r="AW134" s="16">
        <f t="shared" si="527"/>
        <v>76584.763999999996</v>
      </c>
      <c r="AX134" s="16">
        <f t="shared" ref="AX134:BA134" si="529">+AX123+AX133</f>
        <v>81485.464999999997</v>
      </c>
      <c r="AY134" s="16">
        <f t="shared" si="529"/>
        <v>94596.707999999984</v>
      </c>
      <c r="AZ134" s="16">
        <f t="shared" si="529"/>
        <v>103660.54699999999</v>
      </c>
      <c r="BA134" s="16">
        <f t="shared" si="529"/>
        <v>111056.78099999999</v>
      </c>
      <c r="BB134" s="16">
        <f t="shared" ref="BB134:BC134" si="530">+BB123+BB133</f>
        <v>100647.22200000001</v>
      </c>
      <c r="BC134" s="16">
        <f t="shared" si="530"/>
        <v>110067.11900000001</v>
      </c>
      <c r="BD134" s="16"/>
      <c r="BE134" s="16">
        <f t="shared" ref="BE134:BF134" si="531">+BE123+BE133</f>
        <v>57798.47</v>
      </c>
      <c r="BF134" s="16">
        <f t="shared" si="531"/>
        <v>63753.809000000001</v>
      </c>
      <c r="BG134" s="16">
        <f t="shared" ref="BG134:BI134" si="532">+BG123+BG133</f>
        <v>76584.763999999996</v>
      </c>
      <c r="BH134" s="16">
        <f t="shared" si="532"/>
        <v>103787.31700000001</v>
      </c>
      <c r="BI134" s="16">
        <f t="shared" si="532"/>
        <v>94596.707999999984</v>
      </c>
      <c r="BJ134" s="16"/>
      <c r="BK134" s="38"/>
      <c r="BL134" s="38"/>
      <c r="BM134" s="38"/>
      <c r="BN134" s="38"/>
      <c r="BO134" s="38"/>
      <c r="BP134" s="16"/>
    </row>
    <row r="135" spans="2:69" s="7" customFormat="1" ht="12.75"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16"/>
      <c r="R135" s="23"/>
      <c r="S135" s="23"/>
      <c r="T135" s="23"/>
      <c r="U135" s="23"/>
      <c r="V135" s="23"/>
      <c r="W135" s="16"/>
      <c r="X135" s="16"/>
      <c r="Y135" s="23"/>
      <c r="Z135" s="23"/>
      <c r="AA135" s="16"/>
      <c r="AB135" s="16"/>
      <c r="AC135" s="23"/>
      <c r="AD135" s="23"/>
      <c r="AE135" s="16"/>
      <c r="AF135" s="16"/>
      <c r="AG135" s="23"/>
      <c r="AH135" s="23"/>
      <c r="AI135" s="23"/>
      <c r="AJ135" s="16"/>
      <c r="AK135" s="23"/>
      <c r="AL135" s="23"/>
      <c r="AM135" s="23"/>
      <c r="AN135" s="23"/>
      <c r="AO135" s="23"/>
      <c r="AP135" s="23"/>
      <c r="AQ135" s="16"/>
      <c r="AR135" s="16"/>
      <c r="AS135" s="23"/>
      <c r="AT135" s="23"/>
      <c r="AU135" s="23"/>
      <c r="AV135" s="23"/>
      <c r="AW135" s="16"/>
      <c r="AX135" s="23"/>
      <c r="AY135" s="23"/>
      <c r="AZ135" s="23"/>
      <c r="BA135" s="16"/>
      <c r="BB135" s="23"/>
      <c r="BC135" s="23"/>
      <c r="BD135" s="23"/>
      <c r="BE135" s="23"/>
      <c r="BF135" s="23"/>
      <c r="BG135" s="23"/>
      <c r="BH135" s="23"/>
      <c r="BI135" s="23"/>
      <c r="BJ135" s="23"/>
      <c r="BK135" s="38"/>
      <c r="BL135" s="38"/>
      <c r="BM135" s="38"/>
      <c r="BN135" s="38"/>
      <c r="BO135" s="38"/>
      <c r="BP135" s="23"/>
      <c r="BQ135" s="11"/>
    </row>
    <row r="136" spans="2:69">
      <c r="BK136" s="38"/>
      <c r="BL136" s="38"/>
      <c r="BM136" s="38"/>
      <c r="BN136" s="38"/>
      <c r="BO136" s="38"/>
    </row>
    <row r="137" spans="2:69">
      <c r="B137" s="12" t="s">
        <v>258</v>
      </c>
      <c r="C137" s="29">
        <f t="shared" ref="C137:O137" si="533">C3</f>
        <v>42735</v>
      </c>
      <c r="D137" s="29">
        <f t="shared" si="533"/>
        <v>43100</v>
      </c>
      <c r="E137" s="29">
        <f t="shared" si="533"/>
        <v>43465</v>
      </c>
      <c r="F137" s="29">
        <f t="shared" si="533"/>
        <v>43830</v>
      </c>
      <c r="G137" s="29">
        <f t="shared" si="533"/>
        <v>44196</v>
      </c>
      <c r="H137" s="29">
        <f t="shared" si="533"/>
        <v>44561</v>
      </c>
      <c r="I137" s="29">
        <f t="shared" si="533"/>
        <v>44926</v>
      </c>
      <c r="J137" s="29">
        <f t="shared" si="533"/>
        <v>44926</v>
      </c>
      <c r="K137" s="29">
        <f t="shared" si="533"/>
        <v>45291</v>
      </c>
      <c r="L137" s="29">
        <f t="shared" si="533"/>
        <v>45291</v>
      </c>
      <c r="M137" s="29">
        <f t="shared" si="533"/>
        <v>45657</v>
      </c>
      <c r="N137" s="29">
        <f t="shared" si="533"/>
        <v>45657</v>
      </c>
      <c r="O137" s="29">
        <f t="shared" si="533"/>
        <v>46022</v>
      </c>
      <c r="P137" s="29" t="str">
        <f>P2</f>
        <v>LTM</v>
      </c>
      <c r="R137" s="29">
        <f t="shared" ref="R137:BC137" si="534">R3</f>
        <v>43190</v>
      </c>
      <c r="S137" s="29">
        <f t="shared" si="534"/>
        <v>43281</v>
      </c>
      <c r="T137" s="29">
        <f t="shared" si="534"/>
        <v>43373</v>
      </c>
      <c r="U137" s="29">
        <f t="shared" si="534"/>
        <v>43465</v>
      </c>
      <c r="V137" s="29">
        <f t="shared" si="534"/>
        <v>43555</v>
      </c>
      <c r="W137" s="29">
        <f t="shared" si="534"/>
        <v>43646</v>
      </c>
      <c r="X137" s="29">
        <f t="shared" si="534"/>
        <v>43738</v>
      </c>
      <c r="Y137" s="29">
        <f t="shared" si="534"/>
        <v>43830</v>
      </c>
      <c r="Z137" s="29">
        <f t="shared" si="534"/>
        <v>43921</v>
      </c>
      <c r="AA137" s="29">
        <f t="shared" si="534"/>
        <v>44012</v>
      </c>
      <c r="AB137" s="29">
        <f t="shared" si="534"/>
        <v>44104</v>
      </c>
      <c r="AC137" s="29">
        <f t="shared" si="534"/>
        <v>44196</v>
      </c>
      <c r="AD137" s="29">
        <f t="shared" si="534"/>
        <v>44286</v>
      </c>
      <c r="AE137" s="29">
        <f t="shared" si="534"/>
        <v>44377</v>
      </c>
      <c r="AF137" s="29">
        <f t="shared" si="534"/>
        <v>44469</v>
      </c>
      <c r="AG137" s="29">
        <f t="shared" si="534"/>
        <v>44561</v>
      </c>
      <c r="AH137" s="29">
        <f t="shared" si="534"/>
        <v>44651</v>
      </c>
      <c r="AI137" s="29">
        <f t="shared" si="534"/>
        <v>44742</v>
      </c>
      <c r="AJ137" s="29">
        <f t="shared" si="534"/>
        <v>44834</v>
      </c>
      <c r="AK137" s="29">
        <f t="shared" si="534"/>
        <v>44926</v>
      </c>
      <c r="AL137" s="29">
        <f t="shared" si="534"/>
        <v>44926</v>
      </c>
      <c r="AM137" s="29">
        <f t="shared" si="534"/>
        <v>45016</v>
      </c>
      <c r="AN137" s="29">
        <f t="shared" si="534"/>
        <v>45016</v>
      </c>
      <c r="AO137" s="29">
        <f t="shared" si="534"/>
        <v>45107</v>
      </c>
      <c r="AP137" s="29">
        <f t="shared" si="534"/>
        <v>45107</v>
      </c>
      <c r="AQ137" s="29">
        <f t="shared" si="534"/>
        <v>45199</v>
      </c>
      <c r="AR137" s="29">
        <f t="shared" si="534"/>
        <v>45199</v>
      </c>
      <c r="AS137" s="29">
        <f t="shared" si="534"/>
        <v>45291</v>
      </c>
      <c r="AT137" s="29">
        <f t="shared" si="534"/>
        <v>45291</v>
      </c>
      <c r="AU137" s="29">
        <f t="shared" si="534"/>
        <v>45382</v>
      </c>
      <c r="AV137" s="29">
        <f t="shared" si="534"/>
        <v>45473</v>
      </c>
      <c r="AW137" s="29">
        <f t="shared" si="534"/>
        <v>45565</v>
      </c>
      <c r="AX137" s="29">
        <f t="shared" si="534"/>
        <v>45657</v>
      </c>
      <c r="AY137" s="29">
        <f t="shared" si="534"/>
        <v>45747</v>
      </c>
      <c r="AZ137" s="29">
        <f t="shared" si="534"/>
        <v>45838</v>
      </c>
      <c r="BA137" s="29">
        <f t="shared" si="534"/>
        <v>45930</v>
      </c>
      <c r="BB137" s="29">
        <f t="shared" si="534"/>
        <v>46022</v>
      </c>
      <c r="BC137" s="29">
        <f t="shared" si="534"/>
        <v>46112</v>
      </c>
      <c r="BD137" s="234"/>
      <c r="BE137" s="29">
        <f>BE3</f>
        <v>45382</v>
      </c>
      <c r="BF137" s="29">
        <f>BF3</f>
        <v>45473</v>
      </c>
      <c r="BG137" s="29">
        <f>BG3</f>
        <v>45565</v>
      </c>
      <c r="BH137" s="29">
        <f>BH3</f>
        <v>45656</v>
      </c>
      <c r="BI137" s="29">
        <f>BI3</f>
        <v>45747</v>
      </c>
      <c r="BJ137" s="234"/>
      <c r="BK137" s="38"/>
      <c r="BL137" s="38"/>
      <c r="BM137" s="38"/>
      <c r="BN137" s="38"/>
      <c r="BO137" s="38"/>
      <c r="BP137" s="234"/>
    </row>
    <row r="138" spans="2:69">
      <c r="B138" s="7"/>
      <c r="BK138" s="38"/>
      <c r="BL138" s="38"/>
      <c r="BM138" s="38"/>
      <c r="BN138" s="38"/>
      <c r="BO138" s="38"/>
    </row>
    <row r="139" spans="2:69" s="7" customFormat="1">
      <c r="B139" s="75" t="s">
        <v>259</v>
      </c>
      <c r="C139" s="322">
        <f>+C123/C90</f>
        <v>5.1327203198331315</v>
      </c>
      <c r="D139" s="322">
        <f t="shared" ref="D139:F139" si="535">+D123/D90</f>
        <v>5.8757497355478252</v>
      </c>
      <c r="E139" s="322">
        <f t="shared" si="535"/>
        <v>5.5855320879757402</v>
      </c>
      <c r="F139" s="322">
        <f t="shared" si="535"/>
        <v>4.5090531374134457</v>
      </c>
      <c r="G139" s="322">
        <f t="shared" ref="G139:H139" si="536">+G123/G90</f>
        <v>5.7602562868873495</v>
      </c>
      <c r="H139" s="322">
        <f t="shared" si="536"/>
        <v>7.7932458010126453</v>
      </c>
      <c r="I139" s="322">
        <f t="shared" ref="I139:K139" si="537">+I123/I90</f>
        <v>4.3424135374640045</v>
      </c>
      <c r="J139" s="322">
        <f t="shared" ref="J139" si="538">+J123/J90</f>
        <v>5.8358575871208087</v>
      </c>
      <c r="K139" s="322">
        <f t="shared" si="537"/>
        <v>2.8829180985054794</v>
      </c>
      <c r="L139" s="322">
        <f t="shared" ref="L139" si="539">+L123/L90</f>
        <v>2.883164644440682</v>
      </c>
      <c r="M139" s="322">
        <f>+M123/M90</f>
        <v>3.0783216545572234</v>
      </c>
      <c r="N139" s="322">
        <f t="shared" ref="N139:O139" si="540">+N123/N90</f>
        <v>3.0783215992586235</v>
      </c>
      <c r="O139" s="322">
        <f t="shared" si="540"/>
        <v>3.1138827533849982</v>
      </c>
      <c r="P139" s="322">
        <f>+P123/P90</f>
        <v>3.2252546544729572</v>
      </c>
      <c r="Q139" s="323"/>
      <c r="R139" s="324"/>
      <c r="S139" s="324"/>
      <c r="T139" s="324"/>
      <c r="U139" s="322">
        <f t="shared" ref="U139:Z139" si="541">+U123/U90</f>
        <v>5.5855320879757402</v>
      </c>
      <c r="V139" s="322">
        <f t="shared" si="541"/>
        <v>5.3211595801520133</v>
      </c>
      <c r="W139" s="322">
        <f t="shared" si="541"/>
        <v>5.0604104487240136</v>
      </c>
      <c r="X139" s="322">
        <f t="shared" si="541"/>
        <v>4.6335084773742077</v>
      </c>
      <c r="Y139" s="322">
        <f t="shared" si="541"/>
        <v>4.5090531374134457</v>
      </c>
      <c r="Z139" s="322">
        <f t="shared" si="541"/>
        <v>4.5861215641508553</v>
      </c>
      <c r="AA139" s="322">
        <f>+AA123/AA90</f>
        <v>4.9499183965719666</v>
      </c>
      <c r="AB139" s="322">
        <f>+AB123/AB90</f>
        <v>5.5250624877998442</v>
      </c>
      <c r="AC139" s="322">
        <f t="shared" ref="AC139:AD139" si="542">+AC123/AC90</f>
        <v>5.7602562868873495</v>
      </c>
      <c r="AD139" s="322">
        <f t="shared" si="542"/>
        <v>6.337973185242805</v>
      </c>
      <c r="AE139" s="322">
        <f>+AE123/AE90</f>
        <v>6.5819447383000291</v>
      </c>
      <c r="AF139" s="322">
        <f>+AF123/AF90</f>
        <v>6.5605049636156503</v>
      </c>
      <c r="AG139" s="322">
        <f t="shared" ref="AG139:AH139" si="543">+AG123/AG90</f>
        <v>4.9029939111623255</v>
      </c>
      <c r="AH139" s="322">
        <f t="shared" si="543"/>
        <v>6.3695617564152185</v>
      </c>
      <c r="AI139" s="322">
        <f t="shared" ref="AI139" si="544">+AI123/AI90</f>
        <v>5.6617146565799983</v>
      </c>
      <c r="AJ139" s="322">
        <f>+AJ123/AJ90</f>
        <v>5.4229681626656792</v>
      </c>
      <c r="AK139" s="322">
        <f t="shared" ref="AK139:AP139" si="545">+AK123/AK90</f>
        <v>4.3424135374640045</v>
      </c>
      <c r="AL139" s="322">
        <f>+AL123/AL90</f>
        <v>6.3987503549663227</v>
      </c>
      <c r="AM139" s="322">
        <f t="shared" si="545"/>
        <v>3.8383456631040564</v>
      </c>
      <c r="AN139" s="322">
        <f t="shared" ref="AN139" si="546">+AN123/AN90</f>
        <v>2.9855629682951377</v>
      </c>
      <c r="AO139" s="322">
        <f t="shared" si="545"/>
        <v>3.1018140152353948</v>
      </c>
      <c r="AP139" s="322">
        <f t="shared" si="545"/>
        <v>3.0908495597751235</v>
      </c>
      <c r="AQ139" s="322">
        <f>+AQ123/AQ90</f>
        <v>3.2610241044712747</v>
      </c>
      <c r="AR139" s="322">
        <f>+AR123/AR90</f>
        <v>2.1191487196572876</v>
      </c>
      <c r="AS139" s="322">
        <f t="shared" ref="AS139:AV139" si="547">+AS123/AS90</f>
        <v>2.8829180985054794</v>
      </c>
      <c r="AT139" s="322">
        <f t="shared" ref="AT139" si="548">+AT123/AT90</f>
        <v>1.9967741912299377</v>
      </c>
      <c r="AU139" s="322">
        <f t="shared" si="547"/>
        <v>2.1750651371579166</v>
      </c>
      <c r="AV139" s="322">
        <f t="shared" si="547"/>
        <v>3.1862495306413527</v>
      </c>
      <c r="AW139" s="322">
        <f>+AW123/AW90</f>
        <v>4.2702138050914131</v>
      </c>
      <c r="AX139" s="322">
        <f t="shared" ref="AX139" si="549">+AX123/AX90</f>
        <v>3.0783216545572234</v>
      </c>
      <c r="AY139" s="322">
        <f>+AY123/AY90</f>
        <v>3.2527108141513272</v>
      </c>
      <c r="AZ139" s="322">
        <f t="shared" ref="AZ139" si="550">+AZ123/AZ90</f>
        <v>3.7382495517071717</v>
      </c>
      <c r="BA139" s="322">
        <f>+BA123/BA90</f>
        <v>3.5837252680484881</v>
      </c>
      <c r="BB139" s="322">
        <f t="shared" ref="BB139" si="551">+BB123/BB90</f>
        <v>3.1138827533849982</v>
      </c>
      <c r="BC139" s="322">
        <f>+BC123/BC90</f>
        <v>3.2252546544729572</v>
      </c>
      <c r="BD139" s="322"/>
      <c r="BE139" s="322">
        <f>+BE123/BE90</f>
        <v>1.981586771846062</v>
      </c>
      <c r="BF139" s="322">
        <f>+BF123/BF90</f>
        <v>2.0454477787903937</v>
      </c>
      <c r="BG139" s="322">
        <f>+BG123/BG90</f>
        <v>2.529370785532814</v>
      </c>
      <c r="BH139" s="322">
        <f>+BH123/BH90</f>
        <v>3.0783215992586235</v>
      </c>
      <c r="BI139" s="322">
        <f>+BI123/BI90</f>
        <v>2.5180935752955667</v>
      </c>
      <c r="BJ139" s="50"/>
      <c r="BK139" s="321"/>
      <c r="BL139" s="321"/>
      <c r="BM139" s="321"/>
      <c r="BN139" s="321"/>
      <c r="BO139" s="321"/>
      <c r="BP139" s="50"/>
    </row>
    <row r="140" spans="2:69">
      <c r="B140" s="78" t="s">
        <v>260</v>
      </c>
      <c r="C140" s="51">
        <f t="shared" ref="C140:F140" si="552">(C123-C118)/C90</f>
        <v>5.1325951677385717</v>
      </c>
      <c r="D140" s="51">
        <f t="shared" si="552"/>
        <v>5.8757497355478252</v>
      </c>
      <c r="E140" s="51">
        <f t="shared" si="552"/>
        <v>5.5855320879757402</v>
      </c>
      <c r="F140" s="51">
        <f t="shared" si="552"/>
        <v>4.4609888870647758</v>
      </c>
      <c r="G140" s="51">
        <f t="shared" ref="G140:H140" si="553">(G123-G118)/G90</f>
        <v>5.7295182684905548</v>
      </c>
      <c r="H140" s="51">
        <f t="shared" si="553"/>
        <v>7.7797809530231392</v>
      </c>
      <c r="I140" s="51">
        <f t="shared" ref="I140" si="554">(I123-I118)/I90</f>
        <v>4.3404834186662171</v>
      </c>
      <c r="J140" s="51">
        <f t="shared" ref="J140" si="555">(J123-J118)/J90</f>
        <v>5.8332634879951311</v>
      </c>
      <c r="K140" s="51">
        <f>(K123-K118)/K90</f>
        <v>2.8826715084106658</v>
      </c>
      <c r="L140" s="51">
        <f t="shared" ref="L140:M140" si="556">(L123-L118)/L90</f>
        <v>2.8829179276653334</v>
      </c>
      <c r="M140" s="51">
        <f t="shared" si="556"/>
        <v>3.0782321441681515</v>
      </c>
      <c r="N140" s="51">
        <f t="shared" ref="N140:O140" si="557">(N123-N118)/N90</f>
        <v>3.0782321014559244</v>
      </c>
      <c r="O140" s="51">
        <f t="shared" si="557"/>
        <v>3.1138827533849982</v>
      </c>
      <c r="P140" s="51">
        <f>(P123-P118)/P90</f>
        <v>3.2252546544729572</v>
      </c>
      <c r="R140" s="147"/>
      <c r="S140" s="147"/>
      <c r="T140" s="147"/>
      <c r="U140" s="51">
        <f t="shared" ref="U140:Z140" si="558">(U123-U118)/U90</f>
        <v>5.5855320879757402</v>
      </c>
      <c r="V140" s="51">
        <f t="shared" si="558"/>
        <v>5.3211595801520133</v>
      </c>
      <c r="W140" s="51">
        <f t="shared" si="558"/>
        <v>5.001660889534933</v>
      </c>
      <c r="X140" s="51">
        <f t="shared" si="558"/>
        <v>4.5807124134848829</v>
      </c>
      <c r="Y140" s="51">
        <f t="shared" si="558"/>
        <v>4.4609888870647758</v>
      </c>
      <c r="Z140" s="51">
        <f t="shared" si="558"/>
        <v>4.5423609185551159</v>
      </c>
      <c r="AA140" s="51">
        <f>(AA123-AA118)/AA90</f>
        <v>4.9103541850900951</v>
      </c>
      <c r="AB140" s="51">
        <f>(AB123-AB118)/AB90</f>
        <v>5.4903887421401425</v>
      </c>
      <c r="AC140" s="51">
        <f t="shared" ref="AC140:AD140" si="559">(AC123-AC118)/AC90</f>
        <v>5.7295182684905548</v>
      </c>
      <c r="AD140" s="51">
        <f t="shared" si="559"/>
        <v>6.3105019756691805</v>
      </c>
      <c r="AE140" s="51">
        <f>(AE123-AE118)/AE90</f>
        <v>6.5567268333429132</v>
      </c>
      <c r="AF140" s="51">
        <f>(AF123-AF118)/AF90</f>
        <v>6.5416760307607253</v>
      </c>
      <c r="AG140" s="51">
        <f t="shared" ref="AG140:AH140" si="560">(AG123-AG118)/AG90</f>
        <v>4.8895290631728185</v>
      </c>
      <c r="AH140" s="51">
        <f t="shared" si="560"/>
        <v>6.3612493989694041</v>
      </c>
      <c r="AI140" s="51">
        <f t="shared" ref="AI140" si="561">(AI123-AI118)/AI90</f>
        <v>5.656568455049297</v>
      </c>
      <c r="AJ140" s="51">
        <f>(AJ123-AJ118)/AJ90</f>
        <v>5.4198730000190363</v>
      </c>
      <c r="AK140" s="51">
        <f t="shared" ref="AK140:AP140" si="562">(AK123-AK118)/AK90</f>
        <v>4.3404834186662171</v>
      </c>
      <c r="AL140" s="51">
        <f t="shared" ref="AL140" si="563">(AL123-AL118)/AL90</f>
        <v>6.3959060441767868</v>
      </c>
      <c r="AM140" s="51">
        <f t="shared" si="562"/>
        <v>3.8378514060812656</v>
      </c>
      <c r="AN140" s="51">
        <f t="shared" ref="AN140" si="564">(AN123-AN118)/AN90</f>
        <v>2.9851785226006688</v>
      </c>
      <c r="AO140" s="51">
        <f t="shared" si="562"/>
        <v>3.1014821792127076</v>
      </c>
      <c r="AP140" s="51">
        <f t="shared" si="562"/>
        <v>3.0905188967438768</v>
      </c>
      <c r="AQ140" s="51">
        <f>(AQ123-AQ118)/AQ90</f>
        <v>3.2606981339328027</v>
      </c>
      <c r="AR140" s="51">
        <f>(AR123-AR118)/AR90</f>
        <v>2.1189368904812005</v>
      </c>
      <c r="AS140" s="51">
        <f t="shared" ref="AS140:AV140" si="565">(AS123-AS118)/AS90</f>
        <v>2.8826715084106658</v>
      </c>
      <c r="AT140" s="51">
        <f t="shared" ref="AT140" si="566">(AT123-AT118)/AT90</f>
        <v>1.9966033973605619</v>
      </c>
      <c r="AU140" s="51">
        <f t="shared" si="565"/>
        <v>2.174915725176787</v>
      </c>
      <c r="AV140" s="51">
        <f t="shared" si="565"/>
        <v>3.1860747874041695</v>
      </c>
      <c r="AW140" s="51">
        <f>(AW123-AW118)/AW90</f>
        <v>4.2700564270385195</v>
      </c>
      <c r="AX140" s="51">
        <f t="shared" ref="AX140:AZ140" si="567">(AX123-AX118)/AX90</f>
        <v>3.0782321441681515</v>
      </c>
      <c r="AY140" s="51">
        <f t="shared" si="567"/>
        <v>3.2526524157820678</v>
      </c>
      <c r="AZ140" s="51">
        <f t="shared" si="567"/>
        <v>3.7382179448940938</v>
      </c>
      <c r="BA140" s="51">
        <f>(BA123-BA118)/BA90</f>
        <v>3.5837223371411229</v>
      </c>
      <c r="BB140" s="51">
        <f t="shared" ref="BB140:BC140" si="568">(BB123-BB118)/BB90</f>
        <v>3.1138827533849982</v>
      </c>
      <c r="BC140" s="51">
        <f t="shared" si="568"/>
        <v>3.2252546544729572</v>
      </c>
      <c r="BD140" s="51"/>
      <c r="BE140" s="51">
        <f t="shared" ref="BE140:BF140" si="569">(BE123-BE118)/BE90</f>
        <v>1.9814506504948879</v>
      </c>
      <c r="BF140" s="51">
        <f t="shared" si="569"/>
        <v>2.045335600455672</v>
      </c>
      <c r="BG140" s="51">
        <f t="shared" ref="BG140:BI140" si="570">(BG123-BG118)/BG90</f>
        <v>2.5292775659734561</v>
      </c>
      <c r="BH140" s="51">
        <f t="shared" si="570"/>
        <v>3.0782321014559244</v>
      </c>
      <c r="BI140" s="51">
        <f t="shared" si="570"/>
        <v>2.5180483660633781</v>
      </c>
      <c r="BJ140" s="51"/>
      <c r="BK140" s="38"/>
      <c r="BL140" s="38"/>
      <c r="BM140" s="38"/>
      <c r="BN140" s="38"/>
      <c r="BO140" s="38"/>
      <c r="BP140" s="51"/>
    </row>
    <row r="141" spans="2:69">
      <c r="B141" s="75"/>
      <c r="R141" s="101"/>
      <c r="S141" s="101"/>
      <c r="T141" s="101"/>
      <c r="BK141" s="38"/>
      <c r="BL141" s="38"/>
      <c r="BM141" s="38"/>
      <c r="BN141" s="38"/>
      <c r="BO141" s="38"/>
    </row>
    <row r="142" spans="2:69" s="7" customFormat="1">
      <c r="B142" s="75" t="s">
        <v>261</v>
      </c>
      <c r="C142" s="322">
        <f t="shared" ref="C142:F142" si="571">C130/C90</f>
        <v>1.1537632539544591</v>
      </c>
      <c r="D142" s="322">
        <f t="shared" si="571"/>
        <v>1.5266237908810352</v>
      </c>
      <c r="E142" s="322">
        <f t="shared" si="571"/>
        <v>1.9871737537905885</v>
      </c>
      <c r="F142" s="322">
        <f t="shared" si="571"/>
        <v>0.60805077919427741</v>
      </c>
      <c r="G142" s="322">
        <f t="shared" ref="G142:H142" si="572">G130/G90</f>
        <v>1.1562500000000002</v>
      </c>
      <c r="H142" s="322">
        <f t="shared" si="572"/>
        <v>3.7476055024160804</v>
      </c>
      <c r="I142" s="322">
        <f t="shared" ref="I142:K142" si="573">I130/I90</f>
        <v>2.6110627707484571</v>
      </c>
      <c r="J142" s="322">
        <f t="shared" ref="J142" si="574">J130/J90</f>
        <v>3.5090601761475066</v>
      </c>
      <c r="K142" s="322">
        <f t="shared" si="573"/>
        <v>1.7828421404548505</v>
      </c>
      <c r="L142" s="322">
        <f t="shared" ref="L142" si="575">L130/L90</f>
        <v>1.7830887150008958</v>
      </c>
      <c r="M142" s="322">
        <f>M130/M90</f>
        <v>1.391115773288651</v>
      </c>
      <c r="N142" s="322">
        <f t="shared" ref="N142:O142" si="576">N130/N90</f>
        <v>1.3911157828713749</v>
      </c>
      <c r="O142" s="322">
        <f t="shared" si="576"/>
        <v>1.8473180196151866</v>
      </c>
      <c r="P142" s="322">
        <f>P130/P90</f>
        <v>2.2747326111423862</v>
      </c>
      <c r="Q142" s="323"/>
      <c r="R142" s="324"/>
      <c r="S142" s="324"/>
      <c r="T142" s="324"/>
      <c r="U142" s="322">
        <f t="shared" ref="U142:Z142" si="577">U130/U90</f>
        <v>1.9871737537905885</v>
      </c>
      <c r="V142" s="322">
        <f t="shared" si="577"/>
        <v>1.6531801703980744</v>
      </c>
      <c r="W142" s="322">
        <f t="shared" si="577"/>
        <v>1.5174999784970282</v>
      </c>
      <c r="X142" s="322">
        <f t="shared" si="577"/>
        <v>1.5601348005169766</v>
      </c>
      <c r="Y142" s="322">
        <f t="shared" si="577"/>
        <v>0.60805077919427741</v>
      </c>
      <c r="Z142" s="322">
        <f t="shared" si="577"/>
        <v>0.95656488906974113</v>
      </c>
      <c r="AA142" s="322">
        <f>AA130/AA90</f>
        <v>0.42363353921586222</v>
      </c>
      <c r="AB142" s="322">
        <f>AB130/AB90</f>
        <v>1.64269597639693</v>
      </c>
      <c r="AC142" s="322">
        <f t="shared" ref="AC142:AD142" si="578">AC130/AC90</f>
        <v>1.1562500000000002</v>
      </c>
      <c r="AD142" s="322">
        <f t="shared" si="578"/>
        <v>0.94861697145814705</v>
      </c>
      <c r="AE142" s="322">
        <f>AE130/AE90</f>
        <v>1.2203723248780378</v>
      </c>
      <c r="AF142" s="322">
        <f>AF130/AF90</f>
        <v>2.8714037358214699</v>
      </c>
      <c r="AG142" s="322">
        <f t="shared" ref="AG142:AH142" si="579">AG130/AG90</f>
        <v>0.85735361256576015</v>
      </c>
      <c r="AH142" s="322">
        <f t="shared" si="579"/>
        <v>3.3747696183126714</v>
      </c>
      <c r="AI142" s="322">
        <f t="shared" ref="AI142" si="580">AI130/AI90</f>
        <v>3.1759158999696009</v>
      </c>
      <c r="AJ142" s="322">
        <f>AJ130/AJ90</f>
        <v>3.298443460822265</v>
      </c>
      <c r="AK142" s="322">
        <f t="shared" ref="AK142:AP142" si="581">AK130/AK90</f>
        <v>2.6110627707484571</v>
      </c>
      <c r="AL142" s="322">
        <f t="shared" ref="AL142" si="582">AL130/AL90</f>
        <v>3.847523643701491</v>
      </c>
      <c r="AM142" s="322">
        <f t="shared" si="581"/>
        <v>2.3358207636689867</v>
      </c>
      <c r="AN142" s="322">
        <f t="shared" ref="AN142" si="583">AN130/AN90</f>
        <v>1.0166136222437796</v>
      </c>
      <c r="AO142" s="322">
        <f t="shared" si="581"/>
        <v>2.1516383264967165</v>
      </c>
      <c r="AP142" s="322">
        <f t="shared" si="581"/>
        <v>2.144032602078163</v>
      </c>
      <c r="AQ142" s="322">
        <f>AQ130/AQ90</f>
        <v>2.1554503963235634</v>
      </c>
      <c r="AR142" s="322">
        <f>AR130/AR90</f>
        <v>1.4007010685357868</v>
      </c>
      <c r="AS142" s="322">
        <f t="shared" ref="AS142" si="584">AS130/AS90</f>
        <v>1.7828421404548505</v>
      </c>
      <c r="AT142" s="322">
        <f t="shared" ref="AT142" si="585">AT130/AT90</f>
        <v>1.2348367353699274</v>
      </c>
      <c r="AU142" s="322">
        <f>AU130/AU90</f>
        <v>1.3720890812361246</v>
      </c>
      <c r="AV142" s="322">
        <f t="shared" ref="AV142" si="586">AV130/AV90</f>
        <v>1.7739941880568144</v>
      </c>
      <c r="AW142" s="322">
        <f>AW130/AW90</f>
        <v>2.1741612724410819</v>
      </c>
      <c r="AX142" s="322">
        <f t="shared" ref="AX142" si="587">AX130/AX90</f>
        <v>1.391115773288651</v>
      </c>
      <c r="AY142" s="322">
        <f>AY130/AY90</f>
        <v>1.8474702090550101</v>
      </c>
      <c r="AZ142" s="322">
        <f t="shared" ref="AZ142" si="588">AZ130/AZ90</f>
        <v>2.1695089990379963</v>
      </c>
      <c r="BA142" s="322">
        <f>BA130/BA90</f>
        <v>2.035761256869379</v>
      </c>
      <c r="BB142" s="322">
        <f t="shared" ref="BB142" si="589">BB130/BB90</f>
        <v>1.8473180196151866</v>
      </c>
      <c r="BC142" s="322">
        <f>BC130/BC90</f>
        <v>2.2747326111423862</v>
      </c>
      <c r="BD142" s="322"/>
      <c r="BE142" s="322">
        <f>BE130/BE90</f>
        <v>1.2500377697766942</v>
      </c>
      <c r="BF142" s="322">
        <f>BF130/BF90</f>
        <v>1.1388349960203787</v>
      </c>
      <c r="BG142" s="322">
        <f>BG130/BG90</f>
        <v>1.2878184223451541</v>
      </c>
      <c r="BH142" s="322">
        <f>BH130/BH90</f>
        <v>1.3911157828713749</v>
      </c>
      <c r="BI142" s="322">
        <f>BI130/BI90</f>
        <v>1.4302233213391797</v>
      </c>
      <c r="BJ142" s="50"/>
      <c r="BK142" s="321"/>
      <c r="BL142" s="321"/>
      <c r="BM142" s="321"/>
      <c r="BN142" s="321"/>
      <c r="BO142" s="321"/>
      <c r="BP142" s="50"/>
    </row>
    <row r="143" spans="2:69">
      <c r="B143" s="78" t="s">
        <v>262</v>
      </c>
      <c r="C143" s="51">
        <f t="shared" ref="C143:F143" si="590">(C130-C118)/C90</f>
        <v>1.1536381018598996</v>
      </c>
      <c r="D143" s="51">
        <f t="shared" si="590"/>
        <v>1.5266237908810352</v>
      </c>
      <c r="E143" s="51">
        <f t="shared" si="590"/>
        <v>1.9871737537905885</v>
      </c>
      <c r="F143" s="51">
        <f t="shared" si="590"/>
        <v>0.55998652884560773</v>
      </c>
      <c r="G143" s="51">
        <f t="shared" ref="G143:H143" si="591">(G130-G118)/G90</f>
        <v>1.1255119816032058</v>
      </c>
      <c r="H143" s="51">
        <f t="shared" si="591"/>
        <v>3.7341406544265734</v>
      </c>
      <c r="I143" s="51">
        <f t="shared" ref="I143:K143" si="592">(I130-I118)/I90</f>
        <v>2.6091326519506692</v>
      </c>
      <c r="J143" s="51">
        <f t="shared" ref="J143" si="593">(J130-J118)/J90</f>
        <v>3.506466077021829</v>
      </c>
      <c r="K143" s="51">
        <f t="shared" si="592"/>
        <v>1.7825955503600368</v>
      </c>
      <c r="L143" s="51">
        <f t="shared" ref="L143" si="594">(L130-L118)/L90</f>
        <v>1.7828419982255466</v>
      </c>
      <c r="M143" s="51">
        <f>(M130-M118)/M90</f>
        <v>1.3910262628995789</v>
      </c>
      <c r="N143" s="51">
        <f t="shared" ref="N143:O143" si="595">(N130-N118)/N90</f>
        <v>1.3910262850686756</v>
      </c>
      <c r="O143" s="51">
        <f t="shared" si="595"/>
        <v>1.8473180196151866</v>
      </c>
      <c r="P143" s="51">
        <f>(P130-P118)/P90</f>
        <v>2.2747326111423862</v>
      </c>
      <c r="R143" s="147"/>
      <c r="S143" s="147"/>
      <c r="T143" s="147"/>
      <c r="U143" s="51">
        <f t="shared" ref="U143:Z143" si="596">(U130-U118)/U90</f>
        <v>1.9871737537905885</v>
      </c>
      <c r="V143" s="51">
        <f t="shared" si="596"/>
        <v>1.6531801703980744</v>
      </c>
      <c r="W143" s="51">
        <f t="shared" si="596"/>
        <v>1.4587504193079484</v>
      </c>
      <c r="X143" s="51">
        <f t="shared" si="596"/>
        <v>1.5073387366276516</v>
      </c>
      <c r="Y143" s="51">
        <f t="shared" si="596"/>
        <v>0.55998652884560773</v>
      </c>
      <c r="Z143" s="51">
        <f t="shared" si="596"/>
        <v>0.91280424347400191</v>
      </c>
      <c r="AA143" s="51">
        <f>(AA130-AA118)/AA90</f>
        <v>0.38406932773399088</v>
      </c>
      <c r="AB143" s="51">
        <f>(AB130-AB118)/AB90</f>
        <v>1.6080222307372278</v>
      </c>
      <c r="AC143" s="51">
        <f t="shared" ref="AC143:AD143" si="597">(AC130-AC118)/AC90</f>
        <v>1.1255119816032058</v>
      </c>
      <c r="AD143" s="51">
        <f t="shared" si="597"/>
        <v>0.92114576188452246</v>
      </c>
      <c r="AE143" s="51">
        <f>(AE130-AE118)/AE90</f>
        <v>1.1951544199209219</v>
      </c>
      <c r="AF143" s="51">
        <f>(AF130-AF118)/AF90</f>
        <v>2.852574802966545</v>
      </c>
      <c r="AG143" s="51">
        <f t="shared" ref="AG143:AH143" si="598">(AG130-AG118)/AG90</f>
        <v>0.84388876457625339</v>
      </c>
      <c r="AH143" s="51">
        <f t="shared" si="598"/>
        <v>3.366457260866857</v>
      </c>
      <c r="AI143" s="51">
        <f t="shared" ref="AI143" si="599">(AI130-AI118)/AI90</f>
        <v>3.1707696984389004</v>
      </c>
      <c r="AJ143" s="51">
        <f>(AJ130-AJ118)/AJ90</f>
        <v>3.2953482981756221</v>
      </c>
      <c r="AK143" s="51">
        <f t="shared" ref="AK143:AP143" si="600">(AK130-AK118)/AK90</f>
        <v>2.6091326519506692</v>
      </c>
      <c r="AL143" s="51">
        <f t="shared" ref="AL143" si="601">(AL130-AL118)/AL90</f>
        <v>3.8446793329119546</v>
      </c>
      <c r="AM143" s="51">
        <f t="shared" si="600"/>
        <v>2.3353265066461959</v>
      </c>
      <c r="AN143" s="51">
        <f t="shared" ref="AN143" si="602">(AN130-AN118)/AN90</f>
        <v>1.0162291765493106</v>
      </c>
      <c r="AO143" s="51">
        <f t="shared" si="600"/>
        <v>2.1513064904740289</v>
      </c>
      <c r="AP143" s="51">
        <f t="shared" si="600"/>
        <v>2.1437019390469167</v>
      </c>
      <c r="AQ143" s="51">
        <f>(AQ130-AQ118)/AQ90</f>
        <v>2.155124425785091</v>
      </c>
      <c r="AR143" s="51">
        <f>(AR130-AR118)/AR90</f>
        <v>1.4004892393596999</v>
      </c>
      <c r="AS143" s="51">
        <f t="shared" ref="AS143" si="603">(AS130-AS118)/AS90</f>
        <v>1.7825955503600368</v>
      </c>
      <c r="AT143" s="51">
        <f t="shared" ref="AT143" si="604">(AT130-AT118)/AT90</f>
        <v>1.2346659415005516</v>
      </c>
      <c r="AU143" s="51">
        <f>(AU130-AU118)/AU90</f>
        <v>1.3719396692549954</v>
      </c>
      <c r="AV143" s="51">
        <f t="shared" ref="AV143" si="605">(AV130-AV118)/AV90</f>
        <v>1.7738194448196309</v>
      </c>
      <c r="AW143" s="51">
        <f>(AW130-AW118)/AW90</f>
        <v>2.1740038943881879</v>
      </c>
      <c r="AX143" s="51">
        <f t="shared" ref="AX143" si="606">(AX130-AX118)/AX90</f>
        <v>1.3910262628995789</v>
      </c>
      <c r="AY143" s="51">
        <f>(AY130-AY118)/AY90</f>
        <v>1.8474118106857509</v>
      </c>
      <c r="AZ143" s="51">
        <f t="shared" ref="AZ143" si="607">(AZ130-AZ118)/AZ90</f>
        <v>2.1694773922249184</v>
      </c>
      <c r="BA143" s="51">
        <f>(BA130-BA118)/BA90</f>
        <v>2.0357583259620138</v>
      </c>
      <c r="BB143" s="51">
        <f t="shared" ref="BB143" si="608">(BB130-BB118)/BB90</f>
        <v>1.8473180196151866</v>
      </c>
      <c r="BC143" s="51">
        <f>(BC130-BC118)/BC90</f>
        <v>2.2747326111423862</v>
      </c>
      <c r="BD143" s="51"/>
      <c r="BE143" s="51">
        <f>(BE130-BE118)/BE90</f>
        <v>1.2499016484255203</v>
      </c>
      <c r="BF143" s="51">
        <f>(BF130-BF118)/BF90</f>
        <v>1.138722817685657</v>
      </c>
      <c r="BG143" s="51">
        <f>(BG130-BG118)/BG90</f>
        <v>1.2877252027857964</v>
      </c>
      <c r="BH143" s="51">
        <f>(BH130-BH118)/BH90</f>
        <v>1.3910262850686756</v>
      </c>
      <c r="BI143" s="51">
        <f>(BI130-BI118)/BI90</f>
        <v>1.4301781121069912</v>
      </c>
      <c r="BJ143" s="51"/>
      <c r="BK143" s="38"/>
      <c r="BL143" s="38"/>
      <c r="BM143" s="38"/>
      <c r="BN143" s="38"/>
      <c r="BO143" s="38"/>
      <c r="BP143" s="51"/>
    </row>
    <row r="144" spans="2:69" s="7" customFormat="1" ht="12.75">
      <c r="B144" s="75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R144" s="101"/>
      <c r="S144" s="101"/>
      <c r="T144" s="101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38"/>
      <c r="BL144" s="38"/>
      <c r="BM144" s="38"/>
      <c r="BN144" s="38"/>
      <c r="BO144" s="38"/>
      <c r="BP144" s="50"/>
      <c r="BQ144" s="11"/>
    </row>
    <row r="145" spans="2:69" s="7" customFormat="1">
      <c r="B145" s="75" t="s">
        <v>263</v>
      </c>
      <c r="C145" s="322">
        <f t="shared" ref="C145:F145" si="609">+C129/C90</f>
        <v>1.1550756127237969</v>
      </c>
      <c r="D145" s="322">
        <f t="shared" si="609"/>
        <v>1.5274675841612237</v>
      </c>
      <c r="E145" s="322">
        <f t="shared" si="609"/>
        <v>1.9879212238917847</v>
      </c>
      <c r="F145" s="322">
        <f t="shared" si="609"/>
        <v>2.9535805192991926</v>
      </c>
      <c r="G145" s="322">
        <f t="shared" ref="G145:H145" si="610">+G129/G90</f>
        <v>3.4012424498134664</v>
      </c>
      <c r="H145" s="322">
        <f t="shared" si="610"/>
        <v>6.5027085599772212</v>
      </c>
      <c r="I145" s="322">
        <f t="shared" ref="I145:K145" si="611">+I129/I90</f>
        <v>2.6495658238737327</v>
      </c>
      <c r="J145" s="322">
        <f t="shared" ref="J145" si="612">+J129/J90</f>
        <v>3.5608052031171562</v>
      </c>
      <c r="K145" s="322">
        <f t="shared" si="611"/>
        <v>1.7832411749235049</v>
      </c>
      <c r="L145" s="322">
        <f t="shared" ref="L145:M145" si="613">+L129/L90</f>
        <v>1.783487734955095</v>
      </c>
      <c r="M145" s="322">
        <f t="shared" si="613"/>
        <v>1.3914647740391661</v>
      </c>
      <c r="N145" s="322">
        <f t="shared" ref="N145:O145" si="614">+N129/N90</f>
        <v>1.3914647606198307</v>
      </c>
      <c r="O145" s="322">
        <f t="shared" si="614"/>
        <v>1.8476666288192187</v>
      </c>
      <c r="P145" s="322">
        <f>+P129/P90</f>
        <v>2.2750988077515411</v>
      </c>
      <c r="Q145" s="323"/>
      <c r="R145" s="324"/>
      <c r="S145" s="324"/>
      <c r="T145" s="324"/>
      <c r="U145" s="322">
        <f t="shared" ref="U145:Z145" si="615">+U129/U90</f>
        <v>1.9879212238917847</v>
      </c>
      <c r="V145" s="322">
        <f t="shared" si="615"/>
        <v>1.6538992586975219</v>
      </c>
      <c r="W145" s="322">
        <f t="shared" si="615"/>
        <v>1.5182044158502708</v>
      </c>
      <c r="X145" s="322">
        <f t="shared" si="615"/>
        <v>1.5607153929467279</v>
      </c>
      <c r="Y145" s="322">
        <f t="shared" si="615"/>
        <v>2.9535805192991926</v>
      </c>
      <c r="Z145" s="322">
        <f t="shared" si="615"/>
        <v>3.7079305862144709</v>
      </c>
      <c r="AA145" s="322">
        <f>+AA129/AA90</f>
        <v>2.9108673968437477</v>
      </c>
      <c r="AB145" s="322">
        <f>+AB129/AB90</f>
        <v>3.2034226817404172</v>
      </c>
      <c r="AC145" s="322">
        <f t="shared" ref="AC145:AD145" si="616">+AC129/AC90</f>
        <v>3.4012424498134664</v>
      </c>
      <c r="AD145" s="322">
        <f t="shared" si="616"/>
        <v>4.3135305535901383</v>
      </c>
      <c r="AE145" s="322">
        <f>+AE129/AE90</f>
        <v>4.8929223540461768</v>
      </c>
      <c r="AF145" s="322">
        <f>+AF129/AF90</f>
        <v>5.0815675880935212</v>
      </c>
      <c r="AG145" s="322">
        <f t="shared" ref="AG145:AH145" si="617">+AG129/AG90</f>
        <v>3.6124566701269014</v>
      </c>
      <c r="AH145" s="322">
        <f t="shared" si="617"/>
        <v>5.4114072878610742</v>
      </c>
      <c r="AI145" s="322">
        <f t="shared" ref="AI145" si="618">+AI129/AI90</f>
        <v>4.8090033515339705</v>
      </c>
      <c r="AJ145" s="322">
        <f>+AJ129/AJ90</f>
        <v>4.5797180739269336</v>
      </c>
      <c r="AK145" s="322">
        <f t="shared" ref="AK145:AP145" si="619">+AK129/AK90</f>
        <v>2.6495658238737327</v>
      </c>
      <c r="AL145" s="322">
        <f t="shared" ref="AL145" si="620">+AL129/AL90</f>
        <v>3.9042596940157592</v>
      </c>
      <c r="AM145" s="322">
        <f t="shared" si="619"/>
        <v>2.3363081665882257</v>
      </c>
      <c r="AN145" s="322">
        <f t="shared" ref="AN145" si="621">+AN129/AN90</f>
        <v>1.0169927366420231</v>
      </c>
      <c r="AO145" s="322">
        <f t="shared" si="619"/>
        <v>2.1520674360201721</v>
      </c>
      <c r="AP145" s="322">
        <f t="shared" si="619"/>
        <v>2.1444601947626869</v>
      </c>
      <c r="AQ145" s="322">
        <f>+AQ129/AQ90</f>
        <v>2.155857288819941</v>
      </c>
      <c r="AR145" s="322">
        <f>+AR129/AR90</f>
        <v>1.4009654841564976</v>
      </c>
      <c r="AS145" s="322">
        <f t="shared" ref="AS145:AV145" si="622">+AS129/AS90</f>
        <v>1.7832411749235049</v>
      </c>
      <c r="AT145" s="322">
        <f t="shared" ref="AT145" si="623">+AT129/AT90</f>
        <v>1.2351131156558721</v>
      </c>
      <c r="AU145" s="322">
        <f t="shared" si="622"/>
        <v>1.3723802983092295</v>
      </c>
      <c r="AV145" s="322">
        <f t="shared" si="622"/>
        <v>1.7743879090511254</v>
      </c>
      <c r="AW145" s="322">
        <f>+AW129/AW90</f>
        <v>2.1745946908801304</v>
      </c>
      <c r="AX145" s="322">
        <f t="shared" ref="AX145:AZ145" si="624">+AX129/AX90</f>
        <v>1.3914647740391661</v>
      </c>
      <c r="AY145" s="322">
        <f t="shared" si="624"/>
        <v>1.8478087435212287</v>
      </c>
      <c r="AZ145" s="322">
        <f t="shared" si="624"/>
        <v>2.1698537537871632</v>
      </c>
      <c r="BA145" s="322">
        <f>+BA129/BA90</f>
        <v>2.036088105378262</v>
      </c>
      <c r="BB145" s="322">
        <f t="shared" ref="BB145:BC145" si="625">+BB129/BB90</f>
        <v>1.8476666288192187</v>
      </c>
      <c r="BC145" s="322">
        <f t="shared" si="625"/>
        <v>2.2750988077515411</v>
      </c>
      <c r="BD145" s="322"/>
      <c r="BE145" s="322">
        <f t="shared" ref="BE145:BF145" si="626">+BE129/BE90</f>
        <v>1.250303082244786</v>
      </c>
      <c r="BF145" s="322">
        <f t="shared" si="626"/>
        <v>1.1390877495243124</v>
      </c>
      <c r="BG145" s="322">
        <f t="shared" ref="BG145:BI145" si="627">+BG129/BG90</f>
        <v>1.2880751485859652</v>
      </c>
      <c r="BH145" s="322">
        <f t="shared" si="627"/>
        <v>1.3914647606198307</v>
      </c>
      <c r="BI145" s="322">
        <f t="shared" si="627"/>
        <v>1.4304853985766313</v>
      </c>
      <c r="BJ145" s="50"/>
      <c r="BK145" s="321"/>
      <c r="BL145" s="321"/>
      <c r="BM145" s="321"/>
      <c r="BN145" s="321"/>
      <c r="BO145" s="321"/>
      <c r="BP145" s="50"/>
    </row>
    <row r="146" spans="2:69">
      <c r="B146" s="78" t="s">
        <v>264</v>
      </c>
      <c r="C146" s="51">
        <f t="shared" ref="C146:F146" si="628">(C129-C118)/C90</f>
        <v>1.1549504606292376</v>
      </c>
      <c r="D146" s="51">
        <f t="shared" si="628"/>
        <v>1.5274675841612237</v>
      </c>
      <c r="E146" s="51">
        <f t="shared" si="628"/>
        <v>1.9879212238917847</v>
      </c>
      <c r="F146" s="51">
        <f t="shared" si="628"/>
        <v>2.9055162689505232</v>
      </c>
      <c r="G146" s="51">
        <f t="shared" ref="G146:H146" si="629">(G129-G118)/G90</f>
        <v>3.3705044314166717</v>
      </c>
      <c r="H146" s="51">
        <f t="shared" si="629"/>
        <v>6.4892437119877142</v>
      </c>
      <c r="I146" s="51">
        <f t="shared" ref="I146:K146" si="630">(I129-I118)/I90</f>
        <v>2.6476357050759454</v>
      </c>
      <c r="J146" s="51">
        <f t="shared" ref="J146" si="631">(J129-J118)/J90</f>
        <v>3.558211103991479</v>
      </c>
      <c r="K146" s="51">
        <f t="shared" si="630"/>
        <v>1.7829945848286912</v>
      </c>
      <c r="L146" s="51">
        <f t="shared" ref="L146:M146" si="632">(L129-L118)/L90</f>
        <v>1.783241018179746</v>
      </c>
      <c r="M146" s="51">
        <f t="shared" si="632"/>
        <v>1.391375263650094</v>
      </c>
      <c r="N146" s="51">
        <f t="shared" ref="N146:O146" si="633">(N129-N118)/N90</f>
        <v>1.3913752628171316</v>
      </c>
      <c r="O146" s="51">
        <f t="shared" si="633"/>
        <v>1.8476666288192187</v>
      </c>
      <c r="P146" s="51">
        <f>(P129-P118)/P90</f>
        <v>2.2750988077515411</v>
      </c>
      <c r="R146" s="101"/>
      <c r="S146" s="101"/>
      <c r="T146" s="101"/>
      <c r="U146" s="51">
        <f t="shared" ref="U146:Z146" si="634">(U129-U118)/U90</f>
        <v>1.9879212238917847</v>
      </c>
      <c r="V146" s="51">
        <f t="shared" si="634"/>
        <v>1.6538992586975219</v>
      </c>
      <c r="W146" s="51">
        <f t="shared" si="634"/>
        <v>1.4594548566611909</v>
      </c>
      <c r="X146" s="51">
        <f t="shared" si="634"/>
        <v>1.5079193290574027</v>
      </c>
      <c r="Y146" s="51">
        <f t="shared" si="634"/>
        <v>2.9055162689505232</v>
      </c>
      <c r="Z146" s="51">
        <f t="shared" si="634"/>
        <v>3.6641699406187311</v>
      </c>
      <c r="AA146" s="51">
        <f>(AA129-AA118)/AA90</f>
        <v>2.8713031853618767</v>
      </c>
      <c r="AB146" s="51">
        <f>(AB129-AB118)/AB90</f>
        <v>3.1687489360807146</v>
      </c>
      <c r="AC146" s="51">
        <f t="shared" ref="AC146:AD146" si="635">(AC129-AC118)/AC90</f>
        <v>3.3705044314166717</v>
      </c>
      <c r="AD146" s="51">
        <f t="shared" si="635"/>
        <v>4.2860593440165138</v>
      </c>
      <c r="AE146" s="51">
        <f>(AE129-AE118)/AE90</f>
        <v>4.8677044490890609</v>
      </c>
      <c r="AF146" s="51">
        <f>(AF129-AF118)/AF90</f>
        <v>5.0627386552385962</v>
      </c>
      <c r="AG146" s="51">
        <f t="shared" ref="AG146:AH146" si="636">(AG129-AG118)/AG90</f>
        <v>3.5989918221373944</v>
      </c>
      <c r="AH146" s="51">
        <f t="shared" si="636"/>
        <v>5.4030949304152598</v>
      </c>
      <c r="AI146" s="51">
        <f t="shared" ref="AI146" si="637">(AI129-AI118)/AI90</f>
        <v>4.8038571500032701</v>
      </c>
      <c r="AJ146" s="51">
        <f>(AJ129-AJ118)/AJ90</f>
        <v>4.5766229112802916</v>
      </c>
      <c r="AK146" s="51">
        <f t="shared" ref="AK146:AP146" si="638">(AK129-AK118)/AK90</f>
        <v>2.6476357050759454</v>
      </c>
      <c r="AL146" s="51">
        <f t="shared" ref="AL146" si="639">(AL129-AL118)/AL90</f>
        <v>3.9014153832262224</v>
      </c>
      <c r="AM146" s="51">
        <f t="shared" si="638"/>
        <v>2.3358139095654349</v>
      </c>
      <c r="AN146" s="51">
        <f t="shared" ref="AN146" si="640">(AN129-AN118)/AN90</f>
        <v>1.0166082909475542</v>
      </c>
      <c r="AO146" s="51">
        <f t="shared" si="638"/>
        <v>2.1517355999974845</v>
      </c>
      <c r="AP146" s="51">
        <f t="shared" si="638"/>
        <v>2.1441295317314406</v>
      </c>
      <c r="AQ146" s="51">
        <f>(AQ129-AQ118)/AQ90</f>
        <v>2.1555313182814686</v>
      </c>
      <c r="AR146" s="51">
        <f>(AR129-AR118)/AR90</f>
        <v>1.4007536549804107</v>
      </c>
      <c r="AS146" s="51">
        <f t="shared" ref="AS146" si="641">(AS129-AS118)/AS90</f>
        <v>1.7829945848286912</v>
      </c>
      <c r="AT146" s="51">
        <f t="shared" ref="AT146" si="642">(AT129-AT118)/AT90</f>
        <v>1.2349423217864963</v>
      </c>
      <c r="AU146" s="51">
        <f>(AU129-AU118)/AU90</f>
        <v>1.3722308863281001</v>
      </c>
      <c r="AV146" s="51">
        <f t="shared" ref="AV146" si="643">(AV129-AV118)/AV90</f>
        <v>1.774213165813942</v>
      </c>
      <c r="AW146" s="51">
        <f>(AW129-AW118)/AW90</f>
        <v>2.1744373128272367</v>
      </c>
      <c r="AX146" s="51">
        <f t="shared" ref="AX146" si="644">(AX129-AX118)/AX90</f>
        <v>1.391375263650094</v>
      </c>
      <c r="AY146" s="51">
        <f>(AY129-AY118)/AY90</f>
        <v>1.8477503451519695</v>
      </c>
      <c r="AZ146" s="51">
        <f t="shared" ref="AZ146" si="645">(AZ129-AZ118)/AZ90</f>
        <v>2.1698221469740853</v>
      </c>
      <c r="BA146" s="51">
        <f>(BA129-BA118)/BA90</f>
        <v>2.0360851744708963</v>
      </c>
      <c r="BB146" s="51">
        <f t="shared" ref="BB146" si="646">(BB129-BB118)/BB90</f>
        <v>1.8476666288192187</v>
      </c>
      <c r="BC146" s="51">
        <f>(BC129-BC118)/BC90</f>
        <v>2.2750988077515411</v>
      </c>
      <c r="BD146" s="51"/>
      <c r="BE146" s="51">
        <f>(BE129-BE118)/BE90</f>
        <v>1.2501669608936121</v>
      </c>
      <c r="BF146" s="51">
        <f>(BF129-BF118)/BF90</f>
        <v>1.1389755711895906</v>
      </c>
      <c r="BG146" s="51">
        <f>(BG129-BG118)/BG90</f>
        <v>1.2879819290266075</v>
      </c>
      <c r="BH146" s="51">
        <f>(BH129-BH118)/BH90</f>
        <v>1.3913752628171316</v>
      </c>
      <c r="BI146" s="51">
        <f>(BI129-BI118)/BI90</f>
        <v>1.4304401893444425</v>
      </c>
      <c r="BJ146" s="51"/>
      <c r="BK146" s="38"/>
      <c r="BL146" s="38"/>
      <c r="BM146" s="38"/>
      <c r="BN146" s="38"/>
      <c r="BO146" s="38"/>
      <c r="BP146" s="51"/>
    </row>
    <row r="147" spans="2:69"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R147" s="101"/>
      <c r="S147" s="101"/>
      <c r="T147" s="10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38"/>
      <c r="BL147" s="38"/>
      <c r="BM147" s="38"/>
      <c r="BN147" s="38"/>
      <c r="BO147" s="38"/>
      <c r="BP147" s="51"/>
    </row>
    <row r="148" spans="2:69" s="7" customFormat="1">
      <c r="B148" s="7" t="s">
        <v>265</v>
      </c>
      <c r="C148" s="322">
        <f t="shared" ref="C148:G148" si="647">+(C90-C93)/C91</f>
        <v>4.1039989256757234</v>
      </c>
      <c r="D148" s="322">
        <f t="shared" si="647"/>
        <v>2.3950988871590839</v>
      </c>
      <c r="E148" s="322">
        <f t="shared" si="647"/>
        <v>2.2366119894402754</v>
      </c>
      <c r="F148" s="322">
        <f t="shared" si="647"/>
        <v>2.8349572163108596</v>
      </c>
      <c r="G148" s="322">
        <f t="shared" si="647"/>
        <v>3.9328404731238313</v>
      </c>
      <c r="H148" s="322">
        <f t="shared" ref="H148:I148" si="648">+(H90-H93)/H91</f>
        <v>2.4987228261946828</v>
      </c>
      <c r="I148" s="322">
        <f t="shared" si="648"/>
        <v>2.3811067576718612</v>
      </c>
      <c r="J148" s="322">
        <f t="shared" ref="J148" si="649">+(J90-J93)/J91</f>
        <v>1.4454266013126194</v>
      </c>
      <c r="K148" s="322">
        <f t="shared" ref="K148" si="650">+(K90-K93)/K91</f>
        <v>2.5861511235290813</v>
      </c>
      <c r="L148" s="322">
        <f t="shared" ref="L148:M148" si="651">+(L90-L93)/L91</f>
        <v>2.5861513432366063</v>
      </c>
      <c r="M148" s="322">
        <f t="shared" si="651"/>
        <v>3.1594294228669848</v>
      </c>
      <c r="N148" s="322">
        <f t="shared" ref="N148:O148" si="652">+(N90-N93)/N91</f>
        <v>3.1594293627477263</v>
      </c>
      <c r="O148" s="322">
        <f t="shared" si="652"/>
        <v>3.2272193025217377</v>
      </c>
      <c r="P148" s="322">
        <f>+(P90-P93)/P91</f>
        <v>2.917393716274145</v>
      </c>
      <c r="Q148" s="323"/>
      <c r="R148" s="324"/>
      <c r="S148" s="324"/>
      <c r="T148" s="324"/>
      <c r="U148" s="322">
        <f t="shared" ref="U148:AB148" si="653">+(U90-U93)/U91</f>
        <v>2.2366119894402754</v>
      </c>
      <c r="V148" s="322">
        <f t="shared" si="653"/>
        <v>2.4957915434779538</v>
      </c>
      <c r="W148" s="322">
        <f t="shared" si="653"/>
        <v>2.7768771732611901</v>
      </c>
      <c r="X148" s="322">
        <f t="shared" si="653"/>
        <v>2.7689936052677782</v>
      </c>
      <c r="Y148" s="322">
        <f t="shared" si="653"/>
        <v>2.8349572163108596</v>
      </c>
      <c r="Z148" s="322">
        <f t="shared" si="653"/>
        <v>3.0006034427242216</v>
      </c>
      <c r="AA148" s="322">
        <f t="shared" si="653"/>
        <v>3.3309204613066976</v>
      </c>
      <c r="AB148" s="322">
        <f t="shared" si="653"/>
        <v>4.0113114215713344</v>
      </c>
      <c r="AC148" s="322">
        <f t="shared" ref="AC148:AF148" si="654">+(AC90-AC93)/AC91</f>
        <v>3.9328404731238313</v>
      </c>
      <c r="AD148" s="322">
        <f t="shared" si="654"/>
        <v>4.1200727963459096</v>
      </c>
      <c r="AE148" s="322">
        <f t="shared" si="654"/>
        <v>2.711973219435512</v>
      </c>
      <c r="AF148" s="322">
        <f t="shared" si="654"/>
        <v>2.6215324615945947</v>
      </c>
      <c r="AG148" s="322">
        <f t="shared" ref="AG148:AH148" si="655">+(AG90-AG93)/AG91</f>
        <v>2.4987228261946828</v>
      </c>
      <c r="AH148" s="322">
        <f t="shared" si="655"/>
        <v>3.3536708929380432</v>
      </c>
      <c r="AI148" s="322">
        <f t="shared" ref="AI148:AM148" si="656">+(AI90-AI93)/AI91</f>
        <v>2.7941236825860556</v>
      </c>
      <c r="AJ148" s="322">
        <f t="shared" si="656"/>
        <v>3.5582107458937617</v>
      </c>
      <c r="AK148" s="322">
        <f t="shared" si="656"/>
        <v>2.3811067576718616</v>
      </c>
      <c r="AL148" s="322">
        <f t="shared" ref="AL148" si="657">+(AL90-AL93)/AL91</f>
        <v>1.2923441783667025</v>
      </c>
      <c r="AM148" s="322">
        <f t="shared" si="656"/>
        <v>2.8884544160216206</v>
      </c>
      <c r="AN148" s="322">
        <f t="shared" ref="AN148" si="658">+(AN90-AN93)/AN91</f>
        <v>1.8267274918309757</v>
      </c>
      <c r="AO148" s="322">
        <f t="shared" ref="AO148:AU148" si="659">+(AO90-AO93)/AO91</f>
        <v>1.9083249358689425</v>
      </c>
      <c r="AP148" s="322">
        <f t="shared" si="659"/>
        <v>2.1301652323052895</v>
      </c>
      <c r="AQ148" s="322">
        <f t="shared" si="659"/>
        <v>3.5092102976144619</v>
      </c>
      <c r="AR148" s="322">
        <f t="shared" ref="AR148" si="660">+(AR90-AR93)/AR91</f>
        <v>2.3709595715426377</v>
      </c>
      <c r="AS148" s="322">
        <f t="shared" si="659"/>
        <v>2.6562550229304436</v>
      </c>
      <c r="AT148" s="322">
        <f t="shared" ref="AT148" si="661">+(AT90-AT93)/AT91</f>
        <v>2.5861513432366063</v>
      </c>
      <c r="AU148" s="322">
        <f t="shared" si="659"/>
        <v>2.6892079910990612</v>
      </c>
      <c r="AV148" s="322">
        <f t="shared" ref="AV148:AY148" si="662">+(AV90-AV93)/AV91</f>
        <v>2.0284272093956761</v>
      </c>
      <c r="AW148" s="322">
        <f t="shared" si="662"/>
        <v>1.5075915198917931</v>
      </c>
      <c r="AX148" s="322">
        <f t="shared" si="662"/>
        <v>3.1594294228669848</v>
      </c>
      <c r="AY148" s="322">
        <f t="shared" si="662"/>
        <v>3.0090807229924659</v>
      </c>
      <c r="AZ148" s="322">
        <f t="shared" ref="AZ148:BC148" si="663">+(AZ90-AZ93)/AZ91</f>
        <v>3.064470123920755</v>
      </c>
      <c r="BA148" s="322">
        <f t="shared" si="663"/>
        <v>3.0663205953704429</v>
      </c>
      <c r="BB148" s="322">
        <f t="shared" si="663"/>
        <v>3.2272193025217377</v>
      </c>
      <c r="BC148" s="322">
        <f t="shared" si="663"/>
        <v>2.917393716274145</v>
      </c>
      <c r="BD148" s="322"/>
      <c r="BE148" s="322">
        <f>+(BE90-BE93)/BE91</f>
        <v>2.9469537884565771</v>
      </c>
      <c r="BF148" s="322">
        <f>+(BF90-BF93)/BF91</f>
        <v>2.847582411264304</v>
      </c>
      <c r="BG148" s="322">
        <f>+(BG90-BG93)/BG91</f>
        <v>2.4601595216649281</v>
      </c>
      <c r="BH148" s="322">
        <f>+(BH90-BH93)/BH91</f>
        <v>3.1594293627477259</v>
      </c>
      <c r="BI148" s="322">
        <f>+(BI90-BI93)/BI91</f>
        <v>2.9684957440556605</v>
      </c>
      <c r="BJ148" s="50"/>
      <c r="BK148" s="38"/>
      <c r="BL148" s="38"/>
      <c r="BM148" s="38"/>
      <c r="BN148" s="38"/>
      <c r="BO148" s="38"/>
      <c r="BP148" s="50"/>
      <c r="BQ148" s="11"/>
    </row>
    <row r="149" spans="2:69">
      <c r="B149" s="11" t="s">
        <v>266</v>
      </c>
      <c r="C149" s="51">
        <f t="shared" ref="C149:G149" si="664">+C90/C91</f>
        <v>7.581682481167201</v>
      </c>
      <c r="D149" s="51">
        <f t="shared" si="664"/>
        <v>4.229902554344692</v>
      </c>
      <c r="E149" s="51">
        <f t="shared" si="664"/>
        <v>2.7857740337555246</v>
      </c>
      <c r="F149" s="51">
        <f t="shared" si="664"/>
        <v>3.1437232903406298</v>
      </c>
      <c r="G149" s="51">
        <f t="shared" si="664"/>
        <v>4.4520875614130002</v>
      </c>
      <c r="H149" s="51">
        <f t="shared" ref="H149:I149" si="665">+H90/H91</f>
        <v>3.0767916442572107</v>
      </c>
      <c r="I149" s="51">
        <f t="shared" si="665"/>
        <v>2.7141801092618372</v>
      </c>
      <c r="J149" s="51">
        <f t="shared" ref="J149" si="666">+J90/J91</f>
        <v>1.7401826140234276</v>
      </c>
      <c r="K149" s="51">
        <f t="shared" ref="K149" si="667">+K90/K91</f>
        <v>2.8879195219614093</v>
      </c>
      <c r="L149" s="51">
        <f t="shared" ref="L149:M149" si="668">+L90/L91</f>
        <v>2.8879198333780529</v>
      </c>
      <c r="M149" s="51">
        <f t="shared" si="668"/>
        <v>3.7742799359270811</v>
      </c>
      <c r="N149" s="51">
        <f t="shared" ref="N149:O149" si="669">+N90/N91</f>
        <v>3.7742797239257566</v>
      </c>
      <c r="O149" s="51">
        <f t="shared" si="669"/>
        <v>3.5247008957767409</v>
      </c>
      <c r="P149" s="51">
        <f>+P90/P91</f>
        <v>3.1959810768031591</v>
      </c>
      <c r="R149" s="101"/>
      <c r="S149" s="101"/>
      <c r="T149" s="101"/>
      <c r="U149" s="51">
        <f t="shared" ref="U149:AB149" si="670">+U90/U91</f>
        <v>2.7857740337555246</v>
      </c>
      <c r="V149" s="51">
        <f t="shared" si="670"/>
        <v>2.9547693482904478</v>
      </c>
      <c r="W149" s="51">
        <f t="shared" si="670"/>
        <v>3.1266186005609806</v>
      </c>
      <c r="X149" s="51">
        <f t="shared" si="670"/>
        <v>2.9865371526967781</v>
      </c>
      <c r="Y149" s="51">
        <f t="shared" si="670"/>
        <v>3.1437232903406298</v>
      </c>
      <c r="Z149" s="51">
        <f t="shared" si="670"/>
        <v>3.3117437586610725</v>
      </c>
      <c r="AA149" s="51">
        <f t="shared" si="670"/>
        <v>3.6704366209664143</v>
      </c>
      <c r="AB149" s="51">
        <f t="shared" si="670"/>
        <v>4.4219665946866549</v>
      </c>
      <c r="AC149" s="51">
        <f t="shared" ref="AC149:AF149" si="671">+AC90/AC91</f>
        <v>4.4520875614130002</v>
      </c>
      <c r="AD149" s="51">
        <f t="shared" si="671"/>
        <v>4.5662056963415179</v>
      </c>
      <c r="AE149" s="51">
        <f t="shared" si="671"/>
        <v>3.0824527739975194</v>
      </c>
      <c r="AF149" s="51">
        <f t="shared" si="671"/>
        <v>2.9304001853088253</v>
      </c>
      <c r="AG149" s="51">
        <f t="shared" ref="AG149:AH149" si="672">+AG90/AG91</f>
        <v>3.0767916442572107</v>
      </c>
      <c r="AH149" s="51">
        <f t="shared" si="672"/>
        <v>4.0212376267655534</v>
      </c>
      <c r="AI149" s="51">
        <f t="shared" ref="AI149:AM149" si="673">+AI90/AI91</f>
        <v>3.2650800604065129</v>
      </c>
      <c r="AJ149" s="51">
        <f t="shared" si="673"/>
        <v>4.1788645809254916</v>
      </c>
      <c r="AK149" s="51">
        <f t="shared" si="673"/>
        <v>2.7141801092618376</v>
      </c>
      <c r="AL149" s="51">
        <f t="shared" ref="AL149" si="674">+AL90/AL91</f>
        <v>1.5871001910775109</v>
      </c>
      <c r="AM149" s="51">
        <f t="shared" si="673"/>
        <v>3.2604054568776855</v>
      </c>
      <c r="AN149" s="51">
        <f t="shared" ref="AN149" si="675">+AN90/AN91</f>
        <v>2.163723972492301</v>
      </c>
      <c r="AO149" s="51">
        <f t="shared" ref="AO149:AU149" si="676">+AO90/AO91</f>
        <v>2.2385901096278755</v>
      </c>
      <c r="AP149" s="51">
        <f t="shared" si="676"/>
        <v>2.3618812083346099</v>
      </c>
      <c r="AQ149" s="51">
        <f t="shared" si="676"/>
        <v>3.9249163636884918</v>
      </c>
      <c r="AR149" s="51">
        <f t="shared" ref="AR149" si="677">+AR90/AR91</f>
        <v>2.7330073402168518</v>
      </c>
      <c r="AS149" s="51">
        <f t="shared" si="676"/>
        <v>2.8879195219614093</v>
      </c>
      <c r="AT149" s="51">
        <f t="shared" ref="AT149" si="678">+AT90/AT91</f>
        <v>2.8879198333780529</v>
      </c>
      <c r="AU149" s="51">
        <f t="shared" si="676"/>
        <v>2.9951762530236237</v>
      </c>
      <c r="AV149" s="51">
        <f t="shared" ref="AV149:AY149" si="679">+AV90/AV91</f>
        <v>2.3071524547823752</v>
      </c>
      <c r="AW149" s="51">
        <f t="shared" si="679"/>
        <v>1.8705013378811488</v>
      </c>
      <c r="AX149" s="51">
        <f t="shared" si="679"/>
        <v>3.7742799359270811</v>
      </c>
      <c r="AY149" s="51">
        <f t="shared" si="679"/>
        <v>3.514496813300104</v>
      </c>
      <c r="AZ149" s="51">
        <f t="shared" ref="AZ149:BC149" si="680">+AZ90/AZ91</f>
        <v>3.5485498351861473</v>
      </c>
      <c r="BA149" s="51">
        <f t="shared" si="680"/>
        <v>3.4953574723428651</v>
      </c>
      <c r="BB149" s="51">
        <f t="shared" si="680"/>
        <v>3.5247008957767409</v>
      </c>
      <c r="BC149" s="51">
        <f t="shared" si="680"/>
        <v>3.1959810768031591</v>
      </c>
      <c r="BD149" s="51"/>
      <c r="BE149" s="51">
        <f t="shared" ref="BE149:BF149" si="681">+BE90/BE91</f>
        <v>3.2704701011128954</v>
      </c>
      <c r="BF149" s="51">
        <f t="shared" si="681"/>
        <v>3.1764621331132687</v>
      </c>
      <c r="BG149" s="51">
        <f t="shared" ref="BG149:BI149" si="682">+BG90/BG91</f>
        <v>2.8060051368346999</v>
      </c>
      <c r="BH149" s="51">
        <f t="shared" si="682"/>
        <v>3.7742797239257562</v>
      </c>
      <c r="BI149" s="51">
        <f t="shared" si="682"/>
        <v>3.4713116686863223</v>
      </c>
      <c r="BJ149" s="51"/>
      <c r="BK149" s="38"/>
      <c r="BL149" s="38"/>
      <c r="BM149" s="38"/>
      <c r="BN149" s="38"/>
      <c r="BO149" s="38"/>
      <c r="BP149" s="51"/>
    </row>
    <row r="150" spans="2:69"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R150" s="101"/>
      <c r="S150" s="101"/>
      <c r="T150" s="101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38"/>
      <c r="BL150" s="38"/>
      <c r="BM150" s="38"/>
      <c r="BN150" s="38"/>
      <c r="BO150" s="38"/>
      <c r="BP150" s="52"/>
    </row>
    <row r="151" spans="2:69" s="7" customFormat="1" ht="12.75">
      <c r="B151" s="53" t="s">
        <v>267</v>
      </c>
      <c r="C151" s="54">
        <f t="shared" ref="C151:G151" si="683">C130/C133</f>
        <v>0.45893405830569989</v>
      </c>
      <c r="D151" s="54">
        <f t="shared" si="683"/>
        <v>0.43686476926215634</v>
      </c>
      <c r="E151" s="54">
        <f t="shared" si="683"/>
        <v>0.50718095774366168</v>
      </c>
      <c r="F151" s="54">
        <f t="shared" si="683"/>
        <v>0.16063492758346176</v>
      </c>
      <c r="G151" s="54">
        <f t="shared" si="683"/>
        <v>0.28955577926893722</v>
      </c>
      <c r="H151" s="54">
        <f t="shared" ref="H151:I151" si="684">H130/H133</f>
        <v>2.0227096025825348</v>
      </c>
      <c r="I151" s="54">
        <f t="shared" si="684"/>
        <v>1.858086542752013</v>
      </c>
      <c r="J151" s="54">
        <f t="shared" ref="J151" si="685">J130/J133</f>
        <v>1.5035942010270973</v>
      </c>
      <c r="K151" s="54">
        <f t="shared" ref="K151" si="686">K130/K133</f>
        <v>0.95440868442755689</v>
      </c>
      <c r="L151" s="54">
        <f t="shared" ref="L151:M151" si="687">L130/L133</f>
        <v>0.95454067853321045</v>
      </c>
      <c r="M151" s="54">
        <f t="shared" si="687"/>
        <v>0.64809758747576895</v>
      </c>
      <c r="N151" s="54">
        <f t="shared" ref="N151:O151" si="688">N130/N133</f>
        <v>0.69353777614530498</v>
      </c>
      <c r="O151" s="54">
        <f t="shared" si="688"/>
        <v>0.78565426847199715</v>
      </c>
      <c r="P151" s="54">
        <f>P130/P133</f>
        <v>0.79291593462713683</v>
      </c>
      <c r="R151" s="102"/>
      <c r="S151" s="102"/>
      <c r="T151" s="102"/>
      <c r="U151" s="54">
        <f t="shared" ref="U151:AB151" si="689">U130/U133</f>
        <v>0.50718095774366168</v>
      </c>
      <c r="V151" s="54">
        <f t="shared" si="689"/>
        <v>0.41852085277612816</v>
      </c>
      <c r="W151" s="54">
        <f t="shared" si="689"/>
        <v>0.38430712837487552</v>
      </c>
      <c r="X151" s="54">
        <f t="shared" si="689"/>
        <v>0.42012518990344683</v>
      </c>
      <c r="Y151" s="54">
        <f t="shared" si="689"/>
        <v>0.16063492758346176</v>
      </c>
      <c r="Z151" s="54">
        <f t="shared" si="689"/>
        <v>0.26940066700283188</v>
      </c>
      <c r="AA151" s="54">
        <f t="shared" si="689"/>
        <v>0.10910690803090262</v>
      </c>
      <c r="AB151" s="54">
        <f t="shared" si="689"/>
        <v>0.40710277396269584</v>
      </c>
      <c r="AC151" s="54">
        <f t="shared" ref="AC151:AF151" si="690">AC130/AC133</f>
        <v>0.28955577926893722</v>
      </c>
      <c r="AD151" s="54">
        <f t="shared" si="690"/>
        <v>0.22227537258309046</v>
      </c>
      <c r="AE151" s="54">
        <f t="shared" si="690"/>
        <v>0.28095132580162163</v>
      </c>
      <c r="AF151" s="54">
        <f t="shared" si="690"/>
        <v>1.4964417463350563</v>
      </c>
      <c r="AG151" s="54">
        <f t="shared" ref="AG151:AH151" si="691">AG130/AG133</f>
        <v>0.46274277904319588</v>
      </c>
      <c r="AH151" s="54">
        <f t="shared" si="691"/>
        <v>2.5676500583177519</v>
      </c>
      <c r="AI151" s="54">
        <f t="shared" ref="AI151:AM151" si="692">AI130/AI133</f>
        <v>2.9246610114036802</v>
      </c>
      <c r="AJ151" s="54">
        <f t="shared" si="692"/>
        <v>3.2364769218937126</v>
      </c>
      <c r="AK151" s="54">
        <f t="shared" si="692"/>
        <v>1.858086542752013</v>
      </c>
      <c r="AL151" s="54">
        <f t="shared" ref="AL151" si="693">AL130/AL133</f>
        <v>1.5035942010270973</v>
      </c>
      <c r="AM151" s="54">
        <f t="shared" si="692"/>
        <v>1.7581797620437032</v>
      </c>
      <c r="AN151" s="54">
        <f t="shared" ref="AN151" si="694">AN130/AN133</f>
        <v>0.98377896923820218</v>
      </c>
      <c r="AO151" s="54">
        <f t="shared" ref="AO151:AU151" si="695">AO130/AO133</f>
        <v>2.2966108227912274</v>
      </c>
      <c r="AP151" s="54">
        <f t="shared" si="695"/>
        <v>2.2966108227912274</v>
      </c>
      <c r="AQ151" s="54">
        <f t="shared" si="695"/>
        <v>1.797027645336273</v>
      </c>
      <c r="AR151" s="54">
        <f t="shared" ref="AR151" si="696">AR130/AR133</f>
        <v>1.797027645336273</v>
      </c>
      <c r="AS151" s="54">
        <f t="shared" si="695"/>
        <v>0.95440868442755689</v>
      </c>
      <c r="AT151" s="54">
        <f t="shared" ref="AT151" si="697">AT130/AT133</f>
        <v>0.95440868442755689</v>
      </c>
      <c r="AU151" s="54">
        <f t="shared" si="695"/>
        <v>0.9215932649474875</v>
      </c>
      <c r="AV151" s="54">
        <f t="shared" ref="AV151:AY151" si="698">AV130/AV133</f>
        <v>0.80795589329345052</v>
      </c>
      <c r="AW151" s="54">
        <f t="shared" si="698"/>
        <v>0.83326227586601975</v>
      </c>
      <c r="AX151" s="54">
        <f t="shared" si="698"/>
        <v>0.64809758747576895</v>
      </c>
      <c r="AY151" s="54">
        <f t="shared" si="698"/>
        <v>0.80347745333221454</v>
      </c>
      <c r="AZ151" s="54">
        <f t="shared" ref="AZ151:BC151" si="699">AZ130/AZ133</f>
        <v>0.98738787688552698</v>
      </c>
      <c r="BA151" s="54">
        <f t="shared" si="699"/>
        <v>0.91342023913537729</v>
      </c>
      <c r="BB151" s="54">
        <f t="shared" si="699"/>
        <v>0.78565426847199715</v>
      </c>
      <c r="BC151" s="54">
        <f t="shared" si="699"/>
        <v>0.79291593462713683</v>
      </c>
      <c r="BD151" s="235"/>
      <c r="BE151" s="54">
        <f t="shared" ref="BE151:BF151" si="700">BE130/BE133</f>
        <v>0.9215932649474875</v>
      </c>
      <c r="BF151" s="54">
        <f t="shared" si="700"/>
        <v>0.80795589329345052</v>
      </c>
      <c r="BG151" s="54">
        <f t="shared" ref="BG151:BI151" si="701">BG130/BG133</f>
        <v>0.83326227586601975</v>
      </c>
      <c r="BH151" s="54">
        <f t="shared" si="701"/>
        <v>0.69353777614530498</v>
      </c>
      <c r="BI151" s="54">
        <f t="shared" si="701"/>
        <v>0.80347745333221454</v>
      </c>
      <c r="BJ151" s="235"/>
      <c r="BK151" s="38"/>
      <c r="BL151" s="38"/>
      <c r="BM151" s="38"/>
      <c r="BN151" s="38"/>
      <c r="BO151" s="38"/>
      <c r="BP151" s="235"/>
      <c r="BQ151" s="11"/>
    </row>
    <row r="152" spans="2:69" s="7" customFormat="1" ht="12.75"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38"/>
      <c r="BL152" s="38"/>
      <c r="BM152" s="38"/>
      <c r="BN152" s="38"/>
      <c r="BO152" s="38"/>
      <c r="BP152" s="55"/>
      <c r="BQ152" s="11"/>
    </row>
    <row r="153" spans="2:69" s="7" customFormat="1" ht="12.75"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BJ153" s="55"/>
      <c r="BK153" s="38"/>
      <c r="BL153" s="38"/>
      <c r="BM153" s="38"/>
      <c r="BN153" s="38"/>
      <c r="BO153" s="38"/>
      <c r="BP153" s="55"/>
      <c r="BQ153" s="11"/>
    </row>
    <row r="154" spans="2:69">
      <c r="B154" s="5" t="s">
        <v>268</v>
      </c>
      <c r="C154" s="29">
        <f t="shared" ref="C154:O154" si="702">C3</f>
        <v>42735</v>
      </c>
      <c r="D154" s="29">
        <f t="shared" si="702"/>
        <v>43100</v>
      </c>
      <c r="E154" s="29">
        <f t="shared" si="702"/>
        <v>43465</v>
      </c>
      <c r="F154" s="29">
        <f t="shared" si="702"/>
        <v>43830</v>
      </c>
      <c r="G154" s="29">
        <f t="shared" si="702"/>
        <v>44196</v>
      </c>
      <c r="H154" s="29">
        <f t="shared" si="702"/>
        <v>44561</v>
      </c>
      <c r="I154" s="29">
        <f t="shared" si="702"/>
        <v>44926</v>
      </c>
      <c r="J154" s="29">
        <f t="shared" si="702"/>
        <v>44926</v>
      </c>
      <c r="K154" s="29">
        <f t="shared" si="702"/>
        <v>45291</v>
      </c>
      <c r="L154" s="29">
        <f t="shared" si="702"/>
        <v>45291</v>
      </c>
      <c r="M154" s="29">
        <f t="shared" si="702"/>
        <v>45657</v>
      </c>
      <c r="N154" s="29">
        <f t="shared" si="702"/>
        <v>45657</v>
      </c>
      <c r="O154" s="29">
        <f t="shared" si="702"/>
        <v>46022</v>
      </c>
      <c r="P154" s="29" t="str">
        <f>P2</f>
        <v>LTM</v>
      </c>
      <c r="R154" s="29">
        <f t="shared" ref="R154:BC154" si="703">R3</f>
        <v>43190</v>
      </c>
      <c r="S154" s="29">
        <f t="shared" si="703"/>
        <v>43281</v>
      </c>
      <c r="T154" s="29">
        <f t="shared" si="703"/>
        <v>43373</v>
      </c>
      <c r="U154" s="29">
        <f t="shared" si="703"/>
        <v>43465</v>
      </c>
      <c r="V154" s="29">
        <f t="shared" si="703"/>
        <v>43555</v>
      </c>
      <c r="W154" s="29">
        <f t="shared" si="703"/>
        <v>43646</v>
      </c>
      <c r="X154" s="29">
        <f t="shared" si="703"/>
        <v>43738</v>
      </c>
      <c r="Y154" s="29">
        <f t="shared" si="703"/>
        <v>43830</v>
      </c>
      <c r="Z154" s="29">
        <f t="shared" si="703"/>
        <v>43921</v>
      </c>
      <c r="AA154" s="29">
        <f t="shared" si="703"/>
        <v>44012</v>
      </c>
      <c r="AB154" s="29">
        <f t="shared" si="703"/>
        <v>44104</v>
      </c>
      <c r="AC154" s="29">
        <f t="shared" si="703"/>
        <v>44196</v>
      </c>
      <c r="AD154" s="29">
        <f t="shared" si="703"/>
        <v>44286</v>
      </c>
      <c r="AE154" s="29">
        <f t="shared" si="703"/>
        <v>44377</v>
      </c>
      <c r="AF154" s="29">
        <f t="shared" si="703"/>
        <v>44469</v>
      </c>
      <c r="AG154" s="29">
        <f t="shared" si="703"/>
        <v>44561</v>
      </c>
      <c r="AH154" s="29">
        <f t="shared" si="703"/>
        <v>44651</v>
      </c>
      <c r="AI154" s="29">
        <f t="shared" si="703"/>
        <v>44742</v>
      </c>
      <c r="AJ154" s="29">
        <f t="shared" si="703"/>
        <v>44834</v>
      </c>
      <c r="AK154" s="29">
        <f t="shared" si="703"/>
        <v>44926</v>
      </c>
      <c r="AL154" s="29">
        <f t="shared" si="703"/>
        <v>44926</v>
      </c>
      <c r="AM154" s="29">
        <f t="shared" si="703"/>
        <v>45016</v>
      </c>
      <c r="AN154" s="29">
        <f t="shared" si="703"/>
        <v>45016</v>
      </c>
      <c r="AO154" s="29">
        <f t="shared" si="703"/>
        <v>45107</v>
      </c>
      <c r="AP154" s="29">
        <f t="shared" si="703"/>
        <v>45107</v>
      </c>
      <c r="AQ154" s="29">
        <f t="shared" si="703"/>
        <v>45199</v>
      </c>
      <c r="AR154" s="29">
        <f t="shared" si="703"/>
        <v>45199</v>
      </c>
      <c r="AS154" s="29">
        <f t="shared" si="703"/>
        <v>45291</v>
      </c>
      <c r="AT154" s="29">
        <f t="shared" si="703"/>
        <v>45291</v>
      </c>
      <c r="AU154" s="29">
        <f t="shared" si="703"/>
        <v>45382</v>
      </c>
      <c r="AV154" s="29">
        <f t="shared" si="703"/>
        <v>45473</v>
      </c>
      <c r="AW154" s="29">
        <f t="shared" si="703"/>
        <v>45565</v>
      </c>
      <c r="AX154" s="29">
        <f t="shared" si="703"/>
        <v>45657</v>
      </c>
      <c r="AY154" s="29">
        <f t="shared" si="703"/>
        <v>45747</v>
      </c>
      <c r="AZ154" s="29">
        <f t="shared" si="703"/>
        <v>45838</v>
      </c>
      <c r="BA154" s="29">
        <f t="shared" si="703"/>
        <v>45930</v>
      </c>
      <c r="BB154" s="29">
        <f t="shared" si="703"/>
        <v>46022</v>
      </c>
      <c r="BC154" s="29">
        <f t="shared" si="703"/>
        <v>46112</v>
      </c>
      <c r="BD154" s="234"/>
      <c r="BE154" s="29">
        <f>BE3</f>
        <v>45382</v>
      </c>
      <c r="BF154" s="29">
        <f>BF3</f>
        <v>45473</v>
      </c>
      <c r="BG154" s="29">
        <f>BG3</f>
        <v>45565</v>
      </c>
      <c r="BH154" s="29">
        <f>BH3</f>
        <v>45656</v>
      </c>
      <c r="BI154" s="29">
        <f>BI3</f>
        <v>45747</v>
      </c>
      <c r="BJ154" s="234"/>
      <c r="BK154" s="38"/>
      <c r="BL154" s="38"/>
      <c r="BM154" s="38"/>
      <c r="BN154" s="38"/>
      <c r="BO154" s="38"/>
      <c r="BP154" s="234"/>
    </row>
    <row r="155" spans="2:69">
      <c r="B155" s="11" t="s">
        <v>269</v>
      </c>
      <c r="C155" s="23">
        <f t="shared" ref="C155:G155" si="704">C87</f>
        <v>4193.7747460000001</v>
      </c>
      <c r="D155" s="23">
        <f t="shared" si="704"/>
        <v>4825.6480000000001</v>
      </c>
      <c r="E155" s="23">
        <f t="shared" si="704"/>
        <v>5955.5079999999998</v>
      </c>
      <c r="F155" s="23">
        <f t="shared" si="704"/>
        <v>7803.12</v>
      </c>
      <c r="G155" s="23">
        <f t="shared" si="704"/>
        <v>9400.8610000000008</v>
      </c>
      <c r="H155" s="23">
        <f t="shared" ref="H155:I155" si="705">H87</f>
        <v>12537.08</v>
      </c>
      <c r="I155" s="23">
        <f t="shared" si="705"/>
        <v>28196.847000000002</v>
      </c>
      <c r="J155" s="23">
        <f t="shared" ref="J155" si="706">J87</f>
        <v>51981.207999999999</v>
      </c>
      <c r="K155" s="23">
        <f t="shared" ref="K155" si="707">K87</f>
        <v>55836.141000000003</v>
      </c>
      <c r="L155" s="23">
        <f t="shared" ref="L155:M155" si="708">L87</f>
        <v>80615.534</v>
      </c>
      <c r="M155" s="23">
        <f t="shared" si="708"/>
        <v>84097.907999999996</v>
      </c>
      <c r="N155" s="23">
        <f t="shared" ref="N155:O155" si="709">N87</f>
        <v>110077.71</v>
      </c>
      <c r="O155" s="23">
        <f t="shared" si="709"/>
        <v>111904.601</v>
      </c>
      <c r="P155" s="23">
        <f>P87</f>
        <v>118848.70499999999</v>
      </c>
      <c r="R155" s="100"/>
      <c r="S155" s="100"/>
      <c r="T155" s="100"/>
      <c r="U155" s="23">
        <f t="shared" ref="U155:AB155" si="710">U87</f>
        <v>5955.5079999999998</v>
      </c>
      <c r="V155" s="23">
        <f t="shared" si="710"/>
        <v>6490.1779999999999</v>
      </c>
      <c r="W155" s="23">
        <f t="shared" si="710"/>
        <v>6998.4069999999992</v>
      </c>
      <c r="X155" s="23">
        <f t="shared" si="710"/>
        <v>7453.8420000000006</v>
      </c>
      <c r="Y155" s="23">
        <f t="shared" si="710"/>
        <v>7803.12</v>
      </c>
      <c r="Z155" s="23">
        <f t="shared" si="710"/>
        <v>8236.8859999999986</v>
      </c>
      <c r="AA155" s="23">
        <f t="shared" si="710"/>
        <v>8561.0289999999986</v>
      </c>
      <c r="AB155" s="23">
        <f t="shared" si="710"/>
        <v>8896.719000000001</v>
      </c>
      <c r="AC155" s="23">
        <f t="shared" ref="AC155:AF155" si="711">AC87</f>
        <v>9400.8610000000008</v>
      </c>
      <c r="AD155" s="23">
        <f t="shared" si="711"/>
        <v>9714.4130000000005</v>
      </c>
      <c r="AE155" s="23">
        <f t="shared" si="711"/>
        <v>10112.188000000002</v>
      </c>
      <c r="AF155" s="23">
        <f t="shared" si="711"/>
        <v>10859.522000000001</v>
      </c>
      <c r="AG155" s="23">
        <f t="shared" ref="AG155:AH155" si="712">AG87</f>
        <v>12537.08</v>
      </c>
      <c r="AH155" s="23">
        <f t="shared" si="712"/>
        <v>15733.420000000002</v>
      </c>
      <c r="AI155" s="23">
        <f t="shared" ref="AI155:AM155" si="713">AI87</f>
        <v>19182.046000000002</v>
      </c>
      <c r="AJ155" s="23">
        <f t="shared" si="713"/>
        <v>23507.733</v>
      </c>
      <c r="AK155" s="23">
        <f t="shared" si="713"/>
        <v>28196.847000000002</v>
      </c>
      <c r="AL155" s="23">
        <f t="shared" ref="AL155" si="714">AL87</f>
        <v>51981.207999999999</v>
      </c>
      <c r="AM155" s="23">
        <f t="shared" si="713"/>
        <v>32422.584999999999</v>
      </c>
      <c r="AN155" s="23">
        <f t="shared" ref="AN155" si="715">AN87</f>
        <v>63442.044999999998</v>
      </c>
      <c r="AO155" s="23">
        <f t="shared" ref="AO155:AU155" si="716">AO87</f>
        <v>66962.856999999989</v>
      </c>
      <c r="AP155" s="23">
        <f t="shared" si="716"/>
        <v>45037.27</v>
      </c>
      <c r="AQ155" s="23">
        <f t="shared" si="716"/>
        <v>41050.154999999999</v>
      </c>
      <c r="AR155" s="23">
        <f t="shared" ref="AR155" si="717">AR87</f>
        <v>84354.281999999992</v>
      </c>
      <c r="AS155" s="23">
        <f t="shared" si="716"/>
        <v>55836.141000000003</v>
      </c>
      <c r="AT155" s="23">
        <f t="shared" ref="AT155" si="718">AT87</f>
        <v>80615.534</v>
      </c>
      <c r="AU155" s="23">
        <f t="shared" si="716"/>
        <v>82869.615000000005</v>
      </c>
      <c r="AV155" s="23">
        <f t="shared" ref="AV155:AY155" si="719">AV87</f>
        <v>62182.315000000002</v>
      </c>
      <c r="AW155" s="23">
        <f t="shared" si="719"/>
        <v>62569.313999999998</v>
      </c>
      <c r="AX155" s="23">
        <f t="shared" si="719"/>
        <v>84097.907999999996</v>
      </c>
      <c r="AY155" s="23">
        <f t="shared" si="719"/>
        <v>91459.28899999999</v>
      </c>
      <c r="AZ155" s="23">
        <f t="shared" ref="AZ155:BC155" si="720">AZ87</f>
        <v>99207.64499999999</v>
      </c>
      <c r="BA155" s="23">
        <f t="shared" si="720"/>
        <v>106422.37299999999</v>
      </c>
      <c r="BB155" s="23">
        <f t="shared" si="720"/>
        <v>111904.601</v>
      </c>
      <c r="BC155" s="23">
        <f t="shared" si="720"/>
        <v>118848.70499999999</v>
      </c>
      <c r="BD155" s="23"/>
      <c r="BE155" s="23">
        <f t="shared" ref="BE155:BF155" si="721">BE87</f>
        <v>90338.322</v>
      </c>
      <c r="BF155" s="23">
        <f t="shared" si="721"/>
        <v>94617.672000000006</v>
      </c>
      <c r="BG155" s="23">
        <f t="shared" ref="BG155:BI155" si="722">BG87</f>
        <v>101062.984</v>
      </c>
      <c r="BH155" s="23">
        <f t="shared" si="722"/>
        <v>110077.71</v>
      </c>
      <c r="BI155" s="23">
        <f t="shared" si="722"/>
        <v>118293.07799999999</v>
      </c>
      <c r="BJ155" s="23"/>
      <c r="BK155" s="38"/>
      <c r="BL155" s="38"/>
      <c r="BM155" s="38"/>
      <c r="BN155" s="38"/>
      <c r="BO155" s="38"/>
      <c r="BP155" s="23"/>
    </row>
    <row r="156" spans="2:69">
      <c r="B156" s="11" t="s">
        <v>270</v>
      </c>
      <c r="C156" s="23">
        <f t="shared" ref="C156:G156" si="723">C90</f>
        <v>575.29999999999995</v>
      </c>
      <c r="D156" s="23">
        <f t="shared" si="723"/>
        <v>733.59199999999998</v>
      </c>
      <c r="E156" s="23">
        <f t="shared" si="723"/>
        <v>939.16800000000001</v>
      </c>
      <c r="F156" s="23">
        <f t="shared" si="723"/>
        <v>1303.5260000000001</v>
      </c>
      <c r="G156" s="23">
        <f t="shared" si="723"/>
        <v>1621.152</v>
      </c>
      <c r="H156" s="23">
        <f t="shared" ref="H156:I156" si="724">H90</f>
        <v>2328.3589999999999</v>
      </c>
      <c r="I156" s="23">
        <f t="shared" si="724"/>
        <v>5467.0209999999997</v>
      </c>
      <c r="J156" s="23">
        <f t="shared" ref="J156" si="725">J90</f>
        <v>6702.9049999999997</v>
      </c>
      <c r="K156" s="23">
        <f t="shared" ref="K156" si="726">K90</f>
        <v>10600.588</v>
      </c>
      <c r="L156" s="23">
        <f t="shared" ref="L156:M156" si="727">L90</f>
        <v>15304.999</v>
      </c>
      <c r="M156" s="23">
        <f t="shared" si="727"/>
        <v>15595.955</v>
      </c>
      <c r="N156" s="23">
        <f t="shared" ref="N156:O156" si="728">N90</f>
        <v>20413.909</v>
      </c>
      <c r="O156" s="23">
        <f t="shared" si="728"/>
        <v>18416.037</v>
      </c>
      <c r="P156" s="23">
        <f>P90</f>
        <v>18061.336000000003</v>
      </c>
      <c r="R156" s="100"/>
      <c r="S156" s="100"/>
      <c r="T156" s="100"/>
      <c r="U156" s="23">
        <f t="shared" ref="U156:AB156" si="729">U90</f>
        <v>939.16800000000001</v>
      </c>
      <c r="V156" s="23">
        <f t="shared" si="729"/>
        <v>1044.3780000000002</v>
      </c>
      <c r="W156" s="23">
        <f t="shared" si="729"/>
        <v>1162.6300000000001</v>
      </c>
      <c r="X156" s="23">
        <f t="shared" si="729"/>
        <v>1241.835</v>
      </c>
      <c r="Y156" s="23">
        <f t="shared" si="729"/>
        <v>1303.5260000000001</v>
      </c>
      <c r="Z156" s="23">
        <f t="shared" si="729"/>
        <v>1388.4849999999999</v>
      </c>
      <c r="AA156" s="23">
        <f t="shared" si="729"/>
        <v>1449.694</v>
      </c>
      <c r="AB156" s="23">
        <f t="shared" si="729"/>
        <v>1521.4970000000001</v>
      </c>
      <c r="AC156" s="23">
        <f t="shared" ref="AC156:AF156" si="730">AC90</f>
        <v>1621.152</v>
      </c>
      <c r="AD156" s="23">
        <f t="shared" si="730"/>
        <v>1663.4870000000001</v>
      </c>
      <c r="AE156" s="23">
        <f t="shared" si="730"/>
        <v>1635.346</v>
      </c>
      <c r="AF156" s="23">
        <f t="shared" si="730"/>
        <v>1935.585</v>
      </c>
      <c r="AG156" s="23">
        <f t="shared" ref="AG156:AH156" si="731">AG90</f>
        <v>2328.3589999999999</v>
      </c>
      <c r="AH156" s="23">
        <f t="shared" si="731"/>
        <v>3115.482</v>
      </c>
      <c r="AI156" s="23">
        <f t="shared" ref="AI156:AM156" si="732">AI90</f>
        <v>3898.2150000000001</v>
      </c>
      <c r="AJ156" s="23">
        <f t="shared" si="732"/>
        <v>4465.3549999999996</v>
      </c>
      <c r="AK156" s="23">
        <f t="shared" si="732"/>
        <v>5467.0209999999997</v>
      </c>
      <c r="AL156" s="23">
        <f t="shared" ref="AL156" si="733">AL90</f>
        <v>6113.2559999999994</v>
      </c>
      <c r="AM156" s="23">
        <f t="shared" si="732"/>
        <v>6565.41</v>
      </c>
      <c r="AN156" s="23">
        <f t="shared" ref="AN156" si="734">AN90</f>
        <v>8440.7239999999983</v>
      </c>
      <c r="AO156" s="23">
        <f t="shared" ref="AO156:AU156" si="735">AO90</f>
        <v>9221.4219999999987</v>
      </c>
      <c r="AP156" s="23">
        <f t="shared" si="735"/>
        <v>9254.134</v>
      </c>
      <c r="AQ156" s="23">
        <f t="shared" si="735"/>
        <v>8761.5280000000002</v>
      </c>
      <c r="AR156" s="23">
        <f t="shared" ref="AR156" si="736">AR90</f>
        <v>13482.562000000002</v>
      </c>
      <c r="AS156" s="23">
        <f t="shared" si="735"/>
        <v>10600.588</v>
      </c>
      <c r="AT156" s="23">
        <f t="shared" ref="AT156" si="737">AT90</f>
        <v>15304.999</v>
      </c>
      <c r="AU156" s="23">
        <f t="shared" si="735"/>
        <v>15775.174000000001</v>
      </c>
      <c r="AV156" s="23">
        <f t="shared" ref="AV156:AY156" si="738">AV90</f>
        <v>11845.952000000001</v>
      </c>
      <c r="AW156" s="23">
        <f t="shared" si="738"/>
        <v>11132.429</v>
      </c>
      <c r="AX156" s="23">
        <f t="shared" si="738"/>
        <v>15595.955</v>
      </c>
      <c r="AY156" s="23">
        <f t="shared" si="738"/>
        <v>17038.147000000001</v>
      </c>
      <c r="AZ156" s="23">
        <f t="shared" ref="AZ156:BC156" si="739">AZ90</f>
        <v>17464.589</v>
      </c>
      <c r="BA156" s="23">
        <f t="shared" si="739"/>
        <v>19106.710999999999</v>
      </c>
      <c r="BB156" s="23">
        <f t="shared" si="739"/>
        <v>18416.037</v>
      </c>
      <c r="BC156" s="23">
        <f t="shared" si="739"/>
        <v>18061.336000000003</v>
      </c>
      <c r="BD156" s="23"/>
      <c r="BE156" s="23">
        <f t="shared" ref="BE156:BF156" si="740">BE90</f>
        <v>17315.432000000001</v>
      </c>
      <c r="BF156" s="23">
        <f t="shared" si="740"/>
        <v>18452.760999999999</v>
      </c>
      <c r="BG156" s="23">
        <f t="shared" ref="BG156:BI156" si="741">BG90</f>
        <v>18794.339</v>
      </c>
      <c r="BH156" s="23">
        <f t="shared" si="741"/>
        <v>20413.909</v>
      </c>
      <c r="BI156" s="23">
        <f t="shared" si="741"/>
        <v>22008.779000000002</v>
      </c>
      <c r="BJ156" s="23"/>
      <c r="BK156" s="38"/>
      <c r="BL156" s="38"/>
      <c r="BM156" s="38"/>
      <c r="BN156" s="38"/>
      <c r="BO156" s="38"/>
      <c r="BP156" s="23"/>
    </row>
    <row r="157" spans="2:69">
      <c r="B157" s="11" t="s">
        <v>271</v>
      </c>
      <c r="C157" s="56">
        <f t="shared" ref="C157:V157" si="742">C156/C155</f>
        <v>0.13717951841565121</v>
      </c>
      <c r="D157" s="56">
        <f t="shared" si="742"/>
        <v>0.1520193764650882</v>
      </c>
      <c r="E157" s="56">
        <f t="shared" si="742"/>
        <v>0.15769737862832189</v>
      </c>
      <c r="F157" s="56">
        <f t="shared" ref="F157:K157" si="743">F156/F155</f>
        <v>0.16705189718984204</v>
      </c>
      <c r="G157" s="56">
        <f t="shared" si="743"/>
        <v>0.1724471832952322</v>
      </c>
      <c r="H157" s="56">
        <f t="shared" si="743"/>
        <v>0.18571780669821042</v>
      </c>
      <c r="I157" s="56">
        <f t="shared" si="743"/>
        <v>0.19388767119954936</v>
      </c>
      <c r="J157" s="56">
        <f t="shared" si="743"/>
        <v>0.12894861927795137</v>
      </c>
      <c r="K157" s="56">
        <f t="shared" si="743"/>
        <v>0.18985173062013722</v>
      </c>
      <c r="L157" s="56">
        <f t="shared" ref="L157:M157" si="744">L156/L155</f>
        <v>0.18985173502665131</v>
      </c>
      <c r="M157" s="56">
        <f t="shared" si="744"/>
        <v>0.18544997575920677</v>
      </c>
      <c r="N157" s="56">
        <f t="shared" ref="N157:O157" si="745">N156/N155</f>
        <v>0.18544997892852239</v>
      </c>
      <c r="O157" s="56">
        <f t="shared" si="745"/>
        <v>0.16456907790592096</v>
      </c>
      <c r="P157" s="56">
        <f t="shared" ref="P157" si="746">P156/P155</f>
        <v>0.15196914429988956</v>
      </c>
      <c r="R157" s="103"/>
      <c r="S157" s="103"/>
      <c r="T157" s="103"/>
      <c r="U157" s="56">
        <f t="shared" si="742"/>
        <v>0.15769737862832189</v>
      </c>
      <c r="V157" s="56">
        <f t="shared" si="742"/>
        <v>0.16091669596735253</v>
      </c>
      <c r="W157" s="56">
        <f t="shared" ref="W157:AB157" si="747">W156/W155</f>
        <v>0.16612780594212373</v>
      </c>
      <c r="X157" s="56">
        <f t="shared" si="747"/>
        <v>0.16660334361796239</v>
      </c>
      <c r="Y157" s="56">
        <f t="shared" si="747"/>
        <v>0.16705189718984204</v>
      </c>
      <c r="Z157" s="56">
        <f t="shared" si="747"/>
        <v>0.16856916558029333</v>
      </c>
      <c r="AA157" s="56">
        <f t="shared" si="747"/>
        <v>0.16933641972244226</v>
      </c>
      <c r="AB157" s="56">
        <f t="shared" si="747"/>
        <v>0.17101776508845562</v>
      </c>
      <c r="AC157" s="56">
        <f t="shared" ref="AC157:AF157" si="748">AC156/AC155</f>
        <v>0.1724471832952322</v>
      </c>
      <c r="AD157" s="56">
        <f t="shared" si="748"/>
        <v>0.17123906508813244</v>
      </c>
      <c r="AE157" s="56">
        <f t="shared" si="748"/>
        <v>0.16172029238380453</v>
      </c>
      <c r="AF157" s="56">
        <f t="shared" si="748"/>
        <v>0.17823850810376368</v>
      </c>
      <c r="AG157" s="56">
        <f t="shared" ref="AG157:AH157" si="749">AG156/AG155</f>
        <v>0.18571780669821042</v>
      </c>
      <c r="AH157" s="56">
        <f t="shared" si="749"/>
        <v>0.1980168329581235</v>
      </c>
      <c r="AI157" s="56">
        <f t="shared" ref="AI157:AM157" si="750">AI156/AI155</f>
        <v>0.20322206504978665</v>
      </c>
      <c r="AJ157" s="56">
        <f t="shared" si="750"/>
        <v>0.18995259985299304</v>
      </c>
      <c r="AK157" s="56">
        <f t="shared" si="750"/>
        <v>0.19388767119954936</v>
      </c>
      <c r="AL157" s="56">
        <f t="shared" ref="AL157" si="751">AL156/AL155</f>
        <v>0.11760511606425152</v>
      </c>
      <c r="AM157" s="56">
        <f t="shared" si="750"/>
        <v>0.20249495837546574</v>
      </c>
      <c r="AN157" s="56">
        <f t="shared" ref="AN157" si="752">AN156/AN155</f>
        <v>0.13304621564453034</v>
      </c>
      <c r="AO157" s="56">
        <f t="shared" ref="AO157:AU157" si="753">AO156/AO155</f>
        <v>0.13770950662992174</v>
      </c>
      <c r="AP157" s="56">
        <f t="shared" si="753"/>
        <v>0.20547724140472992</v>
      </c>
      <c r="AQ157" s="56">
        <f t="shared" si="753"/>
        <v>0.21343471175687401</v>
      </c>
      <c r="AR157" s="56">
        <f t="shared" ref="AR157" si="754">AR156/AR155</f>
        <v>0.15983257376311974</v>
      </c>
      <c r="AS157" s="56">
        <f t="shared" si="753"/>
        <v>0.18985173062013722</v>
      </c>
      <c r="AT157" s="56">
        <f t="shared" ref="AT157" si="755">AT156/AT155</f>
        <v>0.18985173502665131</v>
      </c>
      <c r="AU157" s="56">
        <f t="shared" si="753"/>
        <v>0.19036137672414671</v>
      </c>
      <c r="AV157" s="56">
        <f t="shared" ref="AV157:AY157" si="756">AV156/AV155</f>
        <v>0.19050355394455804</v>
      </c>
      <c r="AW157" s="56">
        <f t="shared" si="756"/>
        <v>0.17792154473676985</v>
      </c>
      <c r="AX157" s="56">
        <f t="shared" si="756"/>
        <v>0.18544997575920677</v>
      </c>
      <c r="AY157" s="56">
        <f t="shared" si="756"/>
        <v>0.18629214360063528</v>
      </c>
      <c r="AZ157" s="56">
        <f t="shared" ref="AZ157:BC157" si="757">AZ156/AZ155</f>
        <v>0.17604075774603864</v>
      </c>
      <c r="BA157" s="56">
        <f t="shared" si="757"/>
        <v>0.17953659988393605</v>
      </c>
      <c r="BB157" s="56">
        <f t="shared" si="757"/>
        <v>0.16456907790592096</v>
      </c>
      <c r="BC157" s="56">
        <f t="shared" si="757"/>
        <v>0.15196914429988956</v>
      </c>
      <c r="BD157" s="56"/>
      <c r="BE157" s="56">
        <f t="shared" ref="BE157:BF157" si="758">BE156/BE155</f>
        <v>0.19167316390933187</v>
      </c>
      <c r="BF157" s="56">
        <f t="shared" si="758"/>
        <v>0.19502446646541882</v>
      </c>
      <c r="BG157" s="56">
        <f t="shared" ref="BG157:BI157" si="759">BG156/BG155</f>
        <v>0.18596659485138495</v>
      </c>
      <c r="BH157" s="56">
        <f t="shared" si="759"/>
        <v>0.18544997892852239</v>
      </c>
      <c r="BI157" s="56">
        <f t="shared" si="759"/>
        <v>0.18605297429153042</v>
      </c>
      <c r="BJ157" s="56"/>
      <c r="BK157" s="38"/>
      <c r="BL157" s="38"/>
      <c r="BM157" s="38"/>
      <c r="BN157" s="38"/>
      <c r="BO157" s="38"/>
      <c r="BP157" s="56"/>
    </row>
    <row r="158" spans="2:69">
      <c r="B158" s="11" t="s">
        <v>37</v>
      </c>
      <c r="C158" s="23">
        <f t="shared" ref="C158:G158" si="760">C123</f>
        <v>2952.8540000000003</v>
      </c>
      <c r="D158" s="23">
        <f t="shared" si="760"/>
        <v>4310.4030000000002</v>
      </c>
      <c r="E158" s="23">
        <f t="shared" si="760"/>
        <v>5245.7529999999997</v>
      </c>
      <c r="F158" s="23">
        <f t="shared" si="760"/>
        <v>5877.6679999999997</v>
      </c>
      <c r="G158" s="23">
        <f t="shared" si="760"/>
        <v>9338.2510000000002</v>
      </c>
      <c r="H158" s="23">
        <f t="shared" ref="H158:I158" si="761">H123</f>
        <v>18145.474000000002</v>
      </c>
      <c r="I158" s="23">
        <f t="shared" si="761"/>
        <v>23740.065999999999</v>
      </c>
      <c r="J158" s="23">
        <f t="shared" ref="J158" si="762">J123</f>
        <v>39117.199000000001</v>
      </c>
      <c r="K158" s="23">
        <f t="shared" ref="K158" si="763">K123</f>
        <v>30560.627000000004</v>
      </c>
      <c r="L158" s="23">
        <f t="shared" ref="L158:M158" si="764">L123</f>
        <v>44126.831999999995</v>
      </c>
      <c r="M158" s="23">
        <f t="shared" si="764"/>
        <v>48009.366000000002</v>
      </c>
      <c r="N158" s="23">
        <f t="shared" ref="N158:O158" si="765">N123</f>
        <v>62840.577000000005</v>
      </c>
      <c r="O158" s="23">
        <f t="shared" si="765"/>
        <v>57345.380000000005</v>
      </c>
      <c r="P158" s="23">
        <f>P123</f>
        <v>58252.407999999996</v>
      </c>
      <c r="R158" s="23">
        <f t="shared" ref="R158:AB158" si="766">R123</f>
        <v>4706.5930000000008</v>
      </c>
      <c r="S158" s="23">
        <f t="shared" si="766"/>
        <v>4799.0470000000005</v>
      </c>
      <c r="T158" s="23">
        <f t="shared" si="766"/>
        <v>6174.7640000000001</v>
      </c>
      <c r="U158" s="23">
        <f t="shared" si="766"/>
        <v>5245.7529999999997</v>
      </c>
      <c r="V158" s="23">
        <f t="shared" si="766"/>
        <v>5557.3020000000006</v>
      </c>
      <c r="W158" s="23">
        <f t="shared" si="766"/>
        <v>5883.3850000000002</v>
      </c>
      <c r="X158" s="23">
        <f t="shared" si="766"/>
        <v>5754.0529999999999</v>
      </c>
      <c r="Y158" s="23">
        <f t="shared" si="766"/>
        <v>5877.6679999999997</v>
      </c>
      <c r="Z158" s="23">
        <f t="shared" si="766"/>
        <v>6367.7609999999995</v>
      </c>
      <c r="AA158" s="23">
        <f t="shared" si="766"/>
        <v>7175.8670000000002</v>
      </c>
      <c r="AB158" s="23">
        <f t="shared" si="766"/>
        <v>8406.366</v>
      </c>
      <c r="AC158" s="23">
        <f t="shared" ref="AC158:AF158" si="767">AC123</f>
        <v>9338.2510000000002</v>
      </c>
      <c r="AD158" s="23">
        <f t="shared" si="767"/>
        <v>10543.135999999999</v>
      </c>
      <c r="AE158" s="23">
        <f t="shared" si="767"/>
        <v>10763.757</v>
      </c>
      <c r="AF158" s="23">
        <f t="shared" si="767"/>
        <v>12698.414999999999</v>
      </c>
      <c r="AG158" s="23">
        <f t="shared" ref="AG158:AH158" si="768">AG123</f>
        <v>11415.93</v>
      </c>
      <c r="AH158" s="23">
        <f t="shared" si="768"/>
        <v>19844.254999999997</v>
      </c>
      <c r="AI158" s="23">
        <f t="shared" ref="AI158:AM158" si="769">AI123</f>
        <v>22070.580999999998</v>
      </c>
      <c r="AJ158" s="23">
        <f t="shared" si="769"/>
        <v>24215.478000000003</v>
      </c>
      <c r="AK158" s="23">
        <f t="shared" si="769"/>
        <v>23740.065999999999</v>
      </c>
      <c r="AL158" s="23">
        <f t="shared" ref="AL158" si="770">AL123</f>
        <v>39117.199000000001</v>
      </c>
      <c r="AM158" s="23">
        <f t="shared" si="769"/>
        <v>25200.313000000002</v>
      </c>
      <c r="AN158" s="23">
        <f t="shared" ref="AN158" si="771">AN123</f>
        <v>25200.313000000002</v>
      </c>
      <c r="AO158" s="23">
        <f t="shared" ref="AO158:AU158" si="772">AO123</f>
        <v>28603.136000000002</v>
      </c>
      <c r="AP158" s="23">
        <f t="shared" si="772"/>
        <v>28603.136000000002</v>
      </c>
      <c r="AQ158" s="23">
        <f t="shared" si="772"/>
        <v>28571.554</v>
      </c>
      <c r="AR158" s="23">
        <f t="shared" ref="AR158" si="773">AR123</f>
        <v>28571.554</v>
      </c>
      <c r="AS158" s="23">
        <f t="shared" si="772"/>
        <v>30560.627000000004</v>
      </c>
      <c r="AT158" s="23">
        <f t="shared" ref="AT158" si="774">AT123</f>
        <v>30560.627000000004</v>
      </c>
      <c r="AU158" s="23">
        <f t="shared" si="772"/>
        <v>34312.031000000003</v>
      </c>
      <c r="AV158" s="23">
        <f t="shared" ref="AV158:AY158" si="775">AV123</f>
        <v>37744.159</v>
      </c>
      <c r="AW158" s="23">
        <f t="shared" si="775"/>
        <v>47537.851999999999</v>
      </c>
      <c r="AX158" s="23">
        <f t="shared" si="775"/>
        <v>48009.366000000002</v>
      </c>
      <c r="AY158" s="23">
        <f t="shared" si="775"/>
        <v>55420.164999999994</v>
      </c>
      <c r="AZ158" s="23">
        <f t="shared" ref="AZ158:BC158" si="776">AZ123</f>
        <v>65286.991999999998</v>
      </c>
      <c r="BA158" s="23">
        <f t="shared" si="776"/>
        <v>68473.202999999994</v>
      </c>
      <c r="BB158" s="23">
        <f t="shared" si="776"/>
        <v>57345.380000000005</v>
      </c>
      <c r="BC158" s="23">
        <f t="shared" si="776"/>
        <v>58252.407999999996</v>
      </c>
      <c r="BD158" s="23"/>
      <c r="BE158" s="23">
        <f t="shared" ref="BE158:BF158" si="777">BE123</f>
        <v>34312.031000000003</v>
      </c>
      <c r="BF158" s="23">
        <f t="shared" si="777"/>
        <v>37744.159</v>
      </c>
      <c r="BG158" s="23">
        <f t="shared" ref="BG158:BI158" si="778">BG123</f>
        <v>47537.851999999999</v>
      </c>
      <c r="BH158" s="23">
        <f t="shared" si="778"/>
        <v>62840.577000000005</v>
      </c>
      <c r="BI158" s="23">
        <f t="shared" si="778"/>
        <v>55420.164999999994</v>
      </c>
      <c r="BJ158" s="23"/>
      <c r="BK158" s="38"/>
      <c r="BL158" s="38"/>
      <c r="BM158" s="38"/>
      <c r="BN158" s="38"/>
      <c r="BO158" s="38"/>
      <c r="BP158" s="23"/>
    </row>
    <row r="159" spans="2:69">
      <c r="B159" s="11" t="s">
        <v>16</v>
      </c>
      <c r="C159" s="23">
        <f t="shared" ref="C159:G159" si="779">C127</f>
        <v>2289.0940000000001</v>
      </c>
      <c r="D159" s="23">
        <f t="shared" si="779"/>
        <v>3190.4839999999999</v>
      </c>
      <c r="E159" s="23">
        <f t="shared" si="779"/>
        <v>3379.4630000000002</v>
      </c>
      <c r="F159" s="23">
        <f t="shared" si="779"/>
        <v>5085.058</v>
      </c>
      <c r="G159" s="23">
        <f t="shared" si="779"/>
        <v>7463.7939999999999</v>
      </c>
      <c r="H159" s="23">
        <f t="shared" ref="H159:I159" si="780">H127</f>
        <v>9419.7029999999995</v>
      </c>
      <c r="I159" s="23">
        <f t="shared" si="780"/>
        <v>9465.3310000000001</v>
      </c>
      <c r="J159" s="23">
        <f t="shared" ref="J159" si="781">J127</f>
        <v>15596.302</v>
      </c>
      <c r="K159" s="23">
        <f t="shared" ref="K159" si="782">K127</f>
        <v>11661.451999999999</v>
      </c>
      <c r="L159" s="23">
        <f t="shared" ref="L159:M159" si="783">L127</f>
        <v>16836.661</v>
      </c>
      <c r="M159" s="23">
        <f t="shared" si="783"/>
        <v>26313.587</v>
      </c>
      <c r="N159" s="23">
        <f t="shared" ref="N159:O159" si="784">N127</f>
        <v>34442.466</v>
      </c>
      <c r="O159" s="23">
        <f t="shared" si="784"/>
        <v>23325.102999999999</v>
      </c>
      <c r="P159" s="23">
        <f>P127</f>
        <v>17167.698</v>
      </c>
      <c r="R159" s="23">
        <f t="shared" ref="R159:AB159" si="785">R127</f>
        <v>3483.5129999999999</v>
      </c>
      <c r="S159" s="23">
        <f t="shared" si="785"/>
        <v>3091.7660000000001</v>
      </c>
      <c r="T159" s="23">
        <f t="shared" si="785"/>
        <v>4036.9290000000001</v>
      </c>
      <c r="U159" s="23">
        <f t="shared" si="785"/>
        <v>3379.4630000000002</v>
      </c>
      <c r="V159" s="23">
        <f t="shared" si="785"/>
        <v>3830.7570000000001</v>
      </c>
      <c r="W159" s="23">
        <f t="shared" si="785"/>
        <v>4119.0940000000001</v>
      </c>
      <c r="X159" s="23">
        <f t="shared" si="785"/>
        <v>3816.623</v>
      </c>
      <c r="Y159" s="23">
        <f t="shared" si="785"/>
        <v>5085.058</v>
      </c>
      <c r="Z159" s="23">
        <f t="shared" si="785"/>
        <v>5039.585</v>
      </c>
      <c r="AA159" s="23">
        <f t="shared" si="785"/>
        <v>6561.7280000000001</v>
      </c>
      <c r="AB159" s="23">
        <f t="shared" si="785"/>
        <v>5907.009</v>
      </c>
      <c r="AC159" s="23">
        <f t="shared" ref="AC159:AF159" si="786">AC127</f>
        <v>7463.7939999999999</v>
      </c>
      <c r="AD159" s="23">
        <f t="shared" si="786"/>
        <v>8965.1239999999998</v>
      </c>
      <c r="AE159" s="23">
        <f t="shared" si="786"/>
        <v>8768.0259999999998</v>
      </c>
      <c r="AF159" s="23">
        <f t="shared" si="786"/>
        <v>7140.5689999999995</v>
      </c>
      <c r="AG159" s="23">
        <f t="shared" ref="AG159:AH159" si="787">AG127</f>
        <v>9419.7029999999995</v>
      </c>
      <c r="AH159" s="23">
        <f t="shared" si="787"/>
        <v>9330.2209999999995</v>
      </c>
      <c r="AI159" s="23">
        <f t="shared" ref="AI159:AM159" si="788">AI127</f>
        <v>9690.1779999999999</v>
      </c>
      <c r="AJ159" s="23">
        <f t="shared" si="788"/>
        <v>9486.7569999999996</v>
      </c>
      <c r="AK159" s="23">
        <f t="shared" si="788"/>
        <v>9465.3310000000001</v>
      </c>
      <c r="AL159" s="23">
        <f t="shared" ref="AL159" si="789">AL127</f>
        <v>15596.302</v>
      </c>
      <c r="AM159" s="23">
        <f t="shared" si="788"/>
        <v>9864.6920000000009</v>
      </c>
      <c r="AN159" s="23">
        <f t="shared" ref="AN159" si="790">AN127</f>
        <v>16619.358</v>
      </c>
      <c r="AO159" s="23">
        <f t="shared" ref="AO159:AU159" si="791">AO127</f>
        <v>8761.9709999999995</v>
      </c>
      <c r="AP159" s="23">
        <f t="shared" si="791"/>
        <v>8761.9709999999995</v>
      </c>
      <c r="AQ159" s="23">
        <f t="shared" si="791"/>
        <v>9686.5150000000012</v>
      </c>
      <c r="AR159" s="23">
        <f t="shared" ref="AR159" si="792">AR127</f>
        <v>9686.5150000000012</v>
      </c>
      <c r="AS159" s="23">
        <f t="shared" si="791"/>
        <v>11661.451999999999</v>
      </c>
      <c r="AT159" s="23">
        <f t="shared" ref="AT159" si="793">AT127</f>
        <v>11661.451999999999</v>
      </c>
      <c r="AU159" s="23">
        <f t="shared" si="791"/>
        <v>12667.087</v>
      </c>
      <c r="AV159" s="23">
        <f t="shared" ref="AV159:AY159" si="794">AV127</f>
        <v>16729.509000000002</v>
      </c>
      <c r="AW159" s="23">
        <f t="shared" si="794"/>
        <v>23334.155999999999</v>
      </c>
      <c r="AX159" s="23">
        <f t="shared" si="794"/>
        <v>26313.587</v>
      </c>
      <c r="AY159" s="23">
        <f t="shared" si="794"/>
        <v>23942.696</v>
      </c>
      <c r="AZ159" s="23">
        <f t="shared" ref="AZ159:BC159" si="795">AZ127</f>
        <v>27397.409</v>
      </c>
      <c r="BA159" s="23">
        <f t="shared" si="795"/>
        <v>29576.501</v>
      </c>
      <c r="BB159" s="23">
        <f t="shared" si="795"/>
        <v>23325.102999999999</v>
      </c>
      <c r="BC159" s="23">
        <f t="shared" si="795"/>
        <v>17167.698</v>
      </c>
      <c r="BD159" s="23"/>
      <c r="BE159" s="23">
        <f t="shared" ref="BE159:BF159" si="796">BE127</f>
        <v>12667.087</v>
      </c>
      <c r="BF159" s="23">
        <f t="shared" si="796"/>
        <v>16729.509000000002</v>
      </c>
      <c r="BG159" s="23">
        <f t="shared" ref="BG159:BI159" si="797">BG127</f>
        <v>23334.155999999999</v>
      </c>
      <c r="BH159" s="23">
        <f t="shared" si="797"/>
        <v>34442.466</v>
      </c>
      <c r="BI159" s="23">
        <f t="shared" si="797"/>
        <v>23942.696</v>
      </c>
      <c r="BJ159" s="23"/>
      <c r="BK159" s="38"/>
      <c r="BL159" s="38"/>
      <c r="BM159" s="38"/>
      <c r="BN159" s="38"/>
      <c r="BO159" s="38"/>
      <c r="BP159" s="23"/>
    </row>
    <row r="160" spans="2:69">
      <c r="B160" s="11" t="s">
        <v>272</v>
      </c>
      <c r="C160" s="23">
        <f t="shared" ref="C160:V160" si="798">C158-C159</f>
        <v>663.76000000000022</v>
      </c>
      <c r="D160" s="23">
        <f t="shared" si="798"/>
        <v>1119.9190000000003</v>
      </c>
      <c r="E160" s="23">
        <f t="shared" si="798"/>
        <v>1866.2899999999995</v>
      </c>
      <c r="F160" s="23">
        <f t="shared" ref="F160:K160" si="799">F158-F159</f>
        <v>792.60999999999967</v>
      </c>
      <c r="G160" s="23">
        <f t="shared" si="799"/>
        <v>1874.4570000000003</v>
      </c>
      <c r="H160" s="23">
        <f t="shared" si="799"/>
        <v>8725.7710000000025</v>
      </c>
      <c r="I160" s="23">
        <f t="shared" si="799"/>
        <v>14274.734999999999</v>
      </c>
      <c r="J160" s="23">
        <f t="shared" si="799"/>
        <v>23520.897000000001</v>
      </c>
      <c r="K160" s="23">
        <f t="shared" si="799"/>
        <v>18899.175000000003</v>
      </c>
      <c r="L160" s="23">
        <f t="shared" ref="L160:M160" si="800">L158-L159</f>
        <v>27290.170999999995</v>
      </c>
      <c r="M160" s="23">
        <f t="shared" si="800"/>
        <v>21695.779000000002</v>
      </c>
      <c r="N160" s="23">
        <f t="shared" ref="N160:O160" si="801">N158-N159</f>
        <v>28398.111000000004</v>
      </c>
      <c r="O160" s="23">
        <f t="shared" si="801"/>
        <v>34020.277000000002</v>
      </c>
      <c r="P160" s="23">
        <f t="shared" ref="P160" si="802">P158-P159</f>
        <v>41084.709999999992</v>
      </c>
      <c r="R160" s="23">
        <f t="shared" si="798"/>
        <v>1223.0800000000008</v>
      </c>
      <c r="S160" s="23">
        <f t="shared" si="798"/>
        <v>1707.2810000000004</v>
      </c>
      <c r="T160" s="23">
        <f t="shared" si="798"/>
        <v>2137.835</v>
      </c>
      <c r="U160" s="23">
        <f t="shared" si="798"/>
        <v>1866.2899999999995</v>
      </c>
      <c r="V160" s="23">
        <f t="shared" si="798"/>
        <v>1726.5450000000005</v>
      </c>
      <c r="W160" s="23">
        <f t="shared" ref="W160:AB160" si="803">W158-W159</f>
        <v>1764.2910000000002</v>
      </c>
      <c r="X160" s="23">
        <f t="shared" si="803"/>
        <v>1937.4299999999998</v>
      </c>
      <c r="Y160" s="23">
        <f t="shared" si="803"/>
        <v>792.60999999999967</v>
      </c>
      <c r="Z160" s="23">
        <f t="shared" si="803"/>
        <v>1328.1759999999995</v>
      </c>
      <c r="AA160" s="23">
        <f t="shared" si="803"/>
        <v>614.13900000000012</v>
      </c>
      <c r="AB160" s="23">
        <f t="shared" si="803"/>
        <v>2499.357</v>
      </c>
      <c r="AC160" s="23">
        <f t="shared" ref="AC160:AF160" si="804">AC158-AC159</f>
        <v>1874.4570000000003</v>
      </c>
      <c r="AD160" s="23">
        <f t="shared" si="804"/>
        <v>1578.0119999999988</v>
      </c>
      <c r="AE160" s="23">
        <f t="shared" si="804"/>
        <v>1995.7309999999998</v>
      </c>
      <c r="AF160" s="23">
        <f t="shared" si="804"/>
        <v>5557.8459999999995</v>
      </c>
      <c r="AG160" s="23">
        <f t="shared" ref="AG160:AH160" si="805">AG158-AG159</f>
        <v>1996.2270000000008</v>
      </c>
      <c r="AH160" s="23">
        <f t="shared" si="805"/>
        <v>10514.033999999998</v>
      </c>
      <c r="AI160" s="23">
        <f t="shared" ref="AI160:AM160" si="806">AI158-AI159</f>
        <v>12380.402999999998</v>
      </c>
      <c r="AJ160" s="23">
        <f t="shared" si="806"/>
        <v>14728.721000000003</v>
      </c>
      <c r="AK160" s="23">
        <f t="shared" si="806"/>
        <v>14274.734999999999</v>
      </c>
      <c r="AL160" s="23">
        <f t="shared" ref="AL160" si="807">AL158-AL159</f>
        <v>23520.897000000001</v>
      </c>
      <c r="AM160" s="23">
        <f t="shared" si="806"/>
        <v>15335.621000000001</v>
      </c>
      <c r="AN160" s="23">
        <f t="shared" ref="AN160" si="808">AN158-AN159</f>
        <v>8580.9550000000017</v>
      </c>
      <c r="AO160" s="23">
        <f t="shared" ref="AO160:AU160" si="809">AO158-AO159</f>
        <v>19841.165000000001</v>
      </c>
      <c r="AP160" s="23">
        <f t="shared" si="809"/>
        <v>19841.165000000001</v>
      </c>
      <c r="AQ160" s="23">
        <f t="shared" si="809"/>
        <v>18885.038999999997</v>
      </c>
      <c r="AR160" s="23">
        <f t="shared" ref="AR160" si="810">AR158-AR159</f>
        <v>18885.038999999997</v>
      </c>
      <c r="AS160" s="23">
        <f t="shared" si="809"/>
        <v>18899.175000000003</v>
      </c>
      <c r="AT160" s="23">
        <f t="shared" ref="AT160" si="811">AT158-AT159</f>
        <v>18899.175000000003</v>
      </c>
      <c r="AU160" s="23">
        <f t="shared" si="809"/>
        <v>21644.944000000003</v>
      </c>
      <c r="AV160" s="23">
        <f t="shared" ref="AV160:AY160" si="812">AV158-AV159</f>
        <v>21014.649999999998</v>
      </c>
      <c r="AW160" s="23">
        <f t="shared" si="812"/>
        <v>24203.696</v>
      </c>
      <c r="AX160" s="23">
        <f t="shared" si="812"/>
        <v>21695.779000000002</v>
      </c>
      <c r="AY160" s="23">
        <f t="shared" si="812"/>
        <v>31477.468999999994</v>
      </c>
      <c r="AZ160" s="23">
        <f t="shared" ref="AZ160:BC160" si="813">AZ158-AZ159</f>
        <v>37889.582999999999</v>
      </c>
      <c r="BA160" s="23">
        <f t="shared" si="813"/>
        <v>38896.70199999999</v>
      </c>
      <c r="BB160" s="23">
        <f t="shared" si="813"/>
        <v>34020.277000000002</v>
      </c>
      <c r="BC160" s="23">
        <f t="shared" si="813"/>
        <v>41084.709999999992</v>
      </c>
      <c r="BD160" s="23"/>
      <c r="BE160" s="23">
        <f t="shared" ref="BE160:BF160" si="814">BE158-BE159</f>
        <v>21644.944000000003</v>
      </c>
      <c r="BF160" s="23">
        <f t="shared" si="814"/>
        <v>21014.649999999998</v>
      </c>
      <c r="BG160" s="23">
        <f t="shared" ref="BG160:BI160" si="815">BG158-BG159</f>
        <v>24203.696</v>
      </c>
      <c r="BH160" s="23">
        <f t="shared" si="815"/>
        <v>28398.111000000004</v>
      </c>
      <c r="BI160" s="23">
        <f t="shared" si="815"/>
        <v>31477.468999999994</v>
      </c>
      <c r="BJ160" s="23"/>
      <c r="BK160" s="38"/>
      <c r="BL160" s="38"/>
      <c r="BM160" s="38"/>
      <c r="BN160" s="38"/>
      <c r="BO160" s="38"/>
      <c r="BP160" s="23"/>
    </row>
    <row r="161" spans="2:69">
      <c r="B161" s="11" t="s">
        <v>273</v>
      </c>
      <c r="C161" s="57">
        <f t="shared" ref="C161:F161" si="816">C139</f>
        <v>5.1327203198331315</v>
      </c>
      <c r="D161" s="57">
        <f t="shared" si="816"/>
        <v>5.8757497355478252</v>
      </c>
      <c r="E161" s="57">
        <f t="shared" si="816"/>
        <v>5.5855320879757402</v>
      </c>
      <c r="F161" s="57">
        <f t="shared" si="816"/>
        <v>4.5090531374134457</v>
      </c>
      <c r="G161" s="57">
        <f t="shared" ref="G161:H161" si="817">G139</f>
        <v>5.7602562868873495</v>
      </c>
      <c r="H161" s="57">
        <f t="shared" si="817"/>
        <v>7.7932458010126453</v>
      </c>
      <c r="I161" s="57">
        <f t="shared" ref="I161:K161" si="818">I139</f>
        <v>4.3424135374640045</v>
      </c>
      <c r="J161" s="57">
        <f t="shared" ref="J161" si="819">J139</f>
        <v>5.8358575871208087</v>
      </c>
      <c r="K161" s="57">
        <f t="shared" si="818"/>
        <v>2.8829180985054794</v>
      </c>
      <c r="L161" s="57">
        <f t="shared" ref="L161:M161" si="820">L139</f>
        <v>2.883164644440682</v>
      </c>
      <c r="M161" s="57">
        <f t="shared" si="820"/>
        <v>3.0783216545572234</v>
      </c>
      <c r="N161" s="57">
        <f t="shared" ref="N161:O161" si="821">N139</f>
        <v>3.0783215992586235</v>
      </c>
      <c r="O161" s="57">
        <f t="shared" si="821"/>
        <v>3.1138827533849982</v>
      </c>
      <c r="P161" s="57">
        <f>P139</f>
        <v>3.2252546544729572</v>
      </c>
      <c r="R161" s="104"/>
      <c r="S161" s="104"/>
      <c r="T161" s="104"/>
      <c r="U161" s="57">
        <f t="shared" ref="U161:Z161" si="822">U139</f>
        <v>5.5855320879757402</v>
      </c>
      <c r="V161" s="57">
        <f t="shared" si="822"/>
        <v>5.3211595801520133</v>
      </c>
      <c r="W161" s="57">
        <f t="shared" si="822"/>
        <v>5.0604104487240136</v>
      </c>
      <c r="X161" s="57">
        <f t="shared" si="822"/>
        <v>4.6335084773742077</v>
      </c>
      <c r="Y161" s="57">
        <f t="shared" si="822"/>
        <v>4.5090531374134457</v>
      </c>
      <c r="Z161" s="57">
        <f t="shared" si="822"/>
        <v>4.5861215641508553</v>
      </c>
      <c r="AA161" s="57">
        <f>AA139</f>
        <v>4.9499183965719666</v>
      </c>
      <c r="AB161" s="57">
        <f>AB139</f>
        <v>5.5250624877998442</v>
      </c>
      <c r="AC161" s="57">
        <f t="shared" ref="AC161:AD161" si="823">AC139</f>
        <v>5.7602562868873495</v>
      </c>
      <c r="AD161" s="57">
        <f t="shared" si="823"/>
        <v>6.337973185242805</v>
      </c>
      <c r="AE161" s="57">
        <f>AE139</f>
        <v>6.5819447383000291</v>
      </c>
      <c r="AF161" s="57">
        <f>AF139</f>
        <v>6.5605049636156503</v>
      </c>
      <c r="AG161" s="57">
        <f t="shared" ref="AG161:AH161" si="824">AG139</f>
        <v>4.9029939111623255</v>
      </c>
      <c r="AH161" s="57">
        <f t="shared" si="824"/>
        <v>6.3695617564152185</v>
      </c>
      <c r="AI161" s="57">
        <f t="shared" ref="AI161" si="825">AI139</f>
        <v>5.6617146565799983</v>
      </c>
      <c r="AJ161" s="57">
        <f>AJ139</f>
        <v>5.4229681626656792</v>
      </c>
      <c r="AK161" s="57">
        <f t="shared" ref="AK161:AP161" si="826">AK139</f>
        <v>4.3424135374640045</v>
      </c>
      <c r="AL161" s="57">
        <f t="shared" ref="AL161" si="827">AL139</f>
        <v>6.3987503549663227</v>
      </c>
      <c r="AM161" s="57">
        <f t="shared" si="826"/>
        <v>3.8383456631040564</v>
      </c>
      <c r="AN161" s="57">
        <f t="shared" ref="AN161" si="828">AN139</f>
        <v>2.9855629682951377</v>
      </c>
      <c r="AO161" s="57">
        <f t="shared" si="826"/>
        <v>3.1018140152353948</v>
      </c>
      <c r="AP161" s="57">
        <f t="shared" si="826"/>
        <v>3.0908495597751235</v>
      </c>
      <c r="AQ161" s="57">
        <f>AQ139</f>
        <v>3.2610241044712747</v>
      </c>
      <c r="AR161" s="57">
        <f>AR139</f>
        <v>2.1191487196572876</v>
      </c>
      <c r="AS161" s="57">
        <f t="shared" ref="AS161:AV161" si="829">AS139</f>
        <v>2.8829180985054794</v>
      </c>
      <c r="AT161" s="57">
        <f t="shared" ref="AT161" si="830">AT139</f>
        <v>1.9967741912299377</v>
      </c>
      <c r="AU161" s="57">
        <f t="shared" si="829"/>
        <v>2.1750651371579166</v>
      </c>
      <c r="AV161" s="57">
        <f t="shared" si="829"/>
        <v>3.1862495306413527</v>
      </c>
      <c r="AW161" s="57">
        <f>AW139</f>
        <v>4.2702138050914131</v>
      </c>
      <c r="AX161" s="57">
        <f t="shared" ref="AX161:AZ161" si="831">AX139</f>
        <v>3.0783216545572234</v>
      </c>
      <c r="AY161" s="57">
        <f t="shared" si="831"/>
        <v>3.2527108141513272</v>
      </c>
      <c r="AZ161" s="57">
        <f t="shared" si="831"/>
        <v>3.7382495517071717</v>
      </c>
      <c r="BA161" s="57">
        <f>BA139</f>
        <v>3.5837252680484881</v>
      </c>
      <c r="BB161" s="57">
        <f t="shared" ref="BB161:BC161" si="832">BB139</f>
        <v>3.1138827533849982</v>
      </c>
      <c r="BC161" s="57">
        <f t="shared" si="832"/>
        <v>3.2252546544729572</v>
      </c>
      <c r="BD161" s="57"/>
      <c r="BE161" s="57">
        <f t="shared" ref="BE161:BF161" si="833">BE139</f>
        <v>1.981586771846062</v>
      </c>
      <c r="BF161" s="57">
        <f t="shared" si="833"/>
        <v>2.0454477787903937</v>
      </c>
      <c r="BG161" s="57">
        <f t="shared" ref="BG161:BI161" si="834">BG139</f>
        <v>2.529370785532814</v>
      </c>
      <c r="BH161" s="57">
        <f t="shared" si="834"/>
        <v>3.0783215992586235</v>
      </c>
      <c r="BI161" s="57">
        <f t="shared" si="834"/>
        <v>2.5180935752955667</v>
      </c>
      <c r="BJ161" s="57"/>
      <c r="BK161" s="38"/>
      <c r="BL161" s="38"/>
      <c r="BM161" s="38"/>
      <c r="BN161" s="38"/>
      <c r="BO161" s="38"/>
      <c r="BP161" s="57"/>
    </row>
    <row r="162" spans="2:69">
      <c r="B162" s="11" t="s">
        <v>274</v>
      </c>
      <c r="C162" s="57">
        <f t="shared" ref="C162:F162" si="835">C142</f>
        <v>1.1537632539544591</v>
      </c>
      <c r="D162" s="57">
        <f t="shared" si="835"/>
        <v>1.5266237908810352</v>
      </c>
      <c r="E162" s="57">
        <f t="shared" si="835"/>
        <v>1.9871737537905885</v>
      </c>
      <c r="F162" s="57">
        <f t="shared" si="835"/>
        <v>0.60805077919427741</v>
      </c>
      <c r="G162" s="57">
        <f t="shared" ref="G162:H162" si="836">G142</f>
        <v>1.1562500000000002</v>
      </c>
      <c r="H162" s="57">
        <f t="shared" si="836"/>
        <v>3.7476055024160804</v>
      </c>
      <c r="I162" s="57">
        <f t="shared" ref="I162:K162" si="837">I142</f>
        <v>2.6110627707484571</v>
      </c>
      <c r="J162" s="57">
        <f t="shared" ref="J162" si="838">J142</f>
        <v>3.5090601761475066</v>
      </c>
      <c r="K162" s="57">
        <f t="shared" si="837"/>
        <v>1.7828421404548505</v>
      </c>
      <c r="L162" s="57">
        <f t="shared" ref="L162:M162" si="839">L142</f>
        <v>1.7830887150008958</v>
      </c>
      <c r="M162" s="57">
        <f t="shared" si="839"/>
        <v>1.391115773288651</v>
      </c>
      <c r="N162" s="57">
        <f t="shared" ref="N162:O162" si="840">N142</f>
        <v>1.3911157828713749</v>
      </c>
      <c r="O162" s="57">
        <f t="shared" si="840"/>
        <v>1.8473180196151866</v>
      </c>
      <c r="P162" s="57">
        <f>P142</f>
        <v>2.2747326111423862</v>
      </c>
      <c r="R162" s="105"/>
      <c r="S162" s="105"/>
      <c r="T162" s="105"/>
      <c r="U162" s="57">
        <f t="shared" ref="U162:Z162" si="841">U142</f>
        <v>1.9871737537905885</v>
      </c>
      <c r="V162" s="57">
        <f t="shared" si="841"/>
        <v>1.6531801703980744</v>
      </c>
      <c r="W162" s="57">
        <f t="shared" si="841"/>
        <v>1.5174999784970282</v>
      </c>
      <c r="X162" s="57">
        <f t="shared" si="841"/>
        <v>1.5601348005169766</v>
      </c>
      <c r="Y162" s="57">
        <f t="shared" si="841"/>
        <v>0.60805077919427741</v>
      </c>
      <c r="Z162" s="57">
        <f t="shared" si="841"/>
        <v>0.95656488906974113</v>
      </c>
      <c r="AA162" s="57">
        <f>AA142</f>
        <v>0.42363353921586222</v>
      </c>
      <c r="AB162" s="57">
        <f>AB142</f>
        <v>1.64269597639693</v>
      </c>
      <c r="AC162" s="57">
        <f t="shared" ref="AC162:AD162" si="842">AC142</f>
        <v>1.1562500000000002</v>
      </c>
      <c r="AD162" s="57">
        <f t="shared" si="842"/>
        <v>0.94861697145814705</v>
      </c>
      <c r="AE162" s="57">
        <f>AE142</f>
        <v>1.2203723248780378</v>
      </c>
      <c r="AF162" s="57">
        <f>AF142</f>
        <v>2.8714037358214699</v>
      </c>
      <c r="AG162" s="57">
        <f t="shared" ref="AG162:AH162" si="843">AG142</f>
        <v>0.85735361256576015</v>
      </c>
      <c r="AH162" s="57">
        <f t="shared" si="843"/>
        <v>3.3747696183126714</v>
      </c>
      <c r="AI162" s="57">
        <f t="shared" ref="AI162" si="844">AI142</f>
        <v>3.1759158999696009</v>
      </c>
      <c r="AJ162" s="57">
        <f>AJ142</f>
        <v>3.298443460822265</v>
      </c>
      <c r="AK162" s="57">
        <f t="shared" ref="AK162:AP162" si="845">AK142</f>
        <v>2.6110627707484571</v>
      </c>
      <c r="AL162" s="57">
        <f t="shared" ref="AL162" si="846">AL142</f>
        <v>3.847523643701491</v>
      </c>
      <c r="AM162" s="57">
        <f t="shared" si="845"/>
        <v>2.3358207636689867</v>
      </c>
      <c r="AN162" s="57">
        <f t="shared" ref="AN162" si="847">AN142</f>
        <v>1.0166136222437796</v>
      </c>
      <c r="AO162" s="57">
        <f t="shared" si="845"/>
        <v>2.1516383264967165</v>
      </c>
      <c r="AP162" s="57">
        <f t="shared" si="845"/>
        <v>2.144032602078163</v>
      </c>
      <c r="AQ162" s="57">
        <f>AQ142</f>
        <v>2.1554503963235634</v>
      </c>
      <c r="AR162" s="57">
        <f>AR142</f>
        <v>1.4007010685357868</v>
      </c>
      <c r="AS162" s="57">
        <f t="shared" ref="AS162:AV162" si="848">AS142</f>
        <v>1.7828421404548505</v>
      </c>
      <c r="AT162" s="57">
        <f t="shared" ref="AT162" si="849">AT142</f>
        <v>1.2348367353699274</v>
      </c>
      <c r="AU162" s="57">
        <f t="shared" si="848"/>
        <v>1.3720890812361246</v>
      </c>
      <c r="AV162" s="57">
        <f t="shared" si="848"/>
        <v>1.7739941880568144</v>
      </c>
      <c r="AW162" s="57">
        <f>AW142</f>
        <v>2.1741612724410819</v>
      </c>
      <c r="AX162" s="57">
        <f t="shared" ref="AX162:AZ162" si="850">AX142</f>
        <v>1.391115773288651</v>
      </c>
      <c r="AY162" s="57">
        <f t="shared" si="850"/>
        <v>1.8474702090550101</v>
      </c>
      <c r="AZ162" s="57">
        <f t="shared" si="850"/>
        <v>2.1695089990379963</v>
      </c>
      <c r="BA162" s="57">
        <f>BA142</f>
        <v>2.035761256869379</v>
      </c>
      <c r="BB162" s="57">
        <f t="shared" ref="BB162:BC162" si="851">BB142</f>
        <v>1.8473180196151866</v>
      </c>
      <c r="BC162" s="57">
        <f t="shared" si="851"/>
        <v>2.2747326111423862</v>
      </c>
      <c r="BD162" s="57"/>
      <c r="BE162" s="57">
        <f t="shared" ref="BE162:BF162" si="852">BE142</f>
        <v>1.2500377697766942</v>
      </c>
      <c r="BF162" s="57">
        <f t="shared" si="852"/>
        <v>1.1388349960203787</v>
      </c>
      <c r="BG162" s="57">
        <f t="shared" ref="BG162:BI162" si="853">BG142</f>
        <v>1.2878184223451541</v>
      </c>
      <c r="BH162" s="57">
        <f t="shared" si="853"/>
        <v>1.3911157828713749</v>
      </c>
      <c r="BI162" s="57">
        <f t="shared" si="853"/>
        <v>1.4302233213391797</v>
      </c>
      <c r="BJ162" s="57"/>
      <c r="BK162" s="38"/>
      <c r="BL162" s="38"/>
      <c r="BM162" s="38"/>
      <c r="BN162" s="38"/>
      <c r="BO162" s="38"/>
      <c r="BP162" s="57"/>
    </row>
    <row r="163" spans="2:69">
      <c r="B163" s="11" t="s">
        <v>275</v>
      </c>
      <c r="C163" s="57">
        <f t="shared" ref="C163:F163" si="854">C145</f>
        <v>1.1550756127237969</v>
      </c>
      <c r="D163" s="57">
        <f t="shared" si="854"/>
        <v>1.5274675841612237</v>
      </c>
      <c r="E163" s="57">
        <f t="shared" si="854"/>
        <v>1.9879212238917847</v>
      </c>
      <c r="F163" s="57">
        <f t="shared" si="854"/>
        <v>2.9535805192991926</v>
      </c>
      <c r="G163" s="57">
        <f t="shared" ref="G163:H163" si="855">G145</f>
        <v>3.4012424498134664</v>
      </c>
      <c r="H163" s="57">
        <f t="shared" si="855"/>
        <v>6.5027085599772212</v>
      </c>
      <c r="I163" s="57">
        <f t="shared" ref="I163:K163" si="856">I145</f>
        <v>2.6495658238737327</v>
      </c>
      <c r="J163" s="57">
        <f t="shared" ref="J163" si="857">J145</f>
        <v>3.5608052031171562</v>
      </c>
      <c r="K163" s="57">
        <f t="shared" si="856"/>
        <v>1.7832411749235049</v>
      </c>
      <c r="L163" s="57">
        <f t="shared" ref="L163:M163" si="858">L145</f>
        <v>1.783487734955095</v>
      </c>
      <c r="M163" s="57">
        <f t="shared" si="858"/>
        <v>1.3914647740391661</v>
      </c>
      <c r="N163" s="57">
        <f t="shared" ref="N163:O163" si="859">N145</f>
        <v>1.3914647606198307</v>
      </c>
      <c r="O163" s="57">
        <f t="shared" si="859"/>
        <v>1.8476666288192187</v>
      </c>
      <c r="P163" s="57">
        <f>P145</f>
        <v>2.2750988077515411</v>
      </c>
      <c r="R163" s="105"/>
      <c r="S163" s="105"/>
      <c r="T163" s="105"/>
      <c r="U163" s="57">
        <f t="shared" ref="U163:Z163" si="860">U145</f>
        <v>1.9879212238917847</v>
      </c>
      <c r="V163" s="57">
        <f t="shared" si="860"/>
        <v>1.6538992586975219</v>
      </c>
      <c r="W163" s="57">
        <f t="shared" si="860"/>
        <v>1.5182044158502708</v>
      </c>
      <c r="X163" s="57">
        <f t="shared" si="860"/>
        <v>1.5607153929467279</v>
      </c>
      <c r="Y163" s="57">
        <f t="shared" si="860"/>
        <v>2.9535805192991926</v>
      </c>
      <c r="Z163" s="57">
        <f t="shared" si="860"/>
        <v>3.7079305862144709</v>
      </c>
      <c r="AA163" s="57">
        <f>AA145</f>
        <v>2.9108673968437477</v>
      </c>
      <c r="AB163" s="57">
        <f>AB145</f>
        <v>3.2034226817404172</v>
      </c>
      <c r="AC163" s="57">
        <f t="shared" ref="AC163:AD163" si="861">AC145</f>
        <v>3.4012424498134664</v>
      </c>
      <c r="AD163" s="57">
        <f t="shared" si="861"/>
        <v>4.3135305535901383</v>
      </c>
      <c r="AE163" s="57">
        <f>AE145</f>
        <v>4.8929223540461768</v>
      </c>
      <c r="AF163" s="57">
        <f>AF145</f>
        <v>5.0815675880935212</v>
      </c>
      <c r="AG163" s="57">
        <f t="shared" ref="AG163:AH163" si="862">AG145</f>
        <v>3.6124566701269014</v>
      </c>
      <c r="AH163" s="57">
        <f t="shared" si="862"/>
        <v>5.4114072878610742</v>
      </c>
      <c r="AI163" s="57">
        <f t="shared" ref="AI163" si="863">AI145</f>
        <v>4.8090033515339705</v>
      </c>
      <c r="AJ163" s="57">
        <f>AJ145</f>
        <v>4.5797180739269336</v>
      </c>
      <c r="AK163" s="57">
        <f t="shared" ref="AK163:AP163" si="864">AK145</f>
        <v>2.6495658238737327</v>
      </c>
      <c r="AL163" s="57">
        <f t="shared" ref="AL163" si="865">AL145</f>
        <v>3.9042596940157592</v>
      </c>
      <c r="AM163" s="57">
        <f t="shared" si="864"/>
        <v>2.3363081665882257</v>
      </c>
      <c r="AN163" s="57">
        <f t="shared" ref="AN163" si="866">AN145</f>
        <v>1.0169927366420231</v>
      </c>
      <c r="AO163" s="57">
        <f t="shared" si="864"/>
        <v>2.1520674360201721</v>
      </c>
      <c r="AP163" s="57">
        <f t="shared" si="864"/>
        <v>2.1444601947626869</v>
      </c>
      <c r="AQ163" s="57">
        <f>AQ145</f>
        <v>2.155857288819941</v>
      </c>
      <c r="AR163" s="57">
        <f>AR145</f>
        <v>1.4009654841564976</v>
      </c>
      <c r="AS163" s="57">
        <f t="shared" ref="AS163:AV163" si="867">AS145</f>
        <v>1.7832411749235049</v>
      </c>
      <c r="AT163" s="57">
        <f t="shared" ref="AT163" si="868">AT145</f>
        <v>1.2351131156558721</v>
      </c>
      <c r="AU163" s="57">
        <f t="shared" si="867"/>
        <v>1.3723802983092295</v>
      </c>
      <c r="AV163" s="57">
        <f t="shared" si="867"/>
        <v>1.7743879090511254</v>
      </c>
      <c r="AW163" s="57">
        <f>AW145</f>
        <v>2.1745946908801304</v>
      </c>
      <c r="AX163" s="57">
        <f t="shared" ref="AX163:AZ163" si="869">AX145</f>
        <v>1.3914647740391661</v>
      </c>
      <c r="AY163" s="57">
        <f t="shared" si="869"/>
        <v>1.8478087435212287</v>
      </c>
      <c r="AZ163" s="57">
        <f t="shared" si="869"/>
        <v>2.1698537537871632</v>
      </c>
      <c r="BA163" s="57">
        <f>BA145</f>
        <v>2.036088105378262</v>
      </c>
      <c r="BB163" s="57">
        <f t="shared" ref="BB163:BC163" si="870">BB145</f>
        <v>1.8476666288192187</v>
      </c>
      <c r="BC163" s="57">
        <f t="shared" si="870"/>
        <v>2.2750988077515411</v>
      </c>
      <c r="BD163" s="57"/>
      <c r="BE163" s="57">
        <f t="shared" ref="BE163:BF163" si="871">BE145</f>
        <v>1.250303082244786</v>
      </c>
      <c r="BF163" s="57">
        <f t="shared" si="871"/>
        <v>1.1390877495243124</v>
      </c>
      <c r="BG163" s="57">
        <f t="shared" ref="BG163:BI163" si="872">BG145</f>
        <v>1.2880751485859652</v>
      </c>
      <c r="BH163" s="57">
        <f t="shared" si="872"/>
        <v>1.3914647606198307</v>
      </c>
      <c r="BI163" s="57">
        <f t="shared" si="872"/>
        <v>1.4304853985766313</v>
      </c>
      <c r="BJ163" s="57"/>
      <c r="BK163" s="38"/>
      <c r="BL163" s="38"/>
      <c r="BM163" s="38"/>
      <c r="BN163" s="38"/>
      <c r="BO163" s="38"/>
      <c r="BP163" s="57"/>
    </row>
    <row r="164" spans="2:69"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38"/>
      <c r="BL164" s="38"/>
      <c r="BM164" s="38"/>
      <c r="BN164" s="38"/>
      <c r="BO164" s="38"/>
      <c r="BP164" s="23"/>
    </row>
    <row r="165" spans="2:69">
      <c r="B165" s="12" t="s">
        <v>276</v>
      </c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236"/>
      <c r="BE165" s="58"/>
      <c r="BF165" s="58"/>
      <c r="BG165" s="58"/>
      <c r="BH165" s="58"/>
      <c r="BI165" s="58"/>
      <c r="BJ165" s="236"/>
      <c r="BK165" s="38"/>
      <c r="BL165" s="38"/>
      <c r="BM165" s="38"/>
      <c r="BN165" s="38"/>
      <c r="BO165" s="38"/>
      <c r="BP165" s="236"/>
    </row>
    <row r="166" spans="2:69" s="1" customFormat="1" ht="12.75">
      <c r="B166" s="5" t="s">
        <v>277</v>
      </c>
      <c r="C166" s="6">
        <f t="shared" ref="C166:O166" si="873">C3</f>
        <v>42735</v>
      </c>
      <c r="D166" s="6">
        <f t="shared" si="873"/>
        <v>43100</v>
      </c>
      <c r="E166" s="6">
        <f t="shared" si="873"/>
        <v>43465</v>
      </c>
      <c r="F166" s="6">
        <f t="shared" si="873"/>
        <v>43830</v>
      </c>
      <c r="G166" s="6">
        <f t="shared" si="873"/>
        <v>44196</v>
      </c>
      <c r="H166" s="6">
        <f t="shared" si="873"/>
        <v>44561</v>
      </c>
      <c r="I166" s="6">
        <f t="shared" si="873"/>
        <v>44926</v>
      </c>
      <c r="J166" s="6">
        <f t="shared" si="873"/>
        <v>44926</v>
      </c>
      <c r="K166" s="6">
        <f t="shared" si="873"/>
        <v>45291</v>
      </c>
      <c r="L166" s="6">
        <f t="shared" si="873"/>
        <v>45291</v>
      </c>
      <c r="M166" s="6">
        <f t="shared" si="873"/>
        <v>45657</v>
      </c>
      <c r="N166" s="6">
        <f t="shared" si="873"/>
        <v>45657</v>
      </c>
      <c r="O166" s="6">
        <f t="shared" si="873"/>
        <v>46022</v>
      </c>
      <c r="P166" s="6" t="str">
        <f>P2</f>
        <v>LTM</v>
      </c>
      <c r="R166" s="6">
        <f t="shared" ref="R166:BC166" si="874">R3</f>
        <v>43190</v>
      </c>
      <c r="S166" s="6">
        <f t="shared" si="874"/>
        <v>43281</v>
      </c>
      <c r="T166" s="6">
        <f t="shared" si="874"/>
        <v>43373</v>
      </c>
      <c r="U166" s="6">
        <f t="shared" si="874"/>
        <v>43465</v>
      </c>
      <c r="V166" s="6">
        <f t="shared" si="874"/>
        <v>43555</v>
      </c>
      <c r="W166" s="6">
        <f t="shared" si="874"/>
        <v>43646</v>
      </c>
      <c r="X166" s="6">
        <f t="shared" si="874"/>
        <v>43738</v>
      </c>
      <c r="Y166" s="6">
        <f t="shared" si="874"/>
        <v>43830</v>
      </c>
      <c r="Z166" s="6">
        <f t="shared" si="874"/>
        <v>43921</v>
      </c>
      <c r="AA166" s="6">
        <f t="shared" si="874"/>
        <v>44012</v>
      </c>
      <c r="AB166" s="6">
        <f t="shared" si="874"/>
        <v>44104</v>
      </c>
      <c r="AC166" s="6">
        <f t="shared" si="874"/>
        <v>44196</v>
      </c>
      <c r="AD166" s="6">
        <f t="shared" si="874"/>
        <v>44286</v>
      </c>
      <c r="AE166" s="6">
        <f t="shared" si="874"/>
        <v>44377</v>
      </c>
      <c r="AF166" s="6">
        <f t="shared" si="874"/>
        <v>44469</v>
      </c>
      <c r="AG166" s="6">
        <f t="shared" si="874"/>
        <v>44561</v>
      </c>
      <c r="AH166" s="6">
        <f t="shared" si="874"/>
        <v>44651</v>
      </c>
      <c r="AI166" s="6">
        <f t="shared" si="874"/>
        <v>44742</v>
      </c>
      <c r="AJ166" s="6">
        <f t="shared" si="874"/>
        <v>44834</v>
      </c>
      <c r="AK166" s="6">
        <f t="shared" si="874"/>
        <v>44926</v>
      </c>
      <c r="AL166" s="6">
        <f t="shared" si="874"/>
        <v>44926</v>
      </c>
      <c r="AM166" s="6">
        <f t="shared" si="874"/>
        <v>45016</v>
      </c>
      <c r="AN166" s="6">
        <f t="shared" si="874"/>
        <v>45016</v>
      </c>
      <c r="AO166" s="6">
        <f t="shared" si="874"/>
        <v>45107</v>
      </c>
      <c r="AP166" s="6">
        <f t="shared" si="874"/>
        <v>45107</v>
      </c>
      <c r="AQ166" s="6">
        <f t="shared" si="874"/>
        <v>45199</v>
      </c>
      <c r="AR166" s="6">
        <f t="shared" si="874"/>
        <v>45199</v>
      </c>
      <c r="AS166" s="6">
        <f t="shared" si="874"/>
        <v>45291</v>
      </c>
      <c r="AT166" s="6">
        <f t="shared" si="874"/>
        <v>45291</v>
      </c>
      <c r="AU166" s="6">
        <f t="shared" si="874"/>
        <v>45382</v>
      </c>
      <c r="AV166" s="6">
        <f t="shared" si="874"/>
        <v>45473</v>
      </c>
      <c r="AW166" s="6">
        <f t="shared" si="874"/>
        <v>45565</v>
      </c>
      <c r="AX166" s="6">
        <f t="shared" si="874"/>
        <v>45657</v>
      </c>
      <c r="AY166" s="6">
        <f t="shared" si="874"/>
        <v>45747</v>
      </c>
      <c r="AZ166" s="6">
        <f t="shared" si="874"/>
        <v>45838</v>
      </c>
      <c r="BA166" s="6">
        <f t="shared" si="874"/>
        <v>45930</v>
      </c>
      <c r="BB166" s="6">
        <f t="shared" si="874"/>
        <v>46022</v>
      </c>
      <c r="BC166" s="6">
        <f t="shared" si="874"/>
        <v>46112</v>
      </c>
      <c r="BD166" s="234"/>
      <c r="BE166" s="6">
        <f>BE3</f>
        <v>45382</v>
      </c>
      <c r="BF166" s="6">
        <f>BF3</f>
        <v>45473</v>
      </c>
      <c r="BG166" s="6">
        <f>BG3</f>
        <v>45565</v>
      </c>
      <c r="BH166" s="6">
        <f>BH3</f>
        <v>45656</v>
      </c>
      <c r="BI166" s="6">
        <f>BI3</f>
        <v>45747</v>
      </c>
      <c r="BJ166" s="234"/>
      <c r="BK166" s="38"/>
      <c r="BL166" s="38"/>
      <c r="BM166" s="38"/>
      <c r="BN166" s="38"/>
      <c r="BO166" s="38"/>
      <c r="BP166" s="234"/>
      <c r="BQ166" s="11"/>
    </row>
    <row r="167" spans="2:69" s="7" customFormat="1" ht="12.75">
      <c r="B167" s="5"/>
      <c r="C167" s="6" t="s">
        <v>167</v>
      </c>
      <c r="D167" s="6" t="s">
        <v>167</v>
      </c>
      <c r="E167" s="6" t="s">
        <v>167</v>
      </c>
      <c r="F167" s="6" t="s">
        <v>167</v>
      </c>
      <c r="G167" s="6" t="s">
        <v>167</v>
      </c>
      <c r="H167" s="6" t="s">
        <v>167</v>
      </c>
      <c r="I167" s="6" t="s">
        <v>167</v>
      </c>
      <c r="J167" s="6" t="s">
        <v>167</v>
      </c>
      <c r="K167" s="6" t="s">
        <v>167</v>
      </c>
      <c r="L167" s="6" t="s">
        <v>167</v>
      </c>
      <c r="M167" s="6" t="s">
        <v>167</v>
      </c>
      <c r="N167" s="6" t="s">
        <v>167</v>
      </c>
      <c r="O167" s="6" t="s">
        <v>167</v>
      </c>
      <c r="P167" s="6" t="s">
        <v>167</v>
      </c>
      <c r="R167" s="6" t="s">
        <v>167</v>
      </c>
      <c r="S167" s="6" t="s">
        <v>167</v>
      </c>
      <c r="T167" s="6" t="s">
        <v>167</v>
      </c>
      <c r="U167" s="6" t="s">
        <v>167</v>
      </c>
      <c r="V167" s="6" t="s">
        <v>167</v>
      </c>
      <c r="W167" s="6" t="s">
        <v>167</v>
      </c>
      <c r="X167" s="6" t="s">
        <v>167</v>
      </c>
      <c r="Y167" s="6" t="s">
        <v>167</v>
      </c>
      <c r="Z167" s="6" t="s">
        <v>167</v>
      </c>
      <c r="AA167" s="6" t="s">
        <v>167</v>
      </c>
      <c r="AB167" s="6" t="s">
        <v>167</v>
      </c>
      <c r="AC167" s="6" t="s">
        <v>167</v>
      </c>
      <c r="AD167" s="6" t="s">
        <v>167</v>
      </c>
      <c r="AE167" s="6" t="s">
        <v>167</v>
      </c>
      <c r="AF167" s="6" t="s">
        <v>167</v>
      </c>
      <c r="AG167" s="6" t="s">
        <v>167</v>
      </c>
      <c r="AH167" s="6" t="s">
        <v>167</v>
      </c>
      <c r="AI167" s="6" t="s">
        <v>167</v>
      </c>
      <c r="AJ167" s="6" t="s">
        <v>167</v>
      </c>
      <c r="AK167" s="6" t="s">
        <v>167</v>
      </c>
      <c r="AL167" s="6" t="s">
        <v>167</v>
      </c>
      <c r="AM167" s="6" t="s">
        <v>167</v>
      </c>
      <c r="AN167" s="6" t="s">
        <v>167</v>
      </c>
      <c r="AO167" s="6" t="s">
        <v>167</v>
      </c>
      <c r="AP167" s="6" t="s">
        <v>167</v>
      </c>
      <c r="AQ167" s="6" t="s">
        <v>167</v>
      </c>
      <c r="AR167" s="6" t="s">
        <v>167</v>
      </c>
      <c r="AS167" s="6" t="s">
        <v>167</v>
      </c>
      <c r="AT167" s="6" t="s">
        <v>167</v>
      </c>
      <c r="AU167" s="6" t="s">
        <v>167</v>
      </c>
      <c r="AV167" s="6" t="s">
        <v>167</v>
      </c>
      <c r="AW167" s="6" t="s">
        <v>167</v>
      </c>
      <c r="AX167" s="6" t="s">
        <v>167</v>
      </c>
      <c r="AY167" s="6" t="s">
        <v>167</v>
      </c>
      <c r="AZ167" s="6" t="s">
        <v>167</v>
      </c>
      <c r="BA167" s="6" t="s">
        <v>167</v>
      </c>
      <c r="BB167" s="6" t="s">
        <v>167</v>
      </c>
      <c r="BC167" s="6" t="s">
        <v>167</v>
      </c>
      <c r="BD167" s="234"/>
      <c r="BE167" s="6" t="s">
        <v>167</v>
      </c>
      <c r="BF167" s="6" t="s">
        <v>167</v>
      </c>
      <c r="BG167" s="6" t="s">
        <v>167</v>
      </c>
      <c r="BH167" s="6" t="s">
        <v>167</v>
      </c>
      <c r="BI167" s="6" t="s">
        <v>167</v>
      </c>
      <c r="BJ167" s="234"/>
      <c r="BK167" s="38"/>
      <c r="BL167" s="38"/>
      <c r="BM167" s="38"/>
      <c r="BN167" s="38"/>
      <c r="BO167" s="38"/>
      <c r="BP167" s="234"/>
      <c r="BQ167" s="11"/>
    </row>
    <row r="168" spans="2:69">
      <c r="BK168" s="38"/>
      <c r="BL168" s="38"/>
      <c r="BM168" s="38"/>
      <c r="BN168" s="38"/>
      <c r="BO168" s="38"/>
    </row>
    <row r="169" spans="2:69" s="7" customFormat="1" ht="12.75">
      <c r="B169" s="7" t="str">
        <f t="shared" ref="B169:P169" si="875">+B7</f>
        <v>Revenue</v>
      </c>
      <c r="C169" s="49">
        <f t="shared" si="875"/>
        <v>4193.7747460000001</v>
      </c>
      <c r="D169" s="49">
        <f t="shared" si="875"/>
        <v>4825.6480000000001</v>
      </c>
      <c r="E169" s="49">
        <f t="shared" si="875"/>
        <v>5955.5079999999998</v>
      </c>
      <c r="F169" s="49">
        <f t="shared" si="875"/>
        <v>7803.12</v>
      </c>
      <c r="G169" s="49">
        <f t="shared" si="875"/>
        <v>9400.8610000000008</v>
      </c>
      <c r="H169" s="49">
        <f t="shared" si="875"/>
        <v>12537.08</v>
      </c>
      <c r="I169" s="49">
        <f t="shared" si="875"/>
        <v>28196.847000000002</v>
      </c>
      <c r="J169" s="49">
        <f t="shared" si="875"/>
        <v>51981.207999999999</v>
      </c>
      <c r="K169" s="49">
        <f t="shared" si="875"/>
        <v>55836.141000000003</v>
      </c>
      <c r="L169" s="49">
        <f t="shared" si="875"/>
        <v>80615.534</v>
      </c>
      <c r="M169" s="49">
        <f t="shared" si="875"/>
        <v>84097.907999999996</v>
      </c>
      <c r="N169" s="49">
        <f t="shared" si="875"/>
        <v>110077.71</v>
      </c>
      <c r="O169" s="49">
        <f t="shared" si="875"/>
        <v>111904.601</v>
      </c>
      <c r="P169" s="49">
        <f t="shared" si="875"/>
        <v>118848.70499999999</v>
      </c>
      <c r="R169" s="49">
        <f t="shared" ref="R169:BC169" si="876">+R7</f>
        <v>1407.69</v>
      </c>
      <c r="S169" s="49">
        <f t="shared" si="876"/>
        <v>1312.269</v>
      </c>
      <c r="T169" s="49">
        <f t="shared" si="876"/>
        <v>1437.674</v>
      </c>
      <c r="U169" s="49">
        <f t="shared" si="876"/>
        <v>1797.875</v>
      </c>
      <c r="V169" s="49">
        <f t="shared" si="876"/>
        <v>1942.36</v>
      </c>
      <c r="W169" s="49">
        <f t="shared" si="876"/>
        <v>1820.498</v>
      </c>
      <c r="X169" s="49">
        <f t="shared" si="876"/>
        <v>1893.1089999999999</v>
      </c>
      <c r="Y169" s="49">
        <f t="shared" si="876"/>
        <v>2147.1529999999993</v>
      </c>
      <c r="Z169" s="49">
        <f t="shared" si="876"/>
        <v>2376.1260000000002</v>
      </c>
      <c r="AA169" s="49">
        <f t="shared" si="876"/>
        <v>2144.6410000000001</v>
      </c>
      <c r="AB169" s="49">
        <f t="shared" si="876"/>
        <v>2228.799</v>
      </c>
      <c r="AC169" s="49">
        <f t="shared" si="876"/>
        <v>2651.295000000001</v>
      </c>
      <c r="AD169" s="49">
        <f t="shared" si="876"/>
        <v>2689.6779999999999</v>
      </c>
      <c r="AE169" s="49">
        <f t="shared" si="876"/>
        <v>2542.4160000000002</v>
      </c>
      <c r="AF169" s="49">
        <f t="shared" si="876"/>
        <v>2976.1329999999998</v>
      </c>
      <c r="AG169" s="49">
        <f t="shared" si="876"/>
        <v>4328.853000000001</v>
      </c>
      <c r="AH169" s="49">
        <f t="shared" si="876"/>
        <v>5886.018</v>
      </c>
      <c r="AI169" s="49">
        <f t="shared" si="876"/>
        <v>5991.0420000000004</v>
      </c>
      <c r="AJ169" s="49">
        <f t="shared" si="876"/>
        <v>7301.82</v>
      </c>
      <c r="AK169" s="49">
        <f t="shared" si="876"/>
        <v>9017.9670000000006</v>
      </c>
      <c r="AL169" s="49">
        <f t="shared" si="876"/>
        <v>32802.327999999994</v>
      </c>
      <c r="AM169" s="49">
        <f t="shared" si="876"/>
        <v>10111.755999999999</v>
      </c>
      <c r="AN169" s="49">
        <f t="shared" si="876"/>
        <v>17346.855</v>
      </c>
      <c r="AO169" s="49">
        <f t="shared" si="876"/>
        <v>9511.8539999999994</v>
      </c>
      <c r="AP169" s="49">
        <f t="shared" si="876"/>
        <v>16395.692999999999</v>
      </c>
      <c r="AQ169" s="49">
        <f t="shared" si="876"/>
        <v>12408.578</v>
      </c>
      <c r="AR169" s="49">
        <f t="shared" si="876"/>
        <v>17809.405999999999</v>
      </c>
      <c r="AS169" s="49">
        <f t="shared" si="876"/>
        <v>23803.953000000001</v>
      </c>
      <c r="AT169" s="49">
        <f t="shared" si="876"/>
        <v>29063.58</v>
      </c>
      <c r="AU169" s="49">
        <f t="shared" si="876"/>
        <v>19600.936000000002</v>
      </c>
      <c r="AV169" s="49">
        <f t="shared" si="876"/>
        <v>15309.329</v>
      </c>
      <c r="AW169" s="49">
        <f t="shared" si="876"/>
        <v>18196.404999999999</v>
      </c>
      <c r="AX169" s="49">
        <f t="shared" si="876"/>
        <v>30991.237999999998</v>
      </c>
      <c r="AY169" s="49">
        <f t="shared" si="876"/>
        <v>26962.316999999999</v>
      </c>
      <c r="AZ169" s="49">
        <f t="shared" si="876"/>
        <v>23057.685000000001</v>
      </c>
      <c r="BA169" s="49">
        <f t="shared" si="876"/>
        <v>25411.133000000002</v>
      </c>
      <c r="BB169" s="49">
        <f t="shared" si="876"/>
        <v>36473.465999999986</v>
      </c>
      <c r="BC169" s="49">
        <f t="shared" si="876"/>
        <v>33906.421000000002</v>
      </c>
      <c r="BD169" s="49"/>
      <c r="BE169" s="49">
        <f>+BE7</f>
        <v>27069.643</v>
      </c>
      <c r="BF169" s="49">
        <f>+BF7</f>
        <v>20675.043000000001</v>
      </c>
      <c r="BG169" s="49">
        <f>+BG7</f>
        <v>24254.718000000001</v>
      </c>
      <c r="BH169" s="49">
        <f>+BH7</f>
        <v>38078.305999999997</v>
      </c>
      <c r="BI169" s="49">
        <f>+BI7</f>
        <v>35285.010999999999</v>
      </c>
      <c r="BJ169" s="49"/>
      <c r="BK169" s="38"/>
      <c r="BL169" s="38"/>
      <c r="BM169" s="38"/>
      <c r="BN169" s="38"/>
      <c r="BO169" s="38"/>
      <c r="BP169" s="49"/>
      <c r="BQ169" s="11"/>
    </row>
    <row r="170" spans="2:69" s="17" customFormat="1" ht="12.75">
      <c r="B170" s="59" t="str">
        <f>+B8</f>
        <v xml:space="preserve">% growth </v>
      </c>
      <c r="C170" s="60"/>
      <c r="D170" s="60">
        <f t="shared" ref="D170:M170" si="877">D8</f>
        <v>0.15066933544837569</v>
      </c>
      <c r="E170" s="60">
        <f t="shared" si="877"/>
        <v>0.23413643100367021</v>
      </c>
      <c r="F170" s="60">
        <f t="shared" si="877"/>
        <v>0.31023583546525346</v>
      </c>
      <c r="G170" s="60">
        <f t="shared" si="877"/>
        <v>0.20475668706876227</v>
      </c>
      <c r="H170" s="60">
        <f t="shared" si="877"/>
        <v>0.33360976191436076</v>
      </c>
      <c r="I170" s="60">
        <f t="shared" si="877"/>
        <v>1.2490761006550173</v>
      </c>
      <c r="J170" s="60">
        <f t="shared" si="877"/>
        <v>0.8435113684874056</v>
      </c>
      <c r="K170" s="60">
        <f t="shared" si="877"/>
        <v>7.4160127252140828E-2</v>
      </c>
      <c r="L170" s="60">
        <f t="shared" si="877"/>
        <v>0.44378770732024608</v>
      </c>
      <c r="M170" s="60">
        <f t="shared" si="877"/>
        <v>4.3197307357661252E-2</v>
      </c>
      <c r="N170" s="21">
        <f>+N169/L169-1</f>
        <v>0.3654652464374919</v>
      </c>
      <c r="O170" s="21">
        <f>+O169/N169-1</f>
        <v>1.6596375415149689E-2</v>
      </c>
      <c r="P170" s="20"/>
      <c r="R170" s="21"/>
      <c r="S170" s="21"/>
      <c r="T170" s="21"/>
      <c r="U170" s="20"/>
      <c r="V170" s="21">
        <f t="shared" ref="V170" si="878">V169/R169-1</f>
        <v>0.37982084123635174</v>
      </c>
      <c r="W170" s="21">
        <f t="shared" ref="W170" si="879">W169/S169-1</f>
        <v>0.38729025832356023</v>
      </c>
      <c r="X170" s="21">
        <f t="shared" ref="X170" si="880">X169/T169-1</f>
        <v>0.316786002946426</v>
      </c>
      <c r="Y170" s="21">
        <f t="shared" ref="Y170" si="881">Y169/U169-1</f>
        <v>0.19427268302857503</v>
      </c>
      <c r="Z170" s="21">
        <f>Z169/V169-1</f>
        <v>0.2233190551699995</v>
      </c>
      <c r="AA170" s="21">
        <f>AA169/W169-1</f>
        <v>0.17805182977405076</v>
      </c>
      <c r="AB170" s="21">
        <f>AB169/X169-1</f>
        <v>0.17732206650541515</v>
      </c>
      <c r="AC170" s="21">
        <f>AC169/Y169-1</f>
        <v>0.23479556417265179</v>
      </c>
      <c r="AD170" s="21">
        <f t="shared" ref="AD170" si="882">AD169/Z169-1</f>
        <v>0.13195933212295974</v>
      </c>
      <c r="AE170" s="21">
        <f>AE169/AA169-1</f>
        <v>0.18547393246701893</v>
      </c>
      <c r="AF170" s="21">
        <f t="shared" ref="AF170" si="883">AF169/AB169-1</f>
        <v>0.33530793938798431</v>
      </c>
      <c r="AG170" s="21">
        <f t="shared" ref="AG170" si="884">AG169/AC169-1</f>
        <v>0.63273155193971231</v>
      </c>
      <c r="AH170" s="21">
        <f t="shared" ref="AH170" si="885">AH169/AD169-1</f>
        <v>1.1883727345801245</v>
      </c>
      <c r="AI170" s="21">
        <f t="shared" ref="AI170" si="886">AI169/AE169-1</f>
        <v>1.35643655483603</v>
      </c>
      <c r="AJ170" s="21">
        <f t="shared" ref="AJ170" si="887">AJ169/AF169-1</f>
        <v>1.4534589011982999</v>
      </c>
      <c r="AK170" s="21">
        <f t="shared" ref="AK170" si="888">AK169/AG169-1</f>
        <v>1.0832232002334101</v>
      </c>
      <c r="AL170" s="21">
        <f>AL169/AG169-1</f>
        <v>6.5776026582561213</v>
      </c>
      <c r="AM170" s="21">
        <f>AM169/AH169-1</f>
        <v>0.71792814768830127</v>
      </c>
      <c r="AN170" s="21">
        <f>AN169/AI169-1</f>
        <v>1.895465429886821</v>
      </c>
      <c r="AO170" s="21">
        <f>AO169/AI169-1</f>
        <v>0.58767940535219054</v>
      </c>
      <c r="AP170" s="21">
        <f t="shared" ref="AP170" si="889">AP169/AI169-1</f>
        <v>1.7367013951830081</v>
      </c>
      <c r="AQ170" s="21">
        <f t="shared" ref="AQ170" si="890">AQ169/AJ169-1</f>
        <v>0.69938152405838538</v>
      </c>
      <c r="AR170" s="21">
        <f>AR169/AJ169-1</f>
        <v>1.4390365689649975</v>
      </c>
      <c r="AS170" s="21">
        <f>AS169/AK169-1</f>
        <v>1.639614117017727</v>
      </c>
      <c r="AT170" s="21">
        <f>AT169/AL169-1</f>
        <v>-0.11397812984493028</v>
      </c>
      <c r="AU170" s="21">
        <f>AU169/AN169-1</f>
        <v>0.12994176754230091</v>
      </c>
      <c r="AV170" s="21">
        <f>AV169/AP169-1</f>
        <v>-6.6259108413410761E-2</v>
      </c>
      <c r="AW170" s="21">
        <f>AW169/AR169-1</f>
        <v>2.1730034117926289E-2</v>
      </c>
      <c r="AX170" s="21">
        <f>AX169/AT169-1</f>
        <v>6.6325552461190096E-2</v>
      </c>
      <c r="AY170" s="21">
        <f>AY169/BE169-1</f>
        <v>-3.96481032276641E-3</v>
      </c>
      <c r="AZ170" s="21">
        <f>AZ169/BF169-1</f>
        <v>0.11524242053571543</v>
      </c>
      <c r="BA170" s="21">
        <f>BA169/BG169-1</f>
        <v>4.7677940432043098E-2</v>
      </c>
      <c r="BB170" s="21">
        <f>BB169/BH169-1</f>
        <v>-4.2145782430552781E-2</v>
      </c>
      <c r="BC170" s="21">
        <f>BC169/BI169-1</f>
        <v>-3.9070130940301984E-2</v>
      </c>
      <c r="BD170" s="43"/>
      <c r="BE170" s="21">
        <f>BE169/AN169-1</f>
        <v>0.56049283861541466</v>
      </c>
      <c r="BF170" s="21">
        <f>BF169/AP169-1</f>
        <v>0.26100452112637162</v>
      </c>
      <c r="BG170" s="21">
        <f>BG169/AR169-1</f>
        <v>0.36190493944604341</v>
      </c>
      <c r="BH170" s="21">
        <f>BH169/AT169-1</f>
        <v>0.31017259401629094</v>
      </c>
      <c r="BI170" s="21">
        <f>BI169/BE169-1</f>
        <v>0.30349007558023566</v>
      </c>
      <c r="BJ170" s="43"/>
      <c r="BK170" s="38"/>
      <c r="BL170" s="38"/>
      <c r="BM170" s="38"/>
      <c r="BN170" s="38"/>
      <c r="BO170" s="38"/>
      <c r="BP170" s="187"/>
      <c r="BQ170" s="11"/>
    </row>
    <row r="171" spans="2:69">
      <c r="C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38"/>
      <c r="BL171" s="38"/>
      <c r="BM171" s="38"/>
      <c r="BN171" s="38"/>
      <c r="BO171" s="38"/>
      <c r="BP171" s="61"/>
    </row>
    <row r="172" spans="2:69" s="7" customFormat="1" ht="13.5" thickBot="1">
      <c r="B172" s="62" t="str">
        <f t="shared" ref="B172:P172" si="891">B57</f>
        <v xml:space="preserve">Adj. EBITDA </v>
      </c>
      <c r="C172" s="63">
        <f t="shared" si="891"/>
        <v>575.29999999999995</v>
      </c>
      <c r="D172" s="63">
        <f t="shared" si="891"/>
        <v>733.59199999999998</v>
      </c>
      <c r="E172" s="63">
        <f t="shared" si="891"/>
        <v>939.16800000000001</v>
      </c>
      <c r="F172" s="63">
        <f t="shared" si="891"/>
        <v>1303.5260000000001</v>
      </c>
      <c r="G172" s="63">
        <f t="shared" si="891"/>
        <v>1621.152</v>
      </c>
      <c r="H172" s="63">
        <f t="shared" si="891"/>
        <v>2328.3589999999999</v>
      </c>
      <c r="I172" s="63">
        <f t="shared" si="891"/>
        <v>5467.0209999999997</v>
      </c>
      <c r="J172" s="63">
        <f t="shared" si="891"/>
        <v>6702.9049999999997</v>
      </c>
      <c r="K172" s="63">
        <f t="shared" si="891"/>
        <v>10600.588</v>
      </c>
      <c r="L172" s="63">
        <f t="shared" si="891"/>
        <v>15304.999</v>
      </c>
      <c r="M172" s="63">
        <f t="shared" si="891"/>
        <v>15595.955</v>
      </c>
      <c r="N172" s="63">
        <f t="shared" si="891"/>
        <v>20413.909</v>
      </c>
      <c r="O172" s="63">
        <f t="shared" si="891"/>
        <v>18416.037</v>
      </c>
      <c r="P172" s="63">
        <f t="shared" si="891"/>
        <v>18061.336000000003</v>
      </c>
      <c r="R172" s="63">
        <f t="shared" ref="R172:BC172" si="892">R57</f>
        <v>224.99799999999999</v>
      </c>
      <c r="S172" s="63">
        <f t="shared" si="892"/>
        <v>200.31799999999998</v>
      </c>
      <c r="T172" s="63">
        <f t="shared" si="892"/>
        <v>235.36399999999998</v>
      </c>
      <c r="U172" s="63">
        <f t="shared" si="892"/>
        <v>278.48800000000006</v>
      </c>
      <c r="V172" s="63">
        <f t="shared" si="892"/>
        <v>330.20800000000003</v>
      </c>
      <c r="W172" s="63">
        <f t="shared" si="892"/>
        <v>318.57</v>
      </c>
      <c r="X172" s="63">
        <f t="shared" si="892"/>
        <v>314.5689999999999</v>
      </c>
      <c r="Y172" s="63">
        <f t="shared" si="892"/>
        <v>340.17900000000009</v>
      </c>
      <c r="Z172" s="63">
        <f t="shared" si="892"/>
        <v>415.16699999999997</v>
      </c>
      <c r="AA172" s="63">
        <f t="shared" si="892"/>
        <v>379.77900000000005</v>
      </c>
      <c r="AB172" s="63">
        <f t="shared" si="892"/>
        <v>386.37200000000001</v>
      </c>
      <c r="AC172" s="63">
        <f t="shared" si="892"/>
        <v>439.83400000000006</v>
      </c>
      <c r="AD172" s="63">
        <f t="shared" si="892"/>
        <v>457.50200000000001</v>
      </c>
      <c r="AE172" s="63">
        <f t="shared" si="892"/>
        <v>351.63799999999998</v>
      </c>
      <c r="AF172" s="63">
        <f t="shared" si="892"/>
        <v>686.6110000000001</v>
      </c>
      <c r="AG172" s="63">
        <f t="shared" si="892"/>
        <v>832.60799999999972</v>
      </c>
      <c r="AH172" s="63">
        <f t="shared" si="892"/>
        <v>1244.625</v>
      </c>
      <c r="AI172" s="63">
        <f t="shared" si="892"/>
        <v>1134.3710000000001</v>
      </c>
      <c r="AJ172" s="63">
        <f t="shared" si="892"/>
        <v>1253.7509999999997</v>
      </c>
      <c r="AK172" s="63">
        <f t="shared" si="892"/>
        <v>1834.2739999999999</v>
      </c>
      <c r="AL172" s="63">
        <f t="shared" si="892"/>
        <v>2480.509</v>
      </c>
      <c r="AM172" s="63">
        <f t="shared" si="892"/>
        <v>2343.0140000000001</v>
      </c>
      <c r="AN172" s="63">
        <f t="shared" si="892"/>
        <v>3572.0929999999998</v>
      </c>
      <c r="AO172" s="63">
        <f t="shared" si="892"/>
        <v>1915.0689999999995</v>
      </c>
      <c r="AP172" s="63">
        <f t="shared" si="892"/>
        <v>3161.777</v>
      </c>
      <c r="AQ172" s="63">
        <f t="shared" si="892"/>
        <v>2669.1710000000003</v>
      </c>
      <c r="AR172" s="63">
        <f t="shared" si="892"/>
        <v>4268.183</v>
      </c>
      <c r="AS172" s="63">
        <f t="shared" si="892"/>
        <v>3673.3339999999998</v>
      </c>
      <c r="AT172" s="63">
        <f t="shared" si="892"/>
        <v>4302.9459999999999</v>
      </c>
      <c r="AU172" s="63">
        <f t="shared" si="892"/>
        <v>4042.268</v>
      </c>
      <c r="AV172" s="63">
        <f t="shared" si="892"/>
        <v>3274.8230000000003</v>
      </c>
      <c r="AW172" s="63">
        <f t="shared" si="892"/>
        <v>3554.66</v>
      </c>
      <c r="AX172" s="63">
        <f t="shared" si="892"/>
        <v>4724.2039999999997</v>
      </c>
      <c r="AY172" s="63">
        <f t="shared" si="892"/>
        <v>5484.46</v>
      </c>
      <c r="AZ172" s="63">
        <f t="shared" si="892"/>
        <v>3701.2650000000003</v>
      </c>
      <c r="BA172" s="63">
        <f t="shared" si="892"/>
        <v>5196.7819999999983</v>
      </c>
      <c r="BB172" s="63">
        <f t="shared" si="892"/>
        <v>4033.5300000000025</v>
      </c>
      <c r="BC172" s="63">
        <f t="shared" si="892"/>
        <v>5129.759</v>
      </c>
      <c r="BD172" s="16"/>
      <c r="BE172" s="63">
        <f>BE57</f>
        <v>5582.5259999999998</v>
      </c>
      <c r="BF172" s="63">
        <f>BF57</f>
        <v>4299.1059999999998</v>
      </c>
      <c r="BG172" s="63">
        <f>BG57</f>
        <v>4609.7610000000004</v>
      </c>
      <c r="BH172" s="63">
        <f>BH57</f>
        <v>5922.5159999999996</v>
      </c>
      <c r="BI172" s="63">
        <f>BI57</f>
        <v>7177.3959999999997</v>
      </c>
      <c r="BJ172" s="16"/>
      <c r="BK172" s="38"/>
      <c r="BL172" s="38"/>
      <c r="BM172" s="38"/>
      <c r="BN172" s="38"/>
      <c r="BO172" s="38"/>
      <c r="BP172" s="16"/>
      <c r="BQ172" s="11"/>
    </row>
    <row r="173" spans="2:69" s="17" customFormat="1" ht="13.5" thickTop="1">
      <c r="B173" s="59" t="str">
        <f>B58</f>
        <v xml:space="preserve">% growth </v>
      </c>
      <c r="C173" s="60"/>
      <c r="D173" s="60">
        <f t="shared" ref="D173:M173" si="893">D58</f>
        <v>0.27514687988875375</v>
      </c>
      <c r="E173" s="60">
        <f t="shared" si="893"/>
        <v>0.28023206359938491</v>
      </c>
      <c r="F173" s="60">
        <f t="shared" si="893"/>
        <v>0.38795827796517779</v>
      </c>
      <c r="G173" s="60">
        <f t="shared" si="893"/>
        <v>0.24366679299070371</v>
      </c>
      <c r="H173" s="60">
        <f t="shared" si="893"/>
        <v>0.43623731766052765</v>
      </c>
      <c r="I173" s="60">
        <f t="shared" si="893"/>
        <v>1.3480146317642596</v>
      </c>
      <c r="J173" s="60">
        <f t="shared" si="893"/>
        <v>0.22606168880639022</v>
      </c>
      <c r="K173" s="60">
        <f t="shared" si="893"/>
        <v>0.58149160699726465</v>
      </c>
      <c r="L173" s="60">
        <f t="shared" si="893"/>
        <v>0.44378774083098027</v>
      </c>
      <c r="M173" s="60">
        <f t="shared" si="893"/>
        <v>1.9010520680203813E-2</v>
      </c>
      <c r="N173" s="21">
        <f>+N172/L172-1</f>
        <v>0.33380662096090297</v>
      </c>
      <c r="O173" s="21">
        <f>+O172/N172-1</f>
        <v>-9.7868174096396698E-2</v>
      </c>
      <c r="P173" s="20"/>
      <c r="R173" s="21"/>
      <c r="S173" s="21"/>
      <c r="T173" s="21"/>
      <c r="U173" s="20"/>
      <c r="V173" s="21">
        <f t="shared" ref="V173" si="894">V172/R172-1</f>
        <v>0.46760415648139109</v>
      </c>
      <c r="W173" s="21">
        <f t="shared" ref="W173" si="895">W172/S172-1</f>
        <v>0.59032138899150355</v>
      </c>
      <c r="X173" s="21">
        <f t="shared" ref="X173" si="896">X172/T172-1</f>
        <v>0.33652130317295725</v>
      </c>
      <c r="Y173" s="21">
        <f t="shared" ref="Y173" si="897">Y172/U172-1</f>
        <v>0.22152121455861651</v>
      </c>
      <c r="Z173" s="21">
        <f>Z172/V172-1</f>
        <v>0.25728934489776112</v>
      </c>
      <c r="AA173" s="21">
        <f>AA172/W172-1</f>
        <v>0.19213673603917525</v>
      </c>
      <c r="AB173" s="21">
        <f>AB172/X172-1</f>
        <v>0.22825834713528703</v>
      </c>
      <c r="AC173" s="21">
        <f>AC172/Y172-1</f>
        <v>0.29294871229558539</v>
      </c>
      <c r="AD173" s="21">
        <f t="shared" ref="AD173" si="898">AD172/Z172-1</f>
        <v>0.10197101407385478</v>
      </c>
      <c r="AE173" s="21">
        <f>AE172/AA172-1</f>
        <v>-7.4098357202478482E-2</v>
      </c>
      <c r="AF173" s="21">
        <f t="shared" ref="AF173" si="899">AF172/AB172-1</f>
        <v>0.7770723551396066</v>
      </c>
      <c r="AG173" s="21">
        <f t="shared" ref="AG173" si="900">AG172/AC172-1</f>
        <v>0.89300508828330605</v>
      </c>
      <c r="AH173" s="21">
        <f t="shared" ref="AH173" si="901">AH172/AD172-1</f>
        <v>1.7204799104703365</v>
      </c>
      <c r="AI173" s="21">
        <f t="shared" ref="AI173" si="902">AI172/AE172-1</f>
        <v>2.2259624955209625</v>
      </c>
      <c r="AJ173" s="21">
        <f t="shared" ref="AJ173" si="903">AJ172/AF172-1</f>
        <v>0.82599900088987743</v>
      </c>
      <c r="AK173" s="21">
        <f t="shared" ref="AK173" si="904">AK172/AG172-1</f>
        <v>1.2030463315269615</v>
      </c>
      <c r="AL173" s="21">
        <f>AL172/AG172-1</f>
        <v>1.9792038990737546</v>
      </c>
      <c r="AM173" s="21">
        <f>AM172/AH172-1</f>
        <v>0.88250597569549072</v>
      </c>
      <c r="AN173" s="21">
        <f>AN172/AI172-1</f>
        <v>2.1489636106705827</v>
      </c>
      <c r="AO173" s="21">
        <f>AO172/AI172-1</f>
        <v>0.68822104937449868</v>
      </c>
      <c r="AP173" s="21">
        <f t="shared" ref="AP173" si="905">AP172/AI172-1</f>
        <v>1.7872512608308919</v>
      </c>
      <c r="AQ173" s="21">
        <f t="shared" ref="AQ173" si="906">AQ172/AJ172-1</f>
        <v>1.1289482520851437</v>
      </c>
      <c r="AR173" s="21">
        <f>AR172/AJ172-1</f>
        <v>2.4043306844820069</v>
      </c>
      <c r="AS173" s="21">
        <f>AS172/AK172-1</f>
        <v>1.0026092066943106</v>
      </c>
      <c r="AT173" s="21">
        <f>AT172/AL172-1</f>
        <v>0.73470283719994556</v>
      </c>
      <c r="AU173" s="21">
        <f>AU172/AN172-1</f>
        <v>0.13162451257568053</v>
      </c>
      <c r="AV173" s="21">
        <f>AV172/AP172-1</f>
        <v>3.5753944696289564E-2</v>
      </c>
      <c r="AW173" s="21">
        <f>AW172/AR172-1</f>
        <v>-0.16717254157096828</v>
      </c>
      <c r="AX173" s="21">
        <f>AX172/AT172-1</f>
        <v>9.7899903926286669E-2</v>
      </c>
      <c r="AY173" s="21">
        <f>AY172/BE172-1</f>
        <v>-1.7566599779383019E-2</v>
      </c>
      <c r="AZ173" s="21">
        <f>AZ172/BF172-1</f>
        <v>-0.13906170259584194</v>
      </c>
      <c r="BA173" s="21">
        <f>BA172/BG172-1</f>
        <v>0.12734304446586231</v>
      </c>
      <c r="BB173" s="21">
        <f>BB172/BH172-1</f>
        <v>-0.31894991925728822</v>
      </c>
      <c r="BC173" s="21">
        <f>BC172/BI172-1</f>
        <v>-0.28528967887517975</v>
      </c>
      <c r="BD173" s="43"/>
      <c r="BE173" s="21">
        <f>BE172/AN172-1</f>
        <v>0.56281653361208672</v>
      </c>
      <c r="BF173" s="21">
        <f>BF172/AP172-1</f>
        <v>0.3597119594455902</v>
      </c>
      <c r="BG173" s="21">
        <f>BG172/AR172-1</f>
        <v>8.0028902228419074E-2</v>
      </c>
      <c r="BH173" s="21">
        <f>BH172/AT172-1</f>
        <v>0.3763863176530684</v>
      </c>
      <c r="BI173" s="21">
        <f>BI172/BE172-1</f>
        <v>0.28568966808215501</v>
      </c>
      <c r="BJ173" s="43"/>
      <c r="BK173" s="38"/>
      <c r="BL173" s="38"/>
      <c r="BM173" s="38"/>
      <c r="BN173" s="38"/>
      <c r="BO173" s="38"/>
      <c r="BP173" s="187"/>
      <c r="BQ173" s="11"/>
    </row>
    <row r="174" spans="2:69" s="17" customFormat="1" ht="12.75">
      <c r="B174" s="59" t="str">
        <f>B59</f>
        <v>% margin</v>
      </c>
      <c r="C174" s="60">
        <f>C59</f>
        <v>0.13717951841565121</v>
      </c>
      <c r="D174" s="60">
        <f t="shared" ref="D174:M174" si="907">D59</f>
        <v>0.1520193764650882</v>
      </c>
      <c r="E174" s="60">
        <f t="shared" si="907"/>
        <v>0.15769737862832189</v>
      </c>
      <c r="F174" s="60">
        <f t="shared" si="907"/>
        <v>0.16705189718984204</v>
      </c>
      <c r="G174" s="60">
        <f t="shared" si="907"/>
        <v>0.1724471832952322</v>
      </c>
      <c r="H174" s="60">
        <f t="shared" si="907"/>
        <v>0.18571780669821042</v>
      </c>
      <c r="I174" s="60">
        <f t="shared" si="907"/>
        <v>0.19388767119954936</v>
      </c>
      <c r="J174" s="60">
        <f t="shared" si="907"/>
        <v>0.12894861927795137</v>
      </c>
      <c r="K174" s="60">
        <f t="shared" si="907"/>
        <v>0.18985173062013722</v>
      </c>
      <c r="L174" s="60">
        <f t="shared" si="907"/>
        <v>0.18985173502665131</v>
      </c>
      <c r="M174" s="60">
        <f t="shared" si="907"/>
        <v>0.18544997575920677</v>
      </c>
      <c r="N174" s="60">
        <f>N59</f>
        <v>0.18544997892852239</v>
      </c>
      <c r="O174" s="60">
        <f>O59</f>
        <v>0.16456907790592096</v>
      </c>
      <c r="P174" s="60">
        <f>P59</f>
        <v>0.15196914429988956</v>
      </c>
      <c r="R174" s="60">
        <f t="shared" ref="R174:BC174" si="908">R59</f>
        <v>0.15983490683318058</v>
      </c>
      <c r="S174" s="60">
        <f t="shared" si="908"/>
        <v>0.15265010451363248</v>
      </c>
      <c r="T174" s="60">
        <f t="shared" si="908"/>
        <v>0.16371166203186535</v>
      </c>
      <c r="U174" s="60">
        <f t="shared" si="908"/>
        <v>0.15489842174789686</v>
      </c>
      <c r="V174" s="60">
        <f t="shared" si="908"/>
        <v>0.17000350089581748</v>
      </c>
      <c r="W174" s="60">
        <f t="shared" si="908"/>
        <v>0.17499057950077396</v>
      </c>
      <c r="X174" s="60">
        <f t="shared" si="908"/>
        <v>0.16616528683768336</v>
      </c>
      <c r="Y174" s="60">
        <f t="shared" si="908"/>
        <v>0.15843258491593296</v>
      </c>
      <c r="Z174" s="60">
        <f t="shared" si="908"/>
        <v>0.17472432017494019</v>
      </c>
      <c r="AA174" s="60">
        <f t="shared" si="908"/>
        <v>0.17708278448467601</v>
      </c>
      <c r="AB174" s="60">
        <f t="shared" si="908"/>
        <v>0.17335434913601452</v>
      </c>
      <c r="AC174" s="60">
        <f t="shared" si="908"/>
        <v>0.16589402537250661</v>
      </c>
      <c r="AD174" s="60">
        <f t="shared" si="908"/>
        <v>0.17009545380525104</v>
      </c>
      <c r="AE174" s="60">
        <f t="shared" si="908"/>
        <v>0.13830860095279449</v>
      </c>
      <c r="AF174" s="60">
        <f t="shared" si="908"/>
        <v>0.23070575138947089</v>
      </c>
      <c r="AG174" s="60">
        <f t="shared" si="908"/>
        <v>0.19233917160042152</v>
      </c>
      <c r="AH174" s="60">
        <f t="shared" si="908"/>
        <v>0.21145450115850817</v>
      </c>
      <c r="AI174" s="60">
        <f t="shared" si="908"/>
        <v>0.18934452470872346</v>
      </c>
      <c r="AJ174" s="60">
        <f t="shared" si="908"/>
        <v>0.17170390395819121</v>
      </c>
      <c r="AK174" s="60">
        <f t="shared" si="908"/>
        <v>0.20340216370275027</v>
      </c>
      <c r="AL174" s="60">
        <f t="shared" si="908"/>
        <v>7.5619907221219196E-2</v>
      </c>
      <c r="AM174" s="60">
        <f t="shared" si="908"/>
        <v>0.23171188070598225</v>
      </c>
      <c r="AN174" s="60">
        <f t="shared" si="908"/>
        <v>0.20592164977455568</v>
      </c>
      <c r="AO174" s="60">
        <f t="shared" si="908"/>
        <v>0.20133498684904116</v>
      </c>
      <c r="AP174" s="60">
        <f t="shared" si="908"/>
        <v>0.19284192501042804</v>
      </c>
      <c r="AQ174" s="60">
        <f t="shared" si="908"/>
        <v>0.21510692039007212</v>
      </c>
      <c r="AR174" s="60">
        <f t="shared" si="908"/>
        <v>0.23965891956194385</v>
      </c>
      <c r="AS174" s="60">
        <f t="shared" si="908"/>
        <v>0.15431613396312788</v>
      </c>
      <c r="AT174" s="60">
        <f t="shared" si="908"/>
        <v>0.14805285515411384</v>
      </c>
      <c r="AU174" s="60">
        <f t="shared" si="908"/>
        <v>0.20622831481108861</v>
      </c>
      <c r="AV174" s="60">
        <f t="shared" si="908"/>
        <v>0.21391028960184999</v>
      </c>
      <c r="AW174" s="60">
        <f t="shared" si="908"/>
        <v>0.19534957591897961</v>
      </c>
      <c r="AX174" s="60">
        <f t="shared" si="908"/>
        <v>0.15243676293280056</v>
      </c>
      <c r="AY174" s="60">
        <f t="shared" si="908"/>
        <v>0.20341204355693912</v>
      </c>
      <c r="AZ174" s="60">
        <f t="shared" si="908"/>
        <v>0.1605219691395732</v>
      </c>
      <c r="BA174" s="60">
        <f t="shared" si="908"/>
        <v>0.20450807919505196</v>
      </c>
      <c r="BB174" s="60">
        <f t="shared" si="908"/>
        <v>0.11058806421084313</v>
      </c>
      <c r="BC174" s="60">
        <f t="shared" si="908"/>
        <v>0.1512916683244156</v>
      </c>
      <c r="BD174" s="187"/>
      <c r="BE174" s="60">
        <f>BE59</f>
        <v>0.20622828309926361</v>
      </c>
      <c r="BF174" s="60">
        <f>BF59</f>
        <v>0.20793697986504789</v>
      </c>
      <c r="BG174" s="60">
        <f>BG59</f>
        <v>0.19005626039436946</v>
      </c>
      <c r="BH174" s="60">
        <f>BH59</f>
        <v>0.15553517533054123</v>
      </c>
      <c r="BI174" s="60">
        <f>BI59</f>
        <v>0.20341203804641014</v>
      </c>
      <c r="BJ174" s="187"/>
      <c r="BK174" s="38"/>
      <c r="BL174" s="38"/>
      <c r="BM174" s="38"/>
      <c r="BN174" s="38"/>
      <c r="BO174" s="38"/>
      <c r="BP174" s="187"/>
      <c r="BQ174" s="11"/>
    </row>
    <row r="175" spans="2:69">
      <c r="C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38"/>
      <c r="BL175" s="38"/>
      <c r="BM175" s="38"/>
      <c r="BN175" s="38"/>
      <c r="BO175" s="38"/>
      <c r="BP175" s="61"/>
    </row>
    <row r="176" spans="2:69" s="7" customFormat="1" ht="12.75">
      <c r="B176" s="7" t="str">
        <f t="shared" ref="B176:P176" si="909">B62</f>
        <v xml:space="preserve">Adj. EBITDA </v>
      </c>
      <c r="C176" s="64">
        <f t="shared" si="909"/>
        <v>575.29999999999995</v>
      </c>
      <c r="D176" s="64">
        <f t="shared" si="909"/>
        <v>733.59199999999998</v>
      </c>
      <c r="E176" s="64">
        <f t="shared" si="909"/>
        <v>939.16800000000001</v>
      </c>
      <c r="F176" s="64">
        <f t="shared" si="909"/>
        <v>1303.5260000000001</v>
      </c>
      <c r="G176" s="64">
        <f t="shared" si="909"/>
        <v>1621.152</v>
      </c>
      <c r="H176" s="64">
        <f t="shared" si="909"/>
        <v>2328.3589999999999</v>
      </c>
      <c r="I176" s="64">
        <f t="shared" si="909"/>
        <v>5467.0209999999997</v>
      </c>
      <c r="J176" s="64">
        <f t="shared" si="909"/>
        <v>6702.9049999999997</v>
      </c>
      <c r="K176" s="64">
        <f t="shared" si="909"/>
        <v>10600.588</v>
      </c>
      <c r="L176" s="64">
        <f t="shared" si="909"/>
        <v>15304.999</v>
      </c>
      <c r="M176" s="64">
        <f t="shared" si="909"/>
        <v>15595.955</v>
      </c>
      <c r="N176" s="64">
        <f t="shared" si="909"/>
        <v>20413.909</v>
      </c>
      <c r="O176" s="64">
        <f t="shared" si="909"/>
        <v>18416.037</v>
      </c>
      <c r="P176" s="64">
        <f t="shared" si="909"/>
        <v>18061.336000000003</v>
      </c>
      <c r="R176" s="64">
        <f t="shared" ref="R176:BC176" si="910">R62</f>
        <v>224.99799999999999</v>
      </c>
      <c r="S176" s="64">
        <f t="shared" si="910"/>
        <v>200.31799999999998</v>
      </c>
      <c r="T176" s="64">
        <f t="shared" si="910"/>
        <v>235.36399999999998</v>
      </c>
      <c r="U176" s="64">
        <f t="shared" si="910"/>
        <v>278.48800000000006</v>
      </c>
      <c r="V176" s="64">
        <f t="shared" si="910"/>
        <v>330.20800000000003</v>
      </c>
      <c r="W176" s="64">
        <f t="shared" si="910"/>
        <v>318.57</v>
      </c>
      <c r="X176" s="64">
        <f t="shared" si="910"/>
        <v>314.5689999999999</v>
      </c>
      <c r="Y176" s="64">
        <f t="shared" si="910"/>
        <v>340.17900000000009</v>
      </c>
      <c r="Z176" s="64">
        <f t="shared" si="910"/>
        <v>415.16699999999997</v>
      </c>
      <c r="AA176" s="64">
        <f t="shared" si="910"/>
        <v>379.77900000000005</v>
      </c>
      <c r="AB176" s="64">
        <f t="shared" si="910"/>
        <v>386.37200000000001</v>
      </c>
      <c r="AC176" s="64">
        <f t="shared" si="910"/>
        <v>439.83400000000006</v>
      </c>
      <c r="AD176" s="64">
        <f t="shared" si="910"/>
        <v>457.50200000000001</v>
      </c>
      <c r="AE176" s="64">
        <f t="shared" si="910"/>
        <v>351.63799999999998</v>
      </c>
      <c r="AF176" s="64">
        <f t="shared" si="910"/>
        <v>686.6110000000001</v>
      </c>
      <c r="AG176" s="64">
        <f t="shared" si="910"/>
        <v>832.60799999999972</v>
      </c>
      <c r="AH176" s="64">
        <f t="shared" si="910"/>
        <v>1244.625</v>
      </c>
      <c r="AI176" s="64">
        <f t="shared" si="910"/>
        <v>1134.3710000000001</v>
      </c>
      <c r="AJ176" s="64">
        <f t="shared" si="910"/>
        <v>1253.7509999999997</v>
      </c>
      <c r="AK176" s="64">
        <f t="shared" si="910"/>
        <v>1834.2739999999999</v>
      </c>
      <c r="AL176" s="64">
        <f t="shared" si="910"/>
        <v>2480.509</v>
      </c>
      <c r="AM176" s="64">
        <f t="shared" si="910"/>
        <v>2343.0140000000001</v>
      </c>
      <c r="AN176" s="64">
        <f t="shared" si="910"/>
        <v>3572.0929999999998</v>
      </c>
      <c r="AO176" s="64">
        <f t="shared" si="910"/>
        <v>1915.0689999999995</v>
      </c>
      <c r="AP176" s="64">
        <f t="shared" si="910"/>
        <v>3161.777</v>
      </c>
      <c r="AQ176" s="64">
        <f t="shared" si="910"/>
        <v>2669.1710000000003</v>
      </c>
      <c r="AR176" s="64">
        <f t="shared" si="910"/>
        <v>4268.183</v>
      </c>
      <c r="AS176" s="64">
        <f t="shared" si="910"/>
        <v>3673.3339999999998</v>
      </c>
      <c r="AT176" s="64">
        <f t="shared" si="910"/>
        <v>4302.9459999999999</v>
      </c>
      <c r="AU176" s="64">
        <f t="shared" si="910"/>
        <v>4042.268</v>
      </c>
      <c r="AV176" s="64">
        <f t="shared" si="910"/>
        <v>3274.8230000000003</v>
      </c>
      <c r="AW176" s="64">
        <f t="shared" si="910"/>
        <v>3554.66</v>
      </c>
      <c r="AX176" s="64">
        <f t="shared" si="910"/>
        <v>4724.2039999999997</v>
      </c>
      <c r="AY176" s="64">
        <f t="shared" si="910"/>
        <v>5484.46</v>
      </c>
      <c r="AZ176" s="64">
        <f t="shared" si="910"/>
        <v>3701.2650000000003</v>
      </c>
      <c r="BA176" s="64">
        <f t="shared" si="910"/>
        <v>5196.7819999999983</v>
      </c>
      <c r="BB176" s="64">
        <f t="shared" si="910"/>
        <v>4033.5300000000025</v>
      </c>
      <c r="BC176" s="64">
        <f t="shared" si="910"/>
        <v>5129.759</v>
      </c>
      <c r="BD176" s="120"/>
      <c r="BE176" s="64">
        <f t="shared" ref="BE176:BI190" si="911">BE62</f>
        <v>5582.5259999999998</v>
      </c>
      <c r="BF176" s="64">
        <f t="shared" si="911"/>
        <v>4299.1059999999998</v>
      </c>
      <c r="BG176" s="64">
        <f t="shared" si="911"/>
        <v>4609.7610000000004</v>
      </c>
      <c r="BH176" s="64">
        <f t="shared" si="911"/>
        <v>5922.5159999999996</v>
      </c>
      <c r="BI176" s="64">
        <f t="shared" si="911"/>
        <v>7177.3959999999997</v>
      </c>
      <c r="BJ176" s="120"/>
      <c r="BK176" s="38"/>
      <c r="BL176" s="38"/>
      <c r="BM176" s="38"/>
      <c r="BN176" s="38"/>
      <c r="BO176" s="38"/>
      <c r="BP176" s="120"/>
      <c r="BQ176" s="11"/>
    </row>
    <row r="177" spans="2:69">
      <c r="B177" s="11" t="str">
        <f t="shared" ref="B177:P177" si="912">B63</f>
        <v>Working Capital</v>
      </c>
      <c r="C177" s="34">
        <f t="shared" si="912"/>
        <v>66.166058000000007</v>
      </c>
      <c r="D177" s="34">
        <f t="shared" si="912"/>
        <v>62.254000000000005</v>
      </c>
      <c r="E177" s="34">
        <f t="shared" si="912"/>
        <v>-867.07300000000009</v>
      </c>
      <c r="F177" s="34">
        <f t="shared" si="912"/>
        <v>-430.33799999999997</v>
      </c>
      <c r="G177" s="34">
        <f t="shared" si="912"/>
        <v>-911.30599999999993</v>
      </c>
      <c r="H177" s="34">
        <f t="shared" si="912"/>
        <v>-2425.4090000000001</v>
      </c>
      <c r="I177" s="34">
        <f t="shared" si="912"/>
        <v>-3205.4059999999999</v>
      </c>
      <c r="J177" s="34">
        <f t="shared" si="912"/>
        <v>-4994.9430000000002</v>
      </c>
      <c r="K177" s="34">
        <f t="shared" si="912"/>
        <v>-4281.2569999999996</v>
      </c>
      <c r="L177" s="34">
        <f t="shared" si="912"/>
        <v>-6181.2270000000008</v>
      </c>
      <c r="M177" s="34">
        <f t="shared" si="912"/>
        <v>-10641.181999999997</v>
      </c>
      <c r="N177" s="34">
        <f t="shared" si="912"/>
        <v>-13928.49</v>
      </c>
      <c r="O177" s="34">
        <f t="shared" si="912"/>
        <v>-14744.146999999999</v>
      </c>
      <c r="P177" s="34">
        <f t="shared" si="912"/>
        <v>-13837.777999999997</v>
      </c>
      <c r="R177" s="34">
        <f t="shared" ref="R177:BC177" si="913">R63</f>
        <v>-349.64699999999999</v>
      </c>
      <c r="S177" s="34">
        <f t="shared" si="913"/>
        <v>-333.15799999999996</v>
      </c>
      <c r="T177" s="34">
        <f t="shared" si="913"/>
        <v>-268.21700000000027</v>
      </c>
      <c r="U177" s="34">
        <f t="shared" si="913"/>
        <v>83.949000000000069</v>
      </c>
      <c r="V177" s="34">
        <f t="shared" si="913"/>
        <v>-412.71699999999998</v>
      </c>
      <c r="W177" s="34">
        <f t="shared" si="913"/>
        <v>-111.27999999999997</v>
      </c>
      <c r="X177" s="34">
        <f t="shared" si="913"/>
        <v>-207.91199999999992</v>
      </c>
      <c r="Y177" s="34">
        <f t="shared" si="913"/>
        <v>301.57099999999991</v>
      </c>
      <c r="Z177" s="34">
        <f t="shared" si="913"/>
        <v>-492.37799999999999</v>
      </c>
      <c r="AA177" s="34">
        <f t="shared" si="913"/>
        <v>-217.52699999999999</v>
      </c>
      <c r="AB177" s="34">
        <f t="shared" si="913"/>
        <v>-500.74200000000002</v>
      </c>
      <c r="AC177" s="34">
        <f t="shared" si="913"/>
        <v>299.34100000000001</v>
      </c>
      <c r="AD177" s="34">
        <f t="shared" si="913"/>
        <v>-160.322</v>
      </c>
      <c r="AE177" s="34">
        <f t="shared" si="913"/>
        <v>-112.20900000000006</v>
      </c>
      <c r="AF177" s="34">
        <f t="shared" si="913"/>
        <v>-699.01099999999985</v>
      </c>
      <c r="AG177" s="34">
        <f t="shared" si="913"/>
        <v>-1453.8670000000002</v>
      </c>
      <c r="AH177" s="34">
        <f t="shared" si="913"/>
        <v>-1149.287</v>
      </c>
      <c r="AI177" s="34">
        <f t="shared" si="913"/>
        <v>-867.50900000000024</v>
      </c>
      <c r="AJ177" s="34">
        <f t="shared" si="913"/>
        <v>-1864.8629999999991</v>
      </c>
      <c r="AK177" s="34">
        <f t="shared" si="913"/>
        <v>676.2529999999997</v>
      </c>
      <c r="AL177" s="34">
        <f t="shared" si="913"/>
        <v>-1113.2840000000006</v>
      </c>
      <c r="AM177" s="34">
        <f t="shared" si="913"/>
        <v>-2906.9650000000001</v>
      </c>
      <c r="AN177" s="34">
        <f t="shared" si="913"/>
        <v>-4862.5730000000003</v>
      </c>
      <c r="AO177" s="34">
        <f t="shared" si="913"/>
        <v>-775.55399999999963</v>
      </c>
      <c r="AP177" s="34">
        <f t="shared" si="913"/>
        <v>-1838.2649999999994</v>
      </c>
      <c r="AQ177" s="34">
        <f t="shared" si="913"/>
        <v>-113.51800000000003</v>
      </c>
      <c r="AR177" s="34">
        <f t="shared" si="913"/>
        <v>-354.10199999999895</v>
      </c>
      <c r="AS177" s="34">
        <f t="shared" si="913"/>
        <v>-485.2199999999998</v>
      </c>
      <c r="AT177" s="34">
        <f t="shared" si="913"/>
        <v>873.71299999999792</v>
      </c>
      <c r="AU177" s="34">
        <f t="shared" si="913"/>
        <v>-6121.1540000000005</v>
      </c>
      <c r="AV177" s="34">
        <f t="shared" si="913"/>
        <v>549.88600000000042</v>
      </c>
      <c r="AW177" s="34">
        <f t="shared" si="913"/>
        <v>-4617.6229999999996</v>
      </c>
      <c r="AX177" s="34">
        <f t="shared" si="913"/>
        <v>-452.29099999999744</v>
      </c>
      <c r="AY177" s="34">
        <f t="shared" si="913"/>
        <v>-12750.482000000004</v>
      </c>
      <c r="AZ177" s="34">
        <f t="shared" si="913"/>
        <v>-2706.507999999998</v>
      </c>
      <c r="BA177" s="34">
        <f t="shared" si="913"/>
        <v>-3127.1989999999969</v>
      </c>
      <c r="BB177" s="34">
        <f t="shared" si="913"/>
        <v>3840.0419999999995</v>
      </c>
      <c r="BC177" s="34">
        <f t="shared" si="913"/>
        <v>-11844.113000000001</v>
      </c>
      <c r="BD177" s="188"/>
      <c r="BE177" s="34">
        <f t="shared" si="911"/>
        <v>-8453.5480000000007</v>
      </c>
      <c r="BF177" s="34">
        <f t="shared" si="911"/>
        <v>929.62500000000091</v>
      </c>
      <c r="BG177" s="34">
        <f t="shared" si="911"/>
        <v>-6057.259</v>
      </c>
      <c r="BH177" s="34">
        <f t="shared" si="911"/>
        <v>-347.30799999999908</v>
      </c>
      <c r="BI177" s="34">
        <f t="shared" si="911"/>
        <v>-16686.284</v>
      </c>
      <c r="BJ177" s="188"/>
      <c r="BK177" s="38"/>
      <c r="BL177" s="38"/>
      <c r="BM177" s="38"/>
      <c r="BN177" s="38"/>
      <c r="BO177" s="38"/>
      <c r="BP177" s="188"/>
    </row>
    <row r="178" spans="2:69">
      <c r="B178" s="11" t="str">
        <f t="shared" ref="B178:P178" si="914">B64</f>
        <v>Taxes</v>
      </c>
      <c r="C178" s="34">
        <f t="shared" si="914"/>
        <v>-53.695588000000001</v>
      </c>
      <c r="D178" s="34">
        <f t="shared" si="914"/>
        <v>-50.8</v>
      </c>
      <c r="E178" s="34">
        <f t="shared" si="914"/>
        <v>-141.35900000000001</v>
      </c>
      <c r="F178" s="34">
        <f t="shared" si="914"/>
        <v>-171.654</v>
      </c>
      <c r="G178" s="34">
        <f t="shared" si="914"/>
        <v>-338.02199999999999</v>
      </c>
      <c r="H178" s="34">
        <f t="shared" si="914"/>
        <v>-393.36900000000003</v>
      </c>
      <c r="I178" s="34">
        <f t="shared" si="914"/>
        <v>-566.72199999999998</v>
      </c>
      <c r="J178" s="34">
        <f t="shared" si="914"/>
        <v>-1256.415</v>
      </c>
      <c r="K178" s="34">
        <f t="shared" si="914"/>
        <v>-1356.03</v>
      </c>
      <c r="L178" s="34">
        <f t="shared" si="914"/>
        <v>-1957.819</v>
      </c>
      <c r="M178" s="34">
        <f t="shared" si="914"/>
        <v>-992.38599999999997</v>
      </c>
      <c r="N178" s="34">
        <f t="shared" si="914"/>
        <v>-1298.9570000000001</v>
      </c>
      <c r="O178" s="34">
        <f t="shared" si="914"/>
        <v>-1123.441</v>
      </c>
      <c r="P178" s="34">
        <f t="shared" si="914"/>
        <v>-1237.6109999999999</v>
      </c>
      <c r="R178" s="34">
        <f t="shared" ref="R178:BC178" si="915">R64</f>
        <v>-14.544</v>
      </c>
      <c r="S178" s="34">
        <f t="shared" si="915"/>
        <v>-36.784000000000006</v>
      </c>
      <c r="T178" s="34">
        <f t="shared" si="915"/>
        <v>-24.375999999999987</v>
      </c>
      <c r="U178" s="34">
        <f t="shared" si="915"/>
        <v>-65.655000000000015</v>
      </c>
      <c r="V178" s="34">
        <f t="shared" si="915"/>
        <v>-0.78</v>
      </c>
      <c r="W178" s="34">
        <f t="shared" si="915"/>
        <v>-66.959000000000003</v>
      </c>
      <c r="X178" s="34">
        <f t="shared" si="915"/>
        <v>-40.807000000000002</v>
      </c>
      <c r="Y178" s="34">
        <f t="shared" si="915"/>
        <v>-63.10799999999999</v>
      </c>
      <c r="Z178" s="34">
        <f t="shared" si="915"/>
        <v>-34.287999999999997</v>
      </c>
      <c r="AA178" s="34">
        <f t="shared" si="915"/>
        <v>-87.789000000000001</v>
      </c>
      <c r="AB178" s="34">
        <f t="shared" si="915"/>
        <v>-121.94499999999998</v>
      </c>
      <c r="AC178" s="34">
        <f t="shared" si="915"/>
        <v>-94</v>
      </c>
      <c r="AD178" s="34">
        <f t="shared" si="915"/>
        <v>-24.087</v>
      </c>
      <c r="AE178" s="34">
        <f t="shared" si="915"/>
        <v>-180.35000000000002</v>
      </c>
      <c r="AF178" s="34">
        <f t="shared" si="915"/>
        <v>-141.774</v>
      </c>
      <c r="AG178" s="34">
        <f t="shared" si="915"/>
        <v>-47.158000000000015</v>
      </c>
      <c r="AH178" s="34">
        <f t="shared" si="915"/>
        <v>-224.08799999999999</v>
      </c>
      <c r="AI178" s="34">
        <f t="shared" si="915"/>
        <v>-87.553000000000026</v>
      </c>
      <c r="AJ178" s="34">
        <f t="shared" si="915"/>
        <v>-119.39599999999996</v>
      </c>
      <c r="AK178" s="34">
        <f t="shared" si="915"/>
        <v>-135.685</v>
      </c>
      <c r="AL178" s="34">
        <f t="shared" si="915"/>
        <v>-825.37799999999993</v>
      </c>
      <c r="AM178" s="34">
        <f t="shared" si="915"/>
        <v>-66.683999999999997</v>
      </c>
      <c r="AN178" s="34">
        <f t="shared" si="915"/>
        <v>-3.262</v>
      </c>
      <c r="AO178" s="34">
        <f t="shared" si="915"/>
        <v>-355.33600000000001</v>
      </c>
      <c r="AP178" s="34">
        <f t="shared" si="915"/>
        <v>-849.16700000000003</v>
      </c>
      <c r="AQ178" s="34">
        <f t="shared" si="915"/>
        <v>-431.80700000000002</v>
      </c>
      <c r="AR178" s="34">
        <f t="shared" si="915"/>
        <v>-862.8180000000001</v>
      </c>
      <c r="AS178" s="34">
        <f t="shared" si="915"/>
        <v>-502.20299999999997</v>
      </c>
      <c r="AT178" s="34">
        <f t="shared" si="915"/>
        <v>-242.57199999999989</v>
      </c>
      <c r="AU178" s="34">
        <f t="shared" si="915"/>
        <v>-97.198999999999998</v>
      </c>
      <c r="AV178" s="34">
        <f t="shared" si="915"/>
        <v>-499.89000000000004</v>
      </c>
      <c r="AW178" s="34">
        <f t="shared" si="915"/>
        <v>-231.65499999999997</v>
      </c>
      <c r="AX178" s="34">
        <f t="shared" si="915"/>
        <v>-163.64199999999994</v>
      </c>
      <c r="AY178" s="34">
        <f t="shared" si="915"/>
        <v>-66.67</v>
      </c>
      <c r="AZ178" s="34">
        <f t="shared" si="915"/>
        <v>-297.673</v>
      </c>
      <c r="BA178" s="34">
        <f t="shared" si="915"/>
        <v>-216.34199999999993</v>
      </c>
      <c r="BB178" s="34">
        <f t="shared" si="915"/>
        <v>-542.75600000000009</v>
      </c>
      <c r="BC178" s="34">
        <f t="shared" si="915"/>
        <v>-180.84</v>
      </c>
      <c r="BD178" s="188"/>
      <c r="BE178" s="34">
        <f t="shared" si="911"/>
        <v>-134.23599999999999</v>
      </c>
      <c r="BF178" s="34">
        <f t="shared" si="911"/>
        <v>-672.125</v>
      </c>
      <c r="BG178" s="34">
        <f t="shared" si="911"/>
        <v>-298.30499999999995</v>
      </c>
      <c r="BH178" s="34">
        <f t="shared" si="911"/>
        <v>-194.29100000000017</v>
      </c>
      <c r="BI178" s="34">
        <f t="shared" si="911"/>
        <v>-87.25</v>
      </c>
      <c r="BJ178" s="188"/>
      <c r="BK178" s="38"/>
      <c r="BL178" s="38"/>
      <c r="BM178" s="38"/>
      <c r="BN178" s="38"/>
      <c r="BO178" s="38"/>
      <c r="BP178" s="188"/>
    </row>
    <row r="179" spans="2:69">
      <c r="B179" s="11" t="str">
        <f t="shared" ref="B179:P179" si="916">B65</f>
        <v>Cash interest paid</v>
      </c>
      <c r="C179" s="34">
        <f t="shared" si="916"/>
        <v>-75.880255000000005</v>
      </c>
      <c r="D179" s="34">
        <f t="shared" si="916"/>
        <v>-173.43</v>
      </c>
      <c r="E179" s="34">
        <f t="shared" si="916"/>
        <v>-337.13</v>
      </c>
      <c r="F179" s="34">
        <f t="shared" si="916"/>
        <v>-414.64400000000001</v>
      </c>
      <c r="G179" s="34">
        <f t="shared" si="916"/>
        <v>-364.13299999999998</v>
      </c>
      <c r="H179" s="34">
        <f t="shared" si="916"/>
        <v>-756.74900000000002</v>
      </c>
      <c r="I179" s="34">
        <f t="shared" si="916"/>
        <v>-2014.2439999999999</v>
      </c>
      <c r="J179" s="34">
        <f t="shared" si="916"/>
        <v>-3851.84</v>
      </c>
      <c r="K179" s="34">
        <f t="shared" si="916"/>
        <v>-3670.6660000000002</v>
      </c>
      <c r="L179" s="34">
        <f t="shared" si="916"/>
        <v>-5299.6620000000003</v>
      </c>
      <c r="M179" s="34">
        <f t="shared" si="916"/>
        <v>-4132.1670000000004</v>
      </c>
      <c r="N179" s="34">
        <f t="shared" si="916"/>
        <v>-5408.69</v>
      </c>
      <c r="O179" s="34">
        <f t="shared" si="916"/>
        <v>-5224.8509999999997</v>
      </c>
      <c r="P179" s="34">
        <f t="shared" si="916"/>
        <v>-5651.2649999999994</v>
      </c>
      <c r="R179" s="34">
        <f t="shared" ref="R179:BC179" si="917">R65</f>
        <v>-16.986000000000001</v>
      </c>
      <c r="S179" s="34">
        <f t="shared" si="917"/>
        <v>-143.179</v>
      </c>
      <c r="T179" s="34">
        <f t="shared" si="917"/>
        <v>-22.022000000000009</v>
      </c>
      <c r="U179" s="34">
        <f t="shared" si="917"/>
        <v>-154.94299999999998</v>
      </c>
      <c r="V179" s="34">
        <f t="shared" si="917"/>
        <v>-33.311</v>
      </c>
      <c r="W179" s="34">
        <f t="shared" si="917"/>
        <v>-161.57299999999998</v>
      </c>
      <c r="X179" s="34">
        <f t="shared" si="917"/>
        <v>-65.984000000000009</v>
      </c>
      <c r="Y179" s="34">
        <f t="shared" si="917"/>
        <v>-153.77600000000001</v>
      </c>
      <c r="Z179" s="34">
        <f t="shared" si="917"/>
        <v>-37.927999999999997</v>
      </c>
      <c r="AA179" s="34">
        <f t="shared" si="917"/>
        <v>-137.27700000000002</v>
      </c>
      <c r="AB179" s="34">
        <f t="shared" si="917"/>
        <v>-15.095999999999975</v>
      </c>
      <c r="AC179" s="34">
        <f t="shared" si="917"/>
        <v>-173.83199999999999</v>
      </c>
      <c r="AD179" s="34">
        <f t="shared" si="917"/>
        <v>-38.098999999999997</v>
      </c>
      <c r="AE179" s="34">
        <f t="shared" si="917"/>
        <v>-303.50700000000001</v>
      </c>
      <c r="AF179" s="34">
        <f t="shared" si="917"/>
        <v>-145.08100000000002</v>
      </c>
      <c r="AG179" s="34">
        <f t="shared" si="917"/>
        <v>-270.06200000000001</v>
      </c>
      <c r="AH179" s="34">
        <f t="shared" si="917"/>
        <v>-56.106999999999999</v>
      </c>
      <c r="AI179" s="34">
        <f t="shared" si="917"/>
        <v>-722.66100000000006</v>
      </c>
      <c r="AJ179" s="34">
        <f t="shared" si="917"/>
        <v>-19.726999999999975</v>
      </c>
      <c r="AK179" s="34">
        <f t="shared" si="917"/>
        <v>-1215.7489999999998</v>
      </c>
      <c r="AL179" s="34">
        <f t="shared" si="917"/>
        <v>-3053.3450000000003</v>
      </c>
      <c r="AM179" s="34">
        <f t="shared" si="917"/>
        <v>-55.542000000000002</v>
      </c>
      <c r="AN179" s="34">
        <f t="shared" si="917"/>
        <v>-105.28400000000001</v>
      </c>
      <c r="AO179" s="34">
        <f t="shared" si="917"/>
        <v>-940.94299999999998</v>
      </c>
      <c r="AP179" s="34">
        <f t="shared" si="917"/>
        <v>-1705.886</v>
      </c>
      <c r="AQ179" s="34">
        <f t="shared" si="917"/>
        <v>-20.049999999999955</v>
      </c>
      <c r="AR179" s="34">
        <f t="shared" si="917"/>
        <v>-68.717999999999847</v>
      </c>
      <c r="AS179" s="34">
        <f t="shared" si="917"/>
        <v>-2654.1310000000003</v>
      </c>
      <c r="AT179" s="34">
        <f t="shared" si="917"/>
        <v>-3419.7740000000003</v>
      </c>
      <c r="AU179" s="34">
        <f t="shared" si="917"/>
        <v>-72.481999999999999</v>
      </c>
      <c r="AV179" s="34">
        <f t="shared" si="917"/>
        <v>-1645.9549999999999</v>
      </c>
      <c r="AW179" s="34">
        <f t="shared" si="917"/>
        <v>-740.88200000000006</v>
      </c>
      <c r="AX179" s="34">
        <f t="shared" si="917"/>
        <v>-1672.8480000000004</v>
      </c>
      <c r="AY179" s="34">
        <f t="shared" si="917"/>
        <v>-788.27700000000004</v>
      </c>
      <c r="AZ179" s="34">
        <f t="shared" si="917"/>
        <v>-1719.6059999999998</v>
      </c>
      <c r="BA179" s="34">
        <f t="shared" si="917"/>
        <v>-1285.5800000000004</v>
      </c>
      <c r="BB179" s="34">
        <f t="shared" si="917"/>
        <v>-1431.3879999999995</v>
      </c>
      <c r="BC179" s="34">
        <f t="shared" si="917"/>
        <v>-1214.691</v>
      </c>
      <c r="BD179" s="188"/>
      <c r="BE179" s="34">
        <f t="shared" si="911"/>
        <v>-100.1</v>
      </c>
      <c r="BF179" s="34">
        <f t="shared" si="911"/>
        <v>-2220.6260000000002</v>
      </c>
      <c r="BG179" s="34">
        <f t="shared" si="911"/>
        <v>-957.39899999999977</v>
      </c>
      <c r="BH179" s="34">
        <f t="shared" si="911"/>
        <v>-2130.5650000000001</v>
      </c>
      <c r="BI179" s="34">
        <f t="shared" si="911"/>
        <v>-1031.6010000000001</v>
      </c>
      <c r="BJ179" s="188"/>
      <c r="BK179" s="38"/>
      <c r="BL179" s="38"/>
      <c r="BM179" s="38"/>
      <c r="BN179" s="38"/>
      <c r="BO179" s="38"/>
      <c r="BP179" s="188"/>
    </row>
    <row r="180" spans="2:69" s="7" customFormat="1" ht="13.5" thickBot="1">
      <c r="B180" s="62" t="str">
        <f t="shared" ref="B180:P180" si="918">B66</f>
        <v xml:space="preserve">Net cash from operations </v>
      </c>
      <c r="C180" s="65">
        <f t="shared" si="918"/>
        <v>511.8902149999999</v>
      </c>
      <c r="D180" s="65">
        <f t="shared" si="918"/>
        <v>571.61599999999999</v>
      </c>
      <c r="E180" s="65">
        <f t="shared" si="918"/>
        <v>-406.39400000000012</v>
      </c>
      <c r="F180" s="65">
        <f t="shared" si="918"/>
        <v>286.8900000000001</v>
      </c>
      <c r="G180" s="65">
        <f t="shared" si="918"/>
        <v>7.6910000000001446</v>
      </c>
      <c r="H180" s="65">
        <f t="shared" si="918"/>
        <v>-1247.1680000000001</v>
      </c>
      <c r="I180" s="65">
        <f t="shared" si="918"/>
        <v>-319.35100000000011</v>
      </c>
      <c r="J180" s="65">
        <f t="shared" si="918"/>
        <v>-3400.2930000000006</v>
      </c>
      <c r="K180" s="65">
        <f t="shared" si="918"/>
        <v>1292.6350000000002</v>
      </c>
      <c r="L180" s="65">
        <f t="shared" si="918"/>
        <v>1866.2909999999993</v>
      </c>
      <c r="M180" s="65">
        <f t="shared" si="918"/>
        <v>-169.77999999999747</v>
      </c>
      <c r="N180" s="65">
        <f t="shared" si="918"/>
        <v>-222.22800000000007</v>
      </c>
      <c r="O180" s="65">
        <f t="shared" si="918"/>
        <v>-2676.4019999999982</v>
      </c>
      <c r="P180" s="65">
        <f t="shared" si="918"/>
        <v>-2665.3179999999929</v>
      </c>
      <c r="R180" s="65">
        <f t="shared" ref="R180:BC180" si="919">R66</f>
        <v>-156.179</v>
      </c>
      <c r="S180" s="65">
        <f t="shared" si="919"/>
        <v>-312.803</v>
      </c>
      <c r="T180" s="65">
        <f t="shared" si="919"/>
        <v>-79.251000000000289</v>
      </c>
      <c r="U180" s="65">
        <f t="shared" si="919"/>
        <v>141.83900000000011</v>
      </c>
      <c r="V180" s="65">
        <f t="shared" si="919"/>
        <v>-116.59999999999997</v>
      </c>
      <c r="W180" s="65">
        <f t="shared" si="919"/>
        <v>-21.241999999999962</v>
      </c>
      <c r="X180" s="65">
        <f t="shared" si="919"/>
        <v>-0.13400000000002876</v>
      </c>
      <c r="Y180" s="65">
        <f t="shared" si="919"/>
        <v>424.86600000000004</v>
      </c>
      <c r="Z180" s="65">
        <f t="shared" si="919"/>
        <v>-149.42700000000002</v>
      </c>
      <c r="AA180" s="65">
        <f t="shared" si="919"/>
        <v>-62.81399999999995</v>
      </c>
      <c r="AB180" s="65">
        <f t="shared" si="919"/>
        <v>-251.41099999999997</v>
      </c>
      <c r="AC180" s="65">
        <f t="shared" si="919"/>
        <v>471.34300000000007</v>
      </c>
      <c r="AD180" s="65">
        <f t="shared" si="919"/>
        <v>234.99400000000003</v>
      </c>
      <c r="AE180" s="65">
        <f t="shared" si="919"/>
        <v>-244.42800000000011</v>
      </c>
      <c r="AF180" s="65">
        <f t="shared" si="919"/>
        <v>-299.25499999999977</v>
      </c>
      <c r="AG180" s="65">
        <f t="shared" si="919"/>
        <v>-938.4790000000005</v>
      </c>
      <c r="AH180" s="65">
        <f t="shared" si="919"/>
        <v>-184.85700000000003</v>
      </c>
      <c r="AI180" s="65">
        <f t="shared" si="919"/>
        <v>-543.3520000000002</v>
      </c>
      <c r="AJ180" s="65">
        <f t="shared" si="919"/>
        <v>-750.23499999999933</v>
      </c>
      <c r="AK180" s="65">
        <f t="shared" si="919"/>
        <v>1159.0929999999998</v>
      </c>
      <c r="AL180" s="65">
        <f t="shared" si="919"/>
        <v>-2511.4980000000005</v>
      </c>
      <c r="AM180" s="65">
        <f t="shared" si="919"/>
        <v>-686.17700000000002</v>
      </c>
      <c r="AN180" s="65">
        <f t="shared" si="919"/>
        <v>-1399.0260000000005</v>
      </c>
      <c r="AO180" s="65">
        <f t="shared" si="919"/>
        <v>-156.76400000000012</v>
      </c>
      <c r="AP180" s="65">
        <f t="shared" si="919"/>
        <v>-1231.5409999999993</v>
      </c>
      <c r="AQ180" s="65">
        <f t="shared" si="919"/>
        <v>2103.7960000000003</v>
      </c>
      <c r="AR180" s="65">
        <f t="shared" si="919"/>
        <v>2982.545000000001</v>
      </c>
      <c r="AS180" s="65">
        <f t="shared" si="919"/>
        <v>31.779999999999745</v>
      </c>
      <c r="AT180" s="65">
        <f t="shared" si="919"/>
        <v>1514.3129999999974</v>
      </c>
      <c r="AU180" s="65">
        <f t="shared" si="919"/>
        <v>-2248.5670000000005</v>
      </c>
      <c r="AV180" s="65">
        <f t="shared" si="919"/>
        <v>1678.8640000000009</v>
      </c>
      <c r="AW180" s="65">
        <f t="shared" si="919"/>
        <v>-2035.4999999999998</v>
      </c>
      <c r="AX180" s="65">
        <f t="shared" si="919"/>
        <v>2435.423000000002</v>
      </c>
      <c r="AY180" s="65">
        <f t="shared" si="919"/>
        <v>-8120.9690000000037</v>
      </c>
      <c r="AZ180" s="65">
        <f t="shared" si="919"/>
        <v>-1022.5219999999974</v>
      </c>
      <c r="BA180" s="65">
        <f t="shared" si="919"/>
        <v>567.6610000000012</v>
      </c>
      <c r="BB180" s="65">
        <f t="shared" si="919"/>
        <v>5899.4280000000017</v>
      </c>
      <c r="BC180" s="65">
        <f t="shared" si="919"/>
        <v>-8109.8850000000011</v>
      </c>
      <c r="BD180" s="68"/>
      <c r="BE180" s="65">
        <f t="shared" si="911"/>
        <v>-3105.3580000000006</v>
      </c>
      <c r="BF180" s="65">
        <f t="shared" si="911"/>
        <v>2335.9800000000005</v>
      </c>
      <c r="BG180" s="65">
        <f t="shared" si="911"/>
        <v>-2703.2019999999993</v>
      </c>
      <c r="BH180" s="65">
        <f t="shared" si="911"/>
        <v>3250.3520000000003</v>
      </c>
      <c r="BI180" s="65">
        <f t="shared" si="911"/>
        <v>-10627.739</v>
      </c>
      <c r="BJ180" s="68"/>
      <c r="BK180" s="38"/>
      <c r="BL180" s="38"/>
      <c r="BM180" s="38"/>
      <c r="BN180" s="38"/>
      <c r="BO180" s="38"/>
      <c r="BP180" s="68"/>
      <c r="BQ180" s="11"/>
    </row>
    <row r="181" spans="2:69" ht="15.75" thickTop="1">
      <c r="B181" s="11" t="str">
        <f t="shared" ref="B181:P181" si="920">B67</f>
        <v>Net Capex</v>
      </c>
      <c r="C181" s="66">
        <f t="shared" si="920"/>
        <v>-263.88751500000001</v>
      </c>
      <c r="D181" s="66">
        <f t="shared" si="920"/>
        <v>-318.21000000000004</v>
      </c>
      <c r="E181" s="66">
        <f t="shared" si="920"/>
        <v>-185.13900000000001</v>
      </c>
      <c r="F181" s="66">
        <f t="shared" si="920"/>
        <v>-128.02799999999999</v>
      </c>
      <c r="G181" s="66">
        <f t="shared" si="920"/>
        <v>-189.07499999999999</v>
      </c>
      <c r="H181" s="66">
        <f t="shared" si="920"/>
        <v>-437.45299999999997</v>
      </c>
      <c r="I181" s="66">
        <f t="shared" si="920"/>
        <v>-670.89099999999996</v>
      </c>
      <c r="J181" s="66">
        <f t="shared" si="920"/>
        <v>-1135.3530000000001</v>
      </c>
      <c r="K181" s="66">
        <f t="shared" si="920"/>
        <v>-1107.691</v>
      </c>
      <c r="L181" s="66">
        <f t="shared" si="920"/>
        <v>-1599.271</v>
      </c>
      <c r="M181" s="66">
        <f t="shared" si="920"/>
        <v>-2540.665</v>
      </c>
      <c r="N181" s="66">
        <f t="shared" si="920"/>
        <v>-3325.5349999999999</v>
      </c>
      <c r="O181" s="66">
        <f t="shared" si="920"/>
        <v>-1554.297</v>
      </c>
      <c r="P181" s="66">
        <f t="shared" si="920"/>
        <v>-1574.3710000000001</v>
      </c>
      <c r="R181" s="66">
        <f t="shared" ref="R181:BC181" si="921">R67</f>
        <v>-41.796000000000006</v>
      </c>
      <c r="S181" s="66">
        <f t="shared" si="921"/>
        <v>-54.510000000000005</v>
      </c>
      <c r="T181" s="66">
        <f t="shared" si="921"/>
        <v>-68.268000000000001</v>
      </c>
      <c r="U181" s="66">
        <f t="shared" si="921"/>
        <v>-20.564999999999998</v>
      </c>
      <c r="V181" s="66">
        <f t="shared" si="921"/>
        <v>-18.884999999999998</v>
      </c>
      <c r="W181" s="66">
        <f t="shared" si="921"/>
        <v>-22.333000000000006</v>
      </c>
      <c r="X181" s="66">
        <f t="shared" si="921"/>
        <v>-28.673999999999992</v>
      </c>
      <c r="Y181" s="66">
        <f t="shared" si="921"/>
        <v>-58.135999999999996</v>
      </c>
      <c r="Z181" s="66">
        <f t="shared" si="921"/>
        <v>-21.306000000000001</v>
      </c>
      <c r="AA181" s="66">
        <f t="shared" si="921"/>
        <v>-25.980999999999998</v>
      </c>
      <c r="AB181" s="66">
        <f t="shared" si="921"/>
        <v>-35.874000000000009</v>
      </c>
      <c r="AC181" s="66">
        <f t="shared" si="921"/>
        <v>-105.91399999999999</v>
      </c>
      <c r="AD181" s="66">
        <f t="shared" si="921"/>
        <v>5.2409999999999997</v>
      </c>
      <c r="AE181" s="66">
        <f t="shared" si="921"/>
        <v>-60.00500000000001</v>
      </c>
      <c r="AF181" s="66">
        <f t="shared" si="921"/>
        <v>-43.334999999999994</v>
      </c>
      <c r="AG181" s="66">
        <f t="shared" si="921"/>
        <v>-339.35399999999998</v>
      </c>
      <c r="AH181" s="66">
        <f t="shared" si="921"/>
        <v>-74.507999999999996</v>
      </c>
      <c r="AI181" s="66">
        <f t="shared" si="921"/>
        <v>-105.08300000000001</v>
      </c>
      <c r="AJ181" s="66">
        <f t="shared" si="921"/>
        <v>-144.25899999999996</v>
      </c>
      <c r="AK181" s="66">
        <f t="shared" si="921"/>
        <v>-347.041</v>
      </c>
      <c r="AL181" s="66">
        <f t="shared" si="921"/>
        <v>-811.50300000000016</v>
      </c>
      <c r="AM181" s="66">
        <f t="shared" si="921"/>
        <v>-152.607</v>
      </c>
      <c r="AN181" s="66">
        <f t="shared" si="921"/>
        <v>-253.78399999999999</v>
      </c>
      <c r="AO181" s="66">
        <f t="shared" si="921"/>
        <v>-150.91500000000005</v>
      </c>
      <c r="AP181" s="66">
        <f t="shared" si="921"/>
        <v>-257.32800000000003</v>
      </c>
      <c r="AQ181" s="66">
        <f t="shared" si="921"/>
        <v>-277.41099999999994</v>
      </c>
      <c r="AR181" s="66">
        <f t="shared" si="921"/>
        <v>-463.45099999999996</v>
      </c>
      <c r="AS181" s="66">
        <f t="shared" si="921"/>
        <v>-269.42999999999995</v>
      </c>
      <c r="AT181" s="66">
        <f t="shared" si="921"/>
        <v>-624.70799999999997</v>
      </c>
      <c r="AU181" s="66">
        <f t="shared" si="921"/>
        <v>-266.005</v>
      </c>
      <c r="AV181" s="66">
        <f t="shared" si="921"/>
        <v>-342.94100000000003</v>
      </c>
      <c r="AW181" s="66">
        <f t="shared" si="921"/>
        <v>-660.226</v>
      </c>
      <c r="AX181" s="66">
        <f t="shared" si="921"/>
        <v>-1271.4929999999999</v>
      </c>
      <c r="AY181" s="66">
        <f t="shared" si="921"/>
        <v>-175.578</v>
      </c>
      <c r="AZ181" s="66">
        <f t="shared" si="921"/>
        <v>-275.15599999999995</v>
      </c>
      <c r="BA181" s="66">
        <f t="shared" si="921"/>
        <v>-623.02200000000016</v>
      </c>
      <c r="BB181" s="66">
        <f t="shared" si="921"/>
        <v>-480.54099999999994</v>
      </c>
      <c r="BC181" s="66">
        <f t="shared" si="921"/>
        <v>-195.65199999999999</v>
      </c>
      <c r="BD181" s="188"/>
      <c r="BE181" s="66">
        <f t="shared" si="911"/>
        <v>-367.363</v>
      </c>
      <c r="BF181" s="66">
        <f t="shared" si="911"/>
        <v>-455.012</v>
      </c>
      <c r="BG181" s="66">
        <f t="shared" si="911"/>
        <v>-869.35599999999999</v>
      </c>
      <c r="BH181" s="66">
        <f t="shared" si="911"/>
        <v>-1633.8040000000001</v>
      </c>
      <c r="BI181" s="66">
        <f t="shared" si="911"/>
        <v>-229.77699999999999</v>
      </c>
      <c r="BJ181" s="188"/>
      <c r="BK181" s="38"/>
      <c r="BL181" s="38"/>
      <c r="BM181" s="38"/>
      <c r="BN181" s="38"/>
      <c r="BO181" s="38"/>
      <c r="BP181" s="188"/>
    </row>
    <row r="182" spans="2:69">
      <c r="B182" s="11" t="str">
        <f t="shared" ref="B182:P182" si="922">B68</f>
        <v>Purchase of intangible assets</v>
      </c>
      <c r="C182" s="66">
        <f t="shared" si="922"/>
        <v>-0.44856400000000002</v>
      </c>
      <c r="D182" s="66">
        <f t="shared" si="922"/>
        <v>-1.327</v>
      </c>
      <c r="E182" s="66">
        <f t="shared" si="922"/>
        <v>-6.8620000000000001</v>
      </c>
      <c r="F182" s="66">
        <f t="shared" si="922"/>
        <v>-5.1779999999999999</v>
      </c>
      <c r="G182" s="66">
        <f t="shared" si="922"/>
        <v>-2.7280000000000002</v>
      </c>
      <c r="H182" s="66">
        <f t="shared" si="922"/>
        <v>-1.389</v>
      </c>
      <c r="I182" s="66">
        <f t="shared" si="922"/>
        <v>-6.4729999999999999</v>
      </c>
      <c r="J182" s="66">
        <f t="shared" si="922"/>
        <v>-11.081</v>
      </c>
      <c r="K182" s="66">
        <f t="shared" si="922"/>
        <v>-3.5179999999999998</v>
      </c>
      <c r="L182" s="66">
        <f t="shared" si="922"/>
        <v>-5.08</v>
      </c>
      <c r="M182" s="66">
        <f t="shared" si="922"/>
        <v>-8.6470000000000002</v>
      </c>
      <c r="N182" s="66">
        <f t="shared" si="922"/>
        <v>-11.318</v>
      </c>
      <c r="O182" s="66">
        <f t="shared" si="922"/>
        <v>-23.042999999999999</v>
      </c>
      <c r="P182" s="66">
        <f t="shared" si="922"/>
        <v>-59.58</v>
      </c>
      <c r="R182" s="66">
        <f t="shared" ref="R182:BC182" si="923">R68</f>
        <v>-2.7839999999999998</v>
      </c>
      <c r="S182" s="66">
        <f t="shared" si="923"/>
        <v>-0.60000000000000009</v>
      </c>
      <c r="T182" s="66">
        <f t="shared" si="923"/>
        <v>-0.97500000000000009</v>
      </c>
      <c r="U182" s="66">
        <f t="shared" si="923"/>
        <v>-2.5030000000000001</v>
      </c>
      <c r="V182" s="66">
        <f t="shared" si="923"/>
        <v>-1.4830000000000001</v>
      </c>
      <c r="W182" s="66">
        <f t="shared" si="923"/>
        <v>-0.18699999999999983</v>
      </c>
      <c r="X182" s="66">
        <f t="shared" si="923"/>
        <v>-0.4870000000000001</v>
      </c>
      <c r="Y182" s="66">
        <f t="shared" si="923"/>
        <v>-3.0209999999999999</v>
      </c>
      <c r="Z182" s="66">
        <f t="shared" si="923"/>
        <v>-1.74</v>
      </c>
      <c r="AA182" s="66">
        <f t="shared" si="923"/>
        <v>-0.35900000000000021</v>
      </c>
      <c r="AB182" s="66">
        <f t="shared" si="923"/>
        <v>-7.099999999999973E-2</v>
      </c>
      <c r="AC182" s="66">
        <f t="shared" si="923"/>
        <v>-0.55800000000000027</v>
      </c>
      <c r="AD182" s="66">
        <f t="shared" si="923"/>
        <v>-7.5999999999999998E-2</v>
      </c>
      <c r="AE182" s="66">
        <f t="shared" si="923"/>
        <v>-4.0000000000000008E-2</v>
      </c>
      <c r="AF182" s="66">
        <f t="shared" si="923"/>
        <v>-0.42000000000000004</v>
      </c>
      <c r="AG182" s="66">
        <f t="shared" si="923"/>
        <v>-0.85299999999999998</v>
      </c>
      <c r="AH182" s="66">
        <f t="shared" si="923"/>
        <v>-0.38200000000000001</v>
      </c>
      <c r="AI182" s="66">
        <f t="shared" si="923"/>
        <v>-0.20299999999999996</v>
      </c>
      <c r="AJ182" s="66">
        <f t="shared" si="923"/>
        <v>-0.248</v>
      </c>
      <c r="AK182" s="66">
        <f t="shared" si="923"/>
        <v>-5.64</v>
      </c>
      <c r="AL182" s="66">
        <f t="shared" si="923"/>
        <v>-10.247999999999999</v>
      </c>
      <c r="AM182" s="66">
        <f t="shared" si="923"/>
        <v>-0.71899999999999997</v>
      </c>
      <c r="AN182" s="66">
        <f t="shared" si="923"/>
        <v>-1.3180000000000001</v>
      </c>
      <c r="AO182" s="66">
        <f t="shared" si="923"/>
        <v>-1.7070000000000003</v>
      </c>
      <c r="AP182" s="66">
        <f t="shared" si="923"/>
        <v>-2.306</v>
      </c>
      <c r="AQ182" s="66">
        <f t="shared" si="923"/>
        <v>-0.32799999999999985</v>
      </c>
      <c r="AR182" s="66">
        <f t="shared" si="923"/>
        <v>4.8000000000000043E-2</v>
      </c>
      <c r="AS182" s="66">
        <f t="shared" si="923"/>
        <v>1.5420000000000007</v>
      </c>
      <c r="AT182" s="66">
        <f t="shared" si="923"/>
        <v>-1.504</v>
      </c>
      <c r="AU182" s="66">
        <f t="shared" si="923"/>
        <v>-4.0039999999999996</v>
      </c>
      <c r="AV182" s="66">
        <f t="shared" si="923"/>
        <v>-0.53300000000000036</v>
      </c>
      <c r="AW182" s="66">
        <f t="shared" si="923"/>
        <v>-5.3149999999999995</v>
      </c>
      <c r="AX182" s="66">
        <f t="shared" si="923"/>
        <v>1.2050000000000001</v>
      </c>
      <c r="AY182" s="66">
        <f t="shared" si="923"/>
        <v>-0.26400000000000001</v>
      </c>
      <c r="AZ182" s="66">
        <f t="shared" si="923"/>
        <v>-4.3250000000000002</v>
      </c>
      <c r="BA182" s="66">
        <f t="shared" si="923"/>
        <v>-7.722999999999999</v>
      </c>
      <c r="BB182" s="66">
        <f t="shared" si="923"/>
        <v>-10.731</v>
      </c>
      <c r="BC182" s="66">
        <f t="shared" si="923"/>
        <v>-36.801000000000002</v>
      </c>
      <c r="BD182" s="188"/>
      <c r="BE182" s="66">
        <f t="shared" si="911"/>
        <v>-5.53</v>
      </c>
      <c r="BF182" s="66">
        <f t="shared" si="911"/>
        <v>-0.59699999999999953</v>
      </c>
      <c r="BG182" s="66">
        <f t="shared" si="911"/>
        <v>-7.0040000000000004</v>
      </c>
      <c r="BH182" s="66">
        <f t="shared" si="911"/>
        <v>1.8130000000000006</v>
      </c>
      <c r="BI182" s="66">
        <f t="shared" si="911"/>
        <v>-0.34499999999999997</v>
      </c>
      <c r="BJ182" s="188"/>
      <c r="BK182" s="38"/>
      <c r="BL182" s="38"/>
      <c r="BM182" s="38"/>
      <c r="BN182" s="38"/>
      <c r="BO182" s="38"/>
      <c r="BP182" s="188"/>
    </row>
    <row r="183" spans="2:69">
      <c r="B183" s="11" t="str">
        <f t="shared" ref="B183:P183" si="924">B69</f>
        <v>Disposals/ Acquistion, of subsidiaries, businesses</v>
      </c>
      <c r="C183" s="66">
        <f t="shared" si="924"/>
        <v>-20.517153</v>
      </c>
      <c r="D183" s="66">
        <f t="shared" si="924"/>
        <v>40.747</v>
      </c>
      <c r="E183" s="66">
        <f t="shared" si="924"/>
        <v>40.747</v>
      </c>
      <c r="F183" s="66">
        <f t="shared" si="924"/>
        <v>0</v>
      </c>
      <c r="G183" s="66">
        <f t="shared" si="924"/>
        <v>0</v>
      </c>
      <c r="H183" s="66">
        <f t="shared" si="924"/>
        <v>-3736.3139999999999</v>
      </c>
      <c r="I183" s="66">
        <f t="shared" si="924"/>
        <v>0</v>
      </c>
      <c r="J183" s="66">
        <f t="shared" si="924"/>
        <v>0</v>
      </c>
      <c r="K183" s="66">
        <f t="shared" si="924"/>
        <v>0</v>
      </c>
      <c r="L183" s="66">
        <f t="shared" si="924"/>
        <v>0</v>
      </c>
      <c r="M183" s="66">
        <f t="shared" si="924"/>
        <v>0</v>
      </c>
      <c r="N183" s="66">
        <f t="shared" si="924"/>
        <v>0</v>
      </c>
      <c r="O183" s="66">
        <f t="shared" si="924"/>
        <v>0</v>
      </c>
      <c r="P183" s="66">
        <f t="shared" si="924"/>
        <v>0</v>
      </c>
      <c r="R183" s="66">
        <f t="shared" ref="R183:BC183" si="925">R69</f>
        <v>0</v>
      </c>
      <c r="S183" s="66">
        <f t="shared" si="925"/>
        <v>40.746000000000002</v>
      </c>
      <c r="T183" s="66">
        <f t="shared" si="925"/>
        <v>0</v>
      </c>
      <c r="U183" s="66">
        <f t="shared" si="925"/>
        <v>9.9999999999766942E-4</v>
      </c>
      <c r="V183" s="66">
        <f t="shared" si="925"/>
        <v>0</v>
      </c>
      <c r="W183" s="66">
        <f t="shared" si="925"/>
        <v>0</v>
      </c>
      <c r="X183" s="66">
        <f t="shared" si="925"/>
        <v>0</v>
      </c>
      <c r="Y183" s="66">
        <f t="shared" si="925"/>
        <v>0</v>
      </c>
      <c r="Z183" s="66">
        <f t="shared" si="925"/>
        <v>-943.351</v>
      </c>
      <c r="AA183" s="66">
        <f t="shared" si="925"/>
        <v>837.55499999999995</v>
      </c>
      <c r="AB183" s="66">
        <f t="shared" si="925"/>
        <v>1773.13</v>
      </c>
      <c r="AC183" s="66">
        <f t="shared" si="925"/>
        <v>-1667.3340000000001</v>
      </c>
      <c r="AD183" s="66">
        <f t="shared" si="925"/>
        <v>-1192.808</v>
      </c>
      <c r="AE183" s="66">
        <f t="shared" si="925"/>
        <v>-6.7809999999999491</v>
      </c>
      <c r="AF183" s="66">
        <f t="shared" si="925"/>
        <v>-2113.0609999999997</v>
      </c>
      <c r="AG183" s="66">
        <f t="shared" si="925"/>
        <v>-423.66400000000021</v>
      </c>
      <c r="AH183" s="66">
        <f t="shared" si="925"/>
        <v>-10.026</v>
      </c>
      <c r="AI183" s="66">
        <f t="shared" si="925"/>
        <v>-8.6110000000000007</v>
      </c>
      <c r="AJ183" s="66">
        <f t="shared" si="925"/>
        <v>1070.0070000000001</v>
      </c>
      <c r="AK183" s="66">
        <f t="shared" si="925"/>
        <v>-1051.3700000000001</v>
      </c>
      <c r="AL183" s="66">
        <f t="shared" si="925"/>
        <v>-1051.3700000000001</v>
      </c>
      <c r="AM183" s="66">
        <f t="shared" si="925"/>
        <v>207.84399999999999</v>
      </c>
      <c r="AN183" s="66">
        <f t="shared" si="925"/>
        <v>-19.585999999999999</v>
      </c>
      <c r="AO183" s="66">
        <f t="shared" si="925"/>
        <v>-1.0000000000047748E-3</v>
      </c>
      <c r="AP183" s="66">
        <f t="shared" si="925"/>
        <v>445.33400000000006</v>
      </c>
      <c r="AQ183" s="66">
        <f t="shared" si="925"/>
        <v>-4.1629999999999825</v>
      </c>
      <c r="AR183" s="66">
        <f t="shared" si="925"/>
        <v>40.379999999999924</v>
      </c>
      <c r="AS183" s="66">
        <f t="shared" si="925"/>
        <v>-649.01400000000001</v>
      </c>
      <c r="AT183" s="66">
        <f t="shared" si="925"/>
        <v>-466.12799999999999</v>
      </c>
      <c r="AU183" s="66">
        <f t="shared" si="925"/>
        <v>-11.326000000000001</v>
      </c>
      <c r="AV183" s="66">
        <f t="shared" si="925"/>
        <v>-0.9529999999999994</v>
      </c>
      <c r="AW183" s="66">
        <f t="shared" si="925"/>
        <v>-5.9289999999999985</v>
      </c>
      <c r="AX183" s="66">
        <f t="shared" si="925"/>
        <v>18.207999999999998</v>
      </c>
      <c r="AY183" s="66">
        <f t="shared" si="925"/>
        <v>0</v>
      </c>
      <c r="AZ183" s="66">
        <f t="shared" si="925"/>
        <v>0</v>
      </c>
      <c r="BA183" s="66">
        <f t="shared" si="925"/>
        <v>0</v>
      </c>
      <c r="BB183" s="66">
        <f t="shared" si="925"/>
        <v>0</v>
      </c>
      <c r="BC183" s="66">
        <f t="shared" si="925"/>
        <v>0</v>
      </c>
      <c r="BD183" s="188"/>
      <c r="BE183" s="66">
        <f t="shared" si="911"/>
        <v>0</v>
      </c>
      <c r="BF183" s="66">
        <f t="shared" si="911"/>
        <v>0</v>
      </c>
      <c r="BG183" s="66">
        <f t="shared" si="911"/>
        <v>0</v>
      </c>
      <c r="BH183" s="66">
        <f t="shared" si="911"/>
        <v>0</v>
      </c>
      <c r="BI183" s="66">
        <f t="shared" si="911"/>
        <v>0</v>
      </c>
      <c r="BJ183" s="188"/>
      <c r="BK183" s="38"/>
      <c r="BL183" s="38"/>
      <c r="BM183" s="38"/>
      <c r="BN183" s="38"/>
      <c r="BO183" s="38"/>
      <c r="BP183" s="188"/>
    </row>
    <row r="184" spans="2:69" s="7" customFormat="1" ht="13.5" thickBot="1">
      <c r="B184" s="62" t="str">
        <f t="shared" ref="B184:P184" si="926">B70</f>
        <v xml:space="preserve">Free cash flow </v>
      </c>
      <c r="C184" s="65">
        <f t="shared" si="926"/>
        <v>227.03698299999988</v>
      </c>
      <c r="D184" s="65">
        <f t="shared" si="926"/>
        <v>292.82599999999996</v>
      </c>
      <c r="E184" s="65">
        <f t="shared" si="926"/>
        <v>-557.64800000000014</v>
      </c>
      <c r="F184" s="65">
        <f t="shared" si="926"/>
        <v>153.68400000000011</v>
      </c>
      <c r="G184" s="65">
        <f t="shared" si="926"/>
        <v>-184.11199999999985</v>
      </c>
      <c r="H184" s="65">
        <f t="shared" si="926"/>
        <v>-5422.3239999999996</v>
      </c>
      <c r="I184" s="65">
        <f t="shared" si="926"/>
        <v>-996.71500000000003</v>
      </c>
      <c r="J184" s="65">
        <f t="shared" si="926"/>
        <v>-4546.7270000000008</v>
      </c>
      <c r="K184" s="65">
        <f t="shared" si="926"/>
        <v>181.42600000000019</v>
      </c>
      <c r="L184" s="65">
        <f t="shared" si="926"/>
        <v>261.93999999999932</v>
      </c>
      <c r="M184" s="65">
        <f t="shared" si="926"/>
        <v>-2719.0919999999974</v>
      </c>
      <c r="N184" s="65">
        <f t="shared" si="926"/>
        <v>-3559.0810000000001</v>
      </c>
      <c r="O184" s="65">
        <f t="shared" si="926"/>
        <v>-4253.7419999999984</v>
      </c>
      <c r="P184" s="65">
        <f t="shared" si="926"/>
        <v>-4299.268999999993</v>
      </c>
      <c r="R184" s="65">
        <f t="shared" ref="R184:BC184" si="927">R70</f>
        <v>-200.75900000000001</v>
      </c>
      <c r="S184" s="65">
        <f t="shared" si="927"/>
        <v>-327.16700000000003</v>
      </c>
      <c r="T184" s="65">
        <f t="shared" si="927"/>
        <v>-148.49400000000028</v>
      </c>
      <c r="U184" s="65">
        <f t="shared" si="927"/>
        <v>118.77200000000011</v>
      </c>
      <c r="V184" s="65">
        <f t="shared" si="927"/>
        <v>-136.96799999999996</v>
      </c>
      <c r="W184" s="65">
        <f t="shared" si="927"/>
        <v>-43.761999999999965</v>
      </c>
      <c r="X184" s="65">
        <f t="shared" si="927"/>
        <v>-29.295000000000023</v>
      </c>
      <c r="Y184" s="65">
        <f t="shared" si="927"/>
        <v>363.709</v>
      </c>
      <c r="Z184" s="65">
        <f t="shared" si="927"/>
        <v>-1115.8240000000001</v>
      </c>
      <c r="AA184" s="65">
        <f t="shared" si="927"/>
        <v>748.40100000000007</v>
      </c>
      <c r="AB184" s="65">
        <f t="shared" si="927"/>
        <v>1485.7740000000001</v>
      </c>
      <c r="AC184" s="65">
        <f t="shared" si="927"/>
        <v>-1302.463</v>
      </c>
      <c r="AD184" s="65">
        <f t="shared" si="927"/>
        <v>-952.649</v>
      </c>
      <c r="AE184" s="65">
        <f t="shared" si="927"/>
        <v>-311.25400000000008</v>
      </c>
      <c r="AF184" s="65">
        <f t="shared" si="927"/>
        <v>-2456.0709999999995</v>
      </c>
      <c r="AG184" s="65">
        <f t="shared" si="927"/>
        <v>-1702.3500000000008</v>
      </c>
      <c r="AH184" s="65">
        <f t="shared" si="927"/>
        <v>-269.77300000000002</v>
      </c>
      <c r="AI184" s="65">
        <f t="shared" si="927"/>
        <v>-657.24900000000014</v>
      </c>
      <c r="AJ184" s="65">
        <f t="shared" si="927"/>
        <v>175.26500000000078</v>
      </c>
      <c r="AK184" s="65">
        <f t="shared" si="927"/>
        <v>-244.9580000000002</v>
      </c>
      <c r="AL184" s="65">
        <f t="shared" si="927"/>
        <v>-4384.6190000000006</v>
      </c>
      <c r="AM184" s="65">
        <f t="shared" si="927"/>
        <v>-631.65900000000011</v>
      </c>
      <c r="AN184" s="65">
        <f t="shared" si="927"/>
        <v>-1673.7140000000004</v>
      </c>
      <c r="AO184" s="65">
        <f t="shared" si="927"/>
        <v>-309.38700000000017</v>
      </c>
      <c r="AP184" s="65">
        <f t="shared" si="927"/>
        <v>-1045.8409999999992</v>
      </c>
      <c r="AQ184" s="65">
        <f t="shared" si="927"/>
        <v>1821.8940000000002</v>
      </c>
      <c r="AR184" s="65">
        <f t="shared" si="927"/>
        <v>2559.5220000000008</v>
      </c>
      <c r="AS184" s="65">
        <f t="shared" si="927"/>
        <v>-885.12200000000018</v>
      </c>
      <c r="AT184" s="65">
        <f t="shared" si="927"/>
        <v>421.9729999999974</v>
      </c>
      <c r="AU184" s="65">
        <f t="shared" si="927"/>
        <v>-2529.9020000000005</v>
      </c>
      <c r="AV184" s="65">
        <f t="shared" si="927"/>
        <v>1334.437000000001</v>
      </c>
      <c r="AW184" s="65">
        <f t="shared" si="927"/>
        <v>-2706.97</v>
      </c>
      <c r="AX184" s="65">
        <f t="shared" si="927"/>
        <v>1183.3430000000021</v>
      </c>
      <c r="AY184" s="65">
        <f t="shared" si="927"/>
        <v>-8296.8110000000033</v>
      </c>
      <c r="AZ184" s="65">
        <f t="shared" si="927"/>
        <v>-1302.0029999999974</v>
      </c>
      <c r="BA184" s="65">
        <f t="shared" si="927"/>
        <v>-63.083999999998966</v>
      </c>
      <c r="BB184" s="65">
        <f t="shared" si="927"/>
        <v>5408.1560000000018</v>
      </c>
      <c r="BC184" s="65">
        <f t="shared" si="927"/>
        <v>-8342.3379999999997</v>
      </c>
      <c r="BD184" s="68"/>
      <c r="BE184" s="65">
        <f t="shared" si="911"/>
        <v>-3478.2510000000007</v>
      </c>
      <c r="BF184" s="65">
        <f t="shared" si="911"/>
        <v>1880.3710000000005</v>
      </c>
      <c r="BG184" s="65">
        <f t="shared" si="911"/>
        <v>-3579.561999999999</v>
      </c>
      <c r="BH184" s="65">
        <f t="shared" si="911"/>
        <v>1618.3610000000003</v>
      </c>
      <c r="BI184" s="65">
        <f t="shared" si="911"/>
        <v>-10857.860999999999</v>
      </c>
      <c r="BJ184" s="68"/>
      <c r="BK184" s="38"/>
      <c r="BL184" s="38"/>
      <c r="BM184" s="38"/>
      <c r="BN184" s="38"/>
      <c r="BO184" s="38"/>
      <c r="BP184" s="68"/>
      <c r="BQ184" s="11"/>
    </row>
    <row r="185" spans="2:69" s="7" customFormat="1" ht="13.5" thickTop="1">
      <c r="B185" s="11" t="str">
        <f t="shared" ref="B185:P185" si="928">B71</f>
        <v xml:space="preserve">Other Investing </v>
      </c>
      <c r="C185" s="66">
        <f t="shared" si="928"/>
        <v>902.54851100000008</v>
      </c>
      <c r="D185" s="66">
        <f t="shared" si="928"/>
        <v>92.331000000000017</v>
      </c>
      <c r="E185" s="66">
        <f t="shared" si="928"/>
        <v>251.34100000000001</v>
      </c>
      <c r="F185" s="66">
        <f t="shared" si="928"/>
        <v>1512.5349999999999</v>
      </c>
      <c r="G185" s="66">
        <f t="shared" si="928"/>
        <v>-804.28</v>
      </c>
      <c r="H185" s="66">
        <f t="shared" si="928"/>
        <v>2631.3319999999999</v>
      </c>
      <c r="I185" s="66">
        <f t="shared" si="928"/>
        <v>6521.1909999999998</v>
      </c>
      <c r="J185" s="66">
        <f t="shared" si="928"/>
        <v>11483.124000000002</v>
      </c>
      <c r="K185" s="66">
        <f t="shared" si="928"/>
        <v>682.34199999999987</v>
      </c>
      <c r="L185" s="66">
        <f t="shared" si="928"/>
        <v>985.1579999999999</v>
      </c>
      <c r="M185" s="66">
        <f t="shared" si="928"/>
        <v>2892.5360000000001</v>
      </c>
      <c r="N185" s="66">
        <f t="shared" si="928"/>
        <v>3786.1080000000002</v>
      </c>
      <c r="O185" s="66">
        <f t="shared" si="928"/>
        <v>4538.2</v>
      </c>
      <c r="P185" s="66">
        <f t="shared" si="928"/>
        <v>4670.0249999999996</v>
      </c>
      <c r="R185" s="66">
        <f t="shared" ref="R185:BC185" si="929">R71</f>
        <v>95.552999999999997</v>
      </c>
      <c r="S185" s="66">
        <f t="shared" si="929"/>
        <v>-19.169999999999987</v>
      </c>
      <c r="T185" s="66">
        <f t="shared" si="929"/>
        <v>72.935999999999979</v>
      </c>
      <c r="U185" s="66">
        <f t="shared" si="929"/>
        <v>102.02200000000002</v>
      </c>
      <c r="V185" s="66">
        <f t="shared" si="929"/>
        <v>53.108000000000004</v>
      </c>
      <c r="W185" s="66">
        <f t="shared" si="929"/>
        <v>779.99199999999996</v>
      </c>
      <c r="X185" s="66">
        <f t="shared" si="929"/>
        <v>-827.803</v>
      </c>
      <c r="Y185" s="66">
        <f t="shared" si="929"/>
        <v>1507.2379999999998</v>
      </c>
      <c r="Z185" s="66">
        <f t="shared" si="929"/>
        <v>36.701000000000001</v>
      </c>
      <c r="AA185" s="66">
        <f t="shared" si="929"/>
        <v>27.014000000000003</v>
      </c>
      <c r="AB185" s="66">
        <f t="shared" si="929"/>
        <v>-1472.6569999999997</v>
      </c>
      <c r="AC185" s="66">
        <f t="shared" si="929"/>
        <v>604.66199999999981</v>
      </c>
      <c r="AD185" s="66">
        <f t="shared" si="929"/>
        <v>57.326000000000008</v>
      </c>
      <c r="AE185" s="66">
        <f t="shared" si="929"/>
        <v>13.222999999999985</v>
      </c>
      <c r="AF185" s="66">
        <f t="shared" si="929"/>
        <v>2116.6109999999999</v>
      </c>
      <c r="AG185" s="66">
        <f t="shared" si="929"/>
        <v>444.17200000000003</v>
      </c>
      <c r="AH185" s="66">
        <f t="shared" si="929"/>
        <v>-232.32100000000003</v>
      </c>
      <c r="AI185" s="66">
        <f t="shared" si="929"/>
        <v>24.247000000000043</v>
      </c>
      <c r="AJ185" s="66">
        <f t="shared" si="929"/>
        <v>-174.18000000000006</v>
      </c>
      <c r="AK185" s="66">
        <f t="shared" si="929"/>
        <v>6903.4449999999997</v>
      </c>
      <c r="AL185" s="66">
        <f t="shared" si="929"/>
        <v>11865.378000000002</v>
      </c>
      <c r="AM185" s="66">
        <f t="shared" si="929"/>
        <v>158.65899999999996</v>
      </c>
      <c r="AN185" s="66">
        <f t="shared" si="929"/>
        <v>706.76599999999996</v>
      </c>
      <c r="AO185" s="66">
        <f t="shared" si="929"/>
        <v>-364.30999999999995</v>
      </c>
      <c r="AP185" s="66">
        <f t="shared" si="929"/>
        <v>-955.61899999999991</v>
      </c>
      <c r="AQ185" s="66">
        <f t="shared" si="929"/>
        <v>234.06500000000008</v>
      </c>
      <c r="AR185" s="66">
        <f t="shared" si="929"/>
        <v>639.928</v>
      </c>
      <c r="AS185" s="66">
        <f t="shared" si="929"/>
        <v>1609.5469999999998</v>
      </c>
      <c r="AT185" s="66">
        <f t="shared" si="929"/>
        <v>594.08299999999986</v>
      </c>
      <c r="AU185" s="66">
        <f t="shared" si="929"/>
        <v>100.438</v>
      </c>
      <c r="AV185" s="66">
        <f t="shared" si="929"/>
        <v>590.88</v>
      </c>
      <c r="AW185" s="66">
        <f t="shared" si="929"/>
        <v>827.31500000000017</v>
      </c>
      <c r="AX185" s="66">
        <f t="shared" si="929"/>
        <v>1373.9029999999998</v>
      </c>
      <c r="AY185" s="66">
        <f t="shared" si="929"/>
        <v>726.18099999999993</v>
      </c>
      <c r="AZ185" s="66">
        <f t="shared" si="929"/>
        <v>1433.1480000000001</v>
      </c>
      <c r="BA185" s="66">
        <f t="shared" si="929"/>
        <v>1666.2369999999996</v>
      </c>
      <c r="BB185" s="66">
        <f t="shared" si="929"/>
        <v>712.63400000000001</v>
      </c>
      <c r="BC185" s="66">
        <f t="shared" si="929"/>
        <v>858.00599999999986</v>
      </c>
      <c r="BD185" s="188"/>
      <c r="BE185" s="66">
        <f t="shared" si="911"/>
        <v>123.06700000000001</v>
      </c>
      <c r="BF185" s="66">
        <f t="shared" si="911"/>
        <v>793.96699999999998</v>
      </c>
      <c r="BG185" s="66">
        <f t="shared" si="911"/>
        <v>1082.9430000000002</v>
      </c>
      <c r="BH185" s="66">
        <f t="shared" si="911"/>
        <v>1786.1309999999999</v>
      </c>
      <c r="BI185" s="66">
        <f t="shared" si="911"/>
        <v>950.33800000000008</v>
      </c>
      <c r="BJ185" s="188"/>
      <c r="BK185" s="38"/>
      <c r="BL185" s="38"/>
      <c r="BM185" s="38"/>
      <c r="BN185" s="38"/>
      <c r="BO185" s="38"/>
      <c r="BP185" s="188"/>
      <c r="BQ185" s="11"/>
    </row>
    <row r="186" spans="2:69">
      <c r="B186" s="11" t="str">
        <f t="shared" ref="B186:P186" si="930">B72</f>
        <v>Equity Issuance</v>
      </c>
      <c r="C186" s="66">
        <f t="shared" si="930"/>
        <v>0</v>
      </c>
      <c r="D186" s="66">
        <f t="shared" si="930"/>
        <v>0</v>
      </c>
      <c r="E186" s="66">
        <f t="shared" si="930"/>
        <v>0</v>
      </c>
      <c r="F186" s="66">
        <f t="shared" si="930"/>
        <v>0</v>
      </c>
      <c r="G186" s="66">
        <f t="shared" si="930"/>
        <v>0</v>
      </c>
      <c r="H186" s="66">
        <f t="shared" si="930"/>
        <v>0</v>
      </c>
      <c r="I186" s="66">
        <f t="shared" si="930"/>
        <v>0</v>
      </c>
      <c r="J186" s="66">
        <f t="shared" si="930"/>
        <v>0</v>
      </c>
      <c r="K186" s="66">
        <f t="shared" si="930"/>
        <v>0</v>
      </c>
      <c r="L186" s="66">
        <f t="shared" si="930"/>
        <v>0</v>
      </c>
      <c r="M186" s="66">
        <f t="shared" si="930"/>
        <v>0</v>
      </c>
      <c r="N186" s="66">
        <f t="shared" si="930"/>
        <v>0</v>
      </c>
      <c r="O186" s="66">
        <f t="shared" si="930"/>
        <v>0</v>
      </c>
      <c r="P186" s="66">
        <f t="shared" si="930"/>
        <v>0</v>
      </c>
      <c r="R186" s="66">
        <f t="shared" ref="R186:BC186" si="931">R72</f>
        <v>0</v>
      </c>
      <c r="S186" s="66">
        <f t="shared" si="931"/>
        <v>0</v>
      </c>
      <c r="T186" s="66">
        <f t="shared" si="931"/>
        <v>0</v>
      </c>
      <c r="U186" s="66">
        <f t="shared" si="931"/>
        <v>0</v>
      </c>
      <c r="V186" s="66">
        <f t="shared" si="931"/>
        <v>0</v>
      </c>
      <c r="W186" s="66">
        <f t="shared" si="931"/>
        <v>0</v>
      </c>
      <c r="X186" s="66">
        <f t="shared" si="931"/>
        <v>0</v>
      </c>
      <c r="Y186" s="66">
        <f t="shared" si="931"/>
        <v>0</v>
      </c>
      <c r="Z186" s="66">
        <f t="shared" si="931"/>
        <v>0</v>
      </c>
      <c r="AA186" s="66">
        <f t="shared" si="931"/>
        <v>0</v>
      </c>
      <c r="AB186" s="66">
        <f t="shared" si="931"/>
        <v>0</v>
      </c>
      <c r="AC186" s="66">
        <f t="shared" si="931"/>
        <v>0</v>
      </c>
      <c r="AD186" s="66">
        <f t="shared" si="931"/>
        <v>0</v>
      </c>
      <c r="AE186" s="66">
        <f t="shared" si="931"/>
        <v>0</v>
      </c>
      <c r="AF186" s="66">
        <f t="shared" si="931"/>
        <v>0</v>
      </c>
      <c r="AG186" s="66">
        <f t="shared" si="931"/>
        <v>0</v>
      </c>
      <c r="AH186" s="66">
        <f t="shared" si="931"/>
        <v>0</v>
      </c>
      <c r="AI186" s="66">
        <f t="shared" si="931"/>
        <v>0</v>
      </c>
      <c r="AJ186" s="66">
        <f t="shared" si="931"/>
        <v>-27.771000000000001</v>
      </c>
      <c r="AK186" s="66">
        <f t="shared" si="931"/>
        <v>27.771000000000001</v>
      </c>
      <c r="AL186" s="66">
        <f t="shared" si="931"/>
        <v>27.771000000000001</v>
      </c>
      <c r="AM186" s="66">
        <f t="shared" si="931"/>
        <v>0</v>
      </c>
      <c r="AN186" s="66">
        <f t="shared" si="931"/>
        <v>0</v>
      </c>
      <c r="AO186" s="66">
        <f t="shared" si="931"/>
        <v>0</v>
      </c>
      <c r="AP186" s="66">
        <f t="shared" si="931"/>
        <v>0</v>
      </c>
      <c r="AQ186" s="66">
        <f t="shared" si="931"/>
        <v>0</v>
      </c>
      <c r="AR186" s="66">
        <f t="shared" si="931"/>
        <v>0</v>
      </c>
      <c r="AS186" s="66">
        <f t="shared" si="931"/>
        <v>0</v>
      </c>
      <c r="AT186" s="66">
        <f t="shared" si="931"/>
        <v>0</v>
      </c>
      <c r="AU186" s="66">
        <f t="shared" si="931"/>
        <v>0</v>
      </c>
      <c r="AV186" s="66">
        <f t="shared" si="931"/>
        <v>0</v>
      </c>
      <c r="AW186" s="66">
        <f t="shared" si="931"/>
        <v>0</v>
      </c>
      <c r="AX186" s="66">
        <f t="shared" si="931"/>
        <v>0</v>
      </c>
      <c r="AY186" s="66">
        <f t="shared" si="931"/>
        <v>0</v>
      </c>
      <c r="AZ186" s="66">
        <f t="shared" si="931"/>
        <v>0</v>
      </c>
      <c r="BA186" s="66">
        <f t="shared" si="931"/>
        <v>0</v>
      </c>
      <c r="BB186" s="66">
        <f t="shared" si="931"/>
        <v>0</v>
      </c>
      <c r="BC186" s="66">
        <f t="shared" si="931"/>
        <v>0</v>
      </c>
      <c r="BD186" s="188"/>
      <c r="BE186" s="66">
        <f t="shared" si="911"/>
        <v>0</v>
      </c>
      <c r="BF186" s="66">
        <f t="shared" si="911"/>
        <v>0</v>
      </c>
      <c r="BG186" s="66">
        <f t="shared" si="911"/>
        <v>0</v>
      </c>
      <c r="BH186" s="66">
        <f t="shared" si="911"/>
        <v>0</v>
      </c>
      <c r="BI186" s="66">
        <f t="shared" si="911"/>
        <v>0</v>
      </c>
      <c r="BJ186" s="188"/>
      <c r="BK186" s="38"/>
      <c r="BL186" s="38"/>
      <c r="BM186" s="38"/>
      <c r="BN186" s="38"/>
      <c r="BO186" s="38"/>
      <c r="BP186" s="188"/>
    </row>
    <row r="187" spans="2:69">
      <c r="B187" s="11" t="str">
        <f t="shared" ref="B187:P187" si="932">B73</f>
        <v>Dividends</v>
      </c>
      <c r="C187" s="66">
        <f t="shared" si="932"/>
        <v>-114.825333</v>
      </c>
      <c r="D187" s="66">
        <f t="shared" si="932"/>
        <v>-71.917000000000002</v>
      </c>
      <c r="E187" s="66">
        <f t="shared" si="932"/>
        <v>-101.877</v>
      </c>
      <c r="F187" s="66">
        <f t="shared" si="932"/>
        <v>0</v>
      </c>
      <c r="G187" s="66">
        <f t="shared" si="932"/>
        <v>-6.6859999999999999</v>
      </c>
      <c r="H187" s="66">
        <f t="shared" si="932"/>
        <v>-373.34100000000001</v>
      </c>
      <c r="I187" s="66">
        <f t="shared" si="932"/>
        <v>-120.63200000000001</v>
      </c>
      <c r="J187" s="66">
        <f t="shared" si="932"/>
        <v>-198.768</v>
      </c>
      <c r="K187" s="66">
        <f t="shared" si="932"/>
        <v>-199.81100000000001</v>
      </c>
      <c r="L187" s="66">
        <f t="shared" si="932"/>
        <v>-288.48500000000001</v>
      </c>
      <c r="M187" s="66">
        <f t="shared" si="932"/>
        <v>-364.77100000000002</v>
      </c>
      <c r="N187" s="66">
        <f t="shared" si="932"/>
        <v>-477.45699999999999</v>
      </c>
      <c r="O187" s="66">
        <f t="shared" si="932"/>
        <v>-3835.15</v>
      </c>
      <c r="P187" s="66">
        <f t="shared" si="932"/>
        <v>-3835.15</v>
      </c>
      <c r="R187" s="66">
        <f t="shared" ref="R187:BC187" si="933">R73</f>
        <v>0</v>
      </c>
      <c r="S187" s="66">
        <f t="shared" si="933"/>
        <v>0</v>
      </c>
      <c r="T187" s="66">
        <f t="shared" si="933"/>
        <v>0</v>
      </c>
      <c r="U187" s="66">
        <f t="shared" si="933"/>
        <v>-101.877</v>
      </c>
      <c r="V187" s="66">
        <f t="shared" si="933"/>
        <v>0</v>
      </c>
      <c r="W187" s="66">
        <f t="shared" si="933"/>
        <v>0</v>
      </c>
      <c r="X187" s="66">
        <f t="shared" si="933"/>
        <v>0</v>
      </c>
      <c r="Y187" s="66">
        <f t="shared" si="933"/>
        <v>0</v>
      </c>
      <c r="Z187" s="66">
        <f t="shared" si="933"/>
        <v>0</v>
      </c>
      <c r="AA187" s="66">
        <f t="shared" si="933"/>
        <v>0</v>
      </c>
      <c r="AB187" s="66">
        <f t="shared" si="933"/>
        <v>0</v>
      </c>
      <c r="AC187" s="66">
        <f t="shared" si="933"/>
        <v>-6.6859999999999999</v>
      </c>
      <c r="AD187" s="66">
        <f t="shared" si="933"/>
        <v>-66.025000000000006</v>
      </c>
      <c r="AE187" s="66">
        <f t="shared" si="933"/>
        <v>-283.26699999999994</v>
      </c>
      <c r="AF187" s="66">
        <f t="shared" si="933"/>
        <v>9.9999999994793143E-4</v>
      </c>
      <c r="AG187" s="66">
        <f t="shared" si="933"/>
        <v>-24.050000000000068</v>
      </c>
      <c r="AH187" s="66">
        <f t="shared" si="933"/>
        <v>0</v>
      </c>
      <c r="AI187" s="66">
        <f t="shared" si="933"/>
        <v>0</v>
      </c>
      <c r="AJ187" s="66">
        <f t="shared" si="933"/>
        <v>-119.59</v>
      </c>
      <c r="AK187" s="66">
        <f t="shared" si="933"/>
        <v>-1.0420000000000016</v>
      </c>
      <c r="AL187" s="66">
        <f t="shared" si="933"/>
        <v>-79.177999999999997</v>
      </c>
      <c r="AM187" s="66">
        <f t="shared" si="933"/>
        <v>0</v>
      </c>
      <c r="AN187" s="66">
        <f t="shared" si="933"/>
        <v>0</v>
      </c>
      <c r="AO187" s="66">
        <f t="shared" si="933"/>
        <v>-199.81100000000001</v>
      </c>
      <c r="AP187" s="66">
        <f t="shared" si="933"/>
        <v>-342.87099999999998</v>
      </c>
      <c r="AQ187" s="66">
        <f t="shared" si="933"/>
        <v>0</v>
      </c>
      <c r="AR187" s="66">
        <f t="shared" si="933"/>
        <v>44.382999999999981</v>
      </c>
      <c r="AS187" s="66">
        <f t="shared" si="933"/>
        <v>342.87099999999998</v>
      </c>
      <c r="AT187" s="66">
        <f t="shared" si="933"/>
        <v>10.002999999999986</v>
      </c>
      <c r="AU187" s="66">
        <f t="shared" si="933"/>
        <v>0</v>
      </c>
      <c r="AV187" s="66">
        <f t="shared" si="933"/>
        <v>-341.779</v>
      </c>
      <c r="AW187" s="66">
        <f t="shared" si="933"/>
        <v>0</v>
      </c>
      <c r="AX187" s="66">
        <f t="shared" si="933"/>
        <v>-22.992000000000019</v>
      </c>
      <c r="AY187" s="66">
        <f t="shared" si="933"/>
        <v>0</v>
      </c>
      <c r="AZ187" s="66">
        <f t="shared" si="933"/>
        <v>-3436.3240000000001</v>
      </c>
      <c r="BA187" s="66">
        <f t="shared" si="933"/>
        <v>-243.92499999999973</v>
      </c>
      <c r="BB187" s="66">
        <f t="shared" si="933"/>
        <v>-154.90100000000029</v>
      </c>
      <c r="BC187" s="66">
        <f t="shared" si="933"/>
        <v>0</v>
      </c>
      <c r="BD187" s="188"/>
      <c r="BE187" s="66">
        <f t="shared" si="911"/>
        <v>0</v>
      </c>
      <c r="BF187" s="66">
        <f t="shared" si="911"/>
        <v>-461.56799999999998</v>
      </c>
      <c r="BG187" s="66">
        <f t="shared" si="911"/>
        <v>5.9969999999999573</v>
      </c>
      <c r="BH187" s="66">
        <f t="shared" si="911"/>
        <v>-21.885999999999967</v>
      </c>
      <c r="BI187" s="66">
        <f t="shared" si="911"/>
        <v>0</v>
      </c>
      <c r="BJ187" s="188"/>
      <c r="BK187" s="38"/>
      <c r="BL187" s="38"/>
      <c r="BM187" s="38"/>
      <c r="BN187" s="38"/>
      <c r="BO187" s="38"/>
      <c r="BP187" s="188"/>
    </row>
    <row r="188" spans="2:69">
      <c r="B188" s="11" t="str">
        <f t="shared" ref="B188:P188" si="934">B74</f>
        <v>Net Change in debt</v>
      </c>
      <c r="C188" s="66">
        <f t="shared" si="934"/>
        <v>-266.63206100000014</v>
      </c>
      <c r="D188" s="66">
        <f t="shared" si="934"/>
        <v>816.50600000000031</v>
      </c>
      <c r="E188" s="66">
        <f t="shared" si="934"/>
        <v>-471.72900000000004</v>
      </c>
      <c r="F188" s="66">
        <f t="shared" si="934"/>
        <v>-27.521999999999991</v>
      </c>
      <c r="G188" s="66">
        <f t="shared" si="934"/>
        <v>1812.2609999999995</v>
      </c>
      <c r="H188" s="66">
        <f t="shared" si="934"/>
        <v>-117.63100000000009</v>
      </c>
      <c r="I188" s="66">
        <f t="shared" si="934"/>
        <v>-1025.3040000000001</v>
      </c>
      <c r="J188" s="66">
        <f t="shared" si="934"/>
        <v>-2000.2760000000003</v>
      </c>
      <c r="K188" s="66">
        <f t="shared" si="934"/>
        <v>-6898.8719999999994</v>
      </c>
      <c r="L188" s="66">
        <f t="shared" si="934"/>
        <v>-9960.5069999999996</v>
      </c>
      <c r="M188" s="66">
        <f t="shared" si="934"/>
        <v>11004.387999999999</v>
      </c>
      <c r="N188" s="66">
        <f t="shared" si="934"/>
        <v>14403.899999999998</v>
      </c>
      <c r="O188" s="66">
        <f t="shared" si="934"/>
        <v>-4634.8070000000007</v>
      </c>
      <c r="P188" s="66">
        <f t="shared" si="934"/>
        <v>-8320.8940000000002</v>
      </c>
      <c r="R188" s="66">
        <f t="shared" ref="R188:BC188" si="935">R74</f>
        <v>78.09899999999999</v>
      </c>
      <c r="S188" s="66">
        <f t="shared" si="935"/>
        <v>-476.90699999999998</v>
      </c>
      <c r="T188" s="66">
        <f t="shared" si="935"/>
        <v>-21.437000000000012</v>
      </c>
      <c r="U188" s="66">
        <f t="shared" si="935"/>
        <v>-51.484000000000037</v>
      </c>
      <c r="V188" s="66">
        <f t="shared" si="935"/>
        <v>-21.103999999999999</v>
      </c>
      <c r="W188" s="66">
        <f t="shared" si="935"/>
        <v>170.721</v>
      </c>
      <c r="X188" s="66">
        <f t="shared" si="935"/>
        <v>92.466999999999985</v>
      </c>
      <c r="Y188" s="66">
        <f t="shared" si="935"/>
        <v>-269.60599999999999</v>
      </c>
      <c r="Z188" s="66">
        <f t="shared" si="935"/>
        <v>-55.801000000000002</v>
      </c>
      <c r="AA188" s="66">
        <f t="shared" si="935"/>
        <v>446.35899999999998</v>
      </c>
      <c r="AB188" s="66">
        <f t="shared" si="935"/>
        <v>-26.103000000000051</v>
      </c>
      <c r="AC188" s="66">
        <f t="shared" si="935"/>
        <v>1447.8059999999996</v>
      </c>
      <c r="AD188" s="66">
        <f t="shared" si="935"/>
        <v>-25.096</v>
      </c>
      <c r="AE188" s="66">
        <f t="shared" si="935"/>
        <v>-146.642</v>
      </c>
      <c r="AF188" s="66">
        <f t="shared" si="935"/>
        <v>418.13199999999989</v>
      </c>
      <c r="AG188" s="66">
        <f t="shared" si="935"/>
        <v>-364.02499999999998</v>
      </c>
      <c r="AH188" s="66">
        <f t="shared" si="935"/>
        <v>-229.11600000000001</v>
      </c>
      <c r="AI188" s="66">
        <f t="shared" si="935"/>
        <v>398.66499999999996</v>
      </c>
      <c r="AJ188" s="66">
        <f t="shared" si="935"/>
        <v>-238.50999999999996</v>
      </c>
      <c r="AK188" s="66">
        <f t="shared" si="935"/>
        <v>-956.34300000000007</v>
      </c>
      <c r="AL188" s="66">
        <f t="shared" si="935"/>
        <v>-1931.3150000000003</v>
      </c>
      <c r="AM188" s="66">
        <f t="shared" si="935"/>
        <v>243.91899999999998</v>
      </c>
      <c r="AN188" s="66">
        <f t="shared" si="935"/>
        <v>276.61899999999991</v>
      </c>
      <c r="AO188" s="66">
        <f t="shared" si="935"/>
        <v>-4077.8319999999999</v>
      </c>
      <c r="AP188" s="66">
        <f t="shared" si="935"/>
        <v>-7151.52</v>
      </c>
      <c r="AQ188" s="66">
        <f t="shared" si="935"/>
        <v>-1664.904</v>
      </c>
      <c r="AR188" s="66">
        <f t="shared" si="935"/>
        <v>-2878.5960000000005</v>
      </c>
      <c r="AS188" s="66">
        <f t="shared" si="935"/>
        <v>5751.465000000002</v>
      </c>
      <c r="AT188" s="66">
        <f t="shared" si="935"/>
        <v>-207.0099999999984</v>
      </c>
      <c r="AU188" s="66">
        <f t="shared" si="935"/>
        <v>414.78000000000009</v>
      </c>
      <c r="AV188" s="66">
        <f t="shared" si="935"/>
        <v>3648.2709999999997</v>
      </c>
      <c r="AW188" s="66">
        <f t="shared" si="935"/>
        <v>7042.5939999999982</v>
      </c>
      <c r="AX188" s="66">
        <f t="shared" si="935"/>
        <v>-101.25699999999961</v>
      </c>
      <c r="AY188" s="66">
        <f t="shared" si="935"/>
        <v>3185.4910000000004</v>
      </c>
      <c r="AZ188" s="66">
        <f t="shared" si="935"/>
        <v>4854.68</v>
      </c>
      <c r="BA188" s="66">
        <f t="shared" si="935"/>
        <v>2.476999999999407</v>
      </c>
      <c r="BB188" s="66">
        <f t="shared" si="935"/>
        <v>-12677.455</v>
      </c>
      <c r="BC188" s="66">
        <f t="shared" si="935"/>
        <v>-500.59599999999955</v>
      </c>
      <c r="BD188" s="188"/>
      <c r="BE188" s="66">
        <f t="shared" si="911"/>
        <v>572.82600000000002</v>
      </c>
      <c r="BF188" s="66">
        <f t="shared" si="911"/>
        <v>4914.2700000000004</v>
      </c>
      <c r="BG188" s="66">
        <f t="shared" si="911"/>
        <v>9316.0629999999983</v>
      </c>
      <c r="BH188" s="66">
        <f t="shared" si="911"/>
        <v>-399.25900000000092</v>
      </c>
      <c r="BI188" s="66">
        <f t="shared" si="911"/>
        <v>4168.7849999999999</v>
      </c>
      <c r="BJ188" s="188"/>
      <c r="BK188" s="38"/>
      <c r="BL188" s="38"/>
      <c r="BM188" s="38"/>
      <c r="BN188" s="38"/>
      <c r="BO188" s="38"/>
      <c r="BP188" s="188"/>
    </row>
    <row r="189" spans="2:69">
      <c r="B189" s="11" t="str">
        <f t="shared" ref="B189:P189" si="936">B75</f>
        <v>Other financing activities</v>
      </c>
      <c r="C189" s="66">
        <f t="shared" si="936"/>
        <v>-81.624042000000003</v>
      </c>
      <c r="D189" s="66">
        <f t="shared" si="936"/>
        <v>-639.06100000000004</v>
      </c>
      <c r="E189" s="66">
        <f t="shared" si="936"/>
        <v>-281.39499999999998</v>
      </c>
      <c r="F189" s="66">
        <f t="shared" si="936"/>
        <v>-24.859000000000002</v>
      </c>
      <c r="G189" s="66">
        <f t="shared" si="936"/>
        <v>466.44200000000001</v>
      </c>
      <c r="H189" s="66">
        <f t="shared" si="936"/>
        <v>-7.653999999999999</v>
      </c>
      <c r="I189" s="66">
        <f t="shared" si="936"/>
        <v>-84.634</v>
      </c>
      <c r="J189" s="66">
        <f t="shared" si="936"/>
        <v>-181.40300000000002</v>
      </c>
      <c r="K189" s="66">
        <f t="shared" si="936"/>
        <v>407.67200000000003</v>
      </c>
      <c r="L189" s="66">
        <f t="shared" si="936"/>
        <v>588.59199999999998</v>
      </c>
      <c r="M189" s="66">
        <f t="shared" si="936"/>
        <v>-630.19399999999996</v>
      </c>
      <c r="N189" s="66">
        <f t="shared" si="936"/>
        <v>-824.87599999999998</v>
      </c>
      <c r="O189" s="66">
        <f t="shared" si="936"/>
        <v>-4144.34</v>
      </c>
      <c r="P189" s="66">
        <f t="shared" si="936"/>
        <v>-3611.2539999999999</v>
      </c>
      <c r="R189" s="66">
        <f t="shared" ref="R189:BC189" si="937">R75</f>
        <v>4.6360000000000001</v>
      </c>
      <c r="S189" s="66">
        <f t="shared" si="937"/>
        <v>-248.52500000000001</v>
      </c>
      <c r="T189" s="66">
        <f t="shared" si="937"/>
        <v>-13.606999999999974</v>
      </c>
      <c r="U189" s="66">
        <f t="shared" si="937"/>
        <v>-23.899000000000001</v>
      </c>
      <c r="V189" s="66">
        <f t="shared" si="937"/>
        <v>-14.407</v>
      </c>
      <c r="W189" s="66">
        <f t="shared" si="937"/>
        <v>-1.6000000000000014E-2</v>
      </c>
      <c r="X189" s="66">
        <f t="shared" si="937"/>
        <v>-5.7440000000000015</v>
      </c>
      <c r="Y189" s="66">
        <f t="shared" si="937"/>
        <v>-4.6920000000000002</v>
      </c>
      <c r="Z189" s="66">
        <f t="shared" si="937"/>
        <v>-3.0569999999999995</v>
      </c>
      <c r="AA189" s="66">
        <f t="shared" si="937"/>
        <v>486.72700000000003</v>
      </c>
      <c r="AB189" s="66">
        <f t="shared" si="937"/>
        <v>-7.9629999999999823</v>
      </c>
      <c r="AC189" s="66">
        <f t="shared" si="937"/>
        <v>-9.2650000000000432</v>
      </c>
      <c r="AD189" s="66">
        <f t="shared" si="937"/>
        <v>-6.9590000000000005</v>
      </c>
      <c r="AE189" s="66">
        <f t="shared" si="937"/>
        <v>-6.621999999999999</v>
      </c>
      <c r="AF189" s="66">
        <f t="shared" si="937"/>
        <v>31.222999999999999</v>
      </c>
      <c r="AG189" s="66">
        <f t="shared" si="937"/>
        <v>-25.295999999999999</v>
      </c>
      <c r="AH189" s="66">
        <f t="shared" si="937"/>
        <v>-18.172999999999998</v>
      </c>
      <c r="AI189" s="66">
        <f t="shared" si="937"/>
        <v>-13.05</v>
      </c>
      <c r="AJ189" s="66">
        <f t="shared" si="937"/>
        <v>-28.140000000000004</v>
      </c>
      <c r="AK189" s="66">
        <f t="shared" si="937"/>
        <v>-25.271000000000001</v>
      </c>
      <c r="AL189" s="66">
        <f t="shared" si="937"/>
        <v>-122.04000000000002</v>
      </c>
      <c r="AM189" s="66">
        <f t="shared" si="937"/>
        <v>-41.98</v>
      </c>
      <c r="AN189" s="66">
        <f t="shared" si="937"/>
        <v>-44.027999999999999</v>
      </c>
      <c r="AO189" s="66">
        <f t="shared" si="937"/>
        <v>400.8</v>
      </c>
      <c r="AP189" s="66">
        <f t="shared" si="937"/>
        <v>683.09</v>
      </c>
      <c r="AQ189" s="66">
        <f t="shared" si="937"/>
        <v>21.91099999999998</v>
      </c>
      <c r="AR189" s="66">
        <f t="shared" si="937"/>
        <v>-89.241000000000014</v>
      </c>
      <c r="AS189" s="66">
        <f t="shared" si="937"/>
        <v>-656.14900000000011</v>
      </c>
      <c r="AT189" s="66">
        <f t="shared" si="937"/>
        <v>38.770999999999958</v>
      </c>
      <c r="AU189" s="66">
        <f t="shared" si="937"/>
        <v>-75.433999999999997</v>
      </c>
      <c r="AV189" s="66">
        <f t="shared" si="937"/>
        <v>-200.66299999999998</v>
      </c>
      <c r="AW189" s="66">
        <f t="shared" si="937"/>
        <v>-0.95199999999999818</v>
      </c>
      <c r="AX189" s="66">
        <f t="shared" si="937"/>
        <v>-353.14499999999998</v>
      </c>
      <c r="AY189" s="66">
        <f t="shared" si="937"/>
        <v>-1473.9560000000001</v>
      </c>
      <c r="AZ189" s="66">
        <f t="shared" si="937"/>
        <v>-428.95899999999983</v>
      </c>
      <c r="BA189" s="66">
        <f t="shared" si="937"/>
        <v>-849.22600000000011</v>
      </c>
      <c r="BB189" s="66">
        <f t="shared" si="937"/>
        <v>-1392.1990000000001</v>
      </c>
      <c r="BC189" s="66">
        <f t="shared" si="937"/>
        <v>-940.87</v>
      </c>
      <c r="BD189" s="188"/>
      <c r="BE189" s="66">
        <f t="shared" si="911"/>
        <v>-104.17700000000001</v>
      </c>
      <c r="BF189" s="66">
        <f t="shared" si="911"/>
        <v>-268.68799999999999</v>
      </c>
      <c r="BG189" s="66">
        <f t="shared" si="911"/>
        <v>3.5749999999999744</v>
      </c>
      <c r="BH189" s="66">
        <f t="shared" si="911"/>
        <v>-455.5859999999999</v>
      </c>
      <c r="BI189" s="66">
        <f t="shared" si="911"/>
        <v>-1928.9349999999999</v>
      </c>
      <c r="BJ189" s="188"/>
      <c r="BK189" s="38"/>
      <c r="BL189" s="38"/>
      <c r="BM189" s="38"/>
      <c r="BN189" s="38"/>
      <c r="BO189" s="38"/>
      <c r="BP189" s="188"/>
    </row>
    <row r="190" spans="2:69" s="7" customFormat="1" ht="13.5" thickBot="1">
      <c r="B190" s="62" t="str">
        <f t="shared" ref="B190:P190" si="938">B76</f>
        <v>Cash flow after financing activities</v>
      </c>
      <c r="C190" s="65">
        <f t="shared" si="938"/>
        <v>666.50405799999976</v>
      </c>
      <c r="D190" s="65">
        <f t="shared" si="938"/>
        <v>490.68500000000029</v>
      </c>
      <c r="E190" s="65">
        <f t="shared" si="938"/>
        <v>-1161.3080000000002</v>
      </c>
      <c r="F190" s="65">
        <f t="shared" si="938"/>
        <v>1613.8380000000002</v>
      </c>
      <c r="G190" s="65">
        <f t="shared" si="938"/>
        <v>1283.6249999999995</v>
      </c>
      <c r="H190" s="65">
        <f t="shared" si="938"/>
        <v>-3289.6179999999999</v>
      </c>
      <c r="I190" s="65">
        <f t="shared" si="938"/>
        <v>4293.9059999999999</v>
      </c>
      <c r="J190" s="65">
        <f t="shared" si="938"/>
        <v>4555.9500000000007</v>
      </c>
      <c r="K190" s="65">
        <f t="shared" si="938"/>
        <v>-5827.2429999999986</v>
      </c>
      <c r="L190" s="65">
        <f t="shared" si="938"/>
        <v>-8413.3019999999997</v>
      </c>
      <c r="M190" s="65">
        <f t="shared" si="938"/>
        <v>10182.867000000002</v>
      </c>
      <c r="N190" s="65">
        <f t="shared" si="938"/>
        <v>13328.593999999997</v>
      </c>
      <c r="O190" s="65">
        <f t="shared" si="938"/>
        <v>-12329.839</v>
      </c>
      <c r="P190" s="65">
        <f t="shared" si="938"/>
        <v>-15396.541999999994</v>
      </c>
      <c r="R190" s="65">
        <f t="shared" ref="R190:BC190" si="939">R76</f>
        <v>-22.471000000000029</v>
      </c>
      <c r="S190" s="65">
        <f t="shared" si="939"/>
        <v>-1071.769</v>
      </c>
      <c r="T190" s="65">
        <f t="shared" si="939"/>
        <v>-110.60200000000029</v>
      </c>
      <c r="U190" s="65">
        <f t="shared" si="939"/>
        <v>43.534000000000091</v>
      </c>
      <c r="V190" s="65">
        <f t="shared" si="939"/>
        <v>-119.37099999999995</v>
      </c>
      <c r="W190" s="65">
        <f t="shared" si="939"/>
        <v>906.93500000000006</v>
      </c>
      <c r="X190" s="65">
        <f t="shared" si="939"/>
        <v>-770.37500000000011</v>
      </c>
      <c r="Y190" s="65">
        <f t="shared" si="939"/>
        <v>1596.6489999999999</v>
      </c>
      <c r="Z190" s="65">
        <f t="shared" si="939"/>
        <v>-1137.981</v>
      </c>
      <c r="AA190" s="65">
        <f t="shared" si="939"/>
        <v>1708.5010000000002</v>
      </c>
      <c r="AB190" s="65">
        <f t="shared" si="939"/>
        <v>-20.948999999999618</v>
      </c>
      <c r="AC190" s="65">
        <f t="shared" si="939"/>
        <v>734.05399999999941</v>
      </c>
      <c r="AD190" s="65">
        <f t="shared" si="939"/>
        <v>-993.40299999999991</v>
      </c>
      <c r="AE190" s="65">
        <f t="shared" si="939"/>
        <v>-734.56200000000001</v>
      </c>
      <c r="AF190" s="65">
        <f t="shared" si="939"/>
        <v>109.89600000000029</v>
      </c>
      <c r="AG190" s="65">
        <f t="shared" si="939"/>
        <v>-1671.5490000000011</v>
      </c>
      <c r="AH190" s="65">
        <f t="shared" si="939"/>
        <v>-749.38300000000004</v>
      </c>
      <c r="AI190" s="65">
        <f t="shared" si="939"/>
        <v>-247.38700000000011</v>
      </c>
      <c r="AJ190" s="65">
        <f t="shared" si="939"/>
        <v>-412.92599999999925</v>
      </c>
      <c r="AK190" s="65">
        <f t="shared" si="939"/>
        <v>5703.601999999999</v>
      </c>
      <c r="AL190" s="65">
        <f t="shared" si="939"/>
        <v>5375.9970000000012</v>
      </c>
      <c r="AM190" s="65">
        <f t="shared" si="939"/>
        <v>-271.06100000000015</v>
      </c>
      <c r="AN190" s="65">
        <f t="shared" si="939"/>
        <v>-734.35700000000054</v>
      </c>
      <c r="AO190" s="65">
        <f t="shared" si="939"/>
        <v>-4550.54</v>
      </c>
      <c r="AP190" s="65">
        <f t="shared" si="939"/>
        <v>-8812.7609999999986</v>
      </c>
      <c r="AQ190" s="65">
        <f t="shared" si="939"/>
        <v>412.96600000000029</v>
      </c>
      <c r="AR190" s="65">
        <f t="shared" si="939"/>
        <v>275.99600000000009</v>
      </c>
      <c r="AS190" s="65">
        <f t="shared" si="939"/>
        <v>6162.612000000001</v>
      </c>
      <c r="AT190" s="65">
        <f t="shared" si="939"/>
        <v>857.8199999999988</v>
      </c>
      <c r="AU190" s="65">
        <f t="shared" si="939"/>
        <v>-2090.1180000000004</v>
      </c>
      <c r="AV190" s="65">
        <f t="shared" si="939"/>
        <v>5031.1460000000015</v>
      </c>
      <c r="AW190" s="65">
        <f t="shared" si="939"/>
        <v>5161.9869999999983</v>
      </c>
      <c r="AX190" s="65">
        <f t="shared" si="939"/>
        <v>2079.8520000000021</v>
      </c>
      <c r="AY190" s="65">
        <f t="shared" si="939"/>
        <v>-5859.095000000003</v>
      </c>
      <c r="AZ190" s="65">
        <f t="shared" si="939"/>
        <v>1120.5420000000031</v>
      </c>
      <c r="BA190" s="65">
        <f t="shared" si="939"/>
        <v>512.47900000000027</v>
      </c>
      <c r="BB190" s="65">
        <f t="shared" si="939"/>
        <v>-8103.7649999999994</v>
      </c>
      <c r="BC190" s="65">
        <f t="shared" si="939"/>
        <v>-8925.7980000000007</v>
      </c>
      <c r="BD190" s="68"/>
      <c r="BE190" s="65">
        <f t="shared" si="911"/>
        <v>-2886.5350000000008</v>
      </c>
      <c r="BF190" s="65">
        <f t="shared" si="911"/>
        <v>6858.3520000000008</v>
      </c>
      <c r="BG190" s="65">
        <f t="shared" si="911"/>
        <v>6829.0159999999987</v>
      </c>
      <c r="BH190" s="65">
        <f t="shared" si="911"/>
        <v>2527.7609999999995</v>
      </c>
      <c r="BI190" s="65">
        <f t="shared" si="911"/>
        <v>-7667.6729999999989</v>
      </c>
      <c r="BJ190" s="68"/>
      <c r="BK190" s="38"/>
      <c r="BL190" s="38"/>
      <c r="BM190" s="38"/>
      <c r="BN190" s="38"/>
      <c r="BO190" s="38"/>
      <c r="BP190" s="68"/>
      <c r="BQ190" s="11"/>
    </row>
    <row r="191" spans="2:69" s="7" customFormat="1" ht="13.5" thickTop="1">
      <c r="B191" s="11" t="str">
        <f t="shared" ref="B191:P191" si="940">B78</f>
        <v>Balancing figure</v>
      </c>
      <c r="C191" s="66">
        <f t="shared" si="940"/>
        <v>0.48936600000024555</v>
      </c>
      <c r="D191" s="66">
        <f t="shared" si="940"/>
        <v>-36.402000000000271</v>
      </c>
      <c r="E191" s="66">
        <f t="shared" si="940"/>
        <v>72.64200000000028</v>
      </c>
      <c r="F191" s="66">
        <f t="shared" si="940"/>
        <v>94.148999999999887</v>
      </c>
      <c r="G191" s="66">
        <f t="shared" si="940"/>
        <v>164.38000000000056</v>
      </c>
      <c r="H191" s="66">
        <f t="shared" si="940"/>
        <v>517.75799999999981</v>
      </c>
      <c r="I191" s="66">
        <f t="shared" si="940"/>
        <v>1004.3829999999998</v>
      </c>
      <c r="J191" s="66">
        <f t="shared" si="940"/>
        <v>3570.2379999999985</v>
      </c>
      <c r="K191" s="66">
        <f t="shared" si="940"/>
        <v>2387.7429999999995</v>
      </c>
      <c r="L191" s="66">
        <f t="shared" si="940"/>
        <v>3447.3939999999984</v>
      </c>
      <c r="M191" s="66">
        <f t="shared" si="940"/>
        <v>1825.6679999999983</v>
      </c>
      <c r="N191" s="66">
        <f t="shared" si="940"/>
        <v>2389.6570000000029</v>
      </c>
      <c r="O191" s="66">
        <f t="shared" si="940"/>
        <v>3354.9400000000005</v>
      </c>
      <c r="P191" s="66">
        <f t="shared" si="940"/>
        <v>4126.8679999999986</v>
      </c>
      <c r="R191" s="66">
        <f t="shared" ref="R191:BC191" si="941">R78</f>
        <v>83.350000000000023</v>
      </c>
      <c r="S191" s="66">
        <f t="shared" si="941"/>
        <v>43.881999999999977</v>
      </c>
      <c r="T191" s="66">
        <f t="shared" si="941"/>
        <v>110.25200000000041</v>
      </c>
      <c r="U191" s="66">
        <f t="shared" si="941"/>
        <v>-164.84200000000013</v>
      </c>
      <c r="V191" s="66">
        <f t="shared" si="941"/>
        <v>134.94499999999996</v>
      </c>
      <c r="W191" s="66">
        <f t="shared" si="941"/>
        <v>19.485999999999933</v>
      </c>
      <c r="X191" s="66">
        <f t="shared" si="941"/>
        <v>-8.8629999999999427</v>
      </c>
      <c r="Y191" s="66">
        <f t="shared" si="941"/>
        <v>-51.419000000000068</v>
      </c>
      <c r="Z191" s="66">
        <f t="shared" si="941"/>
        <v>188.99800000000005</v>
      </c>
      <c r="AA191" s="66">
        <f t="shared" si="941"/>
        <v>-34.896000000000299</v>
      </c>
      <c r="AB191" s="66">
        <f t="shared" si="941"/>
        <v>107.95099999999968</v>
      </c>
      <c r="AC191" s="66">
        <f t="shared" si="941"/>
        <v>-97.672999999998865</v>
      </c>
      <c r="AD191" s="66">
        <f t="shared" si="941"/>
        <v>194.51899999999989</v>
      </c>
      <c r="AE191" s="66">
        <f t="shared" si="941"/>
        <v>-23.94500000000005</v>
      </c>
      <c r="AF191" s="66">
        <f t="shared" si="941"/>
        <v>-39.264000000000124</v>
      </c>
      <c r="AG191" s="66">
        <f t="shared" si="941"/>
        <v>386.44800000000009</v>
      </c>
      <c r="AH191" s="66">
        <f t="shared" si="941"/>
        <v>489.15500000000003</v>
      </c>
      <c r="AI191" s="66">
        <f t="shared" si="941"/>
        <v>199.63700000000011</v>
      </c>
      <c r="AJ191" s="66">
        <f t="shared" si="941"/>
        <v>553.99599999999941</v>
      </c>
      <c r="AK191" s="66">
        <f t="shared" si="941"/>
        <v>-238.40499999999975</v>
      </c>
      <c r="AL191" s="66">
        <f t="shared" si="941"/>
        <v>2327.4499999999989</v>
      </c>
      <c r="AM191" s="66">
        <f t="shared" si="941"/>
        <v>717.65900000000011</v>
      </c>
      <c r="AN191" s="66">
        <f t="shared" si="941"/>
        <v>1482.4410000000007</v>
      </c>
      <c r="AO191" s="66">
        <f t="shared" si="941"/>
        <v>776.07299999999987</v>
      </c>
      <c r="AP191" s="66">
        <f t="shared" si="941"/>
        <v>1282.1839999999984</v>
      </c>
      <c r="AQ191" s="66">
        <f t="shared" si="941"/>
        <v>0.89499999999998181</v>
      </c>
      <c r="AR191" s="66">
        <f t="shared" si="941"/>
        <v>-4060.9089999999992</v>
      </c>
      <c r="AS191" s="66">
        <f t="shared" si="941"/>
        <v>-389.06799999999885</v>
      </c>
      <c r="AT191" s="66">
        <f t="shared" si="941"/>
        <v>4743.6779999999981</v>
      </c>
      <c r="AU191" s="66">
        <f t="shared" si="941"/>
        <v>1262.671</v>
      </c>
      <c r="AV191" s="66">
        <f t="shared" si="941"/>
        <v>-938.07500000000141</v>
      </c>
      <c r="AW191" s="66">
        <f t="shared" si="941"/>
        <v>2504.813000000001</v>
      </c>
      <c r="AX191" s="66">
        <f t="shared" si="941"/>
        <v>-1003.7410000000013</v>
      </c>
      <c r="AY191" s="66">
        <f t="shared" si="941"/>
        <v>1591.3740000000034</v>
      </c>
      <c r="AZ191" s="66">
        <f t="shared" si="941"/>
        <v>563.59199999999601</v>
      </c>
      <c r="BA191" s="66">
        <f t="shared" si="941"/>
        <v>261.54999999999927</v>
      </c>
      <c r="BB191" s="66">
        <f t="shared" si="941"/>
        <v>938.4240000000018</v>
      </c>
      <c r="BC191" s="66">
        <f t="shared" si="941"/>
        <v>2363.3020000000015</v>
      </c>
      <c r="BD191" s="188"/>
      <c r="BE191" s="66">
        <f t="shared" ref="BE191:BI193" si="942">BE78</f>
        <v>1743.7980000000011</v>
      </c>
      <c r="BF191" s="66">
        <f t="shared" si="942"/>
        <v>-291.5840000000012</v>
      </c>
      <c r="BG191" s="66">
        <f t="shared" si="942"/>
        <v>408.41400000000158</v>
      </c>
      <c r="BH191" s="66">
        <f t="shared" si="942"/>
        <v>529.02900000000136</v>
      </c>
      <c r="BI191" s="66">
        <f t="shared" si="942"/>
        <v>2082.599999999999</v>
      </c>
      <c r="BJ191" s="188"/>
      <c r="BK191" s="38"/>
      <c r="BL191" s="38"/>
      <c r="BM191" s="38"/>
      <c r="BN191" s="38"/>
      <c r="BO191" s="38"/>
      <c r="BP191" s="188"/>
      <c r="BQ191" s="11"/>
    </row>
    <row r="192" spans="2:69">
      <c r="B192" s="11" t="str">
        <f t="shared" ref="B192:P192" si="943">B79</f>
        <v xml:space="preserve">FX </v>
      </c>
      <c r="C192" s="66">
        <f t="shared" si="943"/>
        <v>245.57457099999999</v>
      </c>
      <c r="D192" s="66">
        <f t="shared" si="943"/>
        <v>447.24299999999999</v>
      </c>
      <c r="E192" s="66">
        <f t="shared" si="943"/>
        <v>1277.5619999999999</v>
      </c>
      <c r="F192" s="66">
        <f t="shared" si="943"/>
        <v>-679.85</v>
      </c>
      <c r="G192" s="66">
        <f t="shared" si="943"/>
        <v>348.71600000000001</v>
      </c>
      <c r="H192" s="66">
        <f t="shared" si="943"/>
        <v>1941.174</v>
      </c>
      <c r="I192" s="66">
        <f t="shared" si="943"/>
        <v>951.71100000000001</v>
      </c>
      <c r="J192" s="66">
        <f t="shared" si="943"/>
        <v>2172.1120000000001</v>
      </c>
      <c r="K192" s="66">
        <f t="shared" si="943"/>
        <v>5841.8890000000001</v>
      </c>
      <c r="L192" s="66">
        <f t="shared" si="943"/>
        <v>8434.4480000000003</v>
      </c>
      <c r="M192" s="66">
        <f t="shared" si="943"/>
        <v>2642.3870000000002</v>
      </c>
      <c r="N192" s="66">
        <f t="shared" si="943"/>
        <v>3458.6819999999998</v>
      </c>
      <c r="O192" s="66">
        <f t="shared" si="943"/>
        <v>5985.4380000000001</v>
      </c>
      <c r="P192" s="66">
        <f t="shared" si="943"/>
        <v>4493.83</v>
      </c>
      <c r="R192" s="66">
        <f t="shared" ref="R192:BC192" si="944">R79</f>
        <v>247.21</v>
      </c>
      <c r="S192" s="66">
        <f t="shared" si="944"/>
        <v>619.21699999999998</v>
      </c>
      <c r="T192" s="66">
        <f t="shared" si="944"/>
        <v>945.3449999999998</v>
      </c>
      <c r="U192" s="66">
        <f t="shared" si="944"/>
        <v>-534.21</v>
      </c>
      <c r="V192" s="66">
        <f t="shared" si="944"/>
        <v>90.549000000000007</v>
      </c>
      <c r="W192" s="66">
        <f t="shared" si="944"/>
        <v>0.43599999999999284</v>
      </c>
      <c r="X192" s="66">
        <f t="shared" si="944"/>
        <v>183.399</v>
      </c>
      <c r="Y192" s="66">
        <f t="shared" si="944"/>
        <v>-954.23400000000004</v>
      </c>
      <c r="Z192" s="66">
        <f t="shared" si="944"/>
        <v>140.739</v>
      </c>
      <c r="AA192" s="66">
        <f t="shared" si="944"/>
        <v>63.039999999999992</v>
      </c>
      <c r="AB192" s="66">
        <f t="shared" si="944"/>
        <v>489.36599999999999</v>
      </c>
      <c r="AC192" s="66">
        <f t="shared" si="944"/>
        <v>-344.42899999999997</v>
      </c>
      <c r="AD192" s="66">
        <f t="shared" si="944"/>
        <v>342.19799999999998</v>
      </c>
      <c r="AE192" s="66">
        <f t="shared" si="944"/>
        <v>153.00900000000001</v>
      </c>
      <c r="AF192" s="66">
        <f t="shared" si="944"/>
        <v>18.640999999999963</v>
      </c>
      <c r="AG192" s="66">
        <f t="shared" si="944"/>
        <v>1427.326</v>
      </c>
      <c r="AH192" s="66">
        <f t="shared" si="944"/>
        <v>240.50700000000001</v>
      </c>
      <c r="AI192" s="66">
        <f t="shared" si="944"/>
        <v>386.68900000000002</v>
      </c>
      <c r="AJ192" s="66">
        <f t="shared" si="944"/>
        <v>300.28900000000004</v>
      </c>
      <c r="AK192" s="66">
        <f t="shared" si="944"/>
        <v>24.225999999999885</v>
      </c>
      <c r="AL192" s="66">
        <f t="shared" si="944"/>
        <v>1244.627</v>
      </c>
      <c r="AM192" s="66">
        <f t="shared" si="944"/>
        <v>160.06</v>
      </c>
      <c r="AN192" s="66">
        <f t="shared" si="944"/>
        <v>274.10700000000003</v>
      </c>
      <c r="AO192" s="66">
        <f t="shared" si="944"/>
        <v>2670.989</v>
      </c>
      <c r="AP192" s="66">
        <f t="shared" si="944"/>
        <v>4725.4340000000002</v>
      </c>
      <c r="AQ192" s="66">
        <f t="shared" si="944"/>
        <v>511.07499999999982</v>
      </c>
      <c r="AR192" s="66">
        <f t="shared" si="944"/>
        <v>1284.1359999999995</v>
      </c>
      <c r="AS192" s="66">
        <f t="shared" si="944"/>
        <v>-2225.6689999999999</v>
      </c>
      <c r="AT192" s="66">
        <f t="shared" si="944"/>
        <v>2150.7710000000006</v>
      </c>
      <c r="AU192" s="66">
        <f t="shared" si="944"/>
        <v>1832.7180000000001</v>
      </c>
      <c r="AV192" s="66">
        <f t="shared" si="944"/>
        <v>-781.44800000000009</v>
      </c>
      <c r="AW192" s="66">
        <f t="shared" si="944"/>
        <v>1121.943</v>
      </c>
      <c r="AX192" s="66">
        <f t="shared" si="944"/>
        <v>469.17400000000043</v>
      </c>
      <c r="AY192" s="66">
        <f t="shared" si="944"/>
        <v>1896.5050000000001</v>
      </c>
      <c r="AZ192" s="66">
        <f t="shared" si="944"/>
        <v>1770.326</v>
      </c>
      <c r="BA192" s="66">
        <f t="shared" si="944"/>
        <v>1404.8389999999999</v>
      </c>
      <c r="BB192" s="66">
        <f t="shared" si="944"/>
        <v>913.76800000000003</v>
      </c>
      <c r="BC192" s="66">
        <f t="shared" si="944"/>
        <v>404.89699999999999</v>
      </c>
      <c r="BD192" s="188"/>
      <c r="BE192" s="66">
        <f t="shared" si="942"/>
        <v>2531.0549999999998</v>
      </c>
      <c r="BF192" s="66">
        <f t="shared" si="942"/>
        <v>-1111.3289999999997</v>
      </c>
      <c r="BG192" s="66">
        <f t="shared" si="942"/>
        <v>1477.0369999999998</v>
      </c>
      <c r="BH192" s="66">
        <f t="shared" si="942"/>
        <v>561.91899999999987</v>
      </c>
      <c r="BI192" s="66">
        <f t="shared" si="942"/>
        <v>2481.9140000000002</v>
      </c>
      <c r="BJ192" s="188"/>
      <c r="BK192" s="38"/>
      <c r="BL192" s="38"/>
      <c r="BM192" s="38"/>
      <c r="BN192" s="38"/>
      <c r="BO192" s="38"/>
      <c r="BP192" s="188"/>
    </row>
    <row r="193" spans="2:69" s="7" customFormat="1" ht="13.5" thickBot="1">
      <c r="B193" s="62" t="str">
        <f t="shared" ref="B193:P193" si="945">B80</f>
        <v xml:space="preserve">Net change in cash </v>
      </c>
      <c r="C193" s="65">
        <f t="shared" si="945"/>
        <v>912.567995</v>
      </c>
      <c r="D193" s="65">
        <f t="shared" si="945"/>
        <v>901.52600000000007</v>
      </c>
      <c r="E193" s="65">
        <f t="shared" si="945"/>
        <v>188.89599999999996</v>
      </c>
      <c r="F193" s="65">
        <f t="shared" si="945"/>
        <v>1028.1370000000002</v>
      </c>
      <c r="G193" s="65">
        <f t="shared" si="945"/>
        <v>1796.721</v>
      </c>
      <c r="H193" s="65">
        <f t="shared" si="945"/>
        <v>-830.68600000000015</v>
      </c>
      <c r="I193" s="65">
        <f t="shared" si="945"/>
        <v>6250</v>
      </c>
      <c r="J193" s="65">
        <f t="shared" si="945"/>
        <v>7116.2209999999986</v>
      </c>
      <c r="K193" s="65">
        <f t="shared" si="945"/>
        <v>-3592.2380000000003</v>
      </c>
      <c r="L193" s="65">
        <f t="shared" si="945"/>
        <v>-5186.4290000000019</v>
      </c>
      <c r="M193" s="65">
        <f t="shared" si="945"/>
        <v>9477.59</v>
      </c>
      <c r="N193" s="65">
        <f t="shared" si="945"/>
        <v>12405.438000000002</v>
      </c>
      <c r="O193" s="65">
        <f t="shared" si="945"/>
        <v>-11116.659000000001</v>
      </c>
      <c r="P193" s="65">
        <f t="shared" si="945"/>
        <v>-14597.424999999994</v>
      </c>
      <c r="R193" s="65">
        <f t="shared" ref="R193:BC193" si="946">R80</f>
        <v>308.089</v>
      </c>
      <c r="S193" s="65">
        <f t="shared" si="946"/>
        <v>-408.66999999999996</v>
      </c>
      <c r="T193" s="65">
        <f t="shared" si="946"/>
        <v>944.99499999999989</v>
      </c>
      <c r="U193" s="65">
        <f t="shared" si="946"/>
        <v>-655.51800000000003</v>
      </c>
      <c r="V193" s="65">
        <f t="shared" si="946"/>
        <v>106.12300000000002</v>
      </c>
      <c r="W193" s="65">
        <f t="shared" si="946"/>
        <v>926.85700000000008</v>
      </c>
      <c r="X193" s="65">
        <f t="shared" si="946"/>
        <v>-595.83900000000006</v>
      </c>
      <c r="Y193" s="65">
        <f t="shared" si="946"/>
        <v>590.99599999999975</v>
      </c>
      <c r="Z193" s="65">
        <f t="shared" si="946"/>
        <v>-808.24399999999991</v>
      </c>
      <c r="AA193" s="65">
        <f t="shared" si="946"/>
        <v>1736.645</v>
      </c>
      <c r="AB193" s="65">
        <f t="shared" si="946"/>
        <v>576.36800000000005</v>
      </c>
      <c r="AC193" s="65">
        <f t="shared" si="946"/>
        <v>291.95199999999977</v>
      </c>
      <c r="AD193" s="65">
        <f t="shared" si="946"/>
        <v>-456.68600000000004</v>
      </c>
      <c r="AE193" s="65">
        <f t="shared" si="946"/>
        <v>-605.49800000000005</v>
      </c>
      <c r="AF193" s="65">
        <f t="shared" si="946"/>
        <v>89.273000000000124</v>
      </c>
      <c r="AG193" s="65">
        <f t="shared" si="946"/>
        <v>142.22499999999991</v>
      </c>
      <c r="AH193" s="65">
        <f t="shared" si="946"/>
        <v>-19.721000000000004</v>
      </c>
      <c r="AI193" s="65">
        <f t="shared" si="946"/>
        <v>338.93900000000002</v>
      </c>
      <c r="AJ193" s="65">
        <f t="shared" si="946"/>
        <v>441.35900000000021</v>
      </c>
      <c r="AK193" s="65">
        <f t="shared" si="946"/>
        <v>5489.4229999999998</v>
      </c>
      <c r="AL193" s="65">
        <f t="shared" si="946"/>
        <v>6355.6439999999984</v>
      </c>
      <c r="AM193" s="65">
        <f t="shared" si="946"/>
        <v>606.6579999999999</v>
      </c>
      <c r="AN193" s="65">
        <f t="shared" si="946"/>
        <v>-930.42299999999977</v>
      </c>
      <c r="AO193" s="65">
        <f t="shared" si="946"/>
        <v>-1103.4780000000001</v>
      </c>
      <c r="AP193" s="65">
        <f t="shared" si="946"/>
        <v>-3992.847999999999</v>
      </c>
      <c r="AQ193" s="65">
        <f t="shared" si="946"/>
        <v>924.93600000000015</v>
      </c>
      <c r="AR193" s="65">
        <f t="shared" si="946"/>
        <v>-6253.0940000000001</v>
      </c>
      <c r="AS193" s="65">
        <f t="shared" si="946"/>
        <v>-27.506000000000768</v>
      </c>
      <c r="AT193" s="65">
        <f t="shared" si="946"/>
        <v>5989.9359999999988</v>
      </c>
      <c r="AU193" s="65">
        <f t="shared" si="946"/>
        <v>-750.72900000000004</v>
      </c>
      <c r="AV193" s="65">
        <f t="shared" si="946"/>
        <v>2184.2569999999996</v>
      </c>
      <c r="AW193" s="65">
        <f t="shared" si="946"/>
        <v>7491.7889999999998</v>
      </c>
      <c r="AX193" s="65">
        <f t="shared" si="946"/>
        <v>552.27300000000059</v>
      </c>
      <c r="AY193" s="65">
        <f t="shared" si="946"/>
        <v>-5018.5429999999988</v>
      </c>
      <c r="AZ193" s="65">
        <f t="shared" si="946"/>
        <v>1715.1849999999995</v>
      </c>
      <c r="BA193" s="65">
        <f t="shared" si="946"/>
        <v>-124.58300000000054</v>
      </c>
      <c r="BB193" s="65">
        <f t="shared" si="946"/>
        <v>-7688.7179999999971</v>
      </c>
      <c r="BC193" s="65">
        <f t="shared" si="946"/>
        <v>-8499.3089999999993</v>
      </c>
      <c r="BD193" s="68"/>
      <c r="BE193" s="65">
        <f t="shared" si="942"/>
        <v>-1036.7849999999999</v>
      </c>
      <c r="BF193" s="65">
        <f t="shared" si="942"/>
        <v>3986.5949999999993</v>
      </c>
      <c r="BG193" s="65">
        <f t="shared" si="942"/>
        <v>7036.2960000000003</v>
      </c>
      <c r="BH193" s="65">
        <f t="shared" si="942"/>
        <v>2419.3320000000012</v>
      </c>
      <c r="BI193" s="65">
        <f t="shared" si="942"/>
        <v>-6567.66</v>
      </c>
      <c r="BJ193" s="68"/>
      <c r="BK193" s="38"/>
      <c r="BL193" s="38"/>
      <c r="BM193" s="38"/>
      <c r="BN193" s="38"/>
      <c r="BO193" s="38"/>
      <c r="BP193" s="68"/>
      <c r="BQ193" s="11"/>
    </row>
    <row r="194" spans="2:69" ht="15.75" thickTop="1"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38"/>
      <c r="BL194" s="38"/>
      <c r="BM194" s="38"/>
      <c r="BN194" s="38"/>
      <c r="BO194" s="38"/>
      <c r="BP194" s="67"/>
    </row>
    <row r="195" spans="2:69" s="7" customFormat="1" ht="12.75">
      <c r="B195" s="7" t="str">
        <f>+B123</f>
        <v>Total debt</v>
      </c>
      <c r="C195" s="68">
        <f t="shared" ref="C195:G195" si="947">C123</f>
        <v>2952.8540000000003</v>
      </c>
      <c r="D195" s="68">
        <f t="shared" si="947"/>
        <v>4310.4030000000002</v>
      </c>
      <c r="E195" s="68">
        <f t="shared" si="947"/>
        <v>5245.7529999999997</v>
      </c>
      <c r="F195" s="68">
        <f t="shared" si="947"/>
        <v>5877.6679999999997</v>
      </c>
      <c r="G195" s="68">
        <f t="shared" si="947"/>
        <v>9338.2510000000002</v>
      </c>
      <c r="H195" s="68">
        <f t="shared" ref="H195:I195" si="948">H123</f>
        <v>18145.474000000002</v>
      </c>
      <c r="I195" s="68">
        <f t="shared" si="948"/>
        <v>23740.065999999999</v>
      </c>
      <c r="J195" s="68">
        <f t="shared" ref="J195" si="949">J123</f>
        <v>39117.199000000001</v>
      </c>
      <c r="K195" s="68">
        <f t="shared" ref="K195" si="950">K123</f>
        <v>30560.627000000004</v>
      </c>
      <c r="L195" s="68">
        <f t="shared" ref="L195:M195" si="951">L123</f>
        <v>44126.831999999995</v>
      </c>
      <c r="M195" s="68">
        <f t="shared" si="951"/>
        <v>48009.366000000002</v>
      </c>
      <c r="N195" s="68">
        <f t="shared" ref="N195:O195" si="952">N123</f>
        <v>62840.577000000005</v>
      </c>
      <c r="O195" s="68">
        <f t="shared" si="952"/>
        <v>57345.380000000005</v>
      </c>
      <c r="P195" s="68">
        <f>P123</f>
        <v>58252.407999999996</v>
      </c>
      <c r="R195" s="68">
        <f t="shared" ref="R195:AB195" si="953">R123</f>
        <v>4706.5930000000008</v>
      </c>
      <c r="S195" s="68">
        <f t="shared" si="953"/>
        <v>4799.0470000000005</v>
      </c>
      <c r="T195" s="68">
        <f t="shared" si="953"/>
        <v>6174.7640000000001</v>
      </c>
      <c r="U195" s="68">
        <f t="shared" si="953"/>
        <v>5245.7529999999997</v>
      </c>
      <c r="V195" s="68">
        <f t="shared" si="953"/>
        <v>5557.3020000000006</v>
      </c>
      <c r="W195" s="68">
        <f t="shared" si="953"/>
        <v>5883.3850000000002</v>
      </c>
      <c r="X195" s="68">
        <f t="shared" si="953"/>
        <v>5754.0529999999999</v>
      </c>
      <c r="Y195" s="68">
        <f t="shared" si="953"/>
        <v>5877.6679999999997</v>
      </c>
      <c r="Z195" s="68">
        <f t="shared" si="953"/>
        <v>6367.7609999999995</v>
      </c>
      <c r="AA195" s="68">
        <f t="shared" si="953"/>
        <v>7175.8670000000002</v>
      </c>
      <c r="AB195" s="68">
        <f t="shared" si="953"/>
        <v>8406.366</v>
      </c>
      <c r="AC195" s="68">
        <f t="shared" ref="AC195:AF195" si="954">AC123</f>
        <v>9338.2510000000002</v>
      </c>
      <c r="AD195" s="68">
        <f t="shared" si="954"/>
        <v>10543.135999999999</v>
      </c>
      <c r="AE195" s="68">
        <f t="shared" si="954"/>
        <v>10763.757</v>
      </c>
      <c r="AF195" s="68">
        <f t="shared" si="954"/>
        <v>12698.414999999999</v>
      </c>
      <c r="AG195" s="68">
        <f t="shared" ref="AG195:AH195" si="955">AG123</f>
        <v>11415.93</v>
      </c>
      <c r="AH195" s="68">
        <f t="shared" si="955"/>
        <v>19844.254999999997</v>
      </c>
      <c r="AI195" s="68">
        <f t="shared" ref="AI195:AM195" si="956">AI123</f>
        <v>22070.580999999998</v>
      </c>
      <c r="AJ195" s="68">
        <f t="shared" si="956"/>
        <v>24215.478000000003</v>
      </c>
      <c r="AK195" s="68">
        <f t="shared" si="956"/>
        <v>23740.065999999999</v>
      </c>
      <c r="AL195" s="68">
        <f t="shared" ref="AL195" si="957">AL123</f>
        <v>39117.199000000001</v>
      </c>
      <c r="AM195" s="68">
        <f t="shared" si="956"/>
        <v>25200.313000000002</v>
      </c>
      <c r="AN195" s="68">
        <f t="shared" ref="AN195" si="958">AN123</f>
        <v>25200.313000000002</v>
      </c>
      <c r="AO195" s="68">
        <f t="shared" ref="AO195:AU195" si="959">AO123</f>
        <v>28603.136000000002</v>
      </c>
      <c r="AP195" s="68">
        <f t="shared" si="959"/>
        <v>28603.136000000002</v>
      </c>
      <c r="AQ195" s="68">
        <f t="shared" si="959"/>
        <v>28571.554</v>
      </c>
      <c r="AR195" s="68">
        <f t="shared" ref="AR195" si="960">AR123</f>
        <v>28571.554</v>
      </c>
      <c r="AS195" s="68">
        <f t="shared" si="959"/>
        <v>30560.627000000004</v>
      </c>
      <c r="AT195" s="68">
        <f t="shared" ref="AT195" si="961">AT123</f>
        <v>30560.627000000004</v>
      </c>
      <c r="AU195" s="68">
        <f t="shared" si="959"/>
        <v>34312.031000000003</v>
      </c>
      <c r="AV195" s="68">
        <f t="shared" ref="AV195:AY195" si="962">AV123</f>
        <v>37744.159</v>
      </c>
      <c r="AW195" s="68">
        <f t="shared" si="962"/>
        <v>47537.851999999999</v>
      </c>
      <c r="AX195" s="68">
        <f t="shared" si="962"/>
        <v>48009.366000000002</v>
      </c>
      <c r="AY195" s="68">
        <f t="shared" si="962"/>
        <v>55420.164999999994</v>
      </c>
      <c r="AZ195" s="68">
        <f t="shared" ref="AZ195:BC195" si="963">AZ123</f>
        <v>65286.991999999998</v>
      </c>
      <c r="BA195" s="68">
        <f t="shared" si="963"/>
        <v>68473.202999999994</v>
      </c>
      <c r="BB195" s="68">
        <f t="shared" si="963"/>
        <v>57345.380000000005</v>
      </c>
      <c r="BC195" s="68">
        <f t="shared" si="963"/>
        <v>58252.407999999996</v>
      </c>
      <c r="BD195" s="68"/>
      <c r="BE195" s="68">
        <f t="shared" ref="BE195:BF195" si="964">BE123</f>
        <v>34312.031000000003</v>
      </c>
      <c r="BF195" s="68">
        <f t="shared" si="964"/>
        <v>37744.159</v>
      </c>
      <c r="BG195" s="68">
        <f t="shared" ref="BG195:BI195" si="965">BG123</f>
        <v>47537.851999999999</v>
      </c>
      <c r="BH195" s="68">
        <f t="shared" si="965"/>
        <v>62840.577000000005</v>
      </c>
      <c r="BI195" s="68">
        <f t="shared" si="965"/>
        <v>55420.164999999994</v>
      </c>
      <c r="BJ195" s="68"/>
      <c r="BK195" s="38"/>
      <c r="BL195" s="38"/>
      <c r="BM195" s="38"/>
      <c r="BN195" s="38"/>
      <c r="BO195" s="38"/>
      <c r="BP195" s="68"/>
      <c r="BQ195" s="11"/>
    </row>
    <row r="196" spans="2:69">
      <c r="B196" s="11" t="str">
        <f>+B127</f>
        <v>Total Cash and cash equivalents</v>
      </c>
      <c r="C196" s="67">
        <f t="shared" ref="C196:G196" si="966">C127</f>
        <v>2289.0940000000001</v>
      </c>
      <c r="D196" s="67">
        <f t="shared" si="966"/>
        <v>3190.4839999999999</v>
      </c>
      <c r="E196" s="67">
        <f t="shared" si="966"/>
        <v>3379.4630000000002</v>
      </c>
      <c r="F196" s="67">
        <f t="shared" si="966"/>
        <v>5085.058</v>
      </c>
      <c r="G196" s="67">
        <f t="shared" si="966"/>
        <v>7463.7939999999999</v>
      </c>
      <c r="H196" s="67">
        <f t="shared" ref="H196:I196" si="967">H127</f>
        <v>9419.7029999999995</v>
      </c>
      <c r="I196" s="67">
        <f t="shared" si="967"/>
        <v>9465.3310000000001</v>
      </c>
      <c r="J196" s="67">
        <f t="shared" ref="J196" si="968">J127</f>
        <v>15596.302</v>
      </c>
      <c r="K196" s="67">
        <f t="shared" ref="K196" si="969">K127</f>
        <v>11661.451999999999</v>
      </c>
      <c r="L196" s="67">
        <f t="shared" ref="L196:M196" si="970">L127</f>
        <v>16836.661</v>
      </c>
      <c r="M196" s="67">
        <f t="shared" si="970"/>
        <v>26313.587</v>
      </c>
      <c r="N196" s="67">
        <f t="shared" ref="N196:O196" si="971">N127</f>
        <v>34442.466</v>
      </c>
      <c r="O196" s="67">
        <f t="shared" si="971"/>
        <v>23325.102999999999</v>
      </c>
      <c r="P196" s="67">
        <f>P127</f>
        <v>17167.698</v>
      </c>
      <c r="R196" s="67">
        <f t="shared" ref="R196:AB196" si="972">R127</f>
        <v>3483.5129999999999</v>
      </c>
      <c r="S196" s="67">
        <f t="shared" si="972"/>
        <v>3091.7660000000001</v>
      </c>
      <c r="T196" s="67">
        <f t="shared" si="972"/>
        <v>4036.9290000000001</v>
      </c>
      <c r="U196" s="67">
        <f t="shared" si="972"/>
        <v>3379.4630000000002</v>
      </c>
      <c r="V196" s="67">
        <f t="shared" si="972"/>
        <v>3830.7570000000001</v>
      </c>
      <c r="W196" s="67">
        <f t="shared" si="972"/>
        <v>4119.0940000000001</v>
      </c>
      <c r="X196" s="67">
        <f t="shared" si="972"/>
        <v>3816.623</v>
      </c>
      <c r="Y196" s="67">
        <f t="shared" si="972"/>
        <v>5085.058</v>
      </c>
      <c r="Z196" s="67">
        <f t="shared" si="972"/>
        <v>5039.585</v>
      </c>
      <c r="AA196" s="67">
        <f t="shared" si="972"/>
        <v>6561.7280000000001</v>
      </c>
      <c r="AB196" s="67">
        <f t="shared" si="972"/>
        <v>5907.009</v>
      </c>
      <c r="AC196" s="67">
        <f t="shared" ref="AC196:AF196" si="973">AC127</f>
        <v>7463.7939999999999</v>
      </c>
      <c r="AD196" s="67">
        <f t="shared" si="973"/>
        <v>8965.1239999999998</v>
      </c>
      <c r="AE196" s="67">
        <f t="shared" si="973"/>
        <v>8768.0259999999998</v>
      </c>
      <c r="AF196" s="67">
        <f t="shared" si="973"/>
        <v>7140.5689999999995</v>
      </c>
      <c r="AG196" s="67">
        <f t="shared" ref="AG196:AH196" si="974">AG127</f>
        <v>9419.7029999999995</v>
      </c>
      <c r="AH196" s="67">
        <f t="shared" si="974"/>
        <v>9330.2209999999995</v>
      </c>
      <c r="AI196" s="67">
        <f t="shared" ref="AI196:AM196" si="975">AI127</f>
        <v>9690.1779999999999</v>
      </c>
      <c r="AJ196" s="67">
        <f t="shared" si="975"/>
        <v>9486.7569999999996</v>
      </c>
      <c r="AK196" s="67">
        <f t="shared" si="975"/>
        <v>9465.3310000000001</v>
      </c>
      <c r="AL196" s="67">
        <f t="shared" ref="AL196" si="976">AL127</f>
        <v>15596.302</v>
      </c>
      <c r="AM196" s="67">
        <f t="shared" si="975"/>
        <v>9864.6920000000009</v>
      </c>
      <c r="AN196" s="67">
        <f t="shared" ref="AN196" si="977">AN127</f>
        <v>16619.358</v>
      </c>
      <c r="AO196" s="67">
        <f t="shared" ref="AO196:AU196" si="978">AO127</f>
        <v>8761.9709999999995</v>
      </c>
      <c r="AP196" s="67">
        <f t="shared" si="978"/>
        <v>8761.9709999999995</v>
      </c>
      <c r="AQ196" s="67">
        <f t="shared" si="978"/>
        <v>9686.5150000000012</v>
      </c>
      <c r="AR196" s="67">
        <f t="shared" ref="AR196" si="979">AR127</f>
        <v>9686.5150000000012</v>
      </c>
      <c r="AS196" s="67">
        <f t="shared" si="978"/>
        <v>11661.451999999999</v>
      </c>
      <c r="AT196" s="67">
        <f t="shared" ref="AT196" si="980">AT127</f>
        <v>11661.451999999999</v>
      </c>
      <c r="AU196" s="67">
        <f t="shared" si="978"/>
        <v>12667.087</v>
      </c>
      <c r="AV196" s="67">
        <f t="shared" ref="AV196:AY196" si="981">AV127</f>
        <v>16729.509000000002</v>
      </c>
      <c r="AW196" s="67">
        <f t="shared" si="981"/>
        <v>23334.155999999999</v>
      </c>
      <c r="AX196" s="67">
        <f t="shared" si="981"/>
        <v>26313.587</v>
      </c>
      <c r="AY196" s="67">
        <f t="shared" si="981"/>
        <v>23942.696</v>
      </c>
      <c r="AZ196" s="67">
        <f t="shared" ref="AZ196:BC196" si="982">AZ127</f>
        <v>27397.409</v>
      </c>
      <c r="BA196" s="67">
        <f t="shared" si="982"/>
        <v>29576.501</v>
      </c>
      <c r="BB196" s="67">
        <f t="shared" si="982"/>
        <v>23325.102999999999</v>
      </c>
      <c r="BC196" s="67">
        <f t="shared" si="982"/>
        <v>17167.698</v>
      </c>
      <c r="BD196" s="67"/>
      <c r="BE196" s="67">
        <f t="shared" ref="BE196:BF196" si="983">BE127</f>
        <v>12667.087</v>
      </c>
      <c r="BF196" s="67">
        <f t="shared" si="983"/>
        <v>16729.509000000002</v>
      </c>
      <c r="BG196" s="67">
        <f t="shared" ref="BG196:BI196" si="984">BG127</f>
        <v>23334.155999999999</v>
      </c>
      <c r="BH196" s="67">
        <f t="shared" si="984"/>
        <v>34442.466</v>
      </c>
      <c r="BI196" s="67">
        <f t="shared" si="984"/>
        <v>23942.696</v>
      </c>
      <c r="BJ196" s="67"/>
      <c r="BK196" s="38"/>
      <c r="BL196" s="38"/>
      <c r="BM196" s="38"/>
      <c r="BN196" s="38"/>
      <c r="BO196" s="38"/>
      <c r="BP196" s="67"/>
    </row>
    <row r="197" spans="2:69" s="7" customFormat="1" ht="13.5" thickBot="1">
      <c r="B197" s="62" t="str">
        <f>+B130</f>
        <v>Net debt Incl Short term financial investments</v>
      </c>
      <c r="C197" s="65">
        <f t="shared" ref="C197:G197" si="985">C130</f>
        <v>663.76000000000022</v>
      </c>
      <c r="D197" s="65">
        <f t="shared" si="985"/>
        <v>1119.9190000000003</v>
      </c>
      <c r="E197" s="65">
        <f t="shared" si="985"/>
        <v>1866.2899999999995</v>
      </c>
      <c r="F197" s="65">
        <f t="shared" si="985"/>
        <v>792.60999999999967</v>
      </c>
      <c r="G197" s="65">
        <f t="shared" si="985"/>
        <v>1874.4570000000003</v>
      </c>
      <c r="H197" s="65">
        <f t="shared" ref="H197:I197" si="986">H130</f>
        <v>8725.7710000000025</v>
      </c>
      <c r="I197" s="65">
        <f t="shared" si="986"/>
        <v>14274.734999999999</v>
      </c>
      <c r="J197" s="65">
        <f t="shared" ref="J197" si="987">J130</f>
        <v>23520.897000000001</v>
      </c>
      <c r="K197" s="65">
        <f t="shared" ref="K197" si="988">K130</f>
        <v>18899.175000000003</v>
      </c>
      <c r="L197" s="65">
        <f t="shared" ref="L197:M197" si="989">L130</f>
        <v>27290.170999999995</v>
      </c>
      <c r="M197" s="65">
        <f t="shared" si="989"/>
        <v>21695.779000000002</v>
      </c>
      <c r="N197" s="65">
        <f t="shared" ref="N197:O197" si="990">N130</f>
        <v>28398.111000000004</v>
      </c>
      <c r="O197" s="65">
        <f t="shared" si="990"/>
        <v>34020.277000000002</v>
      </c>
      <c r="P197" s="65">
        <f>P130</f>
        <v>41084.709999999992</v>
      </c>
      <c r="R197" s="65">
        <f t="shared" ref="R197:AB197" si="991">R130</f>
        <v>1223.0800000000008</v>
      </c>
      <c r="S197" s="65">
        <f t="shared" si="991"/>
        <v>1707.2810000000004</v>
      </c>
      <c r="T197" s="65">
        <f t="shared" si="991"/>
        <v>2137.835</v>
      </c>
      <c r="U197" s="65">
        <f t="shared" si="991"/>
        <v>1866.2899999999995</v>
      </c>
      <c r="V197" s="65">
        <f t="shared" si="991"/>
        <v>1726.5450000000005</v>
      </c>
      <c r="W197" s="65">
        <f t="shared" si="991"/>
        <v>1764.2910000000002</v>
      </c>
      <c r="X197" s="65">
        <f t="shared" si="991"/>
        <v>1937.4299999999998</v>
      </c>
      <c r="Y197" s="65">
        <f t="shared" si="991"/>
        <v>792.60999999999967</v>
      </c>
      <c r="Z197" s="65">
        <f t="shared" si="991"/>
        <v>1328.1759999999995</v>
      </c>
      <c r="AA197" s="65">
        <f t="shared" si="991"/>
        <v>614.13900000000012</v>
      </c>
      <c r="AB197" s="65">
        <f t="shared" si="991"/>
        <v>2499.357</v>
      </c>
      <c r="AC197" s="65">
        <f t="shared" ref="AC197:AF197" si="992">AC130</f>
        <v>1874.4570000000003</v>
      </c>
      <c r="AD197" s="65">
        <f t="shared" si="992"/>
        <v>1578.0119999999988</v>
      </c>
      <c r="AE197" s="65">
        <f t="shared" si="992"/>
        <v>1995.7309999999998</v>
      </c>
      <c r="AF197" s="65">
        <f t="shared" si="992"/>
        <v>5557.8459999999995</v>
      </c>
      <c r="AG197" s="65">
        <f t="shared" ref="AG197:AH197" si="993">AG130</f>
        <v>1996.2270000000008</v>
      </c>
      <c r="AH197" s="65">
        <f t="shared" si="993"/>
        <v>10514.033999999998</v>
      </c>
      <c r="AI197" s="65">
        <f t="shared" ref="AI197:AM197" si="994">AI130</f>
        <v>12380.402999999998</v>
      </c>
      <c r="AJ197" s="65">
        <f t="shared" si="994"/>
        <v>14728.721000000003</v>
      </c>
      <c r="AK197" s="65">
        <f t="shared" si="994"/>
        <v>14274.734999999999</v>
      </c>
      <c r="AL197" s="65">
        <f t="shared" ref="AL197" si="995">AL130</f>
        <v>23520.897000000001</v>
      </c>
      <c r="AM197" s="65">
        <f t="shared" si="994"/>
        <v>15335.621000000001</v>
      </c>
      <c r="AN197" s="65">
        <f t="shared" ref="AN197" si="996">AN130</f>
        <v>8580.9550000000017</v>
      </c>
      <c r="AO197" s="65">
        <f t="shared" ref="AO197:AU197" si="997">AO130</f>
        <v>19841.165000000001</v>
      </c>
      <c r="AP197" s="65">
        <f t="shared" si="997"/>
        <v>19841.165000000001</v>
      </c>
      <c r="AQ197" s="65">
        <f t="shared" si="997"/>
        <v>18885.038999999997</v>
      </c>
      <c r="AR197" s="65">
        <f t="shared" ref="AR197" si="998">AR130</f>
        <v>18885.038999999997</v>
      </c>
      <c r="AS197" s="65">
        <f t="shared" si="997"/>
        <v>18899.175000000003</v>
      </c>
      <c r="AT197" s="65">
        <f t="shared" ref="AT197" si="999">AT130</f>
        <v>18899.175000000003</v>
      </c>
      <c r="AU197" s="65">
        <f t="shared" si="997"/>
        <v>21644.944000000003</v>
      </c>
      <c r="AV197" s="65">
        <f t="shared" ref="AV197:AY197" si="1000">AV130</f>
        <v>21014.649999999998</v>
      </c>
      <c r="AW197" s="65">
        <f t="shared" si="1000"/>
        <v>24203.696</v>
      </c>
      <c r="AX197" s="65">
        <f t="shared" si="1000"/>
        <v>21695.779000000002</v>
      </c>
      <c r="AY197" s="65">
        <f t="shared" si="1000"/>
        <v>31477.468999999994</v>
      </c>
      <c r="AZ197" s="65">
        <f t="shared" ref="AZ197:BC197" si="1001">AZ130</f>
        <v>37889.582999999999</v>
      </c>
      <c r="BA197" s="65">
        <f t="shared" si="1001"/>
        <v>38896.70199999999</v>
      </c>
      <c r="BB197" s="65">
        <f t="shared" si="1001"/>
        <v>34020.277000000002</v>
      </c>
      <c r="BC197" s="65">
        <f t="shared" si="1001"/>
        <v>41084.709999999992</v>
      </c>
      <c r="BD197" s="68"/>
      <c r="BE197" s="65">
        <f t="shared" ref="BE197:BF197" si="1002">BE130</f>
        <v>21644.944000000003</v>
      </c>
      <c r="BF197" s="65">
        <f t="shared" si="1002"/>
        <v>21014.649999999998</v>
      </c>
      <c r="BG197" s="65">
        <f t="shared" ref="BG197:BI197" si="1003">BG130</f>
        <v>24203.696</v>
      </c>
      <c r="BH197" s="65">
        <f t="shared" si="1003"/>
        <v>28398.111000000004</v>
      </c>
      <c r="BI197" s="65">
        <f t="shared" si="1003"/>
        <v>31477.468999999994</v>
      </c>
      <c r="BJ197" s="68"/>
      <c r="BK197" s="38"/>
      <c r="BL197" s="38"/>
      <c r="BM197" s="38"/>
      <c r="BN197" s="38"/>
      <c r="BO197" s="38"/>
      <c r="BP197" s="68"/>
      <c r="BQ197" s="11"/>
    </row>
    <row r="198" spans="2:69" ht="15.75" thickTop="1"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38"/>
      <c r="BL198" s="38"/>
      <c r="BM198" s="38"/>
      <c r="BN198" s="38"/>
      <c r="BO198" s="38"/>
      <c r="BP198" s="69"/>
    </row>
    <row r="199" spans="2:69">
      <c r="B199" s="11" t="str">
        <f>+B139</f>
        <v>Gross Leverage including lease obligations</v>
      </c>
      <c r="C199" s="57">
        <f t="shared" ref="C199:F199" si="1004">+C139</f>
        <v>5.1327203198331315</v>
      </c>
      <c r="D199" s="57">
        <f t="shared" si="1004"/>
        <v>5.8757497355478252</v>
      </c>
      <c r="E199" s="57">
        <f t="shared" si="1004"/>
        <v>5.5855320879757402</v>
      </c>
      <c r="F199" s="57">
        <f t="shared" si="1004"/>
        <v>4.5090531374134457</v>
      </c>
      <c r="G199" s="57">
        <f t="shared" ref="G199:H199" si="1005">+G139</f>
        <v>5.7602562868873495</v>
      </c>
      <c r="H199" s="57">
        <f t="shared" si="1005"/>
        <v>7.7932458010126453</v>
      </c>
      <c r="I199" s="57">
        <f t="shared" ref="I199:K199" si="1006">+I139</f>
        <v>4.3424135374640045</v>
      </c>
      <c r="J199" s="57">
        <f t="shared" ref="J199" si="1007">+J139</f>
        <v>5.8358575871208087</v>
      </c>
      <c r="K199" s="57">
        <f t="shared" si="1006"/>
        <v>2.8829180985054794</v>
      </c>
      <c r="L199" s="57">
        <f t="shared" ref="L199:M199" si="1008">+L139</f>
        <v>2.883164644440682</v>
      </c>
      <c r="M199" s="57">
        <f t="shared" si="1008"/>
        <v>3.0783216545572234</v>
      </c>
      <c r="N199" s="57">
        <f t="shared" ref="N199:O199" si="1009">+N139</f>
        <v>3.0783215992586235</v>
      </c>
      <c r="O199" s="57">
        <f t="shared" si="1009"/>
        <v>3.1138827533849982</v>
      </c>
      <c r="P199" s="57">
        <f>+P139</f>
        <v>3.2252546544729572</v>
      </c>
      <c r="R199" s="105"/>
      <c r="S199" s="105"/>
      <c r="T199" s="105"/>
      <c r="U199" s="57">
        <f t="shared" ref="U199:AB199" si="1010">+U139</f>
        <v>5.5855320879757402</v>
      </c>
      <c r="V199" s="57">
        <f t="shared" si="1010"/>
        <v>5.3211595801520133</v>
      </c>
      <c r="W199" s="57">
        <f t="shared" si="1010"/>
        <v>5.0604104487240136</v>
      </c>
      <c r="X199" s="57">
        <f t="shared" si="1010"/>
        <v>4.6335084773742077</v>
      </c>
      <c r="Y199" s="57">
        <f t="shared" si="1010"/>
        <v>4.5090531374134457</v>
      </c>
      <c r="Z199" s="57">
        <f t="shared" si="1010"/>
        <v>4.5861215641508553</v>
      </c>
      <c r="AA199" s="57">
        <f t="shared" si="1010"/>
        <v>4.9499183965719666</v>
      </c>
      <c r="AB199" s="57">
        <f t="shared" si="1010"/>
        <v>5.5250624877998442</v>
      </c>
      <c r="AC199" s="57">
        <f t="shared" ref="AC199:AF200" si="1011">+AC139</f>
        <v>5.7602562868873495</v>
      </c>
      <c r="AD199" s="57">
        <f t="shared" si="1011"/>
        <v>6.337973185242805</v>
      </c>
      <c r="AE199" s="57">
        <f t="shared" si="1011"/>
        <v>6.5819447383000291</v>
      </c>
      <c r="AF199" s="57">
        <f t="shared" si="1011"/>
        <v>6.5605049636156503</v>
      </c>
      <c r="AG199" s="57">
        <f t="shared" ref="AG199:AH199" si="1012">+AG139</f>
        <v>4.9029939111623255</v>
      </c>
      <c r="AH199" s="57">
        <f t="shared" si="1012"/>
        <v>6.3695617564152185</v>
      </c>
      <c r="AI199" s="57">
        <f t="shared" ref="AI199:AM199" si="1013">+AI139</f>
        <v>5.6617146565799983</v>
      </c>
      <c r="AJ199" s="57">
        <f t="shared" si="1013"/>
        <v>5.4229681626656792</v>
      </c>
      <c r="AK199" s="57">
        <f t="shared" si="1013"/>
        <v>4.3424135374640045</v>
      </c>
      <c r="AL199" s="57">
        <f t="shared" ref="AL199" si="1014">+AL139</f>
        <v>6.3987503549663227</v>
      </c>
      <c r="AM199" s="57">
        <f t="shared" si="1013"/>
        <v>3.8383456631040564</v>
      </c>
      <c r="AN199" s="57">
        <f t="shared" ref="AN199" si="1015">+AN139</f>
        <v>2.9855629682951377</v>
      </c>
      <c r="AO199" s="57">
        <f t="shared" ref="AO199:AU199" si="1016">+AO139</f>
        <v>3.1018140152353948</v>
      </c>
      <c r="AP199" s="57">
        <f t="shared" si="1016"/>
        <v>3.0908495597751235</v>
      </c>
      <c r="AQ199" s="57">
        <f t="shared" si="1016"/>
        <v>3.2610241044712747</v>
      </c>
      <c r="AR199" s="57">
        <f t="shared" ref="AR199" si="1017">+AR139</f>
        <v>2.1191487196572876</v>
      </c>
      <c r="AS199" s="57">
        <f t="shared" si="1016"/>
        <v>2.8829180985054794</v>
      </c>
      <c r="AT199" s="57">
        <f t="shared" ref="AT199" si="1018">+AT139</f>
        <v>1.9967741912299377</v>
      </c>
      <c r="AU199" s="57">
        <f t="shared" si="1016"/>
        <v>2.1750651371579166</v>
      </c>
      <c r="AV199" s="57">
        <f t="shared" ref="AV199:AX199" si="1019">+AV139</f>
        <v>3.1862495306413527</v>
      </c>
      <c r="AW199" s="57">
        <f t="shared" si="1019"/>
        <v>4.2702138050914131</v>
      </c>
      <c r="AX199" s="57">
        <f t="shared" si="1019"/>
        <v>3.0783216545572234</v>
      </c>
      <c r="AY199" s="57">
        <f>+AY139</f>
        <v>3.2527108141513272</v>
      </c>
      <c r="AZ199" s="57">
        <f t="shared" ref="AZ199:BB199" si="1020">+AZ139</f>
        <v>3.7382495517071717</v>
      </c>
      <c r="BA199" s="57">
        <f t="shared" si="1020"/>
        <v>3.5837252680484881</v>
      </c>
      <c r="BB199" s="57">
        <f t="shared" si="1020"/>
        <v>3.1138827533849982</v>
      </c>
      <c r="BC199" s="57">
        <f>+BC139</f>
        <v>3.2252546544729572</v>
      </c>
      <c r="BD199" s="57"/>
      <c r="BE199" s="57">
        <f t="shared" ref="BE199:BF199" si="1021">+BE139</f>
        <v>1.981586771846062</v>
      </c>
      <c r="BF199" s="57">
        <f t="shared" si="1021"/>
        <v>2.0454477787903937</v>
      </c>
      <c r="BG199" s="57">
        <f t="shared" ref="BG199:BI199" si="1022">+BG139</f>
        <v>2.529370785532814</v>
      </c>
      <c r="BH199" s="57">
        <f t="shared" si="1022"/>
        <v>3.0783215992586235</v>
      </c>
      <c r="BI199" s="57">
        <f t="shared" si="1022"/>
        <v>2.5180935752955667</v>
      </c>
      <c r="BJ199" s="57"/>
      <c r="BK199" s="38"/>
      <c r="BL199" s="38"/>
      <c r="BM199" s="38"/>
      <c r="BN199" s="38"/>
      <c r="BO199" s="38"/>
      <c r="BP199" s="57"/>
    </row>
    <row r="200" spans="2:69">
      <c r="B200" s="11" t="str">
        <f>+B140</f>
        <v>Gross Leverage excluding lease obligations</v>
      </c>
      <c r="C200" s="57">
        <f t="shared" ref="C200:F200" si="1023">+C140</f>
        <v>5.1325951677385717</v>
      </c>
      <c r="D200" s="57">
        <f t="shared" si="1023"/>
        <v>5.8757497355478252</v>
      </c>
      <c r="E200" s="57">
        <f t="shared" si="1023"/>
        <v>5.5855320879757402</v>
      </c>
      <c r="F200" s="57">
        <f t="shared" si="1023"/>
        <v>4.4609888870647758</v>
      </c>
      <c r="G200" s="57">
        <f t="shared" ref="G200:H200" si="1024">+G140</f>
        <v>5.7295182684905548</v>
      </c>
      <c r="H200" s="57">
        <f t="shared" si="1024"/>
        <v>7.7797809530231392</v>
      </c>
      <c r="I200" s="57">
        <f t="shared" ref="I200:K200" si="1025">+I140</f>
        <v>4.3404834186662171</v>
      </c>
      <c r="J200" s="57">
        <f t="shared" ref="J200" si="1026">+J140</f>
        <v>5.8332634879951311</v>
      </c>
      <c r="K200" s="57">
        <f t="shared" si="1025"/>
        <v>2.8826715084106658</v>
      </c>
      <c r="L200" s="57">
        <f t="shared" ref="L200:M200" si="1027">+L140</f>
        <v>2.8829179276653334</v>
      </c>
      <c r="M200" s="57">
        <f t="shared" si="1027"/>
        <v>3.0782321441681515</v>
      </c>
      <c r="N200" s="57">
        <f t="shared" ref="N200:O200" si="1028">+N140</f>
        <v>3.0782321014559244</v>
      </c>
      <c r="O200" s="57">
        <f t="shared" si="1028"/>
        <v>3.1138827533849982</v>
      </c>
      <c r="P200" s="57">
        <f>+P140</f>
        <v>3.2252546544729572</v>
      </c>
      <c r="R200" s="106"/>
      <c r="S200" s="106"/>
      <c r="T200" s="106"/>
      <c r="U200" s="57">
        <f t="shared" ref="U200:AB200" si="1029">+U140</f>
        <v>5.5855320879757402</v>
      </c>
      <c r="V200" s="57">
        <f t="shared" si="1029"/>
        <v>5.3211595801520133</v>
      </c>
      <c r="W200" s="57">
        <f t="shared" si="1029"/>
        <v>5.001660889534933</v>
      </c>
      <c r="X200" s="57">
        <f t="shared" si="1029"/>
        <v>4.5807124134848829</v>
      </c>
      <c r="Y200" s="57">
        <f t="shared" si="1029"/>
        <v>4.4609888870647758</v>
      </c>
      <c r="Z200" s="57">
        <f t="shared" si="1029"/>
        <v>4.5423609185551159</v>
      </c>
      <c r="AA200" s="57">
        <f t="shared" si="1029"/>
        <v>4.9103541850900951</v>
      </c>
      <c r="AB200" s="57">
        <f t="shared" si="1029"/>
        <v>5.4903887421401425</v>
      </c>
      <c r="AC200" s="57">
        <f t="shared" ref="AC200:AE200" si="1030">+AC140</f>
        <v>5.7295182684905548</v>
      </c>
      <c r="AD200" s="57">
        <f t="shared" si="1030"/>
        <v>6.3105019756691805</v>
      </c>
      <c r="AE200" s="57">
        <f t="shared" si="1030"/>
        <v>6.5567268333429132</v>
      </c>
      <c r="AF200" s="57">
        <f t="shared" si="1011"/>
        <v>6.5416760307607253</v>
      </c>
      <c r="AG200" s="57">
        <f t="shared" ref="AG200:AH200" si="1031">+AG140</f>
        <v>4.8895290631728185</v>
      </c>
      <c r="AH200" s="57">
        <f t="shared" si="1031"/>
        <v>6.3612493989694041</v>
      </c>
      <c r="AI200" s="57">
        <f t="shared" ref="AI200:AM200" si="1032">+AI140</f>
        <v>5.656568455049297</v>
      </c>
      <c r="AJ200" s="57">
        <f t="shared" si="1032"/>
        <v>5.4198730000190363</v>
      </c>
      <c r="AK200" s="57">
        <f t="shared" si="1032"/>
        <v>4.3404834186662171</v>
      </c>
      <c r="AL200" s="57">
        <f t="shared" ref="AL200" si="1033">+AL140</f>
        <v>6.3959060441767868</v>
      </c>
      <c r="AM200" s="57">
        <f t="shared" si="1032"/>
        <v>3.8378514060812656</v>
      </c>
      <c r="AN200" s="57">
        <f t="shared" ref="AN200" si="1034">+AN140</f>
        <v>2.9851785226006688</v>
      </c>
      <c r="AO200" s="57">
        <f t="shared" ref="AO200:AU200" si="1035">+AO140</f>
        <v>3.1014821792127076</v>
      </c>
      <c r="AP200" s="57">
        <f t="shared" si="1035"/>
        <v>3.0905188967438768</v>
      </c>
      <c r="AQ200" s="57">
        <f t="shared" si="1035"/>
        <v>3.2606981339328027</v>
      </c>
      <c r="AR200" s="57">
        <f t="shared" ref="AR200" si="1036">+AR140</f>
        <v>2.1189368904812005</v>
      </c>
      <c r="AS200" s="57">
        <f t="shared" si="1035"/>
        <v>2.8826715084106658</v>
      </c>
      <c r="AT200" s="57">
        <f t="shared" ref="AT200" si="1037">+AT140</f>
        <v>1.9966033973605619</v>
      </c>
      <c r="AU200" s="57">
        <f t="shared" si="1035"/>
        <v>2.174915725176787</v>
      </c>
      <c r="AV200" s="57">
        <f t="shared" ref="AV200:AY200" si="1038">+AV140</f>
        <v>3.1860747874041695</v>
      </c>
      <c r="AW200" s="57">
        <f t="shared" si="1038"/>
        <v>4.2700564270385195</v>
      </c>
      <c r="AX200" s="57">
        <f t="shared" si="1038"/>
        <v>3.0782321441681515</v>
      </c>
      <c r="AY200" s="57">
        <f t="shared" si="1038"/>
        <v>3.2526524157820678</v>
      </c>
      <c r="AZ200" s="57">
        <f t="shared" ref="AZ200:BC200" si="1039">+AZ140</f>
        <v>3.7382179448940938</v>
      </c>
      <c r="BA200" s="57">
        <f t="shared" si="1039"/>
        <v>3.5837223371411229</v>
      </c>
      <c r="BB200" s="57">
        <f t="shared" si="1039"/>
        <v>3.1138827533849982</v>
      </c>
      <c r="BC200" s="57">
        <f t="shared" si="1039"/>
        <v>3.2252546544729572</v>
      </c>
      <c r="BD200" s="57"/>
      <c r="BE200" s="57">
        <f t="shared" ref="BE200:BF200" si="1040">+BE140</f>
        <v>1.9814506504948879</v>
      </c>
      <c r="BF200" s="57">
        <f t="shared" si="1040"/>
        <v>2.045335600455672</v>
      </c>
      <c r="BG200" s="57">
        <f t="shared" ref="BG200:BI200" si="1041">+BG140</f>
        <v>2.5292775659734561</v>
      </c>
      <c r="BH200" s="57">
        <f t="shared" si="1041"/>
        <v>3.0782321014559244</v>
      </c>
      <c r="BI200" s="57">
        <f t="shared" si="1041"/>
        <v>2.5180483660633781</v>
      </c>
      <c r="BJ200" s="57"/>
      <c r="BK200" s="38"/>
      <c r="BL200" s="38"/>
      <c r="BM200" s="38"/>
      <c r="BN200" s="38"/>
      <c r="BO200" s="38"/>
      <c r="BP200" s="57"/>
    </row>
    <row r="201" spans="2:69"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R201" s="106"/>
      <c r="S201" s="106"/>
      <c r="T201" s="106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38"/>
      <c r="BL201" s="38"/>
      <c r="BM201" s="38"/>
      <c r="BN201" s="38"/>
      <c r="BO201" s="38"/>
      <c r="BP201" s="69"/>
    </row>
    <row r="202" spans="2:69" s="7" customFormat="1" ht="12.75">
      <c r="B202" s="11" t="str">
        <f>+B142</f>
        <v>Net Leverage Inc ST Financial Investment (incl lease)</v>
      </c>
      <c r="C202" s="57">
        <f t="shared" ref="C202:F202" si="1042">+C142</f>
        <v>1.1537632539544591</v>
      </c>
      <c r="D202" s="57">
        <f t="shared" si="1042"/>
        <v>1.5266237908810352</v>
      </c>
      <c r="E202" s="57">
        <f t="shared" si="1042"/>
        <v>1.9871737537905885</v>
      </c>
      <c r="F202" s="57">
        <f t="shared" si="1042"/>
        <v>0.60805077919427741</v>
      </c>
      <c r="G202" s="57">
        <f t="shared" ref="G202:H202" si="1043">+G142</f>
        <v>1.1562500000000002</v>
      </c>
      <c r="H202" s="57">
        <f t="shared" si="1043"/>
        <v>3.7476055024160804</v>
      </c>
      <c r="I202" s="57">
        <f t="shared" ref="I202:K202" si="1044">+I142</f>
        <v>2.6110627707484571</v>
      </c>
      <c r="J202" s="57">
        <f t="shared" ref="J202" si="1045">+J142</f>
        <v>3.5090601761475066</v>
      </c>
      <c r="K202" s="57">
        <f t="shared" si="1044"/>
        <v>1.7828421404548505</v>
      </c>
      <c r="L202" s="57">
        <f t="shared" ref="L202:M202" si="1046">+L142</f>
        <v>1.7830887150008958</v>
      </c>
      <c r="M202" s="57">
        <f t="shared" si="1046"/>
        <v>1.391115773288651</v>
      </c>
      <c r="N202" s="57">
        <f t="shared" ref="N202:O202" si="1047">+N142</f>
        <v>1.3911157828713749</v>
      </c>
      <c r="O202" s="57">
        <f t="shared" si="1047"/>
        <v>1.8473180196151866</v>
      </c>
      <c r="P202" s="57">
        <f>+P142</f>
        <v>2.2747326111423862</v>
      </c>
      <c r="R202" s="105"/>
      <c r="S202" s="105"/>
      <c r="T202" s="105"/>
      <c r="U202" s="57">
        <f t="shared" ref="U202:AB202" si="1048">+U142</f>
        <v>1.9871737537905885</v>
      </c>
      <c r="V202" s="57">
        <f t="shared" si="1048"/>
        <v>1.6531801703980744</v>
      </c>
      <c r="W202" s="57">
        <f t="shared" si="1048"/>
        <v>1.5174999784970282</v>
      </c>
      <c r="X202" s="57">
        <f t="shared" si="1048"/>
        <v>1.5601348005169766</v>
      </c>
      <c r="Y202" s="57">
        <f t="shared" si="1048"/>
        <v>0.60805077919427741</v>
      </c>
      <c r="Z202" s="57">
        <f t="shared" si="1048"/>
        <v>0.95656488906974113</v>
      </c>
      <c r="AA202" s="57">
        <f t="shared" si="1048"/>
        <v>0.42363353921586222</v>
      </c>
      <c r="AB202" s="57">
        <f t="shared" si="1048"/>
        <v>1.64269597639693</v>
      </c>
      <c r="AC202" s="57">
        <f t="shared" ref="AC202:AF203" si="1049">+AC142</f>
        <v>1.1562500000000002</v>
      </c>
      <c r="AD202" s="57">
        <f t="shared" si="1049"/>
        <v>0.94861697145814705</v>
      </c>
      <c r="AE202" s="57">
        <f t="shared" si="1049"/>
        <v>1.2203723248780378</v>
      </c>
      <c r="AF202" s="57">
        <f t="shared" si="1049"/>
        <v>2.8714037358214699</v>
      </c>
      <c r="AG202" s="57">
        <f t="shared" ref="AG202:AH202" si="1050">+AG142</f>
        <v>0.85735361256576015</v>
      </c>
      <c r="AH202" s="57">
        <f t="shared" si="1050"/>
        <v>3.3747696183126714</v>
      </c>
      <c r="AI202" s="57">
        <f t="shared" ref="AI202:AM202" si="1051">+AI142</f>
        <v>3.1759158999696009</v>
      </c>
      <c r="AJ202" s="57">
        <f t="shared" si="1051"/>
        <v>3.298443460822265</v>
      </c>
      <c r="AK202" s="57">
        <f t="shared" si="1051"/>
        <v>2.6110627707484571</v>
      </c>
      <c r="AL202" s="57">
        <f t="shared" ref="AL202" si="1052">+AL142</f>
        <v>3.847523643701491</v>
      </c>
      <c r="AM202" s="57">
        <f t="shared" si="1051"/>
        <v>2.3358207636689867</v>
      </c>
      <c r="AN202" s="57">
        <f t="shared" ref="AN202" si="1053">+AN142</f>
        <v>1.0166136222437796</v>
      </c>
      <c r="AO202" s="57">
        <f t="shared" ref="AO202:AU202" si="1054">+AO142</f>
        <v>2.1516383264967165</v>
      </c>
      <c r="AP202" s="57">
        <f t="shared" si="1054"/>
        <v>2.144032602078163</v>
      </c>
      <c r="AQ202" s="57">
        <f t="shared" si="1054"/>
        <v>2.1554503963235634</v>
      </c>
      <c r="AR202" s="57">
        <f t="shared" ref="AR202" si="1055">+AR142</f>
        <v>1.4007010685357868</v>
      </c>
      <c r="AS202" s="57">
        <f t="shared" si="1054"/>
        <v>1.7828421404548505</v>
      </c>
      <c r="AT202" s="57">
        <f t="shared" ref="AT202" si="1056">+AT142</f>
        <v>1.2348367353699274</v>
      </c>
      <c r="AU202" s="57">
        <f t="shared" si="1054"/>
        <v>1.3720890812361246</v>
      </c>
      <c r="AV202" s="57">
        <f t="shared" ref="AV202:AY202" si="1057">+AV142</f>
        <v>1.7739941880568144</v>
      </c>
      <c r="AW202" s="57">
        <f t="shared" si="1057"/>
        <v>2.1741612724410819</v>
      </c>
      <c r="AX202" s="57">
        <f t="shared" si="1057"/>
        <v>1.391115773288651</v>
      </c>
      <c r="AY202" s="57">
        <f t="shared" si="1057"/>
        <v>1.8474702090550101</v>
      </c>
      <c r="AZ202" s="57">
        <f t="shared" ref="AZ202:BC202" si="1058">+AZ142</f>
        <v>2.1695089990379963</v>
      </c>
      <c r="BA202" s="57">
        <f t="shared" si="1058"/>
        <v>2.035761256869379</v>
      </c>
      <c r="BB202" s="57">
        <f t="shared" si="1058"/>
        <v>1.8473180196151866</v>
      </c>
      <c r="BC202" s="57">
        <f t="shared" si="1058"/>
        <v>2.2747326111423862</v>
      </c>
      <c r="BD202" s="57"/>
      <c r="BE202" s="57">
        <f t="shared" ref="BE202:BF202" si="1059">+BE142</f>
        <v>1.2500377697766942</v>
      </c>
      <c r="BF202" s="57">
        <f t="shared" si="1059"/>
        <v>1.1388349960203787</v>
      </c>
      <c r="BG202" s="57">
        <f t="shared" ref="BG202:BI202" si="1060">+BG142</f>
        <v>1.2878184223451541</v>
      </c>
      <c r="BH202" s="57">
        <f t="shared" si="1060"/>
        <v>1.3911157828713749</v>
      </c>
      <c r="BI202" s="57">
        <f t="shared" si="1060"/>
        <v>1.4302233213391797</v>
      </c>
      <c r="BJ202" s="57"/>
      <c r="BK202" s="38"/>
      <c r="BL202" s="38"/>
      <c r="BM202" s="38"/>
      <c r="BN202" s="38"/>
      <c r="BO202" s="38"/>
      <c r="BP202" s="57"/>
      <c r="BQ202" s="11"/>
    </row>
    <row r="203" spans="2:69">
      <c r="B203" s="11" t="str">
        <f>+B143</f>
        <v>Net Leverage Inc ST Financial Investment (excl lease)</v>
      </c>
      <c r="C203" s="57">
        <f t="shared" ref="C203:F203" si="1061">+C143</f>
        <v>1.1536381018598996</v>
      </c>
      <c r="D203" s="57">
        <f t="shared" si="1061"/>
        <v>1.5266237908810352</v>
      </c>
      <c r="E203" s="57">
        <f t="shared" si="1061"/>
        <v>1.9871737537905885</v>
      </c>
      <c r="F203" s="57">
        <f t="shared" si="1061"/>
        <v>0.55998652884560773</v>
      </c>
      <c r="G203" s="57">
        <f t="shared" ref="G203:H203" si="1062">+G143</f>
        <v>1.1255119816032058</v>
      </c>
      <c r="H203" s="57">
        <f t="shared" si="1062"/>
        <v>3.7341406544265734</v>
      </c>
      <c r="I203" s="57">
        <f t="shared" ref="I203:K203" si="1063">+I143</f>
        <v>2.6091326519506692</v>
      </c>
      <c r="J203" s="57">
        <f t="shared" ref="J203" si="1064">+J143</f>
        <v>3.506466077021829</v>
      </c>
      <c r="K203" s="57">
        <f t="shared" si="1063"/>
        <v>1.7825955503600368</v>
      </c>
      <c r="L203" s="57">
        <f t="shared" ref="L203:M203" si="1065">+L143</f>
        <v>1.7828419982255466</v>
      </c>
      <c r="M203" s="57">
        <f t="shared" si="1065"/>
        <v>1.3910262628995789</v>
      </c>
      <c r="N203" s="57">
        <f t="shared" ref="N203:O203" si="1066">+N143</f>
        <v>1.3910262850686756</v>
      </c>
      <c r="O203" s="57">
        <f t="shared" si="1066"/>
        <v>1.8473180196151866</v>
      </c>
      <c r="P203" s="57">
        <f>+P143</f>
        <v>2.2747326111423862</v>
      </c>
      <c r="R203" s="106"/>
      <c r="S203" s="106"/>
      <c r="T203" s="106"/>
      <c r="U203" s="57">
        <f t="shared" ref="U203:AB203" si="1067">+U143</f>
        <v>1.9871737537905885</v>
      </c>
      <c r="V203" s="57">
        <f t="shared" si="1067"/>
        <v>1.6531801703980744</v>
      </c>
      <c r="W203" s="57">
        <f t="shared" si="1067"/>
        <v>1.4587504193079484</v>
      </c>
      <c r="X203" s="57">
        <f t="shared" si="1067"/>
        <v>1.5073387366276516</v>
      </c>
      <c r="Y203" s="57">
        <f t="shared" si="1067"/>
        <v>0.55998652884560773</v>
      </c>
      <c r="Z203" s="57">
        <f t="shared" si="1067"/>
        <v>0.91280424347400191</v>
      </c>
      <c r="AA203" s="57">
        <f t="shared" si="1067"/>
        <v>0.38406932773399088</v>
      </c>
      <c r="AB203" s="57">
        <f t="shared" si="1067"/>
        <v>1.6080222307372278</v>
      </c>
      <c r="AC203" s="57">
        <f t="shared" ref="AC203:AE203" si="1068">+AC143</f>
        <v>1.1255119816032058</v>
      </c>
      <c r="AD203" s="57">
        <f t="shared" si="1068"/>
        <v>0.92114576188452246</v>
      </c>
      <c r="AE203" s="57">
        <f t="shared" si="1068"/>
        <v>1.1951544199209219</v>
      </c>
      <c r="AF203" s="57">
        <f t="shared" si="1049"/>
        <v>2.852574802966545</v>
      </c>
      <c r="AG203" s="57">
        <f t="shared" ref="AG203:AH203" si="1069">+AG143</f>
        <v>0.84388876457625339</v>
      </c>
      <c r="AH203" s="57">
        <f t="shared" si="1069"/>
        <v>3.366457260866857</v>
      </c>
      <c r="AI203" s="57">
        <f t="shared" ref="AI203:AM203" si="1070">+AI143</f>
        <v>3.1707696984389004</v>
      </c>
      <c r="AJ203" s="57">
        <f t="shared" si="1070"/>
        <v>3.2953482981756221</v>
      </c>
      <c r="AK203" s="57">
        <f t="shared" si="1070"/>
        <v>2.6091326519506692</v>
      </c>
      <c r="AL203" s="57">
        <f t="shared" ref="AL203" si="1071">+AL143</f>
        <v>3.8446793329119546</v>
      </c>
      <c r="AM203" s="57">
        <f t="shared" si="1070"/>
        <v>2.3353265066461959</v>
      </c>
      <c r="AN203" s="57">
        <f t="shared" ref="AN203" si="1072">+AN143</f>
        <v>1.0162291765493106</v>
      </c>
      <c r="AO203" s="57">
        <f t="shared" ref="AO203:AU203" si="1073">+AO143</f>
        <v>2.1513064904740289</v>
      </c>
      <c r="AP203" s="57">
        <f t="shared" si="1073"/>
        <v>2.1437019390469167</v>
      </c>
      <c r="AQ203" s="57">
        <f t="shared" si="1073"/>
        <v>2.155124425785091</v>
      </c>
      <c r="AR203" s="57">
        <f t="shared" ref="AR203" si="1074">+AR143</f>
        <v>1.4004892393596999</v>
      </c>
      <c r="AS203" s="57">
        <f t="shared" si="1073"/>
        <v>1.7825955503600368</v>
      </c>
      <c r="AT203" s="57">
        <f t="shared" ref="AT203" si="1075">+AT143</f>
        <v>1.2346659415005516</v>
      </c>
      <c r="AU203" s="57">
        <f t="shared" si="1073"/>
        <v>1.3719396692549954</v>
      </c>
      <c r="AV203" s="57">
        <f t="shared" ref="AV203:AY203" si="1076">+AV143</f>
        <v>1.7738194448196309</v>
      </c>
      <c r="AW203" s="57">
        <f t="shared" si="1076"/>
        <v>2.1740038943881879</v>
      </c>
      <c r="AX203" s="57">
        <f t="shared" si="1076"/>
        <v>1.3910262628995789</v>
      </c>
      <c r="AY203" s="57">
        <f t="shared" si="1076"/>
        <v>1.8474118106857509</v>
      </c>
      <c r="AZ203" s="57">
        <f t="shared" ref="AZ203:BC203" si="1077">+AZ143</f>
        <v>2.1694773922249184</v>
      </c>
      <c r="BA203" s="57">
        <f t="shared" si="1077"/>
        <v>2.0357583259620138</v>
      </c>
      <c r="BB203" s="57">
        <f t="shared" si="1077"/>
        <v>1.8473180196151866</v>
      </c>
      <c r="BC203" s="57">
        <f t="shared" si="1077"/>
        <v>2.2747326111423862</v>
      </c>
      <c r="BD203" s="57"/>
      <c r="BE203" s="57">
        <f t="shared" ref="BE203:BF203" si="1078">+BE143</f>
        <v>1.2499016484255203</v>
      </c>
      <c r="BF203" s="57">
        <f t="shared" si="1078"/>
        <v>1.138722817685657</v>
      </c>
      <c r="BG203" s="57">
        <f t="shared" ref="BG203:BI203" si="1079">+BG143</f>
        <v>1.2877252027857964</v>
      </c>
      <c r="BH203" s="57">
        <f t="shared" si="1079"/>
        <v>1.3910262850686756</v>
      </c>
      <c r="BI203" s="57">
        <f t="shared" si="1079"/>
        <v>1.4301781121069912</v>
      </c>
      <c r="BJ203" s="57"/>
      <c r="BK203" s="38"/>
      <c r="BL203" s="38"/>
      <c r="BM203" s="38"/>
      <c r="BN203" s="38"/>
      <c r="BO203" s="38"/>
      <c r="BP203" s="57"/>
    </row>
    <row r="204" spans="2:69"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R204" s="106"/>
      <c r="S204" s="106"/>
      <c r="T204" s="106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38"/>
      <c r="BL204" s="38"/>
      <c r="BM204" s="38"/>
      <c r="BN204" s="38"/>
      <c r="BO204" s="38"/>
      <c r="BP204" s="69"/>
    </row>
    <row r="205" spans="2:69" s="7" customFormat="1" ht="12.75">
      <c r="B205" s="11" t="str">
        <f>+B145</f>
        <v>Net Leverage Exc ST Financial Investment (incl lease)</v>
      </c>
      <c r="C205" s="57">
        <f t="shared" ref="C205:F205" si="1080">+C145</f>
        <v>1.1550756127237969</v>
      </c>
      <c r="D205" s="57">
        <f t="shared" si="1080"/>
        <v>1.5274675841612237</v>
      </c>
      <c r="E205" s="57">
        <f t="shared" si="1080"/>
        <v>1.9879212238917847</v>
      </c>
      <c r="F205" s="57">
        <f t="shared" si="1080"/>
        <v>2.9535805192991926</v>
      </c>
      <c r="G205" s="57">
        <f t="shared" ref="G205:H205" si="1081">+G145</f>
        <v>3.4012424498134664</v>
      </c>
      <c r="H205" s="57">
        <f t="shared" si="1081"/>
        <v>6.5027085599772212</v>
      </c>
      <c r="I205" s="57">
        <f t="shared" ref="I205:K205" si="1082">+I145</f>
        <v>2.6495658238737327</v>
      </c>
      <c r="J205" s="57">
        <f t="shared" ref="J205" si="1083">+J145</f>
        <v>3.5608052031171562</v>
      </c>
      <c r="K205" s="57">
        <f t="shared" si="1082"/>
        <v>1.7832411749235049</v>
      </c>
      <c r="L205" s="57">
        <f t="shared" ref="L205:M205" si="1084">+L145</f>
        <v>1.783487734955095</v>
      </c>
      <c r="M205" s="57">
        <f t="shared" si="1084"/>
        <v>1.3914647740391661</v>
      </c>
      <c r="N205" s="57">
        <f t="shared" ref="N205:O205" si="1085">+N145</f>
        <v>1.3914647606198307</v>
      </c>
      <c r="O205" s="57">
        <f t="shared" si="1085"/>
        <v>1.8476666288192187</v>
      </c>
      <c r="P205" s="57">
        <f>+P145</f>
        <v>2.2750988077515411</v>
      </c>
      <c r="R205" s="105"/>
      <c r="S205" s="105"/>
      <c r="T205" s="105"/>
      <c r="U205" s="57">
        <f t="shared" ref="U205:AB205" si="1086">+U145</f>
        <v>1.9879212238917847</v>
      </c>
      <c r="V205" s="57">
        <f t="shared" si="1086"/>
        <v>1.6538992586975219</v>
      </c>
      <c r="W205" s="57">
        <f t="shared" si="1086"/>
        <v>1.5182044158502708</v>
      </c>
      <c r="X205" s="57">
        <f t="shared" si="1086"/>
        <v>1.5607153929467279</v>
      </c>
      <c r="Y205" s="57">
        <f t="shared" si="1086"/>
        <v>2.9535805192991926</v>
      </c>
      <c r="Z205" s="57">
        <f t="shared" si="1086"/>
        <v>3.7079305862144709</v>
      </c>
      <c r="AA205" s="57">
        <f t="shared" si="1086"/>
        <v>2.9108673968437477</v>
      </c>
      <c r="AB205" s="57">
        <f t="shared" si="1086"/>
        <v>3.2034226817404172</v>
      </c>
      <c r="AC205" s="57">
        <f t="shared" ref="AC205:AF206" si="1087">+AC145</f>
        <v>3.4012424498134664</v>
      </c>
      <c r="AD205" s="57">
        <f t="shared" si="1087"/>
        <v>4.3135305535901383</v>
      </c>
      <c r="AE205" s="57">
        <f t="shared" si="1087"/>
        <v>4.8929223540461768</v>
      </c>
      <c r="AF205" s="57">
        <f t="shared" si="1087"/>
        <v>5.0815675880935212</v>
      </c>
      <c r="AG205" s="57">
        <f t="shared" ref="AG205:AH205" si="1088">+AG145</f>
        <v>3.6124566701269014</v>
      </c>
      <c r="AH205" s="57">
        <f t="shared" si="1088"/>
        <v>5.4114072878610742</v>
      </c>
      <c r="AI205" s="57">
        <f t="shared" ref="AI205:AM205" si="1089">+AI145</f>
        <v>4.8090033515339705</v>
      </c>
      <c r="AJ205" s="57">
        <f t="shared" si="1089"/>
        <v>4.5797180739269336</v>
      </c>
      <c r="AK205" s="57">
        <f t="shared" si="1089"/>
        <v>2.6495658238737327</v>
      </c>
      <c r="AL205" s="57">
        <f t="shared" ref="AL205" si="1090">+AL145</f>
        <v>3.9042596940157592</v>
      </c>
      <c r="AM205" s="57">
        <f t="shared" si="1089"/>
        <v>2.3363081665882257</v>
      </c>
      <c r="AN205" s="57">
        <f t="shared" ref="AN205" si="1091">+AN145</f>
        <v>1.0169927366420231</v>
      </c>
      <c r="AO205" s="57">
        <f t="shared" ref="AO205:AU205" si="1092">+AO145</f>
        <v>2.1520674360201721</v>
      </c>
      <c r="AP205" s="57">
        <f t="shared" si="1092"/>
        <v>2.1444601947626869</v>
      </c>
      <c r="AQ205" s="57">
        <f t="shared" si="1092"/>
        <v>2.155857288819941</v>
      </c>
      <c r="AR205" s="57">
        <f t="shared" ref="AR205" si="1093">+AR145</f>
        <v>1.4009654841564976</v>
      </c>
      <c r="AS205" s="57">
        <f t="shared" si="1092"/>
        <v>1.7832411749235049</v>
      </c>
      <c r="AT205" s="57">
        <f t="shared" ref="AT205" si="1094">+AT145</f>
        <v>1.2351131156558721</v>
      </c>
      <c r="AU205" s="57">
        <f t="shared" si="1092"/>
        <v>1.3723802983092295</v>
      </c>
      <c r="AV205" s="57">
        <f t="shared" ref="AV205:AY205" si="1095">+AV145</f>
        <v>1.7743879090511254</v>
      </c>
      <c r="AW205" s="57">
        <f t="shared" si="1095"/>
        <v>2.1745946908801304</v>
      </c>
      <c r="AX205" s="57">
        <f t="shared" si="1095"/>
        <v>1.3914647740391661</v>
      </c>
      <c r="AY205" s="57">
        <f t="shared" si="1095"/>
        <v>1.8478087435212287</v>
      </c>
      <c r="AZ205" s="57">
        <f t="shared" ref="AZ205:BC205" si="1096">+AZ145</f>
        <v>2.1698537537871632</v>
      </c>
      <c r="BA205" s="57">
        <f t="shared" si="1096"/>
        <v>2.036088105378262</v>
      </c>
      <c r="BB205" s="57">
        <f t="shared" si="1096"/>
        <v>1.8476666288192187</v>
      </c>
      <c r="BC205" s="57">
        <f t="shared" si="1096"/>
        <v>2.2750988077515411</v>
      </c>
      <c r="BD205" s="57"/>
      <c r="BE205" s="57">
        <f t="shared" ref="BE205:BF205" si="1097">+BE145</f>
        <v>1.250303082244786</v>
      </c>
      <c r="BF205" s="57">
        <f t="shared" si="1097"/>
        <v>1.1390877495243124</v>
      </c>
      <c r="BG205" s="57">
        <f t="shared" ref="BG205:BI205" si="1098">+BG145</f>
        <v>1.2880751485859652</v>
      </c>
      <c r="BH205" s="57">
        <f t="shared" si="1098"/>
        <v>1.3914647606198307</v>
      </c>
      <c r="BI205" s="57">
        <f t="shared" si="1098"/>
        <v>1.4304853985766313</v>
      </c>
      <c r="BJ205" s="57"/>
      <c r="BK205" s="38"/>
      <c r="BL205" s="38"/>
      <c r="BM205" s="38"/>
      <c r="BN205" s="38"/>
      <c r="BO205" s="38"/>
      <c r="BP205" s="57"/>
      <c r="BQ205" s="11"/>
    </row>
    <row r="206" spans="2:69">
      <c r="B206" s="11" t="str">
        <f>+B146</f>
        <v>Net Leverage Exc ST Financial Investment (excl lease)</v>
      </c>
      <c r="C206" s="57">
        <f t="shared" ref="C206:F206" si="1099">+C146</f>
        <v>1.1549504606292376</v>
      </c>
      <c r="D206" s="57">
        <f t="shared" si="1099"/>
        <v>1.5274675841612237</v>
      </c>
      <c r="E206" s="57">
        <f t="shared" si="1099"/>
        <v>1.9879212238917847</v>
      </c>
      <c r="F206" s="57">
        <f t="shared" si="1099"/>
        <v>2.9055162689505232</v>
      </c>
      <c r="G206" s="57">
        <f t="shared" ref="G206:H206" si="1100">+G146</f>
        <v>3.3705044314166717</v>
      </c>
      <c r="H206" s="57">
        <f t="shared" si="1100"/>
        <v>6.4892437119877142</v>
      </c>
      <c r="I206" s="57">
        <f t="shared" ref="I206:K206" si="1101">+I146</f>
        <v>2.6476357050759454</v>
      </c>
      <c r="J206" s="57">
        <f t="shared" ref="J206" si="1102">+J146</f>
        <v>3.558211103991479</v>
      </c>
      <c r="K206" s="57">
        <f t="shared" si="1101"/>
        <v>1.7829945848286912</v>
      </c>
      <c r="L206" s="57">
        <f t="shared" ref="L206:M206" si="1103">+L146</f>
        <v>1.783241018179746</v>
      </c>
      <c r="M206" s="57">
        <f t="shared" si="1103"/>
        <v>1.391375263650094</v>
      </c>
      <c r="N206" s="57">
        <f t="shared" ref="N206:O206" si="1104">+N146</f>
        <v>1.3913752628171316</v>
      </c>
      <c r="O206" s="57">
        <f t="shared" si="1104"/>
        <v>1.8476666288192187</v>
      </c>
      <c r="P206" s="57">
        <f>+P146</f>
        <v>2.2750988077515411</v>
      </c>
      <c r="R206" s="106"/>
      <c r="S206" s="106"/>
      <c r="T206" s="106"/>
      <c r="U206" s="57">
        <f t="shared" ref="U206:AB206" si="1105">+U146</f>
        <v>1.9879212238917847</v>
      </c>
      <c r="V206" s="57">
        <f t="shared" si="1105"/>
        <v>1.6538992586975219</v>
      </c>
      <c r="W206" s="57">
        <f t="shared" si="1105"/>
        <v>1.4594548566611909</v>
      </c>
      <c r="X206" s="57">
        <f t="shared" si="1105"/>
        <v>1.5079193290574027</v>
      </c>
      <c r="Y206" s="57">
        <f t="shared" si="1105"/>
        <v>2.9055162689505232</v>
      </c>
      <c r="Z206" s="57">
        <f t="shared" si="1105"/>
        <v>3.6641699406187311</v>
      </c>
      <c r="AA206" s="57">
        <f t="shared" si="1105"/>
        <v>2.8713031853618767</v>
      </c>
      <c r="AB206" s="57">
        <f t="shared" si="1105"/>
        <v>3.1687489360807146</v>
      </c>
      <c r="AC206" s="57">
        <f t="shared" ref="AC206:AE206" si="1106">+AC146</f>
        <v>3.3705044314166717</v>
      </c>
      <c r="AD206" s="57">
        <f t="shared" si="1106"/>
        <v>4.2860593440165138</v>
      </c>
      <c r="AE206" s="57">
        <f t="shared" si="1106"/>
        <v>4.8677044490890609</v>
      </c>
      <c r="AF206" s="57">
        <f t="shared" si="1087"/>
        <v>5.0627386552385962</v>
      </c>
      <c r="AG206" s="57">
        <f t="shared" ref="AG206:AH206" si="1107">+AG146</f>
        <v>3.5989918221373944</v>
      </c>
      <c r="AH206" s="57">
        <f t="shared" si="1107"/>
        <v>5.4030949304152598</v>
      </c>
      <c r="AI206" s="57">
        <f t="shared" ref="AI206:AM206" si="1108">+AI146</f>
        <v>4.8038571500032701</v>
      </c>
      <c r="AJ206" s="57">
        <f t="shared" si="1108"/>
        <v>4.5766229112802916</v>
      </c>
      <c r="AK206" s="57">
        <f t="shared" si="1108"/>
        <v>2.6476357050759454</v>
      </c>
      <c r="AL206" s="57">
        <f t="shared" ref="AL206" si="1109">+AL146</f>
        <v>3.9014153832262224</v>
      </c>
      <c r="AM206" s="57">
        <f t="shared" si="1108"/>
        <v>2.3358139095654349</v>
      </c>
      <c r="AN206" s="57">
        <f t="shared" ref="AN206" si="1110">+AN146</f>
        <v>1.0166082909475542</v>
      </c>
      <c r="AO206" s="57">
        <f t="shared" ref="AO206:AU206" si="1111">+AO146</f>
        <v>2.1517355999974845</v>
      </c>
      <c r="AP206" s="57">
        <f t="shared" si="1111"/>
        <v>2.1441295317314406</v>
      </c>
      <c r="AQ206" s="57">
        <f t="shared" si="1111"/>
        <v>2.1555313182814686</v>
      </c>
      <c r="AR206" s="57">
        <f t="shared" ref="AR206" si="1112">+AR146</f>
        <v>1.4007536549804107</v>
      </c>
      <c r="AS206" s="57">
        <f t="shared" si="1111"/>
        <v>1.7829945848286912</v>
      </c>
      <c r="AT206" s="57">
        <f t="shared" ref="AT206" si="1113">+AT146</f>
        <v>1.2349423217864963</v>
      </c>
      <c r="AU206" s="57">
        <f t="shared" si="1111"/>
        <v>1.3722308863281001</v>
      </c>
      <c r="AV206" s="57">
        <f t="shared" ref="AV206:AY206" si="1114">+AV146</f>
        <v>1.774213165813942</v>
      </c>
      <c r="AW206" s="57">
        <f t="shared" si="1114"/>
        <v>2.1744373128272367</v>
      </c>
      <c r="AX206" s="57">
        <f t="shared" si="1114"/>
        <v>1.391375263650094</v>
      </c>
      <c r="AY206" s="57">
        <f t="shared" si="1114"/>
        <v>1.8477503451519695</v>
      </c>
      <c r="AZ206" s="57">
        <f t="shared" ref="AZ206:BC206" si="1115">+AZ146</f>
        <v>2.1698221469740853</v>
      </c>
      <c r="BA206" s="57">
        <f t="shared" si="1115"/>
        <v>2.0360851744708963</v>
      </c>
      <c r="BB206" s="57">
        <f t="shared" si="1115"/>
        <v>1.8476666288192187</v>
      </c>
      <c r="BC206" s="57">
        <f t="shared" si="1115"/>
        <v>2.2750988077515411</v>
      </c>
      <c r="BD206" s="57"/>
      <c r="BE206" s="57">
        <f t="shared" ref="BE206:BF206" si="1116">+BE146</f>
        <v>1.2501669608936121</v>
      </c>
      <c r="BF206" s="57">
        <f t="shared" si="1116"/>
        <v>1.1389755711895906</v>
      </c>
      <c r="BG206" s="57">
        <f t="shared" ref="BG206:BI206" si="1117">+BG146</f>
        <v>1.2879819290266075</v>
      </c>
      <c r="BH206" s="57">
        <f t="shared" si="1117"/>
        <v>1.3913752628171316</v>
      </c>
      <c r="BI206" s="57">
        <f t="shared" si="1117"/>
        <v>1.4304401893444425</v>
      </c>
      <c r="BJ206" s="57"/>
      <c r="BK206" s="38"/>
      <c r="BL206" s="38"/>
      <c r="BM206" s="38"/>
      <c r="BN206" s="38"/>
      <c r="BO206" s="38"/>
      <c r="BP206" s="57"/>
    </row>
    <row r="207" spans="2:69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R207" s="106"/>
      <c r="S207" s="106"/>
      <c r="T207" s="106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38"/>
      <c r="BL207" s="38"/>
      <c r="BM207" s="38"/>
      <c r="BN207" s="38"/>
      <c r="BO207" s="38"/>
      <c r="BP207" s="57"/>
    </row>
    <row r="208" spans="2:69">
      <c r="B208" s="11" t="str">
        <f>+B148</f>
        <v>EBITDA - Capex / Interest</v>
      </c>
      <c r="C208" s="57">
        <f t="shared" ref="C208:F209" si="1118">C148</f>
        <v>4.1039989256757234</v>
      </c>
      <c r="D208" s="57">
        <f t="shared" si="1118"/>
        <v>2.3950988871590839</v>
      </c>
      <c r="E208" s="57">
        <f t="shared" si="1118"/>
        <v>2.2366119894402754</v>
      </c>
      <c r="F208" s="57">
        <f t="shared" si="1118"/>
        <v>2.8349572163108596</v>
      </c>
      <c r="G208" s="57">
        <f t="shared" ref="G208:H208" si="1119">G148</f>
        <v>3.9328404731238313</v>
      </c>
      <c r="H208" s="57">
        <f t="shared" si="1119"/>
        <v>2.4987228261946828</v>
      </c>
      <c r="I208" s="57">
        <f t="shared" ref="I208:K208" si="1120">I148</f>
        <v>2.3811067576718612</v>
      </c>
      <c r="J208" s="57">
        <f t="shared" ref="J208" si="1121">J148</f>
        <v>1.4454266013126194</v>
      </c>
      <c r="K208" s="57">
        <f t="shared" si="1120"/>
        <v>2.5861511235290813</v>
      </c>
      <c r="L208" s="57">
        <f t="shared" ref="L208:M208" si="1122">L148</f>
        <v>2.5861513432366063</v>
      </c>
      <c r="M208" s="57">
        <f t="shared" si="1122"/>
        <v>3.1594294228669848</v>
      </c>
      <c r="N208" s="57">
        <f t="shared" ref="N208:O208" si="1123">N148</f>
        <v>3.1594293627477263</v>
      </c>
      <c r="O208" s="57">
        <f t="shared" si="1123"/>
        <v>3.2272193025217377</v>
      </c>
      <c r="P208" s="57">
        <f>P148</f>
        <v>2.917393716274145</v>
      </c>
      <c r="R208" s="106"/>
      <c r="S208" s="106"/>
      <c r="T208" s="106"/>
      <c r="U208" s="57">
        <f t="shared" ref="U208:AB209" si="1124">U148</f>
        <v>2.2366119894402754</v>
      </c>
      <c r="V208" s="57">
        <f t="shared" si="1124"/>
        <v>2.4957915434779538</v>
      </c>
      <c r="W208" s="57">
        <f t="shared" si="1124"/>
        <v>2.7768771732611901</v>
      </c>
      <c r="X208" s="57">
        <f t="shared" si="1124"/>
        <v>2.7689936052677782</v>
      </c>
      <c r="Y208" s="57">
        <f t="shared" si="1124"/>
        <v>2.8349572163108596</v>
      </c>
      <c r="Z208" s="57">
        <f t="shared" si="1124"/>
        <v>3.0006034427242216</v>
      </c>
      <c r="AA208" s="57">
        <f t="shared" si="1124"/>
        <v>3.3309204613066976</v>
      </c>
      <c r="AB208" s="57">
        <f t="shared" si="1124"/>
        <v>4.0113114215713344</v>
      </c>
      <c r="AC208" s="57">
        <f t="shared" ref="AC208:AF209" si="1125">AC148</f>
        <v>3.9328404731238313</v>
      </c>
      <c r="AD208" s="57">
        <f t="shared" si="1125"/>
        <v>4.1200727963459096</v>
      </c>
      <c r="AE208" s="57">
        <f t="shared" si="1125"/>
        <v>2.711973219435512</v>
      </c>
      <c r="AF208" s="57">
        <f t="shared" si="1125"/>
        <v>2.6215324615945947</v>
      </c>
      <c r="AG208" s="57">
        <f t="shared" ref="AG208:AH208" si="1126">AG148</f>
        <v>2.4987228261946828</v>
      </c>
      <c r="AH208" s="57">
        <f t="shared" si="1126"/>
        <v>3.3536708929380432</v>
      </c>
      <c r="AI208" s="57">
        <f t="shared" ref="AI208:AM208" si="1127">AI148</f>
        <v>2.7941236825860556</v>
      </c>
      <c r="AJ208" s="57">
        <f t="shared" si="1127"/>
        <v>3.5582107458937617</v>
      </c>
      <c r="AK208" s="57">
        <f t="shared" si="1127"/>
        <v>2.3811067576718616</v>
      </c>
      <c r="AL208" s="57">
        <f t="shared" ref="AL208" si="1128">AL148</f>
        <v>1.2923441783667025</v>
      </c>
      <c r="AM208" s="57">
        <f t="shared" si="1127"/>
        <v>2.8884544160216206</v>
      </c>
      <c r="AN208" s="57">
        <f t="shared" ref="AN208" si="1129">AN148</f>
        <v>1.8267274918309757</v>
      </c>
      <c r="AO208" s="57">
        <f t="shared" ref="AO208:AU208" si="1130">AO148</f>
        <v>1.9083249358689425</v>
      </c>
      <c r="AP208" s="57">
        <f t="shared" si="1130"/>
        <v>2.1301652323052895</v>
      </c>
      <c r="AQ208" s="57">
        <f t="shared" si="1130"/>
        <v>3.5092102976144619</v>
      </c>
      <c r="AR208" s="57">
        <f t="shared" ref="AR208" si="1131">AR148</f>
        <v>2.3709595715426377</v>
      </c>
      <c r="AS208" s="57">
        <f t="shared" si="1130"/>
        <v>2.6562550229304436</v>
      </c>
      <c r="AT208" s="57">
        <f t="shared" ref="AT208" si="1132">AT148</f>
        <v>2.5861513432366063</v>
      </c>
      <c r="AU208" s="57">
        <f t="shared" si="1130"/>
        <v>2.6892079910990612</v>
      </c>
      <c r="AV208" s="57">
        <f t="shared" ref="AV208:AY208" si="1133">AV148</f>
        <v>2.0284272093956761</v>
      </c>
      <c r="AW208" s="57">
        <f t="shared" si="1133"/>
        <v>1.5075915198917931</v>
      </c>
      <c r="AX208" s="57">
        <f t="shared" si="1133"/>
        <v>3.1594294228669848</v>
      </c>
      <c r="AY208" s="57">
        <f t="shared" si="1133"/>
        <v>3.0090807229924659</v>
      </c>
      <c r="AZ208" s="57">
        <f t="shared" ref="AZ208:BC208" si="1134">AZ148</f>
        <v>3.064470123920755</v>
      </c>
      <c r="BA208" s="57">
        <f t="shared" si="1134"/>
        <v>3.0663205953704429</v>
      </c>
      <c r="BB208" s="57">
        <f t="shared" si="1134"/>
        <v>3.2272193025217377</v>
      </c>
      <c r="BC208" s="57">
        <f t="shared" si="1134"/>
        <v>2.917393716274145</v>
      </c>
      <c r="BD208" s="57"/>
      <c r="BE208" s="57">
        <f t="shared" ref="BE208:BF208" si="1135">BE148</f>
        <v>2.9469537884565771</v>
      </c>
      <c r="BF208" s="57">
        <f t="shared" si="1135"/>
        <v>2.847582411264304</v>
      </c>
      <c r="BG208" s="57">
        <f t="shared" ref="BG208:BI208" si="1136">BG148</f>
        <v>2.4601595216649281</v>
      </c>
      <c r="BH208" s="57">
        <f t="shared" si="1136"/>
        <v>3.1594293627477259</v>
      </c>
      <c r="BI208" s="57">
        <f t="shared" si="1136"/>
        <v>2.9684957440556605</v>
      </c>
      <c r="BJ208" s="57"/>
      <c r="BK208" s="38"/>
      <c r="BL208" s="38"/>
      <c r="BM208" s="38"/>
      <c r="BN208" s="38"/>
      <c r="BO208" s="38"/>
      <c r="BP208" s="57"/>
    </row>
    <row r="209" spans="2:69" s="7" customFormat="1" ht="12.75">
      <c r="B209" s="7" t="str">
        <f>+B149</f>
        <v>EBITDA/Interest</v>
      </c>
      <c r="C209" s="70">
        <f t="shared" si="1118"/>
        <v>7.581682481167201</v>
      </c>
      <c r="D209" s="70">
        <f t="shared" si="1118"/>
        <v>4.229902554344692</v>
      </c>
      <c r="E209" s="70">
        <f t="shared" si="1118"/>
        <v>2.7857740337555246</v>
      </c>
      <c r="F209" s="70">
        <f t="shared" si="1118"/>
        <v>3.1437232903406298</v>
      </c>
      <c r="G209" s="70">
        <f t="shared" ref="G209:H209" si="1137">G149</f>
        <v>4.4520875614130002</v>
      </c>
      <c r="H209" s="70">
        <f t="shared" si="1137"/>
        <v>3.0767916442572107</v>
      </c>
      <c r="I209" s="70">
        <f t="shared" ref="I209:K209" si="1138">I149</f>
        <v>2.7141801092618372</v>
      </c>
      <c r="J209" s="70">
        <f t="shared" ref="J209" si="1139">J149</f>
        <v>1.7401826140234276</v>
      </c>
      <c r="K209" s="70">
        <f t="shared" si="1138"/>
        <v>2.8879195219614093</v>
      </c>
      <c r="L209" s="70">
        <f t="shared" ref="L209:M209" si="1140">L149</f>
        <v>2.8879198333780529</v>
      </c>
      <c r="M209" s="70">
        <f t="shared" si="1140"/>
        <v>3.7742799359270811</v>
      </c>
      <c r="N209" s="70">
        <f t="shared" ref="N209:O209" si="1141">N149</f>
        <v>3.7742797239257566</v>
      </c>
      <c r="O209" s="70">
        <f t="shared" si="1141"/>
        <v>3.5247008957767409</v>
      </c>
      <c r="P209" s="70">
        <f>P149</f>
        <v>3.1959810768031591</v>
      </c>
      <c r="R209" s="106"/>
      <c r="S209" s="106"/>
      <c r="T209" s="106"/>
      <c r="U209" s="70">
        <f t="shared" si="1124"/>
        <v>2.7857740337555246</v>
      </c>
      <c r="V209" s="70">
        <f t="shared" si="1124"/>
        <v>2.9547693482904478</v>
      </c>
      <c r="W209" s="70">
        <f t="shared" si="1124"/>
        <v>3.1266186005609806</v>
      </c>
      <c r="X209" s="70">
        <f t="shared" si="1124"/>
        <v>2.9865371526967781</v>
      </c>
      <c r="Y209" s="70">
        <f t="shared" si="1124"/>
        <v>3.1437232903406298</v>
      </c>
      <c r="Z209" s="70">
        <f t="shared" si="1124"/>
        <v>3.3117437586610725</v>
      </c>
      <c r="AA209" s="70">
        <f t="shared" si="1124"/>
        <v>3.6704366209664143</v>
      </c>
      <c r="AB209" s="70">
        <f t="shared" si="1124"/>
        <v>4.4219665946866549</v>
      </c>
      <c r="AC209" s="70">
        <f t="shared" ref="AC209:AE209" si="1142">AC149</f>
        <v>4.4520875614130002</v>
      </c>
      <c r="AD209" s="70">
        <f t="shared" si="1142"/>
        <v>4.5662056963415179</v>
      </c>
      <c r="AE209" s="70">
        <f t="shared" si="1142"/>
        <v>3.0824527739975194</v>
      </c>
      <c r="AF209" s="70">
        <f t="shared" si="1125"/>
        <v>2.9304001853088253</v>
      </c>
      <c r="AG209" s="70">
        <f t="shared" ref="AG209:AH209" si="1143">AG149</f>
        <v>3.0767916442572107</v>
      </c>
      <c r="AH209" s="70">
        <f t="shared" si="1143"/>
        <v>4.0212376267655534</v>
      </c>
      <c r="AI209" s="70">
        <f t="shared" ref="AI209:AM209" si="1144">AI149</f>
        <v>3.2650800604065129</v>
      </c>
      <c r="AJ209" s="70">
        <f t="shared" si="1144"/>
        <v>4.1788645809254916</v>
      </c>
      <c r="AK209" s="70">
        <f t="shared" si="1144"/>
        <v>2.7141801092618376</v>
      </c>
      <c r="AL209" s="70">
        <f t="shared" ref="AL209" si="1145">AL149</f>
        <v>1.5871001910775109</v>
      </c>
      <c r="AM209" s="70">
        <f t="shared" si="1144"/>
        <v>3.2604054568776855</v>
      </c>
      <c r="AN209" s="70">
        <f t="shared" ref="AN209" si="1146">AN149</f>
        <v>2.163723972492301</v>
      </c>
      <c r="AO209" s="70">
        <f t="shared" ref="AO209:AU209" si="1147">AO149</f>
        <v>2.2385901096278755</v>
      </c>
      <c r="AP209" s="70">
        <f t="shared" si="1147"/>
        <v>2.3618812083346099</v>
      </c>
      <c r="AQ209" s="70">
        <f t="shared" si="1147"/>
        <v>3.9249163636884918</v>
      </c>
      <c r="AR209" s="70">
        <f t="shared" ref="AR209" si="1148">AR149</f>
        <v>2.7330073402168518</v>
      </c>
      <c r="AS209" s="70">
        <f t="shared" si="1147"/>
        <v>2.8879195219614093</v>
      </c>
      <c r="AT209" s="70">
        <f t="shared" ref="AT209" si="1149">AT149</f>
        <v>2.8879198333780529</v>
      </c>
      <c r="AU209" s="70">
        <f t="shared" si="1147"/>
        <v>2.9951762530236237</v>
      </c>
      <c r="AV209" s="70">
        <f t="shared" ref="AV209:AY209" si="1150">AV149</f>
        <v>2.3071524547823752</v>
      </c>
      <c r="AW209" s="70">
        <f t="shared" si="1150"/>
        <v>1.8705013378811488</v>
      </c>
      <c r="AX209" s="70">
        <f t="shared" si="1150"/>
        <v>3.7742799359270811</v>
      </c>
      <c r="AY209" s="70">
        <f t="shared" si="1150"/>
        <v>3.514496813300104</v>
      </c>
      <c r="AZ209" s="70">
        <f t="shared" ref="AZ209:BC209" si="1151">AZ149</f>
        <v>3.5485498351861473</v>
      </c>
      <c r="BA209" s="70">
        <f t="shared" si="1151"/>
        <v>3.4953574723428651</v>
      </c>
      <c r="BB209" s="70">
        <f t="shared" si="1151"/>
        <v>3.5247008957767409</v>
      </c>
      <c r="BC209" s="70">
        <f t="shared" si="1151"/>
        <v>3.1959810768031591</v>
      </c>
      <c r="BD209" s="70"/>
      <c r="BE209" s="70">
        <f t="shared" ref="BE209:BF209" si="1152">BE149</f>
        <v>3.2704701011128954</v>
      </c>
      <c r="BF209" s="70">
        <f t="shared" si="1152"/>
        <v>3.1764621331132687</v>
      </c>
      <c r="BG209" s="70">
        <f t="shared" ref="BG209:BI209" si="1153">BG149</f>
        <v>2.8060051368346999</v>
      </c>
      <c r="BH209" s="70">
        <f t="shared" si="1153"/>
        <v>3.7742797239257562</v>
      </c>
      <c r="BI209" s="70">
        <f t="shared" si="1153"/>
        <v>3.4713116686863223</v>
      </c>
      <c r="BJ209" s="70"/>
      <c r="BK209" s="38"/>
      <c r="BL209" s="38"/>
      <c r="BM209" s="38"/>
      <c r="BN209" s="38"/>
      <c r="BO209" s="38"/>
      <c r="BP209" s="70"/>
      <c r="BQ209" s="11"/>
    </row>
    <row r="210" spans="2:69"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R210" s="106"/>
      <c r="S210" s="106"/>
      <c r="T210" s="106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38"/>
      <c r="BL210" s="38"/>
      <c r="BM210" s="38"/>
      <c r="BN210" s="38"/>
      <c r="BO210" s="38"/>
      <c r="BP210" s="69"/>
    </row>
    <row r="211" spans="2:69" s="7" customFormat="1">
      <c r="B211" s="53" t="str">
        <f t="shared" ref="B211:F211" si="1154">+B151</f>
        <v xml:space="preserve">Gearing (Net debt / Equity) </v>
      </c>
      <c r="C211" s="364">
        <f t="shared" si="1154"/>
        <v>0.45893405830569989</v>
      </c>
      <c r="D211" s="364">
        <f t="shared" si="1154"/>
        <v>0.43686476926215634</v>
      </c>
      <c r="E211" s="364">
        <f t="shared" si="1154"/>
        <v>0.50718095774366168</v>
      </c>
      <c r="F211" s="364">
        <f t="shared" si="1154"/>
        <v>0.16063492758346176</v>
      </c>
      <c r="G211" s="364">
        <f t="shared" ref="G211:H211" si="1155">+G151</f>
        <v>0.28955577926893722</v>
      </c>
      <c r="H211" s="364">
        <f t="shared" si="1155"/>
        <v>2.0227096025825348</v>
      </c>
      <c r="I211" s="364">
        <f t="shared" ref="I211:K211" si="1156">+I151</f>
        <v>1.858086542752013</v>
      </c>
      <c r="J211" s="364">
        <f t="shared" ref="J211" si="1157">+J151</f>
        <v>1.5035942010270973</v>
      </c>
      <c r="K211" s="364">
        <f t="shared" si="1156"/>
        <v>0.95440868442755689</v>
      </c>
      <c r="L211" s="364">
        <f t="shared" ref="L211:M211" si="1158">+L151</f>
        <v>0.95454067853321045</v>
      </c>
      <c r="M211" s="364">
        <f t="shared" si="1158"/>
        <v>0.64809758747576895</v>
      </c>
      <c r="N211" s="364">
        <f t="shared" ref="N211:O211" si="1159">+N151</f>
        <v>0.69353777614530498</v>
      </c>
      <c r="O211" s="364">
        <f t="shared" si="1159"/>
        <v>0.78565426847199715</v>
      </c>
      <c r="P211" s="364">
        <f>+P151</f>
        <v>0.79291593462713683</v>
      </c>
      <c r="Q211" s="127"/>
      <c r="R211" s="365"/>
      <c r="S211" s="365"/>
      <c r="T211" s="365"/>
      <c r="U211" s="364">
        <f t="shared" ref="U211:AB211" si="1160">+U151</f>
        <v>0.50718095774366168</v>
      </c>
      <c r="V211" s="364">
        <f t="shared" si="1160"/>
        <v>0.41852085277612816</v>
      </c>
      <c r="W211" s="364">
        <f t="shared" si="1160"/>
        <v>0.38430712837487552</v>
      </c>
      <c r="X211" s="364">
        <f t="shared" si="1160"/>
        <v>0.42012518990344683</v>
      </c>
      <c r="Y211" s="364">
        <f t="shared" si="1160"/>
        <v>0.16063492758346176</v>
      </c>
      <c r="Z211" s="364">
        <f t="shared" si="1160"/>
        <v>0.26940066700283188</v>
      </c>
      <c r="AA211" s="364">
        <f t="shared" si="1160"/>
        <v>0.10910690803090262</v>
      </c>
      <c r="AB211" s="364">
        <f t="shared" si="1160"/>
        <v>0.40710277396269584</v>
      </c>
      <c r="AC211" s="364">
        <f t="shared" ref="AC211:AF211" si="1161">+AC151</f>
        <v>0.28955577926893722</v>
      </c>
      <c r="AD211" s="364">
        <f t="shared" si="1161"/>
        <v>0.22227537258309046</v>
      </c>
      <c r="AE211" s="364">
        <f t="shared" si="1161"/>
        <v>0.28095132580162163</v>
      </c>
      <c r="AF211" s="364">
        <f t="shared" si="1161"/>
        <v>1.4964417463350563</v>
      </c>
      <c r="AG211" s="364">
        <f t="shared" ref="AG211:AH211" si="1162">+AG151</f>
        <v>0.46274277904319588</v>
      </c>
      <c r="AH211" s="364">
        <f t="shared" si="1162"/>
        <v>2.5676500583177519</v>
      </c>
      <c r="AI211" s="364">
        <f t="shared" ref="AI211:AM211" si="1163">+AI151</f>
        <v>2.9246610114036802</v>
      </c>
      <c r="AJ211" s="364">
        <f t="shared" si="1163"/>
        <v>3.2364769218937126</v>
      </c>
      <c r="AK211" s="364">
        <f t="shared" si="1163"/>
        <v>1.858086542752013</v>
      </c>
      <c r="AL211" s="364">
        <f t="shared" ref="AL211" si="1164">+AL151</f>
        <v>1.5035942010270973</v>
      </c>
      <c r="AM211" s="364">
        <f t="shared" si="1163"/>
        <v>1.7581797620437032</v>
      </c>
      <c r="AN211" s="364">
        <f t="shared" ref="AN211" si="1165">+AN151</f>
        <v>0.98377896923820218</v>
      </c>
      <c r="AO211" s="364">
        <f t="shared" ref="AO211:AU211" si="1166">+AO151</f>
        <v>2.2966108227912274</v>
      </c>
      <c r="AP211" s="364">
        <f t="shared" si="1166"/>
        <v>2.2966108227912274</v>
      </c>
      <c r="AQ211" s="364">
        <f t="shared" si="1166"/>
        <v>1.797027645336273</v>
      </c>
      <c r="AR211" s="364">
        <f t="shared" ref="AR211" si="1167">+AR151</f>
        <v>1.797027645336273</v>
      </c>
      <c r="AS211" s="364">
        <f t="shared" si="1166"/>
        <v>0.95440868442755689</v>
      </c>
      <c r="AT211" s="364">
        <f t="shared" ref="AT211" si="1168">+AT151</f>
        <v>0.95440868442755689</v>
      </c>
      <c r="AU211" s="364">
        <f t="shared" si="1166"/>
        <v>0.9215932649474875</v>
      </c>
      <c r="AV211" s="364">
        <f t="shared" ref="AV211:AY211" si="1169">+AV151</f>
        <v>0.80795589329345052</v>
      </c>
      <c r="AW211" s="364">
        <f t="shared" si="1169"/>
        <v>0.83326227586601975</v>
      </c>
      <c r="AX211" s="364">
        <f t="shared" si="1169"/>
        <v>0.64809758747576895</v>
      </c>
      <c r="AY211" s="364">
        <f t="shared" si="1169"/>
        <v>0.80347745333221454</v>
      </c>
      <c r="AZ211" s="364">
        <f t="shared" ref="AZ211:BC211" si="1170">+AZ151</f>
        <v>0.98738787688552698</v>
      </c>
      <c r="BA211" s="364">
        <f t="shared" si="1170"/>
        <v>0.91342023913537729</v>
      </c>
      <c r="BB211" s="364">
        <f t="shared" si="1170"/>
        <v>0.78565426847199715</v>
      </c>
      <c r="BC211" s="364">
        <f t="shared" si="1170"/>
        <v>0.79291593462713683</v>
      </c>
      <c r="BD211" s="367"/>
      <c r="BE211" s="364">
        <f t="shared" ref="BE211:BF211" si="1171">+BE151</f>
        <v>0.9215932649474875</v>
      </c>
      <c r="BF211" s="364">
        <f t="shared" si="1171"/>
        <v>0.80795589329345052</v>
      </c>
      <c r="BG211" s="364">
        <f t="shared" ref="BG211:BI211" si="1172">+BG151</f>
        <v>0.83326227586601975</v>
      </c>
      <c r="BH211" s="364">
        <f t="shared" si="1172"/>
        <v>0.69353777614530498</v>
      </c>
      <c r="BI211" s="364">
        <f t="shared" si="1172"/>
        <v>0.80347745333221454</v>
      </c>
      <c r="BJ211" s="366"/>
      <c r="BK211" s="321"/>
      <c r="BL211" s="321"/>
      <c r="BM211" s="321"/>
      <c r="BN211" s="321"/>
      <c r="BO211" s="321"/>
      <c r="BP211" s="366"/>
    </row>
    <row r="212" spans="2:69"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69"/>
      <c r="BE212" s="23"/>
      <c r="BF212" s="23"/>
      <c r="BG212" s="23"/>
      <c r="BH212" s="23"/>
      <c r="BI212" s="23"/>
      <c r="BJ212" s="23"/>
      <c r="BK212" s="38"/>
      <c r="BL212" s="38"/>
      <c r="BM212" s="38"/>
      <c r="BN212" s="38"/>
      <c r="BO212" s="38"/>
      <c r="BP212" s="23"/>
    </row>
    <row r="213" spans="2:69" ht="12.75"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38"/>
      <c r="BL213" s="38"/>
      <c r="BM213" s="38"/>
      <c r="BN213" s="38"/>
      <c r="BO213" s="38"/>
      <c r="BP213" s="23"/>
    </row>
    <row r="214" spans="2:69">
      <c r="B214" s="325" t="s">
        <v>278</v>
      </c>
      <c r="C214" s="326">
        <v>0.33158749999999998</v>
      </c>
      <c r="D214" s="326">
        <v>0.27494166666999997</v>
      </c>
      <c r="E214" s="326">
        <v>0.21238083332999999</v>
      </c>
      <c r="F214" s="326">
        <v>0.17639083333</v>
      </c>
      <c r="G214" s="326">
        <f>AVERAGE(F215:G215)</f>
        <v>0.1517915</v>
      </c>
      <c r="H214" s="326">
        <f>AVERAGE(G215:H215)</f>
        <v>0.1053568</v>
      </c>
      <c r="I214" s="326">
        <f>AVERAGE(H215:I215)</f>
        <v>6.4351858278269711E-2</v>
      </c>
      <c r="J214" s="326">
        <f>AVERAGE(I215:J215)</f>
        <v>5.3503116556539415E-2</v>
      </c>
      <c r="K214" s="326">
        <f>AVERAGE(J215:K215)</f>
        <v>4.3751558278269709E-2</v>
      </c>
      <c r="L214" s="326">
        <f>1/23.7808</f>
        <v>4.205073000067281E-2</v>
      </c>
      <c r="M214" s="326">
        <f>AVERAGE(AU214:AX214)</f>
        <v>3.0523041448766046E-2</v>
      </c>
      <c r="N214" s="327">
        <f>AVERAGE(AU214:AX214)</f>
        <v>3.0523041448766046E-2</v>
      </c>
      <c r="O214" s="326">
        <f>AVERAGE(AY214:BB214)</f>
        <v>2.5330506742498468E-2</v>
      </c>
      <c r="P214" s="327">
        <f>AVERAGE(AZ214:BC214)</f>
        <v>2.4213722285409998E-2</v>
      </c>
      <c r="R214" s="326">
        <v>0.26197199999999998</v>
      </c>
      <c r="S214" s="326">
        <v>0.22862399999999999</v>
      </c>
      <c r="T214" s="326">
        <v>0.17672199999999999</v>
      </c>
      <c r="U214" s="326">
        <v>0.18183099999999999</v>
      </c>
      <c r="V214" s="326">
        <v>0.18645200000000001</v>
      </c>
      <c r="W214" s="326">
        <v>0.17028199999999999</v>
      </c>
      <c r="X214" s="326">
        <v>0.17621500000000001</v>
      </c>
      <c r="Y214" s="326">
        <v>0.17249700000000001</v>
      </c>
      <c r="Z214" s="326">
        <v>0.163961</v>
      </c>
      <c r="AA214" s="326">
        <v>0.14574300000000001</v>
      </c>
      <c r="AB214" s="326">
        <v>0.13853499999999999</v>
      </c>
      <c r="AC214" s="326">
        <f>AVERAGE(AB215:AC215)</f>
        <v>0.1325315</v>
      </c>
      <c r="AD214" s="326">
        <v>0.13104666666666667</v>
      </c>
      <c r="AE214" s="326">
        <v>0.119088</v>
      </c>
      <c r="AF214" s="326">
        <v>0.11706666666666667</v>
      </c>
      <c r="AG214" s="326">
        <f>AVERAGE(AF215:AG215)</f>
        <v>9.3608800000000006E-2</v>
      </c>
      <c r="AH214" s="326">
        <f>1/13.9261</f>
        <v>7.1807613043134835E-2</v>
      </c>
      <c r="AI214" s="326">
        <f>1/15.7571</f>
        <v>6.3463454569686051E-2</v>
      </c>
      <c r="AJ214" s="326">
        <f>AVERAGE(AI215:AJ215)</f>
        <v>5.6784677147061008E-2</v>
      </c>
      <c r="AK214" s="326">
        <f>AVERAGE(AJ215:AK215)</f>
        <v>5.3482378914463238E-2</v>
      </c>
      <c r="AL214" s="326">
        <f>AVERAGE(AK215:AL215)</f>
        <v>5.3503116556539415E-2</v>
      </c>
      <c r="AM214" s="326">
        <f>1/18.8475</f>
        <v>5.305743467303356E-2</v>
      </c>
      <c r="AN214" s="326">
        <f>1/18.8475</f>
        <v>5.305743467303356E-2</v>
      </c>
      <c r="AO214" s="326">
        <f>1/20.9458</f>
        <v>4.7742268139674783E-2</v>
      </c>
      <c r="AP214" s="326">
        <f>1/20.9458</f>
        <v>4.7742268139674783E-2</v>
      </c>
      <c r="AQ214" s="326">
        <f>AVERAGE(AO215:AQ215)</f>
        <v>3.7767280282373257E-2</v>
      </c>
      <c r="AR214" s="326">
        <f>AVERAGE(AP215:AR215)</f>
        <v>3.7127088006885661E-2</v>
      </c>
      <c r="AS214" s="326">
        <f>AVERAGE(AQ215:AS215)</f>
        <v>3.5657930487598709E-2</v>
      </c>
      <c r="AT214" s="326">
        <f>AVERAGE(AS215:AT215)</f>
        <v>3.4000000000000002E-2</v>
      </c>
      <c r="AU214" s="326">
        <f>1/30.9018</f>
        <v>3.2360574464917899E-2</v>
      </c>
      <c r="AV214" s="326">
        <f>1/32.3486</f>
        <v>3.0913238903692897E-2</v>
      </c>
      <c r="AW214" s="326">
        <f>1/33.4971</f>
        <v>2.9853330586826918E-2</v>
      </c>
      <c r="AX214" s="326">
        <f>1/34.5244</f>
        <v>2.8965021839626466E-2</v>
      </c>
      <c r="AY214" s="326">
        <v>2.7350275930380641E-2</v>
      </c>
      <c r="AZ214" s="326">
        <f>1/38.7697</f>
        <v>2.579333861236997E-2</v>
      </c>
      <c r="BA214" s="326">
        <f>1/40.7857</f>
        <v>2.4518397379473689E-2</v>
      </c>
      <c r="BB214" s="326">
        <f>1/42.2654</f>
        <v>2.3660015047769569E-2</v>
      </c>
      <c r="BC214" s="326">
        <f>1/43.7003</f>
        <v>2.2883138102026759E-2</v>
      </c>
      <c r="BD214" s="69"/>
      <c r="BE214" s="326">
        <f t="shared" ref="BE214:BI215" si="1173">AU214</f>
        <v>3.2360574464917899E-2</v>
      </c>
      <c r="BF214" s="326">
        <f t="shared" si="1173"/>
        <v>3.0913238903692897E-2</v>
      </c>
      <c r="BG214" s="326">
        <f t="shared" si="1173"/>
        <v>2.9853330586826918E-2</v>
      </c>
      <c r="BH214" s="326">
        <f t="shared" si="1173"/>
        <v>2.8965021839626466E-2</v>
      </c>
      <c r="BI214" s="326">
        <f t="shared" si="1173"/>
        <v>2.7350275930380641E-2</v>
      </c>
      <c r="BJ214" s="237"/>
      <c r="BK214" s="38"/>
      <c r="BL214" s="38"/>
      <c r="BM214" s="38"/>
      <c r="BN214" s="38"/>
      <c r="BO214" s="38"/>
      <c r="BP214" s="237"/>
    </row>
    <row r="215" spans="2:69">
      <c r="B215" s="325" t="s">
        <v>279</v>
      </c>
      <c r="C215" s="326">
        <v>0.2838</v>
      </c>
      <c r="D215" s="326">
        <v>0.26284000000000002</v>
      </c>
      <c r="E215" s="326">
        <v>0.18906000000000001</v>
      </c>
      <c r="F215" s="326">
        <v>0.16807</v>
      </c>
      <c r="G215" s="326">
        <v>0.13551299999999999</v>
      </c>
      <c r="H215" s="326">
        <f>0.0752006</f>
        <v>7.5200600000000006E-2</v>
      </c>
      <c r="I215" s="326">
        <f>1/18.6905</f>
        <v>5.3503116556539415E-2</v>
      </c>
      <c r="J215" s="326">
        <f>1/18.6905</f>
        <v>5.3503116556539415E-2</v>
      </c>
      <c r="K215" s="326">
        <v>3.4000000000000002E-2</v>
      </c>
      <c r="L215" s="326">
        <f>1/29.4766</f>
        <v>3.3925215255490797E-2</v>
      </c>
      <c r="M215" s="326">
        <f>AX215</f>
        <v>2.8300551860761285E-2</v>
      </c>
      <c r="N215" s="327">
        <f>AX215</f>
        <v>2.8300551860761285E-2</v>
      </c>
      <c r="O215" s="326">
        <f>BB215</f>
        <v>2.3278171825497511E-2</v>
      </c>
      <c r="P215" s="327">
        <f>BC215</f>
        <v>2.2495315350578242E-2</v>
      </c>
      <c r="R215" s="326">
        <v>0.25282500000000002</v>
      </c>
      <c r="S215" s="326">
        <v>0.217727</v>
      </c>
      <c r="T215" s="326">
        <v>0.165128</v>
      </c>
      <c r="U215" s="326">
        <v>0.189057</v>
      </c>
      <c r="V215" s="326">
        <v>0.179511</v>
      </c>
      <c r="W215" s="326">
        <v>0.172601</v>
      </c>
      <c r="X215" s="326">
        <v>0.176979</v>
      </c>
      <c r="Y215" s="326">
        <v>0.16803599999999999</v>
      </c>
      <c r="Z215" s="326">
        <v>0.151167</v>
      </c>
      <c r="AA215" s="326">
        <v>0.145924</v>
      </c>
      <c r="AB215" s="326">
        <v>0.12955</v>
      </c>
      <c r="AC215" s="326">
        <v>0.13551299999999999</v>
      </c>
      <c r="AD215" s="326">
        <v>0.12107</v>
      </c>
      <c r="AE215" s="326">
        <v>0.114842</v>
      </c>
      <c r="AF215" s="326">
        <v>0.11201700000000001</v>
      </c>
      <c r="AG215" s="326">
        <f>0.0752006</f>
        <v>7.5200600000000006E-2</v>
      </c>
      <c r="AH215" s="326">
        <f>1/14.67</f>
        <v>6.8166325835037497E-2</v>
      </c>
      <c r="AI215" s="326">
        <f>1/16.6368</f>
        <v>6.0107713021734947E-2</v>
      </c>
      <c r="AJ215" s="326">
        <f>1/18.705</f>
        <v>5.3461641272387068E-2</v>
      </c>
      <c r="AK215" s="326">
        <f>1/18.6905</f>
        <v>5.3503116556539415E-2</v>
      </c>
      <c r="AL215" s="326">
        <f>1/18.6905</f>
        <v>5.3503116556539415E-2</v>
      </c>
      <c r="AM215" s="326">
        <f>1/19.181</f>
        <v>5.2134925186382353E-2</v>
      </c>
      <c r="AN215" s="326">
        <f>1/19.181</f>
        <v>5.2134925186382353E-2</v>
      </c>
      <c r="AO215" s="326">
        <f>1/26.0366</f>
        <v>3.840747255786086E-2</v>
      </c>
      <c r="AP215" s="326">
        <f>1/26.0366</f>
        <v>3.840747255786086E-2</v>
      </c>
      <c r="AQ215" s="326">
        <f>1/27.4071</f>
        <v>3.6486895731398065E-2</v>
      </c>
      <c r="AR215" s="326">
        <f>1/27.4071</f>
        <v>3.6486895731398065E-2</v>
      </c>
      <c r="AS215" s="326">
        <v>3.4000000000000002E-2</v>
      </c>
      <c r="AT215" s="326">
        <v>3.4000000000000002E-2</v>
      </c>
      <c r="AU215" s="326">
        <f>1/32.346</f>
        <v>3.0915723737092688E-2</v>
      </c>
      <c r="AV215" s="326">
        <f>1/32.6485</f>
        <v>3.0629278527344289E-2</v>
      </c>
      <c r="AW215" s="326">
        <f>1/34.1605</f>
        <v>2.9273576206437259E-2</v>
      </c>
      <c r="AX215" s="326">
        <f>1/35.335</f>
        <v>2.8300551860761285E-2</v>
      </c>
      <c r="AY215" s="326">
        <f>0.0264</f>
        <v>2.64E-2</v>
      </c>
      <c r="AZ215" s="326">
        <f>1/39.8136</f>
        <v>2.5117045431711775E-2</v>
      </c>
      <c r="BA215" s="326">
        <f>1/41.5852</f>
        <v>2.4047016727104836E-2</v>
      </c>
      <c r="BB215" s="326">
        <f>1/42.9587</f>
        <v>2.3278171825497511E-2</v>
      </c>
      <c r="BC215" s="326">
        <f>1/44.4537</f>
        <v>2.2495315350578242E-2</v>
      </c>
      <c r="BD215" s="69"/>
      <c r="BE215" s="326">
        <f t="shared" si="1173"/>
        <v>3.0915723737092688E-2</v>
      </c>
      <c r="BF215" s="326">
        <f t="shared" si="1173"/>
        <v>3.0629278527344289E-2</v>
      </c>
      <c r="BG215" s="326">
        <f t="shared" si="1173"/>
        <v>2.9273576206437259E-2</v>
      </c>
      <c r="BH215" s="326">
        <f t="shared" si="1173"/>
        <v>2.8300551860761285E-2</v>
      </c>
      <c r="BI215" s="326">
        <f t="shared" si="1173"/>
        <v>2.64E-2</v>
      </c>
      <c r="BJ215" s="237"/>
      <c r="BK215" s="38"/>
      <c r="BL215" s="38"/>
      <c r="BM215" s="38"/>
      <c r="BN215" s="38"/>
      <c r="BO215" s="38"/>
      <c r="BP215" s="237"/>
    </row>
    <row r="216" spans="2:69">
      <c r="B216" s="325" t="s">
        <v>280</v>
      </c>
      <c r="C216" s="327">
        <f t="shared" ref="C216:H216" si="1174">+C214</f>
        <v>0.33158749999999998</v>
      </c>
      <c r="D216" s="327">
        <f t="shared" si="1174"/>
        <v>0.27494166666999997</v>
      </c>
      <c r="E216" s="327">
        <f t="shared" si="1174"/>
        <v>0.21238083332999999</v>
      </c>
      <c r="F216" s="327">
        <f t="shared" si="1174"/>
        <v>0.17639083333</v>
      </c>
      <c r="G216" s="327">
        <f t="shared" si="1174"/>
        <v>0.1517915</v>
      </c>
      <c r="H216" s="327">
        <f t="shared" si="1174"/>
        <v>0.1053568</v>
      </c>
      <c r="I216" s="327">
        <f t="shared" ref="I216:K216" si="1175">+I214</f>
        <v>6.4351858278269711E-2</v>
      </c>
      <c r="J216" s="327">
        <f t="shared" ref="J216" si="1176">+J214</f>
        <v>5.3503116556539415E-2</v>
      </c>
      <c r="K216" s="327">
        <f t="shared" si="1175"/>
        <v>4.3751558278269709E-2</v>
      </c>
      <c r="L216" s="327">
        <f t="shared" ref="L216:M216" si="1177">+L214</f>
        <v>4.205073000067281E-2</v>
      </c>
      <c r="M216" s="327">
        <f t="shared" si="1177"/>
        <v>3.0523041448766046E-2</v>
      </c>
      <c r="N216" s="327">
        <f t="shared" ref="N216:O216" si="1178">+N214</f>
        <v>3.0523041448766046E-2</v>
      </c>
      <c r="O216" s="327">
        <f t="shared" si="1178"/>
        <v>2.5330506742498468E-2</v>
      </c>
      <c r="P216" s="327">
        <f>P214</f>
        <v>2.4213722285409998E-2</v>
      </c>
      <c r="R216" s="326"/>
      <c r="S216" s="327"/>
      <c r="T216" s="327"/>
      <c r="U216" s="327">
        <f t="shared" ref="U216:Y216" si="1179">+AVERAGE(R214:U214)</f>
        <v>0.21228724999999998</v>
      </c>
      <c r="V216" s="327">
        <f t="shared" si="1179"/>
        <v>0.19340724999999998</v>
      </c>
      <c r="W216" s="327">
        <f t="shared" si="1179"/>
        <v>0.17882175</v>
      </c>
      <c r="X216" s="327">
        <f t="shared" si="1179"/>
        <v>0.17869499999999999</v>
      </c>
      <c r="Y216" s="327">
        <f t="shared" si="1179"/>
        <v>0.1763615</v>
      </c>
      <c r="Z216" s="327">
        <f>+AVERAGE(W214:Z214)</f>
        <v>0.17073874999999999</v>
      </c>
      <c r="AA216" s="327">
        <f>+AVERAGE(X214:AA214)</f>
        <v>0.16460400000000003</v>
      </c>
      <c r="AB216" s="327">
        <f>+AVERAGE(Y214:AB214)</f>
        <v>0.15518400000000002</v>
      </c>
      <c r="AC216" s="327">
        <f>+AVERAGE(Z214:AC214)</f>
        <v>0.14519262499999999</v>
      </c>
      <c r="AD216" s="327">
        <f t="shared" ref="AD216" si="1180">+AVERAGE(AA214:AD214)</f>
        <v>0.13696404166666667</v>
      </c>
      <c r="AE216" s="327">
        <f t="shared" ref="AE216:AK216" si="1181">+AVERAGE(AB214:AE214)</f>
        <v>0.13030029166666665</v>
      </c>
      <c r="AF216" s="326">
        <f t="shared" si="1181"/>
        <v>0.12493320833333332</v>
      </c>
      <c r="AG216" s="327">
        <f t="shared" si="1181"/>
        <v>0.11520253333333333</v>
      </c>
      <c r="AH216" s="327">
        <f t="shared" si="1181"/>
        <v>0.10039276992745037</v>
      </c>
      <c r="AI216" s="327">
        <f t="shared" si="1181"/>
        <v>8.6486633569871893E-2</v>
      </c>
      <c r="AJ216" s="326">
        <f t="shared" si="1181"/>
        <v>7.1416136189970475E-2</v>
      </c>
      <c r="AK216" s="327">
        <f t="shared" si="1181"/>
        <v>6.1384530918586283E-2</v>
      </c>
      <c r="AL216" s="327">
        <f>+AVERAGE(AH214:AJ214,AL214)</f>
        <v>6.1389715329105324E-2</v>
      </c>
      <c r="AM216" s="327">
        <f>+AVERAGE(AI214:AM214)</f>
        <v>5.6058212372156656E-2</v>
      </c>
      <c r="AN216" s="327">
        <f>+AVERAGE(AJ214:AN214)</f>
        <v>5.3977008392826153E-2</v>
      </c>
      <c r="AO216" s="327">
        <f>+AVERAGE(AJ214:AO214)</f>
        <v>5.2937885017300929E-2</v>
      </c>
      <c r="AP216" s="327">
        <f>+AVERAGE(AK214:AP214)</f>
        <v>5.1430816849403226E-2</v>
      </c>
      <c r="AQ216" s="327">
        <f>+AVERAGE(AK214:AQ214)</f>
        <v>4.9478883054113229E-2</v>
      </c>
      <c r="AR216" s="327">
        <f>+AVERAGE(AL214:AR214)</f>
        <v>4.7142412924459295E-2</v>
      </c>
      <c r="AS216" s="327">
        <f>+AVERAGE(AM214:AS214)</f>
        <v>4.4593100628896321E-2</v>
      </c>
      <c r="AT216" s="327">
        <f>+AVERAGE(AN214:AQ214,AT214)</f>
        <v>4.4061850246951272E-2</v>
      </c>
      <c r="AU216" s="327">
        <f>+AVERAGE(AO214:AU214)</f>
        <v>3.891391564587502E-2</v>
      </c>
      <c r="AV216" s="327">
        <f>+AVERAGE(AS214:AV214)</f>
        <v>3.3232935964052378E-2</v>
      </c>
      <c r="AW216" s="327">
        <f>+AVERAGE(AT214:AW214)</f>
        <v>3.1781785988859432E-2</v>
      </c>
      <c r="AX216" s="327">
        <f>+AVERAGE(AU214:AX214)</f>
        <v>3.0523041448766046E-2</v>
      </c>
      <c r="AY216" s="327">
        <f t="shared" ref="AY216:AZ216" si="1182">+AVERAGE(AV214:AY214)</f>
        <v>2.9270466815131728E-2</v>
      </c>
      <c r="AZ216" s="327">
        <f t="shared" si="1182"/>
        <v>2.7990491742301001E-2</v>
      </c>
      <c r="BA216" s="327">
        <f>+AVERAGE(AX214:BA214)</f>
        <v>2.665675844046269E-2</v>
      </c>
      <c r="BB216" s="327">
        <f>+AVERAGE(AY214:BB214)</f>
        <v>2.5330506742498468E-2</v>
      </c>
      <c r="BC216" s="327">
        <f t="shared" ref="BC216" si="1183">+AVERAGE(AZ214:BC214)</f>
        <v>2.4213722285409998E-2</v>
      </c>
      <c r="BD216" s="69"/>
      <c r="BE216" s="327">
        <f>AU216</f>
        <v>3.891391564587502E-2</v>
      </c>
      <c r="BF216" s="327">
        <f>AV216</f>
        <v>3.3232935964052378E-2</v>
      </c>
      <c r="BG216" s="327">
        <f>AW216</f>
        <v>3.1781785988859432E-2</v>
      </c>
      <c r="BH216" s="327">
        <f>AVERAGE(BE214:BH214)</f>
        <v>3.0523041448766046E-2</v>
      </c>
      <c r="BI216" s="327">
        <f>AY216</f>
        <v>2.9270466815131728E-2</v>
      </c>
      <c r="BJ216" s="238"/>
      <c r="BK216" s="38"/>
      <c r="BL216" s="38"/>
      <c r="BM216" s="38"/>
      <c r="BN216" s="38"/>
      <c r="BO216" s="38"/>
      <c r="BP216" s="238"/>
    </row>
    <row r="217" spans="2:69">
      <c r="B217" s="355" t="s">
        <v>281</v>
      </c>
      <c r="C217" s="363">
        <f>1/C215</f>
        <v>3.5236081747709656</v>
      </c>
      <c r="D217" s="363">
        <f t="shared" ref="D217:BH217" si="1184">1/D215</f>
        <v>3.8045959519099068</v>
      </c>
      <c r="E217" s="363">
        <f t="shared" si="1184"/>
        <v>5.2893261398497833</v>
      </c>
      <c r="F217" s="363">
        <f t="shared" si="1184"/>
        <v>5.9499018266198611</v>
      </c>
      <c r="G217" s="363">
        <f t="shared" si="1184"/>
        <v>7.379365817301661</v>
      </c>
      <c r="H217" s="363">
        <f t="shared" si="1184"/>
        <v>13.297766241226798</v>
      </c>
      <c r="I217" s="363">
        <f t="shared" si="1184"/>
        <v>18.6905</v>
      </c>
      <c r="J217" s="363">
        <f t="shared" si="1184"/>
        <v>18.6905</v>
      </c>
      <c r="K217" s="363">
        <f t="shared" si="1184"/>
        <v>29.411764705882351</v>
      </c>
      <c r="L217" s="363">
        <f t="shared" si="1184"/>
        <v>29.476599999999998</v>
      </c>
      <c r="M217" s="363">
        <f t="shared" si="1184"/>
        <v>35.335000000000001</v>
      </c>
      <c r="N217" s="363">
        <f t="shared" si="1184"/>
        <v>35.335000000000001</v>
      </c>
      <c r="O217" s="363">
        <f t="shared" si="1184"/>
        <v>42.9587</v>
      </c>
      <c r="P217" s="363">
        <f t="shared" si="1184"/>
        <v>44.453699999999998</v>
      </c>
      <c r="R217" s="363">
        <f t="shared" si="1184"/>
        <v>3.9553050529022049</v>
      </c>
      <c r="S217" s="363">
        <f t="shared" si="1184"/>
        <v>4.5929076320346125</v>
      </c>
      <c r="T217" s="363">
        <f t="shared" si="1184"/>
        <v>6.0559081439852722</v>
      </c>
      <c r="U217" s="363">
        <f t="shared" si="1184"/>
        <v>5.2894100720946593</v>
      </c>
      <c r="V217" s="363">
        <f t="shared" si="1184"/>
        <v>5.5706892613823111</v>
      </c>
      <c r="W217" s="363">
        <f t="shared" si="1184"/>
        <v>5.7937091905608886</v>
      </c>
      <c r="X217" s="363">
        <f t="shared" si="1184"/>
        <v>5.6503878991292753</v>
      </c>
      <c r="Y217" s="363">
        <f t="shared" si="1184"/>
        <v>5.9511057154419298</v>
      </c>
      <c r="Z217" s="363">
        <f t="shared" si="1184"/>
        <v>6.6152004074963449</v>
      </c>
      <c r="AA217" s="363">
        <f t="shared" si="1184"/>
        <v>6.8528823223047617</v>
      </c>
      <c r="AB217" s="363">
        <f t="shared" si="1184"/>
        <v>7.7190274025472787</v>
      </c>
      <c r="AC217" s="363">
        <f t="shared" si="1184"/>
        <v>7.379365817301661</v>
      </c>
      <c r="AD217" s="363">
        <f t="shared" si="1184"/>
        <v>8.2596844800528615</v>
      </c>
      <c r="AE217" s="363">
        <f t="shared" si="1184"/>
        <v>8.7076156806743175</v>
      </c>
      <c r="AF217" s="363">
        <f t="shared" si="1184"/>
        <v>8.9272164046528655</v>
      </c>
      <c r="AG217" s="363">
        <f t="shared" si="1184"/>
        <v>13.297766241226798</v>
      </c>
      <c r="AH217" s="363">
        <f t="shared" si="1184"/>
        <v>14.669999999999998</v>
      </c>
      <c r="AI217" s="363">
        <f t="shared" si="1184"/>
        <v>16.636800000000001</v>
      </c>
      <c r="AJ217" s="363">
        <f t="shared" si="1184"/>
        <v>18.704999999999998</v>
      </c>
      <c r="AK217" s="363">
        <f t="shared" si="1184"/>
        <v>18.6905</v>
      </c>
      <c r="AL217" s="363">
        <f t="shared" si="1184"/>
        <v>18.6905</v>
      </c>
      <c r="AM217" s="363">
        <f t="shared" si="1184"/>
        <v>19.181000000000001</v>
      </c>
      <c r="AN217" s="363">
        <f t="shared" si="1184"/>
        <v>19.181000000000001</v>
      </c>
      <c r="AO217" s="363">
        <f t="shared" si="1184"/>
        <v>26.0366</v>
      </c>
      <c r="AP217" s="363">
        <f t="shared" si="1184"/>
        <v>26.0366</v>
      </c>
      <c r="AQ217" s="363">
        <f t="shared" si="1184"/>
        <v>27.407100000000003</v>
      </c>
      <c r="AR217" s="363">
        <f t="shared" si="1184"/>
        <v>27.407100000000003</v>
      </c>
      <c r="AS217" s="363">
        <f t="shared" si="1184"/>
        <v>29.411764705882351</v>
      </c>
      <c r="AT217" s="363">
        <f t="shared" si="1184"/>
        <v>29.411764705882351</v>
      </c>
      <c r="AU217" s="363">
        <f t="shared" si="1184"/>
        <v>32.345999999999997</v>
      </c>
      <c r="AV217" s="363">
        <f t="shared" si="1184"/>
        <v>32.648499999999999</v>
      </c>
      <c r="AW217" s="363">
        <f t="shared" si="1184"/>
        <v>34.160499999999999</v>
      </c>
      <c r="AX217" s="363">
        <f t="shared" si="1184"/>
        <v>35.335000000000001</v>
      </c>
      <c r="AY217" s="363">
        <f t="shared" si="1184"/>
        <v>37.878787878787882</v>
      </c>
      <c r="AZ217" s="363">
        <f t="shared" si="1184"/>
        <v>39.813600000000001</v>
      </c>
      <c r="BA217" s="363">
        <f t="shared" si="1184"/>
        <v>41.5852</v>
      </c>
      <c r="BB217" s="363">
        <f t="shared" si="1184"/>
        <v>42.9587</v>
      </c>
      <c r="BC217" s="363">
        <f t="shared" ref="BC217" si="1185">1/BC215</f>
        <v>44.453699999999998</v>
      </c>
      <c r="BD217" s="69"/>
      <c r="BE217" s="363">
        <f t="shared" si="1184"/>
        <v>32.345999999999997</v>
      </c>
      <c r="BF217" s="363">
        <f t="shared" si="1184"/>
        <v>32.648499999999999</v>
      </c>
      <c r="BG217" s="363">
        <f t="shared" si="1184"/>
        <v>34.160499999999999</v>
      </c>
      <c r="BH217" s="363">
        <f t="shared" si="1184"/>
        <v>35.335000000000001</v>
      </c>
      <c r="BI217" s="363">
        <f t="shared" ref="BI217" si="1186">1/BI215</f>
        <v>37.878787878787882</v>
      </c>
      <c r="BJ217" s="238"/>
      <c r="BK217" s="38"/>
      <c r="BL217" s="38"/>
      <c r="BM217" s="38"/>
      <c r="BN217" s="38"/>
      <c r="BO217" s="38"/>
      <c r="BP217" s="238"/>
    </row>
    <row r="218" spans="2:69"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37"/>
      <c r="O218" s="37"/>
      <c r="P218" s="37"/>
      <c r="R218" s="22"/>
      <c r="S218" s="22"/>
      <c r="T218" s="22"/>
      <c r="U218" s="23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37"/>
      <c r="BC218" s="22"/>
      <c r="BD218" s="69"/>
      <c r="BE218" s="22"/>
      <c r="BF218" s="22"/>
      <c r="BG218" s="22"/>
      <c r="BH218" s="37"/>
      <c r="BI218" s="22"/>
      <c r="BJ218" s="23"/>
      <c r="BK218" s="38"/>
      <c r="BL218" s="38"/>
      <c r="BM218" s="38"/>
      <c r="BN218" s="38"/>
      <c r="BO218" s="38"/>
      <c r="BP218" s="23"/>
    </row>
    <row r="219" spans="2:69">
      <c r="B219" s="5" t="s">
        <v>282</v>
      </c>
      <c r="C219" s="6">
        <f t="shared" ref="C219:O219" si="1187">C3</f>
        <v>42735</v>
      </c>
      <c r="D219" s="6">
        <f t="shared" si="1187"/>
        <v>43100</v>
      </c>
      <c r="E219" s="6">
        <f t="shared" si="1187"/>
        <v>43465</v>
      </c>
      <c r="F219" s="6">
        <f t="shared" si="1187"/>
        <v>43830</v>
      </c>
      <c r="G219" s="6">
        <f t="shared" si="1187"/>
        <v>44196</v>
      </c>
      <c r="H219" s="6">
        <f t="shared" si="1187"/>
        <v>44561</v>
      </c>
      <c r="I219" s="6">
        <f t="shared" si="1187"/>
        <v>44926</v>
      </c>
      <c r="J219" s="6">
        <f t="shared" si="1187"/>
        <v>44926</v>
      </c>
      <c r="K219" s="6">
        <f t="shared" si="1187"/>
        <v>45291</v>
      </c>
      <c r="L219" s="6">
        <f t="shared" si="1187"/>
        <v>45291</v>
      </c>
      <c r="M219" s="6">
        <f t="shared" si="1187"/>
        <v>45657</v>
      </c>
      <c r="N219" s="6">
        <f t="shared" si="1187"/>
        <v>45657</v>
      </c>
      <c r="O219" s="6">
        <f t="shared" si="1187"/>
        <v>46022</v>
      </c>
      <c r="P219" s="6" t="str">
        <f>P2</f>
        <v>LTM</v>
      </c>
      <c r="R219" s="6">
        <f t="shared" ref="R219:BC219" si="1188">R3</f>
        <v>43190</v>
      </c>
      <c r="S219" s="6">
        <f t="shared" si="1188"/>
        <v>43281</v>
      </c>
      <c r="T219" s="6">
        <f t="shared" si="1188"/>
        <v>43373</v>
      </c>
      <c r="U219" s="6">
        <f t="shared" si="1188"/>
        <v>43465</v>
      </c>
      <c r="V219" s="6">
        <f t="shared" si="1188"/>
        <v>43555</v>
      </c>
      <c r="W219" s="6">
        <f t="shared" si="1188"/>
        <v>43646</v>
      </c>
      <c r="X219" s="6">
        <f t="shared" si="1188"/>
        <v>43738</v>
      </c>
      <c r="Y219" s="6">
        <f t="shared" si="1188"/>
        <v>43830</v>
      </c>
      <c r="Z219" s="6">
        <f t="shared" si="1188"/>
        <v>43921</v>
      </c>
      <c r="AA219" s="6">
        <f t="shared" si="1188"/>
        <v>44012</v>
      </c>
      <c r="AB219" s="6">
        <f t="shared" si="1188"/>
        <v>44104</v>
      </c>
      <c r="AC219" s="6">
        <f t="shared" si="1188"/>
        <v>44196</v>
      </c>
      <c r="AD219" s="6">
        <f t="shared" si="1188"/>
        <v>44286</v>
      </c>
      <c r="AE219" s="6">
        <f t="shared" si="1188"/>
        <v>44377</v>
      </c>
      <c r="AF219" s="6">
        <f t="shared" si="1188"/>
        <v>44469</v>
      </c>
      <c r="AG219" s="6">
        <f t="shared" si="1188"/>
        <v>44561</v>
      </c>
      <c r="AH219" s="6">
        <f t="shared" si="1188"/>
        <v>44651</v>
      </c>
      <c r="AI219" s="6">
        <f t="shared" si="1188"/>
        <v>44742</v>
      </c>
      <c r="AJ219" s="6">
        <f t="shared" si="1188"/>
        <v>44834</v>
      </c>
      <c r="AK219" s="6">
        <f t="shared" si="1188"/>
        <v>44926</v>
      </c>
      <c r="AL219" s="6">
        <f t="shared" si="1188"/>
        <v>44926</v>
      </c>
      <c r="AM219" s="6">
        <f t="shared" si="1188"/>
        <v>45016</v>
      </c>
      <c r="AN219" s="6">
        <f t="shared" si="1188"/>
        <v>45016</v>
      </c>
      <c r="AO219" s="6">
        <f t="shared" si="1188"/>
        <v>45107</v>
      </c>
      <c r="AP219" s="6">
        <f t="shared" si="1188"/>
        <v>45107</v>
      </c>
      <c r="AQ219" s="6">
        <f t="shared" si="1188"/>
        <v>45199</v>
      </c>
      <c r="AR219" s="6">
        <f t="shared" si="1188"/>
        <v>45199</v>
      </c>
      <c r="AS219" s="6">
        <f t="shared" si="1188"/>
        <v>45291</v>
      </c>
      <c r="AT219" s="6">
        <f t="shared" si="1188"/>
        <v>45291</v>
      </c>
      <c r="AU219" s="6">
        <f t="shared" si="1188"/>
        <v>45382</v>
      </c>
      <c r="AV219" s="6">
        <f t="shared" si="1188"/>
        <v>45473</v>
      </c>
      <c r="AW219" s="6">
        <f t="shared" si="1188"/>
        <v>45565</v>
      </c>
      <c r="AX219" s="6">
        <f t="shared" si="1188"/>
        <v>45657</v>
      </c>
      <c r="AY219" s="6">
        <f t="shared" si="1188"/>
        <v>45747</v>
      </c>
      <c r="AZ219" s="6">
        <f t="shared" si="1188"/>
        <v>45838</v>
      </c>
      <c r="BA219" s="6">
        <f t="shared" si="1188"/>
        <v>45930</v>
      </c>
      <c r="BB219" s="6">
        <f t="shared" si="1188"/>
        <v>46022</v>
      </c>
      <c r="BC219" s="6">
        <f t="shared" si="1188"/>
        <v>46112</v>
      </c>
      <c r="BD219" s="234"/>
      <c r="BE219" s="6">
        <f>BE3</f>
        <v>45382</v>
      </c>
      <c r="BF219" s="6">
        <f>BF3</f>
        <v>45473</v>
      </c>
      <c r="BG219" s="6">
        <f>BG3</f>
        <v>45565</v>
      </c>
      <c r="BH219" s="6">
        <f>BH3</f>
        <v>45656</v>
      </c>
      <c r="BI219" s="6">
        <f>BI3</f>
        <v>45747</v>
      </c>
      <c r="BJ219" s="234"/>
      <c r="BK219" s="38"/>
      <c r="BL219" s="38"/>
      <c r="BM219" s="38"/>
      <c r="BN219" s="38"/>
      <c r="BO219" s="38"/>
      <c r="BP219" s="234"/>
    </row>
    <row r="220" spans="2:69">
      <c r="B220" s="11" t="s">
        <v>269</v>
      </c>
      <c r="C220" s="23">
        <f t="shared" ref="C220:F221" si="1189">C155*C$214</f>
        <v>1390.603283589275</v>
      </c>
      <c r="D220" s="23">
        <f t="shared" si="1189"/>
        <v>1326.771703882752</v>
      </c>
      <c r="E220" s="23">
        <f t="shared" si="1189"/>
        <v>1264.8357519434815</v>
      </c>
      <c r="F220" s="23">
        <f t="shared" si="1189"/>
        <v>1376.3988393739896</v>
      </c>
      <c r="G220" s="23">
        <f t="shared" ref="G220:H220" si="1190">G155*G$214</f>
        <v>1426.9707924815</v>
      </c>
      <c r="H220" s="23">
        <f t="shared" si="1190"/>
        <v>1320.8666301440001</v>
      </c>
      <c r="I220" s="23">
        <f t="shared" ref="I220:K220" si="1191">I155*I$214</f>
        <v>1814.5195020380545</v>
      </c>
      <c r="J220" s="23">
        <f t="shared" ref="J220" si="1192">J155*J$214</f>
        <v>2781.1566303737191</v>
      </c>
      <c r="K220" s="23">
        <f t="shared" si="1191"/>
        <v>2442.9181769951847</v>
      </c>
      <c r="L220" s="23">
        <f t="shared" ref="L220:M220" si="1193">L155*L$214</f>
        <v>3389.9420540940591</v>
      </c>
      <c r="M220" s="23">
        <f t="shared" si="1193"/>
        <v>2566.9239316385133</v>
      </c>
      <c r="N220" s="23">
        <f t="shared" ref="N220:O220" si="1194">N155*N$214</f>
        <v>3359.9065049152487</v>
      </c>
      <c r="O220" s="23">
        <f t="shared" si="1194"/>
        <v>2834.6002501471007</v>
      </c>
      <c r="P220" s="23">
        <f>P155*P$214</f>
        <v>2877.7695368506184</v>
      </c>
      <c r="R220" s="100"/>
      <c r="S220" s="100"/>
      <c r="T220" s="100"/>
      <c r="U220" s="23">
        <f t="shared" ref="U220:AG220" si="1195">U155*U$216</f>
        <v>1264.2784156729999</v>
      </c>
      <c r="V220" s="23">
        <f t="shared" si="1195"/>
        <v>1255.2474789904998</v>
      </c>
      <c r="W220" s="23">
        <f t="shared" si="1195"/>
        <v>1251.4673869522499</v>
      </c>
      <c r="X220" s="23">
        <f t="shared" si="1195"/>
        <v>1331.9642961900001</v>
      </c>
      <c r="Y220" s="23">
        <f t="shared" si="1195"/>
        <v>1376.1699478800001</v>
      </c>
      <c r="Z220" s="23">
        <f t="shared" si="1195"/>
        <v>1406.3556195324998</v>
      </c>
      <c r="AA220" s="23">
        <f t="shared" si="1195"/>
        <v>1409.179617516</v>
      </c>
      <c r="AB220" s="23">
        <f t="shared" si="1195"/>
        <v>1380.6284412960003</v>
      </c>
      <c r="AC220" s="23">
        <f t="shared" si="1195"/>
        <v>1364.9356858501251</v>
      </c>
      <c r="AD220" s="23">
        <f t="shared" si="1195"/>
        <v>1330.5252668992084</v>
      </c>
      <c r="AE220" s="23">
        <f t="shared" si="1195"/>
        <v>1317.6210457881668</v>
      </c>
      <c r="AF220" s="23">
        <f t="shared" si="1195"/>
        <v>1356.7149244264167</v>
      </c>
      <c r="AG220" s="23">
        <f t="shared" si="1195"/>
        <v>1444.3033766026665</v>
      </c>
      <c r="AH220" s="23">
        <f t="shared" ref="AH220:AJ220" si="1196">AH155*AH$216</f>
        <v>1579.5216142319464</v>
      </c>
      <c r="AI220" s="23">
        <f t="shared" si="1196"/>
        <v>1658.990583522427</v>
      </c>
      <c r="AJ220" s="23">
        <f t="shared" si="1196"/>
        <v>1678.8314614454632</v>
      </c>
      <c r="AK220" s="23">
        <f>AK155*AK$216</f>
        <v>1730.8502264781471</v>
      </c>
      <c r="AL220" s="23">
        <f>AL155*AL$216</f>
        <v>3191.1115615830122</v>
      </c>
      <c r="AM220" s="23">
        <f t="shared" ref="AM220:AQ220" si="1197">AM155*AM$216</f>
        <v>1817.5521555843009</v>
      </c>
      <c r="AN220" s="23">
        <f t="shared" ref="AN220" si="1198">AN155*AN$216</f>
        <v>3424.4117954230546</v>
      </c>
      <c r="AO220" s="23">
        <f t="shared" si="1197"/>
        <v>3544.8720242959639</v>
      </c>
      <c r="AP220" s="23">
        <f t="shared" si="1197"/>
        <v>2316.3035847671222</v>
      </c>
      <c r="AQ220" s="23">
        <f t="shared" si="1197"/>
        <v>2031.1158185982215</v>
      </c>
      <c r="AR220" s="23">
        <f t="shared" ref="AR220" si="1199">AR155*AR$216</f>
        <v>3976.6643939902838</v>
      </c>
      <c r="AS220" s="23">
        <f>AS155*AS$216</f>
        <v>2489.9066543422437</v>
      </c>
      <c r="AT220" s="23">
        <f>AT155*AT$216</f>
        <v>3552.0695866860087</v>
      </c>
      <c r="AU220" s="23">
        <f t="shared" ref="AU220:AW220" si="1200">AU155*AU$216</f>
        <v>3224.7812077161393</v>
      </c>
      <c r="AV220" s="23">
        <f t="shared" si="1200"/>
        <v>2066.5008924915337</v>
      </c>
      <c r="AW220" s="23">
        <f t="shared" si="1200"/>
        <v>1988.5645470177462</v>
      </c>
      <c r="AX220" s="23">
        <f>AX155*AX$216</f>
        <v>2566.9239316385133</v>
      </c>
      <c r="AY220" s="23">
        <f t="shared" ref="AY220:BA220" si="1201">AY155*AY$216</f>
        <v>2677.0560836100422</v>
      </c>
      <c r="AZ220" s="23">
        <f t="shared" si="1201"/>
        <v>2776.870768145629</v>
      </c>
      <c r="BA220" s="23">
        <f t="shared" si="1201"/>
        <v>2836.8754897218187</v>
      </c>
      <c r="BB220" s="23">
        <f>BB155*BB$216</f>
        <v>2834.6002501471007</v>
      </c>
      <c r="BC220" s="23">
        <f t="shared" ref="BC220" si="1202">BC155*BC$216</f>
        <v>2877.7695368506184</v>
      </c>
      <c r="BD220" s="23"/>
      <c r="BE220" s="23">
        <f t="shared" ref="BE220:BG221" si="1203">BE155*BE$216</f>
        <v>3515.4178418978954</v>
      </c>
      <c r="BF220" s="23">
        <f t="shared" si="1203"/>
        <v>3144.4230346437121</v>
      </c>
      <c r="BG220" s="23">
        <f t="shared" si="1203"/>
        <v>3211.9621288835247</v>
      </c>
      <c r="BH220" s="23">
        <f t="shared" ref="BH220:BI220" si="1204">BH155*BH$216</f>
        <v>3359.9065049152487</v>
      </c>
      <c r="BI220" s="23">
        <f t="shared" si="1204"/>
        <v>3462.4936140587888</v>
      </c>
      <c r="BJ220" s="23"/>
      <c r="BK220" s="38"/>
      <c r="BL220" s="38"/>
      <c r="BM220" s="38"/>
      <c r="BN220" s="38"/>
      <c r="BO220" s="38"/>
      <c r="BP220" s="23"/>
    </row>
    <row r="221" spans="2:69">
      <c r="B221" s="11" t="s">
        <v>270</v>
      </c>
      <c r="C221" s="23">
        <f t="shared" si="1189"/>
        <v>190.76228874999998</v>
      </c>
      <c r="D221" s="23">
        <f t="shared" si="1189"/>
        <v>201.69500713577861</v>
      </c>
      <c r="E221" s="23">
        <f t="shared" si="1189"/>
        <v>199.46128247686943</v>
      </c>
      <c r="F221" s="23">
        <f t="shared" si="1189"/>
        <v>229.93003740732158</v>
      </c>
      <c r="G221" s="23">
        <f t="shared" ref="G221:H221" si="1205">G156*G$214</f>
        <v>246.077093808</v>
      </c>
      <c r="H221" s="23">
        <f t="shared" si="1205"/>
        <v>245.3084534912</v>
      </c>
      <c r="I221" s="23">
        <f t="shared" ref="I221:K221" si="1206">I156*I$214</f>
        <v>351.81296059632433</v>
      </c>
      <c r="J221" s="23">
        <f t="shared" ref="J221" si="1207">J156*J$214</f>
        <v>358.62630748241082</v>
      </c>
      <c r="K221" s="23">
        <f t="shared" si="1206"/>
        <v>463.79224366592655</v>
      </c>
      <c r="L221" s="23">
        <f t="shared" ref="L221:M221" si="1208">L156*L$214</f>
        <v>643.5863806095673</v>
      </c>
      <c r="M221" s="23">
        <f t="shared" si="1208"/>
        <v>476.03598089809003</v>
      </c>
      <c r="N221" s="23">
        <f t="shared" ref="N221:O221" si="1209">N156*N$214</f>
        <v>623.09459053833825</v>
      </c>
      <c r="O221" s="23">
        <f t="shared" si="1209"/>
        <v>466.48754939860129</v>
      </c>
      <c r="P221" s="23">
        <f>P156*P$214</f>
        <v>437.33217400747793</v>
      </c>
      <c r="R221" s="100"/>
      <c r="S221" s="100"/>
      <c r="T221" s="100"/>
      <c r="U221" s="23">
        <f t="shared" ref="U221:AB221" si="1210">U156*U$216</f>
        <v>199.373392008</v>
      </c>
      <c r="V221" s="23">
        <f t="shared" si="1210"/>
        <v>201.9902769405</v>
      </c>
      <c r="W221" s="23">
        <f t="shared" si="1210"/>
        <v>207.90353120250003</v>
      </c>
      <c r="X221" s="23">
        <f t="shared" si="1210"/>
        <v>221.909705325</v>
      </c>
      <c r="Y221" s="23">
        <f t="shared" si="1210"/>
        <v>229.891800649</v>
      </c>
      <c r="Z221" s="23">
        <f t="shared" si="1210"/>
        <v>237.06819329374997</v>
      </c>
      <c r="AA221" s="23">
        <f t="shared" si="1210"/>
        <v>238.62543117600003</v>
      </c>
      <c r="AB221" s="23">
        <f t="shared" si="1210"/>
        <v>236.11199044800003</v>
      </c>
      <c r="AC221" s="23">
        <f t="shared" ref="AC221:AE221" si="1211">AC156*AC$216</f>
        <v>235.37931440399998</v>
      </c>
      <c r="AD221" s="23">
        <f t="shared" si="1211"/>
        <v>227.83790277995837</v>
      </c>
      <c r="AE221" s="23">
        <f t="shared" si="1211"/>
        <v>213.08606077591665</v>
      </c>
      <c r="AF221" s="23">
        <f>AF156*AF$216</f>
        <v>241.81884405187498</v>
      </c>
      <c r="AG221" s="23">
        <f t="shared" ref="AG221:AH221" si="1212">AG156*AG$216</f>
        <v>268.23285530946663</v>
      </c>
      <c r="AH221" s="23">
        <f t="shared" si="1212"/>
        <v>312.77186763911294</v>
      </c>
      <c r="AI221" s="23">
        <f t="shared" ref="AI221:AM221" si="1213">AI156*AI$216</f>
        <v>337.14349228157818</v>
      </c>
      <c r="AJ221" s="23">
        <f t="shared" si="1213"/>
        <v>318.89840081656558</v>
      </c>
      <c r="AK221" s="23">
        <f t="shared" si="1213"/>
        <v>335.59051960706046</v>
      </c>
      <c r="AL221" s="23">
        <f t="shared" ref="AL221" si="1214">AL156*AL$216</f>
        <v>375.29104557394504</v>
      </c>
      <c r="AM221" s="23">
        <f t="shared" si="1213"/>
        <v>368.04514809028103</v>
      </c>
      <c r="AN221" s="23">
        <f t="shared" ref="AN221" si="1215">AN156*AN$216</f>
        <v>455.60503018952903</v>
      </c>
      <c r="AO221" s="23">
        <f t="shared" ref="AO221:AU221" si="1216">AO156*AO$216</f>
        <v>488.1625775320091</v>
      </c>
      <c r="AP221" s="23">
        <f t="shared" si="1216"/>
        <v>475.94767085383529</v>
      </c>
      <c r="AQ221" s="23">
        <f t="shared" si="1216"/>
        <v>433.51061928733856</v>
      </c>
      <c r="AR221" s="23">
        <f t="shared" ref="AR221" si="1217">AR156*AR$216</f>
        <v>635.60050508362383</v>
      </c>
      <c r="AS221" s="23">
        <f t="shared" si="1216"/>
        <v>472.7130874094708</v>
      </c>
      <c r="AT221" s="23">
        <f t="shared" ref="AT221" si="1218">AT156*AT$216</f>
        <v>674.36657396773899</v>
      </c>
      <c r="AU221" s="23">
        <f t="shared" si="1216"/>
        <v>613.87379033500088</v>
      </c>
      <c r="AV221" s="23">
        <f t="shared" ref="AV221:AY221" si="1219">AV156*AV$216</f>
        <v>393.67576424923823</v>
      </c>
      <c r="AW221" s="23">
        <f t="shared" si="1219"/>
        <v>353.80847601417241</v>
      </c>
      <c r="AX221" s="23">
        <f>AX156*AX$216</f>
        <v>476.03598089809003</v>
      </c>
      <c r="AY221" s="23">
        <f t="shared" si="1219"/>
        <v>498.71451635483623</v>
      </c>
      <c r="AZ221" s="23">
        <f t="shared" ref="AZ221:BA221" si="1220">AZ156*AZ$216</f>
        <v>488.84243418718091</v>
      </c>
      <c r="BA221" s="23">
        <f t="shared" si="1220"/>
        <v>509.32297971873129</v>
      </c>
      <c r="BB221" s="23">
        <f>BB156*BB$216</f>
        <v>466.48754939860129</v>
      </c>
      <c r="BC221" s="23">
        <f t="shared" ref="BC221" si="1221">BC156*BC$216</f>
        <v>437.33217400747793</v>
      </c>
      <c r="BD221" s="23"/>
      <c r="BE221" s="23">
        <f t="shared" si="1203"/>
        <v>673.81126021988507</v>
      </c>
      <c r="BF221" s="23">
        <f t="shared" si="1203"/>
        <v>613.23942467296308</v>
      </c>
      <c r="BG221" s="23">
        <f t="shared" si="1203"/>
        <v>597.31765990007443</v>
      </c>
      <c r="BH221" s="23">
        <f t="shared" ref="BH221:BI221" si="1222">BH156*BH$216</f>
        <v>623.09459053833825</v>
      </c>
      <c r="BI221" s="23">
        <f t="shared" si="1222"/>
        <v>644.20723536106811</v>
      </c>
      <c r="BJ221" s="23"/>
      <c r="BK221" s="38"/>
      <c r="BL221" s="38"/>
      <c r="BM221" s="38"/>
      <c r="BN221" s="38"/>
      <c r="BO221" s="38"/>
      <c r="BP221" s="23"/>
    </row>
    <row r="222" spans="2:69">
      <c r="B222" s="11" t="s">
        <v>271</v>
      </c>
      <c r="C222" s="56">
        <f t="shared" ref="C222:G222" si="1223">C221/C220</f>
        <v>0.13717951841565121</v>
      </c>
      <c r="D222" s="56">
        <f t="shared" si="1223"/>
        <v>0.1520193764650882</v>
      </c>
      <c r="E222" s="56">
        <f t="shared" si="1223"/>
        <v>0.15769737862832189</v>
      </c>
      <c r="F222" s="56">
        <f t="shared" si="1223"/>
        <v>0.16705189718984201</v>
      </c>
      <c r="G222" s="56">
        <f t="shared" si="1223"/>
        <v>0.1724471832952322</v>
      </c>
      <c r="H222" s="56">
        <f t="shared" ref="H222:I222" si="1224">H221/H220</f>
        <v>0.18571780669821042</v>
      </c>
      <c r="I222" s="56">
        <f t="shared" si="1224"/>
        <v>0.19388767119954936</v>
      </c>
      <c r="J222" s="56">
        <f t="shared" ref="J222" si="1225">J221/J220</f>
        <v>0.12894861927795137</v>
      </c>
      <c r="K222" s="56">
        <f t="shared" ref="K222" si="1226">K221/K220</f>
        <v>0.18985173062013724</v>
      </c>
      <c r="L222" s="56">
        <f t="shared" ref="L222:M222" si="1227">L221/L220</f>
        <v>0.18985173502665129</v>
      </c>
      <c r="M222" s="56">
        <f t="shared" si="1227"/>
        <v>0.18544997575920677</v>
      </c>
      <c r="N222" s="56">
        <f t="shared" ref="N222:O222" si="1228">N221/N220</f>
        <v>0.18544997892852241</v>
      </c>
      <c r="O222" s="56">
        <f t="shared" si="1228"/>
        <v>0.16456907790592096</v>
      </c>
      <c r="P222" s="56">
        <f>P221/P220</f>
        <v>0.15196914429988956</v>
      </c>
      <c r="R222" s="103"/>
      <c r="S222" s="103"/>
      <c r="T222" s="103"/>
      <c r="U222" s="56">
        <f t="shared" ref="U222:AB222" si="1229">U221/U220</f>
        <v>0.15769737862832189</v>
      </c>
      <c r="V222" s="56">
        <f t="shared" si="1229"/>
        <v>0.16091669596735253</v>
      </c>
      <c r="W222" s="56">
        <f t="shared" si="1229"/>
        <v>0.16612780594212373</v>
      </c>
      <c r="X222" s="56">
        <f t="shared" si="1229"/>
        <v>0.16660334361796236</v>
      </c>
      <c r="Y222" s="56">
        <f t="shared" si="1229"/>
        <v>0.16705189718984201</v>
      </c>
      <c r="Z222" s="56">
        <f t="shared" si="1229"/>
        <v>0.16856916558029333</v>
      </c>
      <c r="AA222" s="56">
        <f t="shared" si="1229"/>
        <v>0.16933641972244226</v>
      </c>
      <c r="AB222" s="56">
        <f t="shared" si="1229"/>
        <v>0.17101776508845562</v>
      </c>
      <c r="AC222" s="56">
        <f t="shared" ref="AC222:AF222" si="1230">AC221/AC220</f>
        <v>0.1724471832952322</v>
      </c>
      <c r="AD222" s="56">
        <f t="shared" si="1230"/>
        <v>0.17123906508813247</v>
      </c>
      <c r="AE222" s="56">
        <f t="shared" si="1230"/>
        <v>0.16172029238380453</v>
      </c>
      <c r="AF222" s="56">
        <f t="shared" si="1230"/>
        <v>0.17823850810376365</v>
      </c>
      <c r="AG222" s="56">
        <f>AG221/AG220</f>
        <v>0.18571780669821042</v>
      </c>
      <c r="AH222" s="56">
        <f t="shared" ref="AH222:AJ222" si="1231">AH221/AH220</f>
        <v>0.19801683295812353</v>
      </c>
      <c r="AI222" s="56">
        <f t="shared" si="1231"/>
        <v>0.20322206504978665</v>
      </c>
      <c r="AJ222" s="56">
        <f t="shared" si="1231"/>
        <v>0.18995259985299304</v>
      </c>
      <c r="AK222" s="56">
        <f>AK221/AK220</f>
        <v>0.19388767119954933</v>
      </c>
      <c r="AL222" s="56">
        <f>AL221/AL220</f>
        <v>0.11760511606425152</v>
      </c>
      <c r="AM222" s="56">
        <f t="shared" ref="AM222:AQ222" si="1232">AM221/AM220</f>
        <v>0.20249495837546574</v>
      </c>
      <c r="AN222" s="56">
        <f t="shared" ref="AN222" si="1233">AN221/AN220</f>
        <v>0.13304621564453034</v>
      </c>
      <c r="AO222" s="56">
        <f t="shared" si="1232"/>
        <v>0.13770950662992174</v>
      </c>
      <c r="AP222" s="56">
        <f t="shared" si="1232"/>
        <v>0.20547724140472992</v>
      </c>
      <c r="AQ222" s="56">
        <f t="shared" si="1232"/>
        <v>0.21343471175687398</v>
      </c>
      <c r="AR222" s="56">
        <f t="shared" ref="AR222" si="1234">AR221/AR220</f>
        <v>0.15983257376311971</v>
      </c>
      <c r="AS222" s="56">
        <f>AS221/AS220</f>
        <v>0.18985173062013724</v>
      </c>
      <c r="AT222" s="56">
        <f>AT221/AT220</f>
        <v>0.18985173502665131</v>
      </c>
      <c r="AU222" s="56">
        <f t="shared" ref="AU222:AW222" si="1235">AU221/AU220</f>
        <v>0.19036137672414674</v>
      </c>
      <c r="AV222" s="56">
        <f t="shared" si="1235"/>
        <v>0.19050355394455804</v>
      </c>
      <c r="AW222" s="56">
        <f t="shared" si="1235"/>
        <v>0.17792154473676985</v>
      </c>
      <c r="AX222" s="56">
        <f>AX221/AX220</f>
        <v>0.18544997575920677</v>
      </c>
      <c r="AY222" s="56">
        <f t="shared" ref="AY222:BA222" si="1236">AY221/AY220</f>
        <v>0.18629214360063526</v>
      </c>
      <c r="AZ222" s="56">
        <f t="shared" si="1236"/>
        <v>0.17604075774603864</v>
      </c>
      <c r="BA222" s="56">
        <f t="shared" si="1236"/>
        <v>0.17953659988393605</v>
      </c>
      <c r="BB222" s="56">
        <f>BB221/BB220</f>
        <v>0.16456907790592096</v>
      </c>
      <c r="BC222" s="56">
        <f t="shared" ref="BC222" si="1237">BC221/BC220</f>
        <v>0.15196914429988956</v>
      </c>
      <c r="BD222" s="56"/>
      <c r="BE222" s="56">
        <f t="shared" ref="BE222:BF222" si="1238">BE221/BE220</f>
        <v>0.1916731639093319</v>
      </c>
      <c r="BF222" s="56">
        <f t="shared" si="1238"/>
        <v>0.19502446646541882</v>
      </c>
      <c r="BG222" s="56">
        <f t="shared" ref="BG222:BI222" si="1239">BG221/BG220</f>
        <v>0.18596659485138498</v>
      </c>
      <c r="BH222" s="56">
        <f t="shared" si="1239"/>
        <v>0.18544997892852241</v>
      </c>
      <c r="BI222" s="56">
        <f t="shared" si="1239"/>
        <v>0.18605297429153042</v>
      </c>
      <c r="BJ222" s="56"/>
      <c r="BK222" s="38"/>
      <c r="BL222" s="38"/>
      <c r="BM222" s="38"/>
      <c r="BN222" s="38"/>
      <c r="BO222" s="38"/>
      <c r="BP222" s="56"/>
    </row>
    <row r="223" spans="2:69">
      <c r="B223" s="11" t="s">
        <v>37</v>
      </c>
      <c r="C223" s="23">
        <f t="shared" ref="C223:F225" si="1240">C158*C$215</f>
        <v>838.01996520000012</v>
      </c>
      <c r="D223" s="23">
        <f t="shared" si="1240"/>
        <v>1132.9463245200002</v>
      </c>
      <c r="E223" s="23">
        <f t="shared" si="1240"/>
        <v>991.76206217999993</v>
      </c>
      <c r="F223" s="23">
        <f t="shared" si="1240"/>
        <v>987.85966075999988</v>
      </c>
      <c r="G223" s="23">
        <f t="shared" ref="G223:H223" si="1241">G158*G$215</f>
        <v>1265.4544077630001</v>
      </c>
      <c r="H223" s="23">
        <f t="shared" si="1241"/>
        <v>1364.5505320844002</v>
      </c>
      <c r="I223" s="23">
        <f t="shared" ref="I223:K223" si="1242">I158*I$215</f>
        <v>1270.1675182579384</v>
      </c>
      <c r="J223" s="23">
        <f t="shared" ref="J223" si="1243">J158*J$215</f>
        <v>2092.8920574623471</v>
      </c>
      <c r="K223" s="23">
        <f t="shared" si="1242"/>
        <v>1039.0613180000003</v>
      </c>
      <c r="L223" s="23">
        <f t="shared" ref="L223:M223" si="1244">L158*L$215</f>
        <v>1497.0122741428793</v>
      </c>
      <c r="M223" s="23">
        <f t="shared" si="1244"/>
        <v>1358.6915522852696</v>
      </c>
      <c r="N223" s="23">
        <f t="shared" ref="N223:O223" si="1245">N158*N$215</f>
        <v>1778.423008348663</v>
      </c>
      <c r="O223" s="23">
        <f t="shared" si="1245"/>
        <v>1334.8956090384486</v>
      </c>
      <c r="P223" s="23">
        <f>P158*P$215</f>
        <v>1310.4062878905468</v>
      </c>
      <c r="R223" s="23">
        <f t="shared" ref="R223:AB223" si="1246">R158*R$215</f>
        <v>1189.9443752250004</v>
      </c>
      <c r="S223" s="23">
        <f t="shared" si="1246"/>
        <v>1044.8821061690001</v>
      </c>
      <c r="T223" s="23">
        <f t="shared" si="1246"/>
        <v>1019.626429792</v>
      </c>
      <c r="U223" s="23">
        <f t="shared" si="1246"/>
        <v>991.746324921</v>
      </c>
      <c r="V223" s="23">
        <f t="shared" si="1246"/>
        <v>997.59683932200016</v>
      </c>
      <c r="W223" s="23">
        <f t="shared" si="1246"/>
        <v>1015.4781343850001</v>
      </c>
      <c r="X223" s="23">
        <f t="shared" si="1246"/>
        <v>1018.3465458869999</v>
      </c>
      <c r="Y223" s="23">
        <f t="shared" si="1246"/>
        <v>987.65982004799992</v>
      </c>
      <c r="Z223" s="23">
        <f t="shared" si="1246"/>
        <v>962.59532708699987</v>
      </c>
      <c r="AA223" s="23">
        <f t="shared" si="1246"/>
        <v>1047.131216108</v>
      </c>
      <c r="AB223" s="23">
        <f t="shared" si="1246"/>
        <v>1089.0447153</v>
      </c>
      <c r="AC223" s="23">
        <f>AC158*AC$215</f>
        <v>1265.4544077630001</v>
      </c>
      <c r="AD223" s="23">
        <f>AD158*AD$215</f>
        <v>1276.4574755199999</v>
      </c>
      <c r="AE223" s="23">
        <f>AE158*AE$215</f>
        <v>1236.1313813939998</v>
      </c>
      <c r="AF223" s="23">
        <f>AF158*AF$215</f>
        <v>1422.4383530549999</v>
      </c>
      <c r="AG223" s="23">
        <f t="shared" ref="AG223:AH223" si="1247">AG158*AG$215</f>
        <v>858.48478555800011</v>
      </c>
      <c r="AH223" s="23">
        <f t="shared" si="1247"/>
        <v>1352.709952283572</v>
      </c>
      <c r="AI223" s="23">
        <f t="shared" ref="AI223:AM223" si="1248">AI158*AI$215</f>
        <v>1326.6121489709558</v>
      </c>
      <c r="AJ223" s="23">
        <f t="shared" si="1248"/>
        <v>1294.5991980753813</v>
      </c>
      <c r="AK223" s="23">
        <f t="shared" si="1248"/>
        <v>1270.1675182579384</v>
      </c>
      <c r="AL223" s="23">
        <f t="shared" ref="AL223" si="1249">AL158*AL$215</f>
        <v>2092.8920574623471</v>
      </c>
      <c r="AM223" s="23">
        <f t="shared" si="1248"/>
        <v>1313.8164329284186</v>
      </c>
      <c r="AN223" s="23">
        <f t="shared" ref="AN223" si="1250">AN158*AN$215</f>
        <v>1313.8164329284186</v>
      </c>
      <c r="AO223" s="23">
        <f t="shared" ref="AO223:AU223" si="1251">AO158*AO$215</f>
        <v>1098.5741609887621</v>
      </c>
      <c r="AP223" s="23">
        <f t="shared" si="1251"/>
        <v>1098.5741609887621</v>
      </c>
      <c r="AQ223" s="23">
        <f t="shared" si="1251"/>
        <v>1042.4873116820092</v>
      </c>
      <c r="AR223" s="23">
        <f t="shared" ref="AR223" si="1252">AR158*AR$215</f>
        <v>1042.4873116820092</v>
      </c>
      <c r="AS223" s="23">
        <f t="shared" si="1251"/>
        <v>1039.0613180000003</v>
      </c>
      <c r="AT223" s="23">
        <f t="shared" ref="AT223" si="1253">AT158*AT$215</f>
        <v>1039.0613180000003</v>
      </c>
      <c r="AU223" s="23">
        <f t="shared" si="1251"/>
        <v>1060.7812712545604</v>
      </c>
      <c r="AV223" s="23">
        <f t="shared" ref="AV223:AY223" si="1254">AV158*AV$215</f>
        <v>1156.0763587913686</v>
      </c>
      <c r="AW223" s="23">
        <f t="shared" si="1254"/>
        <v>1391.6029332123358</v>
      </c>
      <c r="AX223" s="23">
        <f t="shared" si="1254"/>
        <v>1358.6915522852696</v>
      </c>
      <c r="AY223" s="23">
        <f t="shared" si="1254"/>
        <v>1463.0923559999999</v>
      </c>
      <c r="AZ223" s="23">
        <f t="shared" ref="AZ223:BC223" si="1255">AZ158*AZ$215</f>
        <v>1639.8163441638033</v>
      </c>
      <c r="BA223" s="23">
        <f t="shared" si="1255"/>
        <v>1646.576257899445</v>
      </c>
      <c r="BB223" s="23">
        <f t="shared" si="1255"/>
        <v>1334.8956090384486</v>
      </c>
      <c r="BC223" s="23">
        <f t="shared" si="1255"/>
        <v>1310.4062878905468</v>
      </c>
      <c r="BD223" s="23"/>
      <c r="BE223" s="23">
        <f t="shared" ref="BE223:BF225" si="1256">BE158*BE$215</f>
        <v>1060.7812712545604</v>
      </c>
      <c r="BF223" s="23">
        <f t="shared" si="1256"/>
        <v>1156.0763587913686</v>
      </c>
      <c r="BG223" s="23">
        <f t="shared" ref="BG223:BI223" si="1257">BG158*BG$215</f>
        <v>1391.6029332123358</v>
      </c>
      <c r="BH223" s="23">
        <f t="shared" si="1257"/>
        <v>1778.423008348663</v>
      </c>
      <c r="BI223" s="23">
        <f t="shared" si="1257"/>
        <v>1463.0923559999999</v>
      </c>
      <c r="BJ223" s="23"/>
      <c r="BK223" s="38"/>
      <c r="BL223" s="38"/>
      <c r="BM223" s="38"/>
      <c r="BN223" s="38"/>
      <c r="BO223" s="38"/>
      <c r="BP223" s="23"/>
    </row>
    <row r="224" spans="2:69">
      <c r="B224" s="11" t="s">
        <v>16</v>
      </c>
      <c r="C224" s="23">
        <f t="shared" si="1240"/>
        <v>649.6448772</v>
      </c>
      <c r="D224" s="23">
        <f t="shared" si="1240"/>
        <v>838.58681455999999</v>
      </c>
      <c r="E224" s="23">
        <f t="shared" si="1240"/>
        <v>638.92127478000009</v>
      </c>
      <c r="F224" s="23">
        <f t="shared" si="1240"/>
        <v>854.64569805999997</v>
      </c>
      <c r="G224" s="23">
        <f t="shared" ref="G224:H224" si="1258">G159*G$215</f>
        <v>1011.441116322</v>
      </c>
      <c r="H224" s="23">
        <f t="shared" si="1258"/>
        <v>708.36731742180007</v>
      </c>
      <c r="I224" s="23">
        <f t="shared" ref="I224:K224" si="1259">I159*I$215</f>
        <v>506.42470773922577</v>
      </c>
      <c r="J224" s="23">
        <f t="shared" ref="J224" si="1260">J159*J$215</f>
        <v>834.45076375698875</v>
      </c>
      <c r="K224" s="23">
        <f t="shared" si="1259"/>
        <v>396.48936800000001</v>
      </c>
      <c r="L224" s="23">
        <f t="shared" ref="L224:M224" si="1261">L159*L$215</f>
        <v>571.18734860872689</v>
      </c>
      <c r="M224" s="23">
        <f t="shared" si="1261"/>
        <v>744.68903353615394</v>
      </c>
      <c r="N224" s="23">
        <f t="shared" ref="N224:O224" si="1262">N159*N$215</f>
        <v>974.74079524550734</v>
      </c>
      <c r="O224" s="23">
        <f t="shared" si="1262"/>
        <v>542.96575548142744</v>
      </c>
      <c r="P224" s="23">
        <f>P159*P$215</f>
        <v>386.1927803534914</v>
      </c>
      <c r="R224" s="23">
        <f t="shared" ref="R224:AB224" si="1263">R159*R$215</f>
        <v>880.71917422500007</v>
      </c>
      <c r="S224" s="23">
        <f t="shared" si="1263"/>
        <v>673.16093588199999</v>
      </c>
      <c r="T224" s="23">
        <f t="shared" si="1263"/>
        <v>666.610011912</v>
      </c>
      <c r="U224" s="23">
        <f t="shared" si="1263"/>
        <v>638.91113639100001</v>
      </c>
      <c r="V224" s="23">
        <f t="shared" si="1263"/>
        <v>687.66301982699997</v>
      </c>
      <c r="W224" s="23">
        <f t="shared" si="1263"/>
        <v>710.95974349400001</v>
      </c>
      <c r="X224" s="23">
        <f t="shared" si="1263"/>
        <v>675.46212191699999</v>
      </c>
      <c r="Y224" s="23">
        <f t="shared" si="1263"/>
        <v>854.47280608799997</v>
      </c>
      <c r="Z224" s="23">
        <f t="shared" si="1263"/>
        <v>761.81894569500002</v>
      </c>
      <c r="AA224" s="23">
        <f t="shared" si="1263"/>
        <v>957.51359667199995</v>
      </c>
      <c r="AB224" s="23">
        <f t="shared" si="1263"/>
        <v>765.25301594999996</v>
      </c>
      <c r="AC224" s="23">
        <f t="shared" ref="AC224:AE224" si="1264">AC159*AC$215</f>
        <v>1011.441116322</v>
      </c>
      <c r="AD224" s="23">
        <f t="shared" si="1264"/>
        <v>1085.40756268</v>
      </c>
      <c r="AE224" s="23">
        <f t="shared" si="1264"/>
        <v>1006.937641892</v>
      </c>
      <c r="AF224" s="23">
        <f>AF159*AF$215</f>
        <v>799.86511767299999</v>
      </c>
      <c r="AG224" s="23">
        <f t="shared" ref="AG224:AH224" si="1265">AG159*AG$215</f>
        <v>708.36731742180007</v>
      </c>
      <c r="AH224" s="23">
        <f t="shared" si="1265"/>
        <v>636.00688479890937</v>
      </c>
      <c r="AI224" s="23">
        <f t="shared" ref="AI224:AM224" si="1266">AI159*AI$215</f>
        <v>582.45443835352955</v>
      </c>
      <c r="AJ224" s="23">
        <f t="shared" si="1266"/>
        <v>507.17759957230692</v>
      </c>
      <c r="AK224" s="23">
        <f t="shared" si="1266"/>
        <v>506.42470773922577</v>
      </c>
      <c r="AL224" s="23">
        <f t="shared" ref="AL224" si="1267">AL159*AL$215</f>
        <v>834.45076375698875</v>
      </c>
      <c r="AM224" s="23">
        <f t="shared" si="1266"/>
        <v>514.29497940670456</v>
      </c>
      <c r="AN224" s="23">
        <f t="shared" ref="AN224" si="1268">AN159*AN$215</f>
        <v>866.448985975705</v>
      </c>
      <c r="AO224" s="23">
        <f t="shared" ref="AO224:AQ225" si="1269">AO159*AO$215</f>
        <v>336.52516073527266</v>
      </c>
      <c r="AP224" s="23">
        <f t="shared" si="1269"/>
        <v>336.52516073527266</v>
      </c>
      <c r="AQ224" s="23">
        <f t="shared" si="1269"/>
        <v>353.43086280562341</v>
      </c>
      <c r="AR224" s="23">
        <f t="shared" ref="AR224" si="1270">AR159*AR$215</f>
        <v>353.43086280562341</v>
      </c>
      <c r="AS224" s="23">
        <f>AS159*AS$215</f>
        <v>396.48936800000001</v>
      </c>
      <c r="AT224" s="23">
        <f t="shared" ref="AT224" si="1271">AT159*AT$215</f>
        <v>396.48936800000001</v>
      </c>
      <c r="AU224" s="23">
        <f>AU159*AU$215</f>
        <v>391.6121622457182</v>
      </c>
      <c r="AV224" s="23">
        <f t="shared" ref="AV224:AY224" si="1272">AV159*AV$215</f>
        <v>512.41279078671312</v>
      </c>
      <c r="AW224" s="23">
        <f t="shared" si="1272"/>
        <v>683.07419387889513</v>
      </c>
      <c r="AX224" s="23">
        <f t="shared" si="1272"/>
        <v>744.68903353615394</v>
      </c>
      <c r="AY224" s="23">
        <f t="shared" si="1272"/>
        <v>632.08717439999998</v>
      </c>
      <c r="AZ224" s="23">
        <f t="shared" ref="AZ224:BC224" si="1273">AZ159*AZ$215</f>
        <v>688.14196656418903</v>
      </c>
      <c r="BA224" s="23">
        <f t="shared" si="1273"/>
        <v>711.22661427623291</v>
      </c>
      <c r="BB224" s="23">
        <f t="shared" si="1273"/>
        <v>542.96575548142744</v>
      </c>
      <c r="BC224" s="23">
        <f t="shared" si="1273"/>
        <v>386.1927803534914</v>
      </c>
      <c r="BD224" s="23"/>
      <c r="BE224" s="23">
        <f t="shared" si="1256"/>
        <v>391.6121622457182</v>
      </c>
      <c r="BF224" s="23">
        <f t="shared" si="1256"/>
        <v>512.41279078671312</v>
      </c>
      <c r="BG224" s="23">
        <f t="shared" ref="BG224:BI224" si="1274">BG159*BG$215</f>
        <v>683.07419387889513</v>
      </c>
      <c r="BH224" s="23">
        <f t="shared" si="1274"/>
        <v>974.74079524550734</v>
      </c>
      <c r="BI224" s="23">
        <f t="shared" si="1274"/>
        <v>632.08717439999998</v>
      </c>
      <c r="BJ224" s="23"/>
      <c r="BK224" s="38"/>
      <c r="BL224" s="38"/>
      <c r="BM224" s="38"/>
      <c r="BN224" s="38"/>
      <c r="BO224" s="38"/>
      <c r="BP224" s="23"/>
    </row>
    <row r="225" spans="2:69">
      <c r="B225" s="11" t="s">
        <v>272</v>
      </c>
      <c r="C225" s="23">
        <f t="shared" si="1240"/>
        <v>188.37508800000006</v>
      </c>
      <c r="D225" s="23">
        <f t="shared" si="1240"/>
        <v>294.35950996000008</v>
      </c>
      <c r="E225" s="23">
        <f t="shared" si="1240"/>
        <v>352.8407873999999</v>
      </c>
      <c r="F225" s="23">
        <f t="shared" si="1240"/>
        <v>133.21396269999994</v>
      </c>
      <c r="G225" s="23">
        <f t="shared" ref="G225:H225" si="1275">G160*G$215</f>
        <v>254.01329144100004</v>
      </c>
      <c r="H225" s="23">
        <f t="shared" si="1275"/>
        <v>656.18321466260022</v>
      </c>
      <c r="I225" s="23">
        <f t="shared" ref="I225:K225" si="1276">I160*I$215</f>
        <v>763.74281051871264</v>
      </c>
      <c r="J225" s="23">
        <f t="shared" ref="J225" si="1277">J160*J$215</f>
        <v>1258.4412937053582</v>
      </c>
      <c r="K225" s="23">
        <f t="shared" si="1276"/>
        <v>642.57195000000013</v>
      </c>
      <c r="L225" s="23">
        <f t="shared" ref="L225:M225" si="1278">L160*L$215</f>
        <v>925.82492553415238</v>
      </c>
      <c r="M225" s="23">
        <f t="shared" si="1278"/>
        <v>614.00251874911567</v>
      </c>
      <c r="N225" s="23">
        <f t="shared" ref="N225:O225" si="1279">N160*N$215</f>
        <v>803.68221310315562</v>
      </c>
      <c r="O225" s="23">
        <f t="shared" si="1279"/>
        <v>791.92985355702103</v>
      </c>
      <c r="P225" s="23">
        <f>P160*P$215</f>
        <v>924.21350753705519</v>
      </c>
      <c r="R225" s="23">
        <f t="shared" ref="R225:Z225" si="1280">R160*R$215</f>
        <v>309.22520100000025</v>
      </c>
      <c r="S225" s="23">
        <f t="shared" si="1280"/>
        <v>371.72117028700012</v>
      </c>
      <c r="T225" s="23">
        <f t="shared" si="1280"/>
        <v>353.01641788000001</v>
      </c>
      <c r="U225" s="23">
        <f t="shared" si="1280"/>
        <v>352.83518852999993</v>
      </c>
      <c r="V225" s="23">
        <f t="shared" si="1280"/>
        <v>309.93381949500008</v>
      </c>
      <c r="W225" s="23">
        <f t="shared" si="1280"/>
        <v>304.51839089100002</v>
      </c>
      <c r="X225" s="23">
        <f t="shared" si="1280"/>
        <v>342.88442396999994</v>
      </c>
      <c r="Y225" s="23">
        <f t="shared" si="1280"/>
        <v>133.18701395999994</v>
      </c>
      <c r="Z225" s="23">
        <f t="shared" si="1280"/>
        <v>200.77638139199991</v>
      </c>
      <c r="AA225" s="23">
        <f>AA160*AA$215</f>
        <v>89.617619436000012</v>
      </c>
      <c r="AB225" s="23">
        <f>AB160*AB$215</f>
        <v>323.79169934999999</v>
      </c>
      <c r="AC225" s="23">
        <f t="shared" ref="AC225:AD225" si="1281">AC160*AC$215</f>
        <v>254.01329144100004</v>
      </c>
      <c r="AD225" s="23">
        <f t="shared" si="1281"/>
        <v>191.04991283999985</v>
      </c>
      <c r="AE225" s="23">
        <f>AE160*AE$215</f>
        <v>229.19373950199997</v>
      </c>
      <c r="AF225" s="23">
        <f>AF160*AF$215</f>
        <v>622.57323538200001</v>
      </c>
      <c r="AG225" s="23">
        <f t="shared" ref="AG225:AH225" si="1282">AG160*AG$215</f>
        <v>150.11746813620007</v>
      </c>
      <c r="AH225" s="23">
        <f t="shared" si="1282"/>
        <v>716.70306748466248</v>
      </c>
      <c r="AI225" s="23">
        <f t="shared" ref="AI225" si="1283">AI160*AI$215</f>
        <v>744.15771061742635</v>
      </c>
      <c r="AJ225" s="23">
        <f>AJ160*AJ$215</f>
        <v>787.42159850307428</v>
      </c>
      <c r="AK225" s="23">
        <f t="shared" ref="AK225:AM225" si="1284">AK160*AK$215</f>
        <v>763.74281051871264</v>
      </c>
      <c r="AL225" s="23">
        <f t="shared" ref="AL225" si="1285">AL160*AL$215</f>
        <v>1258.4412937053582</v>
      </c>
      <c r="AM225" s="23">
        <f t="shared" si="1284"/>
        <v>799.52145352171419</v>
      </c>
      <c r="AN225" s="23">
        <f t="shared" ref="AN225" si="1286">AN160*AN$215</f>
        <v>447.36744695271369</v>
      </c>
      <c r="AO225" s="23">
        <f t="shared" si="1269"/>
        <v>762.04900025348945</v>
      </c>
      <c r="AP225" s="23">
        <f t="shared" si="1269"/>
        <v>762.04900025348945</v>
      </c>
      <c r="AQ225" s="23">
        <f t="shared" si="1269"/>
        <v>689.05644887638584</v>
      </c>
      <c r="AR225" s="23">
        <f>AR160*AR$215</f>
        <v>689.05644887638584</v>
      </c>
      <c r="AS225" s="23">
        <f t="shared" ref="AS225:AV225" si="1287">AS160*AS$215</f>
        <v>642.57195000000013</v>
      </c>
      <c r="AT225" s="23">
        <f t="shared" ref="AT225" si="1288">AT160*AT$215</f>
        <v>642.57195000000013</v>
      </c>
      <c r="AU225" s="23">
        <f t="shared" si="1287"/>
        <v>669.16910900884204</v>
      </c>
      <c r="AV225" s="23">
        <f t="shared" si="1287"/>
        <v>643.66356800465564</v>
      </c>
      <c r="AW225" s="23">
        <f>AW160*AW$215</f>
        <v>708.52873933344063</v>
      </c>
      <c r="AX225" s="23">
        <f t="shared" ref="AX225:AZ225" si="1289">AX160*AX$215</f>
        <v>614.00251874911567</v>
      </c>
      <c r="AY225" s="23">
        <f t="shared" si="1289"/>
        <v>831.00518159999979</v>
      </c>
      <c r="AZ225" s="23">
        <f t="shared" si="1289"/>
        <v>951.6743775996141</v>
      </c>
      <c r="BA225" s="23">
        <f>BA160*BA$215</f>
        <v>935.34964362321193</v>
      </c>
      <c r="BB225" s="23">
        <f t="shared" ref="BB225:BC225" si="1290">BB160*BB$215</f>
        <v>791.92985355702103</v>
      </c>
      <c r="BC225" s="23">
        <f t="shared" si="1290"/>
        <v>924.21350753705519</v>
      </c>
      <c r="BD225" s="23"/>
      <c r="BE225" s="23">
        <f t="shared" si="1256"/>
        <v>669.16910900884204</v>
      </c>
      <c r="BF225" s="23">
        <f t="shared" si="1256"/>
        <v>643.66356800465564</v>
      </c>
      <c r="BG225" s="23">
        <f t="shared" ref="BG225:BI225" si="1291">BG160*BG$215</f>
        <v>708.52873933344063</v>
      </c>
      <c r="BH225" s="23">
        <f t="shared" si="1291"/>
        <v>803.68221310315562</v>
      </c>
      <c r="BI225" s="23">
        <f t="shared" si="1291"/>
        <v>831.00518159999979</v>
      </c>
      <c r="BJ225" s="23"/>
      <c r="BK225" s="38"/>
      <c r="BL225" s="38"/>
      <c r="BM225" s="38"/>
      <c r="BN225" s="38"/>
      <c r="BO225" s="38"/>
      <c r="BP225" s="23"/>
    </row>
    <row r="226" spans="2:69">
      <c r="B226" s="11" t="s">
        <v>273</v>
      </c>
      <c r="C226" s="57">
        <f t="shared" ref="C226:G226" si="1292">C223/C221</f>
        <v>4.3930064515961629</v>
      </c>
      <c r="D226" s="57">
        <f t="shared" si="1292"/>
        <v>5.6171262769896657</v>
      </c>
      <c r="E226" s="57">
        <f t="shared" si="1292"/>
        <v>4.9722033763370082</v>
      </c>
      <c r="F226" s="57">
        <f t="shared" si="1292"/>
        <v>4.2963488889883674</v>
      </c>
      <c r="G226" s="57">
        <f t="shared" si="1292"/>
        <v>5.142511999716489</v>
      </c>
      <c r="H226" s="57">
        <f t="shared" ref="H226:I226" si="1293">H223/H221</f>
        <v>5.5625907410212871</v>
      </c>
      <c r="I226" s="57">
        <f t="shared" si="1293"/>
        <v>3.6103488515744262</v>
      </c>
      <c r="J226" s="57">
        <f t="shared" ref="J226" si="1294">J223/J221</f>
        <v>5.8358575871208087</v>
      </c>
      <c r="K226" s="57">
        <f t="shared" ref="K226" si="1295">K223/K221</f>
        <v>2.2403594113325553</v>
      </c>
      <c r="L226" s="57">
        <f t="shared" ref="L226:M226" si="1296">L223/L221</f>
        <v>2.326047162037514</v>
      </c>
      <c r="M226" s="57">
        <f t="shared" si="1296"/>
        <v>2.8541782697223024</v>
      </c>
      <c r="N226" s="57">
        <f t="shared" ref="N226:O226" si="1297">N223/N221</f>
        <v>2.8541782184501869</v>
      </c>
      <c r="O226" s="57">
        <f t="shared" si="1297"/>
        <v>2.8615889336369307</v>
      </c>
      <c r="P226" s="57">
        <f>P223/P221</f>
        <v>2.996363784266511</v>
      </c>
      <c r="R226" s="104"/>
      <c r="S226" s="104"/>
      <c r="T226" s="104"/>
      <c r="U226" s="57">
        <f t="shared" ref="U226:AB226" si="1298">U223/U221</f>
        <v>4.9743163565236701</v>
      </c>
      <c r="V226" s="57">
        <f t="shared" si="1298"/>
        <v>4.9388359401866699</v>
      </c>
      <c r="W226" s="57">
        <f t="shared" si="1298"/>
        <v>4.884371749299028</v>
      </c>
      <c r="X226" s="57">
        <f t="shared" si="1298"/>
        <v>4.5890131051076413</v>
      </c>
      <c r="Y226" s="57">
        <f t="shared" si="1298"/>
        <v>4.29619419770418</v>
      </c>
      <c r="Z226" s="57">
        <f t="shared" si="1298"/>
        <v>4.0604153332971711</v>
      </c>
      <c r="AA226" s="57">
        <f t="shared" si="1298"/>
        <v>4.3881794616252794</v>
      </c>
      <c r="AB226" s="57">
        <f t="shared" si="1298"/>
        <v>4.6124074988044503</v>
      </c>
      <c r="AC226" s="57">
        <f t="shared" ref="AC226:AF226" si="1299">AC223/AC221</f>
        <v>5.3762345725546696</v>
      </c>
      <c r="AD226" s="57">
        <f t="shared" si="1299"/>
        <v>5.6024807986087319</v>
      </c>
      <c r="AE226" s="57">
        <f t="shared" si="1299"/>
        <v>5.8010898361574554</v>
      </c>
      <c r="AF226" s="57">
        <f t="shared" si="1299"/>
        <v>5.8822477571262333</v>
      </c>
      <c r="AG226" s="57">
        <f t="shared" ref="AG226:AH226" si="1300">AG223/AG221</f>
        <v>3.2005206243938527</v>
      </c>
      <c r="AH226" s="57">
        <f t="shared" si="1300"/>
        <v>4.3249092781080165</v>
      </c>
      <c r="AI226" s="57">
        <f t="shared" ref="AI226:AM226" si="1301">AI223/AI221</f>
        <v>3.9348591307317458</v>
      </c>
      <c r="AJ226" s="57">
        <f t="shared" si="1301"/>
        <v>4.0595976485314873</v>
      </c>
      <c r="AK226" s="57">
        <f t="shared" si="1301"/>
        <v>3.7848730641889547</v>
      </c>
      <c r="AL226" s="57">
        <f t="shared" ref="AL226" si="1302">AL223/AL221</f>
        <v>5.5767172762185622</v>
      </c>
      <c r="AM226" s="57">
        <f t="shared" si="1301"/>
        <v>3.5697153997154203</v>
      </c>
      <c r="AN226" s="57">
        <f t="shared" ref="AN226" si="1303">AN223/AN221</f>
        <v>2.8836741165519588</v>
      </c>
      <c r="AO226" s="57">
        <f t="shared" ref="AO226:AU226" si="1304">AO223/AO221</f>
        <v>2.2504268281743247</v>
      </c>
      <c r="AP226" s="57">
        <f t="shared" si="1304"/>
        <v>2.30818266011882</v>
      </c>
      <c r="AQ226" s="57">
        <f t="shared" si="1304"/>
        <v>2.40475611277017</v>
      </c>
      <c r="AR226" s="57">
        <f t="shared" ref="AR226" si="1305">AR223/AR221</f>
        <v>1.6401612386145803</v>
      </c>
      <c r="AS226" s="57">
        <f t="shared" si="1304"/>
        <v>2.1980802852195005</v>
      </c>
      <c r="AT226" s="57">
        <f t="shared" ref="AT226" si="1306">AT223/AT221</f>
        <v>1.5407959974743763</v>
      </c>
      <c r="AU226" s="57">
        <f t="shared" si="1304"/>
        <v>1.7280119919693506</v>
      </c>
      <c r="AV226" s="57">
        <f t="shared" ref="AV226:AY226" si="1307">AV223/AV221</f>
        <v>2.9366205994317967</v>
      </c>
      <c r="AW226" s="57">
        <f t="shared" si="1307"/>
        <v>3.933209709641305</v>
      </c>
      <c r="AX226" s="57">
        <f t="shared" si="1307"/>
        <v>2.8541782697223024</v>
      </c>
      <c r="AY226" s="57">
        <f t="shared" si="1307"/>
        <v>2.9337272287438436</v>
      </c>
      <c r="AZ226" s="57">
        <f t="shared" ref="AZ226:BC226" si="1308">AZ223/AZ221</f>
        <v>3.3544885416717056</v>
      </c>
      <c r="BA226" s="57">
        <f t="shared" si="1308"/>
        <v>3.23287250618213</v>
      </c>
      <c r="BB226" s="57">
        <f t="shared" si="1308"/>
        <v>2.8615889336369307</v>
      </c>
      <c r="BC226" s="57">
        <f t="shared" si="1308"/>
        <v>2.996363784266511</v>
      </c>
      <c r="BD226" s="57"/>
      <c r="BE226" s="57">
        <f t="shared" ref="BE226:BF226" si="1309">BE223/BE221</f>
        <v>1.5743003031863778</v>
      </c>
      <c r="BF226" s="57">
        <f t="shared" si="1309"/>
        <v>1.8851957527158292</v>
      </c>
      <c r="BG226" s="57">
        <f t="shared" ref="BG226:BI226" si="1310">BG223/BG221</f>
        <v>2.3297535409301942</v>
      </c>
      <c r="BH226" s="57">
        <f t="shared" si="1310"/>
        <v>2.8541782184501869</v>
      </c>
      <c r="BI226" s="57">
        <f t="shared" si="1310"/>
        <v>2.2711516972949854</v>
      </c>
      <c r="BJ226" s="57"/>
      <c r="BK226" s="38"/>
      <c r="BL226" s="38"/>
      <c r="BM226" s="38"/>
      <c r="BN226" s="38"/>
      <c r="BO226" s="38"/>
      <c r="BP226" s="57"/>
    </row>
    <row r="227" spans="2:69">
      <c r="B227" s="11" t="s">
        <v>283</v>
      </c>
      <c r="C227" s="57">
        <f t="shared" ref="C227:G227" si="1311">C225/C221</f>
        <v>0.98748599230150558</v>
      </c>
      <c r="D227" s="57">
        <f t="shared" si="1311"/>
        <v>1.4594288383243956</v>
      </c>
      <c r="E227" s="57">
        <f t="shared" si="1311"/>
        <v>1.7689688094776848</v>
      </c>
      <c r="F227" s="57">
        <f t="shared" si="1311"/>
        <v>0.57936737714703668</v>
      </c>
      <c r="G227" s="57">
        <f t="shared" si="1311"/>
        <v>1.0322508589084372</v>
      </c>
      <c r="H227" s="57">
        <f t="shared" ref="H227:I227" si="1312">H225/H221</f>
        <v>2.6749311135587899</v>
      </c>
      <c r="I227" s="57">
        <f t="shared" si="1312"/>
        <v>2.170877415158798</v>
      </c>
      <c r="J227" s="57">
        <f t="shared" ref="J227" si="1313">J225/J221</f>
        <v>3.5090601761475062</v>
      </c>
      <c r="K227" s="57">
        <f t="shared" ref="K227" si="1314">K225/K221</f>
        <v>1.3854736873582778</v>
      </c>
      <c r="L227" s="57">
        <f t="shared" ref="L227:M227" si="1315">L225/L221</f>
        <v>1.4385402696950567</v>
      </c>
      <c r="M227" s="57">
        <f t="shared" si="1315"/>
        <v>1.2898237599408722</v>
      </c>
      <c r="N227" s="57">
        <f t="shared" ref="N227:O227" si="1316">N225/N221</f>
        <v>1.2898237688258443</v>
      </c>
      <c r="O227" s="57">
        <f t="shared" si="1316"/>
        <v>1.6976441377223936</v>
      </c>
      <c r="P227" s="57">
        <f>P225/P221</f>
        <v>2.1132986833967813</v>
      </c>
      <c r="R227" s="104"/>
      <c r="S227" s="104"/>
      <c r="T227" s="104"/>
      <c r="U227" s="57">
        <f t="shared" ref="U227:AB227" si="1317">U225/U221</f>
        <v>1.7697205478444293</v>
      </c>
      <c r="V227" s="57">
        <f t="shared" si="1317"/>
        <v>1.5343996958145509</v>
      </c>
      <c r="W227" s="57">
        <f t="shared" si="1317"/>
        <v>1.4647100466725416</v>
      </c>
      <c r="X227" s="57">
        <f t="shared" si="1317"/>
        <v>1.5451528966154284</v>
      </c>
      <c r="Y227" s="57">
        <f t="shared" si="1317"/>
        <v>0.57934651685707816</v>
      </c>
      <c r="Z227" s="57">
        <f t="shared" si="1317"/>
        <v>0.84691404022815886</v>
      </c>
      <c r="AA227" s="57">
        <f t="shared" si="1317"/>
        <v>0.37555770562401558</v>
      </c>
      <c r="AB227" s="57">
        <f t="shared" si="1317"/>
        <v>1.3713479723568298</v>
      </c>
      <c r="AC227" s="57">
        <f t="shared" ref="AC227:AF227" si="1318">AC225/AC221</f>
        <v>1.079165737584812</v>
      </c>
      <c r="AD227" s="57">
        <f t="shared" si="1318"/>
        <v>0.83853437250303486</v>
      </c>
      <c r="AE227" s="57">
        <f t="shared" si="1318"/>
        <v>1.0755923623883701</v>
      </c>
      <c r="AF227" s="57">
        <f t="shared" si="1318"/>
        <v>2.5745439228402134</v>
      </c>
      <c r="AG227" s="57">
        <f t="shared" ref="AG227:AH227" si="1319">AG225/AG221</f>
        <v>0.55965354416783131</v>
      </c>
      <c r="AH227" s="57">
        <f t="shared" si="1319"/>
        <v>2.2914563029422435</v>
      </c>
      <c r="AI227" s="57">
        <f t="shared" ref="AI227:AM227" si="1320">AI225/AI221</f>
        <v>2.2072432885517923</v>
      </c>
      <c r="AJ227" s="57">
        <f t="shared" si="1320"/>
        <v>2.4691926848388595</v>
      </c>
      <c r="AK227" s="57">
        <f t="shared" si="1320"/>
        <v>2.2758175988194522</v>
      </c>
      <c r="AL227" s="57">
        <f t="shared" ref="AL227" si="1321">AL225/AL221</f>
        <v>3.3532409274001789</v>
      </c>
      <c r="AM227" s="57">
        <f t="shared" si="1320"/>
        <v>2.1723461310936574</v>
      </c>
      <c r="AN227" s="57">
        <f t="shared" ref="AN227" si="1322">AN225/AN221</f>
        <v>0.98191946380972006</v>
      </c>
      <c r="AO227" s="57">
        <f t="shared" ref="AO227:AU227" si="1323">AO225/AO221</f>
        <v>1.5610557534052709</v>
      </c>
      <c r="AP227" s="57">
        <f t="shared" si="1323"/>
        <v>1.6011192971832329</v>
      </c>
      <c r="AQ227" s="57">
        <f t="shared" si="1323"/>
        <v>1.5894799763132605</v>
      </c>
      <c r="AR227" s="57">
        <f t="shared" ref="AR227" si="1324">AR225/AR221</f>
        <v>1.0841030543009544</v>
      </c>
      <c r="AS227" s="57">
        <f t="shared" si="1323"/>
        <v>1.3593276071990688</v>
      </c>
      <c r="AT227" s="57">
        <f t="shared" ref="AT227" si="1325">AT225/AT221</f>
        <v>0.95285260984886855</v>
      </c>
      <c r="AU227" s="57">
        <f t="shared" si="1323"/>
        <v>1.0900760376879188</v>
      </c>
      <c r="AV227" s="57">
        <f t="shared" ref="AV227:AY227" si="1326">AV225/AV221</f>
        <v>1.6350093819774711</v>
      </c>
      <c r="AW227" s="57">
        <f t="shared" si="1326"/>
        <v>2.0025770646180314</v>
      </c>
      <c r="AX227" s="57">
        <f t="shared" si="1326"/>
        <v>1.2898237599408722</v>
      </c>
      <c r="AY227" s="57">
        <f t="shared" si="1326"/>
        <v>1.6662943514736959</v>
      </c>
      <c r="AZ227" s="57">
        <f t="shared" ref="AZ227:BC227" si="1327">AZ225/AZ221</f>
        <v>1.9467916675073504</v>
      </c>
      <c r="BA227" s="57">
        <f t="shared" si="1327"/>
        <v>1.8364567884601433</v>
      </c>
      <c r="BB227" s="57">
        <f t="shared" si="1327"/>
        <v>1.6976441377223936</v>
      </c>
      <c r="BC227" s="57">
        <f t="shared" si="1327"/>
        <v>2.1132986833967813</v>
      </c>
      <c r="BD227" s="57"/>
      <c r="BE227" s="57">
        <f t="shared" ref="BE227:BF227" si="1328">BE225/BE221</f>
        <v>0.99311060606270052</v>
      </c>
      <c r="BF227" s="57">
        <f t="shared" si="1328"/>
        <v>1.0496121777361551</v>
      </c>
      <c r="BG227" s="57">
        <f t="shared" ref="BG227:BI227" si="1329">BG225/BG221</f>
        <v>1.1861841477313273</v>
      </c>
      <c r="BH227" s="57">
        <f t="shared" si="1329"/>
        <v>1.2898237688258443</v>
      </c>
      <c r="BI227" s="57">
        <f t="shared" si="1329"/>
        <v>1.2899656135253346</v>
      </c>
      <c r="BJ227" s="57"/>
      <c r="BK227" s="38"/>
      <c r="BL227" s="38"/>
      <c r="BM227" s="38"/>
      <c r="BN227" s="38"/>
      <c r="BO227" s="38"/>
      <c r="BP227" s="57"/>
    </row>
    <row r="228" spans="2:69"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38"/>
      <c r="BL228" s="38"/>
      <c r="BM228" s="38"/>
      <c r="BN228" s="38"/>
      <c r="BO228" s="38"/>
      <c r="BP228" s="23"/>
    </row>
    <row r="229" spans="2:69">
      <c r="B229" s="12" t="s">
        <v>276</v>
      </c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236"/>
      <c r="BE229" s="58"/>
      <c r="BF229" s="58"/>
      <c r="BG229" s="58"/>
      <c r="BH229" s="58"/>
      <c r="BI229" s="58"/>
      <c r="BJ229" s="236"/>
      <c r="BK229" s="38"/>
      <c r="BL229" s="38"/>
      <c r="BM229" s="38"/>
      <c r="BN229" s="38"/>
      <c r="BO229" s="38"/>
      <c r="BP229" s="236"/>
    </row>
    <row r="230" spans="2:69" s="1" customFormat="1" ht="12.75">
      <c r="B230" s="5" t="s">
        <v>284</v>
      </c>
      <c r="C230" s="6">
        <f t="shared" ref="C230:O230" si="1330">C3</f>
        <v>42735</v>
      </c>
      <c r="D230" s="6">
        <f t="shared" si="1330"/>
        <v>43100</v>
      </c>
      <c r="E230" s="6">
        <f t="shared" si="1330"/>
        <v>43465</v>
      </c>
      <c r="F230" s="6">
        <f t="shared" si="1330"/>
        <v>43830</v>
      </c>
      <c r="G230" s="6">
        <f t="shared" si="1330"/>
        <v>44196</v>
      </c>
      <c r="H230" s="6">
        <f t="shared" si="1330"/>
        <v>44561</v>
      </c>
      <c r="I230" s="6">
        <f t="shared" si="1330"/>
        <v>44926</v>
      </c>
      <c r="J230" s="6">
        <f t="shared" si="1330"/>
        <v>44926</v>
      </c>
      <c r="K230" s="6">
        <f t="shared" si="1330"/>
        <v>45291</v>
      </c>
      <c r="L230" s="6">
        <f t="shared" si="1330"/>
        <v>45291</v>
      </c>
      <c r="M230" s="6">
        <f t="shared" si="1330"/>
        <v>45657</v>
      </c>
      <c r="N230" s="6">
        <f t="shared" si="1330"/>
        <v>45657</v>
      </c>
      <c r="O230" s="6">
        <f t="shared" si="1330"/>
        <v>46022</v>
      </c>
      <c r="P230" s="6" t="str">
        <f>P2</f>
        <v>LTM</v>
      </c>
      <c r="R230" s="6">
        <f t="shared" ref="R230:BC230" si="1331">R3</f>
        <v>43190</v>
      </c>
      <c r="S230" s="6">
        <f t="shared" si="1331"/>
        <v>43281</v>
      </c>
      <c r="T230" s="6">
        <f t="shared" si="1331"/>
        <v>43373</v>
      </c>
      <c r="U230" s="6">
        <f t="shared" si="1331"/>
        <v>43465</v>
      </c>
      <c r="V230" s="6">
        <f t="shared" si="1331"/>
        <v>43555</v>
      </c>
      <c r="W230" s="6">
        <f t="shared" si="1331"/>
        <v>43646</v>
      </c>
      <c r="X230" s="6">
        <f t="shared" si="1331"/>
        <v>43738</v>
      </c>
      <c r="Y230" s="6">
        <f t="shared" si="1331"/>
        <v>43830</v>
      </c>
      <c r="Z230" s="6">
        <f t="shared" si="1331"/>
        <v>43921</v>
      </c>
      <c r="AA230" s="6">
        <f t="shared" si="1331"/>
        <v>44012</v>
      </c>
      <c r="AB230" s="6">
        <f t="shared" si="1331"/>
        <v>44104</v>
      </c>
      <c r="AC230" s="6">
        <f t="shared" si="1331"/>
        <v>44196</v>
      </c>
      <c r="AD230" s="6">
        <f t="shared" si="1331"/>
        <v>44286</v>
      </c>
      <c r="AE230" s="6">
        <f t="shared" si="1331"/>
        <v>44377</v>
      </c>
      <c r="AF230" s="6">
        <f t="shared" si="1331"/>
        <v>44469</v>
      </c>
      <c r="AG230" s="6">
        <f t="shared" si="1331"/>
        <v>44561</v>
      </c>
      <c r="AH230" s="6">
        <f t="shared" si="1331"/>
        <v>44651</v>
      </c>
      <c r="AI230" s="6">
        <f t="shared" si="1331"/>
        <v>44742</v>
      </c>
      <c r="AJ230" s="6">
        <f t="shared" si="1331"/>
        <v>44834</v>
      </c>
      <c r="AK230" s="6">
        <f t="shared" si="1331"/>
        <v>44926</v>
      </c>
      <c r="AL230" s="6">
        <f t="shared" si="1331"/>
        <v>44926</v>
      </c>
      <c r="AM230" s="6">
        <f t="shared" si="1331"/>
        <v>45016</v>
      </c>
      <c r="AN230" s="6">
        <f t="shared" si="1331"/>
        <v>45016</v>
      </c>
      <c r="AO230" s="6">
        <f t="shared" si="1331"/>
        <v>45107</v>
      </c>
      <c r="AP230" s="6">
        <f t="shared" si="1331"/>
        <v>45107</v>
      </c>
      <c r="AQ230" s="6">
        <f t="shared" si="1331"/>
        <v>45199</v>
      </c>
      <c r="AR230" s="6">
        <f t="shared" si="1331"/>
        <v>45199</v>
      </c>
      <c r="AS230" s="6">
        <f t="shared" si="1331"/>
        <v>45291</v>
      </c>
      <c r="AT230" s="6">
        <f t="shared" si="1331"/>
        <v>45291</v>
      </c>
      <c r="AU230" s="6">
        <f t="shared" si="1331"/>
        <v>45382</v>
      </c>
      <c r="AV230" s="6">
        <f t="shared" si="1331"/>
        <v>45473</v>
      </c>
      <c r="AW230" s="6">
        <f t="shared" si="1331"/>
        <v>45565</v>
      </c>
      <c r="AX230" s="6">
        <f t="shared" si="1331"/>
        <v>45657</v>
      </c>
      <c r="AY230" s="6">
        <f t="shared" si="1331"/>
        <v>45747</v>
      </c>
      <c r="AZ230" s="6">
        <f t="shared" si="1331"/>
        <v>45838</v>
      </c>
      <c r="BA230" s="6">
        <f t="shared" si="1331"/>
        <v>45930</v>
      </c>
      <c r="BB230" s="6">
        <f t="shared" si="1331"/>
        <v>46022</v>
      </c>
      <c r="BC230" s="6">
        <f t="shared" si="1331"/>
        <v>46112</v>
      </c>
      <c r="BD230" s="234"/>
      <c r="BE230" s="6">
        <f>BE3</f>
        <v>45382</v>
      </c>
      <c r="BF230" s="6">
        <f>BF3</f>
        <v>45473</v>
      </c>
      <c r="BG230" s="6">
        <f>BG3</f>
        <v>45565</v>
      </c>
      <c r="BH230" s="6">
        <f>BH3</f>
        <v>45656</v>
      </c>
      <c r="BI230" s="6">
        <f>BI3</f>
        <v>45747</v>
      </c>
      <c r="BJ230" s="234"/>
      <c r="BK230" s="38"/>
      <c r="BL230" s="38"/>
      <c r="BM230" s="38"/>
      <c r="BN230" s="38"/>
      <c r="BO230" s="38"/>
      <c r="BP230" s="234"/>
      <c r="BQ230" s="11"/>
    </row>
    <row r="231" spans="2:69" s="7" customFormat="1" ht="12.75">
      <c r="B231" s="5"/>
      <c r="C231" s="6" t="s">
        <v>167</v>
      </c>
      <c r="D231" s="6" t="s">
        <v>167</v>
      </c>
      <c r="E231" s="6" t="s">
        <v>167</v>
      </c>
      <c r="F231" s="6" t="s">
        <v>167</v>
      </c>
      <c r="G231" s="6" t="s">
        <v>167</v>
      </c>
      <c r="H231" s="6" t="s">
        <v>167</v>
      </c>
      <c r="I231" s="6" t="s">
        <v>167</v>
      </c>
      <c r="J231" s="6" t="s">
        <v>167</v>
      </c>
      <c r="K231" s="6" t="s">
        <v>167</v>
      </c>
      <c r="L231" s="6" t="s">
        <v>167</v>
      </c>
      <c r="M231" s="6" t="s">
        <v>167</v>
      </c>
      <c r="N231" s="6" t="s">
        <v>167</v>
      </c>
      <c r="O231" s="6" t="s">
        <v>167</v>
      </c>
      <c r="P231" s="6" t="s">
        <v>167</v>
      </c>
      <c r="R231" s="6" t="s">
        <v>167</v>
      </c>
      <c r="S231" s="6" t="s">
        <v>167</v>
      </c>
      <c r="T231" s="6" t="s">
        <v>167</v>
      </c>
      <c r="U231" s="6" t="s">
        <v>167</v>
      </c>
      <c r="V231" s="6" t="s">
        <v>167</v>
      </c>
      <c r="W231" s="6" t="s">
        <v>167</v>
      </c>
      <c r="X231" s="6" t="s">
        <v>167</v>
      </c>
      <c r="Y231" s="6" t="s">
        <v>167</v>
      </c>
      <c r="Z231" s="6" t="s">
        <v>167</v>
      </c>
      <c r="AA231" s="6" t="s">
        <v>167</v>
      </c>
      <c r="AB231" s="6" t="s">
        <v>167</v>
      </c>
      <c r="AC231" s="6" t="s">
        <v>167</v>
      </c>
      <c r="AD231" s="6" t="s">
        <v>167</v>
      </c>
      <c r="AE231" s="6" t="s">
        <v>167</v>
      </c>
      <c r="AF231" s="6" t="s">
        <v>167</v>
      </c>
      <c r="AG231" s="6" t="s">
        <v>167</v>
      </c>
      <c r="AH231" s="6" t="s">
        <v>167</v>
      </c>
      <c r="AI231" s="6" t="s">
        <v>167</v>
      </c>
      <c r="AJ231" s="6" t="s">
        <v>167</v>
      </c>
      <c r="AK231" s="6" t="s">
        <v>167</v>
      </c>
      <c r="AL231" s="6" t="s">
        <v>167</v>
      </c>
      <c r="AM231" s="6" t="s">
        <v>167</v>
      </c>
      <c r="AN231" s="6" t="s">
        <v>167</v>
      </c>
      <c r="AO231" s="6" t="s">
        <v>167</v>
      </c>
      <c r="AP231" s="6" t="s">
        <v>167</v>
      </c>
      <c r="AQ231" s="6" t="s">
        <v>167</v>
      </c>
      <c r="AR231" s="6" t="s">
        <v>167</v>
      </c>
      <c r="AS231" s="6" t="s">
        <v>167</v>
      </c>
      <c r="AT231" s="6" t="s">
        <v>167</v>
      </c>
      <c r="AU231" s="6" t="s">
        <v>167</v>
      </c>
      <c r="AV231" s="6" t="s">
        <v>167</v>
      </c>
      <c r="AW231" s="6" t="s">
        <v>167</v>
      </c>
      <c r="AX231" s="6" t="s">
        <v>167</v>
      </c>
      <c r="AY231" s="6" t="s">
        <v>167</v>
      </c>
      <c r="AZ231" s="6" t="s">
        <v>167</v>
      </c>
      <c r="BA231" s="6" t="s">
        <v>167</v>
      </c>
      <c r="BB231" s="6" t="s">
        <v>167</v>
      </c>
      <c r="BC231" s="6" t="s">
        <v>167</v>
      </c>
      <c r="BD231" s="234"/>
      <c r="BE231" s="6" t="s">
        <v>167</v>
      </c>
      <c r="BF231" s="6" t="s">
        <v>167</v>
      </c>
      <c r="BG231" s="6" t="s">
        <v>167</v>
      </c>
      <c r="BH231" s="6" t="s">
        <v>167</v>
      </c>
      <c r="BI231" s="6" t="s">
        <v>167</v>
      </c>
      <c r="BJ231" s="234"/>
      <c r="BK231" s="38"/>
      <c r="BL231" s="38"/>
      <c r="BM231" s="38"/>
      <c r="BN231" s="38"/>
      <c r="BO231" s="38"/>
      <c r="BP231" s="234"/>
      <c r="BQ231" s="11"/>
    </row>
    <row r="232" spans="2:69">
      <c r="BK232" s="38"/>
      <c r="BL232" s="38"/>
      <c r="BM232" s="38"/>
      <c r="BN232" s="38"/>
      <c r="BO232" s="38"/>
    </row>
    <row r="233" spans="2:69" s="7" customFormat="1" ht="12.75">
      <c r="B233" s="7" t="str">
        <f>+B7</f>
        <v>Revenue</v>
      </c>
      <c r="C233" s="49">
        <f t="shared" ref="C233:P233" si="1332">+C7*C$214</f>
        <v>1390.603283589275</v>
      </c>
      <c r="D233" s="49">
        <f t="shared" si="1332"/>
        <v>1326.771703882752</v>
      </c>
      <c r="E233" s="49">
        <f t="shared" si="1332"/>
        <v>1264.8357519434815</v>
      </c>
      <c r="F233" s="49">
        <f t="shared" si="1332"/>
        <v>1376.3988393739896</v>
      </c>
      <c r="G233" s="49">
        <f t="shared" si="1332"/>
        <v>1426.9707924815</v>
      </c>
      <c r="H233" s="49">
        <f t="shared" si="1332"/>
        <v>1320.8666301440001</v>
      </c>
      <c r="I233" s="49">
        <f t="shared" si="1332"/>
        <v>1814.5195020380545</v>
      </c>
      <c r="J233" s="49">
        <f t="shared" si="1332"/>
        <v>2781.1566303737191</v>
      </c>
      <c r="K233" s="49">
        <f t="shared" si="1332"/>
        <v>2442.9181769951847</v>
      </c>
      <c r="L233" s="49">
        <f t="shared" si="1332"/>
        <v>3389.9420540940591</v>
      </c>
      <c r="M233" s="49">
        <f t="shared" si="1332"/>
        <v>2566.9239316385133</v>
      </c>
      <c r="N233" s="49">
        <f t="shared" si="1332"/>
        <v>3359.9065049152487</v>
      </c>
      <c r="O233" s="49">
        <f t="shared" si="1332"/>
        <v>2834.6002501471007</v>
      </c>
      <c r="P233" s="49">
        <f t="shared" si="1332"/>
        <v>2877.7695368506184</v>
      </c>
      <c r="R233" s="49">
        <f t="shared" ref="R233:BC233" si="1333">+R7*R$214</f>
        <v>368.77536468</v>
      </c>
      <c r="S233" s="49">
        <f t="shared" si="1333"/>
        <v>300.01618785599999</v>
      </c>
      <c r="T233" s="49">
        <f t="shared" si="1333"/>
        <v>254.06862462799998</v>
      </c>
      <c r="U233" s="49">
        <f t="shared" si="1333"/>
        <v>326.90940912499997</v>
      </c>
      <c r="V233" s="49">
        <f t="shared" si="1333"/>
        <v>362.15690671999999</v>
      </c>
      <c r="W233" s="49">
        <f t="shared" si="1333"/>
        <v>309.998040436</v>
      </c>
      <c r="X233" s="49">
        <f t="shared" si="1333"/>
        <v>333.594202435</v>
      </c>
      <c r="Y233" s="49">
        <f t="shared" si="1333"/>
        <v>370.37745104099992</v>
      </c>
      <c r="Z233" s="49">
        <f t="shared" si="1333"/>
        <v>389.591995086</v>
      </c>
      <c r="AA233" s="49">
        <f t="shared" si="1333"/>
        <v>312.56641326300002</v>
      </c>
      <c r="AB233" s="49">
        <f t="shared" si="1333"/>
        <v>308.76666946499995</v>
      </c>
      <c r="AC233" s="49">
        <f t="shared" si="1333"/>
        <v>351.38010329250011</v>
      </c>
      <c r="AD233" s="49">
        <f t="shared" si="1333"/>
        <v>352.47333630666668</v>
      </c>
      <c r="AE233" s="49">
        <f t="shared" si="1333"/>
        <v>302.77123660800004</v>
      </c>
      <c r="AF233" s="49">
        <f t="shared" si="1333"/>
        <v>348.40596986666662</v>
      </c>
      <c r="AG233" s="49">
        <f t="shared" si="1333"/>
        <v>405.21873470640014</v>
      </c>
      <c r="AH233" s="49">
        <f t="shared" si="1333"/>
        <v>422.6609029089264</v>
      </c>
      <c r="AI233" s="49">
        <f t="shared" si="1333"/>
        <v>380.2122217920811</v>
      </c>
      <c r="AJ233" s="49">
        <f t="shared" si="1333"/>
        <v>414.63149128595302</v>
      </c>
      <c r="AK233" s="49">
        <f t="shared" si="1333"/>
        <v>482.30232813212535</v>
      </c>
      <c r="AL233" s="49">
        <f t="shared" si="1333"/>
        <v>1755.0267783098361</v>
      </c>
      <c r="AM233" s="49">
        <f t="shared" si="1333"/>
        <v>536.50383339965515</v>
      </c>
      <c r="AN233" s="49">
        <f t="shared" si="1333"/>
        <v>920.37962594508554</v>
      </c>
      <c r="AO233" s="49">
        <f t="shared" si="1333"/>
        <v>454.11748417343813</v>
      </c>
      <c r="AP233" s="49">
        <f t="shared" si="1333"/>
        <v>782.76757154178881</v>
      </c>
      <c r="AQ233" s="49">
        <f t="shared" si="1333"/>
        <v>468.63824323169058</v>
      </c>
      <c r="AR233" s="49">
        <f t="shared" si="1333"/>
        <v>661.21138391235752</v>
      </c>
      <c r="AS233" s="49">
        <f t="shared" si="1333"/>
        <v>848.79970140406681</v>
      </c>
      <c r="AT233" s="49">
        <f t="shared" si="1333"/>
        <v>988.16172000000017</v>
      </c>
      <c r="AU233" s="49">
        <f t="shared" si="1333"/>
        <v>634.29754901009005</v>
      </c>
      <c r="AV233" s="49">
        <f t="shared" si="1333"/>
        <v>473.26094483223386</v>
      </c>
      <c r="AW233" s="49">
        <f t="shared" si="1333"/>
        <v>543.22329395679026</v>
      </c>
      <c r="AX233" s="49">
        <f t="shared" si="1333"/>
        <v>897.66188550706158</v>
      </c>
      <c r="AY233" s="49">
        <f t="shared" si="1333"/>
        <v>737.42680967239278</v>
      </c>
      <c r="AZ233" s="49">
        <f t="shared" si="1333"/>
        <v>594.73467682236389</v>
      </c>
      <c r="BA233" s="49">
        <f t="shared" si="1333"/>
        <v>623.04025675665741</v>
      </c>
      <c r="BB233" s="49">
        <f t="shared" si="1333"/>
        <v>862.96275440431145</v>
      </c>
      <c r="BC233" s="49">
        <f t="shared" si="1333"/>
        <v>775.88531428846034</v>
      </c>
      <c r="BD233" s="49"/>
      <c r="BE233" s="49">
        <f>+BE7*BE$214</f>
        <v>875.98919804024354</v>
      </c>
      <c r="BF233" s="49">
        <f>+BF7*BF$214</f>
        <v>639.13254360312351</v>
      </c>
      <c r="BG233" s="49">
        <f>+BG7*BG$214</f>
        <v>724.08411474426146</v>
      </c>
      <c r="BH233" s="49">
        <f>+BH7*BH$214</f>
        <v>1102.9389649059794</v>
      </c>
      <c r="BI233" s="49">
        <f>+BI7*BI$214</f>
        <v>965.05478705651615</v>
      </c>
      <c r="BJ233" s="49"/>
      <c r="BK233" s="38"/>
      <c r="BL233" s="38"/>
      <c r="BM233" s="38"/>
      <c r="BN233" s="38"/>
      <c r="BO233" s="38"/>
      <c r="BP233" s="49"/>
      <c r="BQ233" s="11"/>
    </row>
    <row r="234" spans="2:69" s="17" customFormat="1" ht="12.75">
      <c r="B234" s="59" t="str">
        <f>+B8</f>
        <v xml:space="preserve">% growth </v>
      </c>
      <c r="C234" s="72"/>
      <c r="D234" s="72">
        <f t="shared" ref="D234:J234" si="1334">D233/C233-1</f>
        <v>-4.5902077508236383E-2</v>
      </c>
      <c r="E234" s="72">
        <f t="shared" si="1334"/>
        <v>-4.6681694942707241E-2</v>
      </c>
      <c r="F234" s="72">
        <f t="shared" si="1334"/>
        <v>8.8203616366066662E-2</v>
      </c>
      <c r="G234" s="72">
        <f t="shared" si="1334"/>
        <v>3.6742223010382213E-2</v>
      </c>
      <c r="H234" s="72">
        <f t="shared" si="1334"/>
        <v>-7.4356225717125524E-2</v>
      </c>
      <c r="I234" s="72">
        <f t="shared" si="1334"/>
        <v>0.37373407778515588</v>
      </c>
      <c r="J234" s="72">
        <f t="shared" si="1334"/>
        <v>0.53272347155814259</v>
      </c>
      <c r="K234" s="72">
        <f>K233/J233-1</f>
        <v>-0.12161790878102519</v>
      </c>
      <c r="L234" s="72">
        <f>L233/K233-1</f>
        <v>0.38766090735946124</v>
      </c>
      <c r="M234" s="72">
        <f>M233/L233-1</f>
        <v>-0.24278235713840024</v>
      </c>
      <c r="N234" s="21">
        <f>+N233/L233-1</f>
        <v>-8.8601954545318717E-3</v>
      </c>
      <c r="O234" s="21">
        <f>+O233/N233-1</f>
        <v>-0.15634549770943651</v>
      </c>
      <c r="P234" s="20"/>
      <c r="R234" s="21"/>
      <c r="S234" s="21"/>
      <c r="T234" s="21"/>
      <c r="U234" s="20"/>
      <c r="V234" s="21">
        <f t="shared" ref="V234" si="1335">V233/R233-1</f>
        <v>-1.794712606614346E-2</v>
      </c>
      <c r="W234" s="21">
        <f t="shared" ref="W234" si="1336">W233/S233-1</f>
        <v>3.3271046643626567E-2</v>
      </c>
      <c r="X234" s="21">
        <f t="shared" ref="X234" si="1337">X233/T233-1</f>
        <v>0.31300825878614136</v>
      </c>
      <c r="Y234" s="21">
        <f t="shared" ref="Y234" si="1338">Y233/U233-1</f>
        <v>0.1329666283767903</v>
      </c>
      <c r="Z234" s="21">
        <f>Z233/V233-1</f>
        <v>7.575470150348762E-2</v>
      </c>
      <c r="AA234" s="21">
        <f>AA233/W233-1</f>
        <v>8.2851260072085431E-3</v>
      </c>
      <c r="AB234" s="21">
        <f>AB233/X233-1</f>
        <v>-7.4424353866993975E-2</v>
      </c>
      <c r="AC234" s="21">
        <f>AC233/Y233-1</f>
        <v>-5.1291858332911389E-2</v>
      </c>
      <c r="AD234" s="21">
        <f t="shared" ref="AD234" si="1339">AD233/Z233-1</f>
        <v>-9.5275722416061415E-2</v>
      </c>
      <c r="AE234" s="21">
        <f>AE233/AA233-1</f>
        <v>-3.1337905287853518E-2</v>
      </c>
      <c r="AF234" s="21">
        <f t="shared" ref="AF234" si="1340">AF233/AB233-1</f>
        <v>0.12837946683283441</v>
      </c>
      <c r="AG234" s="21">
        <f t="shared" ref="AG234" si="1341">AG233/AC233-1</f>
        <v>0.15322048946261191</v>
      </c>
      <c r="AH234" s="21">
        <f t="shared" ref="AH234" si="1342">AH233/AD233-1</f>
        <v>0.19912872655193858</v>
      </c>
      <c r="AI234" s="21">
        <f t="shared" ref="AI234" si="1343">AI233/AE233-1</f>
        <v>0.25577391713845143</v>
      </c>
      <c r="AJ234" s="21">
        <f t="shared" ref="AJ234" si="1344">AJ233/AF233-1</f>
        <v>0.19008147720497037</v>
      </c>
      <c r="AK234" s="21">
        <f t="shared" ref="AK234" si="1345">AK233/AG233-1</f>
        <v>0.19022712136341835</v>
      </c>
      <c r="AL234" s="21">
        <f>AL233/AG233-1</f>
        <v>3.3310603089006605</v>
      </c>
      <c r="AM234" s="21">
        <f>AM233/AH233-1</f>
        <v>0.26934814577647193</v>
      </c>
      <c r="AN234" s="21">
        <f>AN233/AI233-1</f>
        <v>1.4206997387064395</v>
      </c>
      <c r="AO234" s="21">
        <f>AO233/AI233-1</f>
        <v>0.19437897612289823</v>
      </c>
      <c r="AP234" s="21">
        <f t="shared" ref="AP234" si="1346">AP233/AI233-1</f>
        <v>1.0587648862319976</v>
      </c>
      <c r="AQ234" s="21">
        <f t="shared" ref="AQ234" si="1347">AQ233/AJ233-1</f>
        <v>0.1302524122763542</v>
      </c>
      <c r="AR234" s="21">
        <f>AR233/AJ233-1</f>
        <v>0.59469649027779514</v>
      </c>
      <c r="AS234" s="21">
        <f>AS233/AK233-1</f>
        <v>0.75989136252218237</v>
      </c>
      <c r="AT234" s="21">
        <f>AT233/AL233-1</f>
        <v>-0.43695348001946666</v>
      </c>
      <c r="AU234" s="21">
        <f>AU233/AN233-1</f>
        <v>-0.31083051913631188</v>
      </c>
      <c r="AV234" s="21">
        <f>AV233/AP233-1</f>
        <v>-0.39540042020383015</v>
      </c>
      <c r="AW234" s="21">
        <f>AW233/AR233-1</f>
        <v>-0.17844231485767403</v>
      </c>
      <c r="AX234" s="21">
        <f>AX233/AT233-1</f>
        <v>-9.1584031906172814E-2</v>
      </c>
      <c r="AY234" s="21">
        <f>AY233/BE233-1</f>
        <v>-0.15817819292502866</v>
      </c>
      <c r="AZ234" s="21">
        <f>AZ233/BF233-1</f>
        <v>-6.9465820861609795E-2</v>
      </c>
      <c r="BA234" s="21">
        <f>BA233/BG233-1</f>
        <v>-0.13954712709488404</v>
      </c>
      <c r="BB234" s="21">
        <f>BB233/BH233-1</f>
        <v>-0.21757886713352703</v>
      </c>
      <c r="BC234" s="21">
        <f>BC233/BI233-1</f>
        <v>-0.19601941289264602</v>
      </c>
      <c r="BD234" s="43"/>
      <c r="BE234" s="21">
        <f>BE233/AN233-1</f>
        <v>-4.8230563403943272E-2</v>
      </c>
      <c r="BF234" s="21">
        <f>BF233/AP233-1</f>
        <v>-0.18349639555935182</v>
      </c>
      <c r="BG234" s="21">
        <f>BG233/AR233-1</f>
        <v>9.5087187488952285E-2</v>
      </c>
      <c r="BH234" s="21">
        <f>BH233/AT233-1</f>
        <v>0.11615228821652712</v>
      </c>
      <c r="BI234" s="21">
        <f>BI233/BE233-1</f>
        <v>0.10167430056846527</v>
      </c>
      <c r="BJ234" s="43"/>
      <c r="BK234" s="38"/>
      <c r="BL234" s="38"/>
      <c r="BM234" s="38"/>
      <c r="BN234" s="38"/>
      <c r="BO234" s="38"/>
      <c r="BP234" s="189"/>
      <c r="BQ234" s="11"/>
    </row>
    <row r="235" spans="2:69">
      <c r="C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38"/>
      <c r="BL235" s="38"/>
      <c r="BM235" s="38"/>
      <c r="BN235" s="38"/>
      <c r="BO235" s="38"/>
      <c r="BP235" s="61"/>
    </row>
    <row r="236" spans="2:69" s="7" customFormat="1" ht="13.5" thickBot="1">
      <c r="B236" s="62" t="str">
        <f>B57</f>
        <v xml:space="preserve">Adj. EBITDA </v>
      </c>
      <c r="C236" s="63">
        <f t="shared" ref="C236:P236" si="1348">C57*C$214</f>
        <v>190.76228874999998</v>
      </c>
      <c r="D236" s="63">
        <f t="shared" si="1348"/>
        <v>201.69500713577861</v>
      </c>
      <c r="E236" s="63">
        <f t="shared" si="1348"/>
        <v>199.46128247686943</v>
      </c>
      <c r="F236" s="63">
        <f t="shared" si="1348"/>
        <v>229.93003740732158</v>
      </c>
      <c r="G236" s="63">
        <f t="shared" si="1348"/>
        <v>246.077093808</v>
      </c>
      <c r="H236" s="63">
        <f t="shared" si="1348"/>
        <v>245.3084534912</v>
      </c>
      <c r="I236" s="63">
        <f t="shared" si="1348"/>
        <v>351.81296059632433</v>
      </c>
      <c r="J236" s="63">
        <f t="shared" si="1348"/>
        <v>358.62630748241082</v>
      </c>
      <c r="K236" s="63">
        <f t="shared" si="1348"/>
        <v>463.79224366592655</v>
      </c>
      <c r="L236" s="63">
        <f t="shared" si="1348"/>
        <v>643.5863806095673</v>
      </c>
      <c r="M236" s="63">
        <f t="shared" si="1348"/>
        <v>476.03598089809003</v>
      </c>
      <c r="N236" s="63">
        <f t="shared" si="1348"/>
        <v>623.09459053833825</v>
      </c>
      <c r="O236" s="63">
        <f t="shared" si="1348"/>
        <v>466.48754939860129</v>
      </c>
      <c r="P236" s="63">
        <f t="shared" si="1348"/>
        <v>437.33217400747793</v>
      </c>
      <c r="R236" s="63">
        <f t="shared" ref="R236:BC236" si="1349">R57*R$214</f>
        <v>58.943176055999992</v>
      </c>
      <c r="S236" s="63">
        <f t="shared" si="1349"/>
        <v>45.797502431999995</v>
      </c>
      <c r="T236" s="63">
        <f t="shared" si="1349"/>
        <v>41.593996807999993</v>
      </c>
      <c r="U236" s="63">
        <f t="shared" si="1349"/>
        <v>50.63775152800001</v>
      </c>
      <c r="V236" s="63">
        <f t="shared" si="1349"/>
        <v>61.567942016000011</v>
      </c>
      <c r="W236" s="63">
        <f t="shared" si="1349"/>
        <v>54.246736739999996</v>
      </c>
      <c r="X236" s="63">
        <f t="shared" si="1349"/>
        <v>55.431776334999988</v>
      </c>
      <c r="Y236" s="63">
        <f t="shared" si="1349"/>
        <v>58.67985696300002</v>
      </c>
      <c r="Z236" s="63">
        <f t="shared" si="1349"/>
        <v>68.071196486999995</v>
      </c>
      <c r="AA236" s="63">
        <f t="shared" si="1349"/>
        <v>55.350130797000013</v>
      </c>
      <c r="AB236" s="63">
        <f t="shared" si="1349"/>
        <v>53.526045019999998</v>
      </c>
      <c r="AC236" s="63">
        <f t="shared" si="1349"/>
        <v>58.291859771000006</v>
      </c>
      <c r="AD236" s="63">
        <f t="shared" si="1349"/>
        <v>59.954112093333336</v>
      </c>
      <c r="AE236" s="63">
        <f t="shared" si="1349"/>
        <v>41.875866144</v>
      </c>
      <c r="AF236" s="63">
        <f t="shared" si="1349"/>
        <v>80.379261066666672</v>
      </c>
      <c r="AG236" s="63">
        <f t="shared" si="1349"/>
        <v>77.93943575039998</v>
      </c>
      <c r="AH236" s="63">
        <f t="shared" si="1349"/>
        <v>89.37355038381169</v>
      </c>
      <c r="AI236" s="63">
        <f t="shared" si="1349"/>
        <v>71.991102423669346</v>
      </c>
      <c r="AJ236" s="63">
        <f t="shared" si="1349"/>
        <v>71.193845757804866</v>
      </c>
      <c r="AK236" s="63">
        <f t="shared" si="1349"/>
        <v>98.101337100948129</v>
      </c>
      <c r="AL236" s="63">
        <f t="shared" si="1349"/>
        <v>132.71496214654502</v>
      </c>
      <c r="AM236" s="63">
        <f t="shared" si="1349"/>
        <v>124.31431224300306</v>
      </c>
      <c r="AN236" s="63">
        <f t="shared" si="1349"/>
        <v>189.52609099350045</v>
      </c>
      <c r="AO236" s="63">
        <f t="shared" si="1349"/>
        <v>91.42973770397883</v>
      </c>
      <c r="AP236" s="63">
        <f t="shared" si="1349"/>
        <v>150.95040533185653</v>
      </c>
      <c r="AQ236" s="63">
        <f t="shared" si="1349"/>
        <v>100.80732927858251</v>
      </c>
      <c r="AR236" s="63">
        <f t="shared" si="1349"/>
        <v>158.46520587049326</v>
      </c>
      <c r="AS236" s="63">
        <f t="shared" si="1349"/>
        <v>130.98348842973292</v>
      </c>
      <c r="AT236" s="63">
        <f t="shared" si="1349"/>
        <v>146.300164</v>
      </c>
      <c r="AU236" s="63">
        <f t="shared" si="1349"/>
        <v>130.81011462115475</v>
      </c>
      <c r="AV236" s="63">
        <f t="shared" si="1349"/>
        <v>101.2353857663083</v>
      </c>
      <c r="AW236" s="63">
        <f t="shared" si="1349"/>
        <v>106.11844010377017</v>
      </c>
      <c r="AX236" s="63">
        <f t="shared" si="1349"/>
        <v>136.83667203485069</v>
      </c>
      <c r="AY236" s="63">
        <f t="shared" si="1349"/>
        <v>150.0014943291354</v>
      </c>
      <c r="AZ236" s="63">
        <f t="shared" si="1349"/>
        <v>95.467981439113544</v>
      </c>
      <c r="BA236" s="63">
        <f t="shared" si="1349"/>
        <v>127.416766170496</v>
      </c>
      <c r="BB236" s="63">
        <f t="shared" si="1349"/>
        <v>95.433380495630047</v>
      </c>
      <c r="BC236" s="63">
        <f t="shared" si="1349"/>
        <v>117.38498362711469</v>
      </c>
      <c r="BD236" s="16"/>
      <c r="BE236" s="63">
        <f>BE57*BE$214</f>
        <v>180.65374832534025</v>
      </c>
      <c r="BF236" s="63">
        <f>BF57*BF$214</f>
        <v>132.89929085029954</v>
      </c>
      <c r="BG236" s="63">
        <f>BG57*BG$214</f>
        <v>137.61671905926184</v>
      </c>
      <c r="BH236" s="63">
        <f>BH57*BH$214</f>
        <v>171.54580528553717</v>
      </c>
      <c r="BI236" s="63">
        <f>BI57*BI$214</f>
        <v>196.30376106161029</v>
      </c>
      <c r="BJ236" s="16"/>
      <c r="BK236" s="38"/>
      <c r="BL236" s="38"/>
      <c r="BM236" s="38"/>
      <c r="BN236" s="38"/>
      <c r="BO236" s="38"/>
      <c r="BP236" s="16"/>
      <c r="BQ236" s="11"/>
    </row>
    <row r="237" spans="2:69" s="17" customFormat="1" ht="13.5" thickTop="1">
      <c r="B237" s="59" t="str">
        <f>B58</f>
        <v xml:space="preserve">% growth </v>
      </c>
      <c r="C237" s="72"/>
      <c r="D237" s="72">
        <f t="shared" ref="D237:J237" si="1350">D236/C236-1</f>
        <v>5.7310689955635263E-2</v>
      </c>
      <c r="E237" s="72">
        <f t="shared" si="1350"/>
        <v>-1.1074764272203663E-2</v>
      </c>
      <c r="F237" s="72">
        <f t="shared" si="1350"/>
        <v>0.15275523425948823</v>
      </c>
      <c r="G237" s="72">
        <f t="shared" si="1350"/>
        <v>7.0225954741502061E-2</v>
      </c>
      <c r="H237" s="72">
        <f t="shared" si="1350"/>
        <v>-3.1235752377656301E-3</v>
      </c>
      <c r="I237" s="72">
        <f t="shared" si="1350"/>
        <v>0.4341656620037555</v>
      </c>
      <c r="J237" s="72">
        <f t="shared" si="1350"/>
        <v>1.9366389670630202E-2</v>
      </c>
      <c r="K237" s="72">
        <f>K236/J236-1</f>
        <v>0.29324657446853286</v>
      </c>
      <c r="L237" s="72">
        <f>L236/K236-1</f>
        <v>0.38766093956747572</v>
      </c>
      <c r="M237" s="72">
        <f>M236/L236-1</f>
        <v>-0.26033863481197872</v>
      </c>
      <c r="N237" s="21">
        <f>+N236/L236-1</f>
        <v>-3.183999955347161E-2</v>
      </c>
      <c r="O237" s="21">
        <f>+O236/N236-1</f>
        <v>-0.25133750720646186</v>
      </c>
      <c r="P237" s="20"/>
      <c r="R237" s="21"/>
      <c r="S237" s="21"/>
      <c r="T237" s="21"/>
      <c r="U237" s="20"/>
      <c r="V237" s="21">
        <f t="shared" ref="V237" si="1351">V236/R236-1</f>
        <v>4.4530446705252524E-2</v>
      </c>
      <c r="W237" s="21">
        <f t="shared" ref="W237" si="1352">W236/S236-1</f>
        <v>0.18449115910950376</v>
      </c>
      <c r="X237" s="21">
        <f t="shared" ref="X237" si="1353">X236/T236-1</f>
        <v>0.33268694015811673</v>
      </c>
      <c r="Y237" s="21">
        <f t="shared" ref="Y237" si="1354">Y236/U236-1</f>
        <v>0.15881640065620117</v>
      </c>
      <c r="Z237" s="21">
        <f>Z236/V236-1</f>
        <v>0.10562728358388118</v>
      </c>
      <c r="AA237" s="21">
        <f>AA236/W236-1</f>
        <v>2.0340284472566417E-2</v>
      </c>
      <c r="AB237" s="21">
        <f>AB236/X236-1</f>
        <v>-3.4379762674080161E-2</v>
      </c>
      <c r="AC237" s="21">
        <f>AC236/Y236-1</f>
        <v>-6.6121018707435697E-3</v>
      </c>
      <c r="AD237" s="21">
        <f t="shared" ref="AD237" si="1355">AD236/Z236-1</f>
        <v>-0.1192440387795568</v>
      </c>
      <c r="AE237" s="21">
        <f>AE236/AA236-1</f>
        <v>-0.2434369071758421</v>
      </c>
      <c r="AF237" s="21">
        <f t="shared" ref="AF237" si="1356">AF236/AB236-1</f>
        <v>0.50168504018245641</v>
      </c>
      <c r="AG237" s="21">
        <f t="shared" ref="AG237" si="1357">AG236/AC236-1</f>
        <v>0.33705522617713046</v>
      </c>
      <c r="AH237" s="21">
        <f t="shared" ref="AH237" si="1358">AH236/AD236-1</f>
        <v>0.49069925753682675</v>
      </c>
      <c r="AI237" s="21">
        <f t="shared" ref="AI237" si="1359">AI236/AE236-1</f>
        <v>0.71915494657736834</v>
      </c>
      <c r="AJ237" s="21">
        <f t="shared" ref="AJ237" si="1360">AJ236/AF236-1</f>
        <v>-0.11427593619258836</v>
      </c>
      <c r="AK237" s="21">
        <f t="shared" ref="AK237" si="1361">AK236/AG236-1</f>
        <v>0.25868677591041811</v>
      </c>
      <c r="AL237" s="21">
        <f>AL236/AG236-1</f>
        <v>0.70279603475143104</v>
      </c>
      <c r="AM237" s="21">
        <f>AM236/AH236-1</f>
        <v>0.39095192827340353</v>
      </c>
      <c r="AN237" s="21">
        <f>AN236/AI236-1</f>
        <v>1.6326321533199324</v>
      </c>
      <c r="AO237" s="21">
        <f>AO236/AI236-1</f>
        <v>0.27001441325224684</v>
      </c>
      <c r="AP237" s="21">
        <f t="shared" ref="AP237" si="1362">AP236/AI236-1</f>
        <v>1.0967925236581295</v>
      </c>
      <c r="AQ237" s="21">
        <f t="shared" ref="AQ237" si="1363">AQ236/AJ236-1</f>
        <v>0.41595566590854061</v>
      </c>
      <c r="AR237" s="21">
        <f>AR236/AJ236-1</f>
        <v>1.2258273054889859</v>
      </c>
      <c r="AS237" s="21">
        <f>AS236/AK236-1</f>
        <v>0.33518555710355336</v>
      </c>
      <c r="AT237" s="21">
        <f>AT236/AL236-1</f>
        <v>0.10236375487531002</v>
      </c>
      <c r="AU237" s="21">
        <f>AU236/AN236-1</f>
        <v>-0.30980418613899063</v>
      </c>
      <c r="AV237" s="21">
        <f>AV236/AP236-1</f>
        <v>-0.32934671130065785</v>
      </c>
      <c r="AW237" s="21">
        <f>AW236/AR236-1</f>
        <v>-0.33033602221489455</v>
      </c>
      <c r="AX237" s="21">
        <f>AX236/AT236-1</f>
        <v>-6.4685450148567858E-2</v>
      </c>
      <c r="AY237" s="21">
        <f>AY236/BE236-1</f>
        <v>-0.16967405481674835</v>
      </c>
      <c r="AZ237" s="21">
        <f>AZ236/BF236-1</f>
        <v>-0.28165168656429762</v>
      </c>
      <c r="BA237" s="21">
        <f>BA236/BG236-1</f>
        <v>-7.4118558838577098E-2</v>
      </c>
      <c r="BB237" s="21">
        <f>BB236/BH236-1</f>
        <v>-0.4436857238404539</v>
      </c>
      <c r="BC237" s="21">
        <f>BC236/BI236-1</f>
        <v>-0.40202376667519268</v>
      </c>
      <c r="BD237" s="43"/>
      <c r="BE237" s="21">
        <f>BE236/AN236-1</f>
        <v>-4.6813304815453982E-2</v>
      </c>
      <c r="BF237" s="21">
        <f>BF236/AP236-1</f>
        <v>-0.1195830805612782</v>
      </c>
      <c r="BG237" s="21">
        <f>BG236/AR236-1</f>
        <v>-0.13156507573195586</v>
      </c>
      <c r="BH237" s="21">
        <f>BH236/AT236-1</f>
        <v>0.17256058089953452</v>
      </c>
      <c r="BI237" s="21">
        <f>BI236/BE236-1</f>
        <v>8.662988109212022E-2</v>
      </c>
      <c r="BJ237" s="43"/>
      <c r="BK237" s="38"/>
      <c r="BL237" s="38"/>
      <c r="BM237" s="38"/>
      <c r="BN237" s="38"/>
      <c r="BO237" s="38"/>
      <c r="BP237" s="189"/>
      <c r="BQ237" s="11"/>
    </row>
    <row r="238" spans="2:69" s="17" customFormat="1" ht="12.75">
      <c r="B238" s="59" t="str">
        <f>B59</f>
        <v>% margin</v>
      </c>
      <c r="C238" s="72">
        <f t="shared" ref="C238:V238" si="1364">C236/C233</f>
        <v>0.13717951841565121</v>
      </c>
      <c r="D238" s="72">
        <f t="shared" si="1364"/>
        <v>0.1520193764650882</v>
      </c>
      <c r="E238" s="72">
        <f t="shared" si="1364"/>
        <v>0.15769737862832189</v>
      </c>
      <c r="F238" s="72">
        <f t="shared" ref="F238:K238" si="1365">F236/F233</f>
        <v>0.16705189718984201</v>
      </c>
      <c r="G238" s="72">
        <f t="shared" si="1365"/>
        <v>0.1724471832952322</v>
      </c>
      <c r="H238" s="72">
        <f t="shared" si="1365"/>
        <v>0.18571780669821042</v>
      </c>
      <c r="I238" s="72">
        <f t="shared" si="1365"/>
        <v>0.19388767119954936</v>
      </c>
      <c r="J238" s="72">
        <f t="shared" si="1365"/>
        <v>0.12894861927795137</v>
      </c>
      <c r="K238" s="72">
        <f t="shared" si="1365"/>
        <v>0.18985173062013724</v>
      </c>
      <c r="L238" s="72">
        <f t="shared" ref="L238:M238" si="1366">L236/L233</f>
        <v>0.18985173502665129</v>
      </c>
      <c r="M238" s="72">
        <f t="shared" si="1366"/>
        <v>0.18544997575920677</v>
      </c>
      <c r="N238" s="72">
        <f t="shared" ref="N238:O238" si="1367">N236/N233</f>
        <v>0.18544997892852241</v>
      </c>
      <c r="O238" s="72">
        <f t="shared" si="1367"/>
        <v>0.16456907790592096</v>
      </c>
      <c r="P238" s="72">
        <f t="shared" ref="P238" si="1368">P236/P233</f>
        <v>0.15196914429988956</v>
      </c>
      <c r="R238" s="72">
        <f t="shared" si="1364"/>
        <v>0.15983490683318058</v>
      </c>
      <c r="S238" s="72">
        <f t="shared" si="1364"/>
        <v>0.15265010451363248</v>
      </c>
      <c r="T238" s="72">
        <f t="shared" si="1364"/>
        <v>0.16371166203186535</v>
      </c>
      <c r="U238" s="72">
        <f t="shared" si="1364"/>
        <v>0.15489842174789686</v>
      </c>
      <c r="V238" s="72">
        <f t="shared" si="1364"/>
        <v>0.17000350089581748</v>
      </c>
      <c r="W238" s="72">
        <f t="shared" ref="W238:AB238" si="1369">W236/W233</f>
        <v>0.17499057950077396</v>
      </c>
      <c r="X238" s="72">
        <f t="shared" si="1369"/>
        <v>0.16616528683768336</v>
      </c>
      <c r="Y238" s="72">
        <f t="shared" si="1369"/>
        <v>0.15843258491593296</v>
      </c>
      <c r="Z238" s="72">
        <f t="shared" si="1369"/>
        <v>0.17472432017494022</v>
      </c>
      <c r="AA238" s="72">
        <f t="shared" si="1369"/>
        <v>0.17708278448467601</v>
      </c>
      <c r="AB238" s="72">
        <f t="shared" si="1369"/>
        <v>0.17335434913601452</v>
      </c>
      <c r="AC238" s="72">
        <f t="shared" ref="AC238:AF238" si="1370">AC236/AC233</f>
        <v>0.16589402537250661</v>
      </c>
      <c r="AD238" s="72">
        <f t="shared" si="1370"/>
        <v>0.17009545380525104</v>
      </c>
      <c r="AE238" s="72">
        <f t="shared" si="1370"/>
        <v>0.13830860095279449</v>
      </c>
      <c r="AF238" s="72">
        <f t="shared" si="1370"/>
        <v>0.23070575138947089</v>
      </c>
      <c r="AG238" s="72">
        <f t="shared" ref="AG238:AH238" si="1371">AG236/AG233</f>
        <v>0.19233917160042152</v>
      </c>
      <c r="AH238" s="72">
        <f t="shared" si="1371"/>
        <v>0.21145450115850817</v>
      </c>
      <c r="AI238" s="72">
        <f t="shared" ref="AI238:AM238" si="1372">AI236/AI233</f>
        <v>0.18934452470872346</v>
      </c>
      <c r="AJ238" s="72">
        <f t="shared" si="1372"/>
        <v>0.17170390395819118</v>
      </c>
      <c r="AK238" s="72">
        <f t="shared" si="1372"/>
        <v>0.20340216370275024</v>
      </c>
      <c r="AL238" s="72">
        <f t="shared" ref="AL238" si="1373">AL236/AL233</f>
        <v>7.5619907221219182E-2</v>
      </c>
      <c r="AM238" s="72">
        <f t="shared" si="1372"/>
        <v>0.23171188070598223</v>
      </c>
      <c r="AN238" s="72">
        <f t="shared" ref="AN238" si="1374">AN236/AN233</f>
        <v>0.20592164977455565</v>
      </c>
      <c r="AO238" s="72">
        <f t="shared" ref="AO238:AU238" si="1375">AO236/AO233</f>
        <v>0.20133498684904116</v>
      </c>
      <c r="AP238" s="72">
        <f t="shared" si="1375"/>
        <v>0.19284192501042807</v>
      </c>
      <c r="AQ238" s="72">
        <f t="shared" si="1375"/>
        <v>0.21510692039007212</v>
      </c>
      <c r="AR238" s="72">
        <f t="shared" ref="AR238" si="1376">AR236/AR233</f>
        <v>0.23965891956194385</v>
      </c>
      <c r="AS238" s="72">
        <f t="shared" si="1375"/>
        <v>0.15431613396312788</v>
      </c>
      <c r="AT238" s="72">
        <f t="shared" ref="AT238" si="1377">AT236/AT233</f>
        <v>0.14805285515411382</v>
      </c>
      <c r="AU238" s="72">
        <f t="shared" si="1375"/>
        <v>0.20622831481108861</v>
      </c>
      <c r="AV238" s="72">
        <f t="shared" ref="AV238:AY238" si="1378">AV236/AV233</f>
        <v>0.21391028960184999</v>
      </c>
      <c r="AW238" s="72">
        <f t="shared" si="1378"/>
        <v>0.19534957591897958</v>
      </c>
      <c r="AX238" s="72">
        <f t="shared" si="1378"/>
        <v>0.15243676293280053</v>
      </c>
      <c r="AY238" s="72">
        <f t="shared" si="1378"/>
        <v>0.20341204355693909</v>
      </c>
      <c r="AZ238" s="72">
        <f t="shared" ref="AZ238:BC238" si="1379">AZ236/AZ233</f>
        <v>0.1605219691395732</v>
      </c>
      <c r="BA238" s="72">
        <f t="shared" si="1379"/>
        <v>0.20450807919505196</v>
      </c>
      <c r="BB238" s="72">
        <f t="shared" si="1379"/>
        <v>0.11058806421084313</v>
      </c>
      <c r="BC238" s="72">
        <f t="shared" si="1379"/>
        <v>0.1512916683244156</v>
      </c>
      <c r="BD238" s="189"/>
      <c r="BE238" s="72">
        <f t="shared" ref="BE238:BF238" si="1380">BE236/BE233</f>
        <v>0.20622828309926361</v>
      </c>
      <c r="BF238" s="72">
        <f t="shared" si="1380"/>
        <v>0.20793697986504789</v>
      </c>
      <c r="BG238" s="72">
        <f t="shared" ref="BG238:BI238" si="1381">BG236/BG233</f>
        <v>0.19005626039436946</v>
      </c>
      <c r="BH238" s="72">
        <f t="shared" si="1381"/>
        <v>0.15553517533054123</v>
      </c>
      <c r="BI238" s="72">
        <f t="shared" si="1381"/>
        <v>0.20341203804641014</v>
      </c>
      <c r="BJ238" s="189"/>
      <c r="BK238" s="38"/>
      <c r="BL238" s="38"/>
      <c r="BM238" s="38"/>
      <c r="BN238" s="38"/>
      <c r="BO238" s="38"/>
      <c r="BP238" s="189"/>
      <c r="BQ238" s="11"/>
    </row>
    <row r="239" spans="2:69">
      <c r="C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38"/>
      <c r="BL239" s="38"/>
      <c r="BM239" s="38"/>
      <c r="BN239" s="38"/>
      <c r="BO239" s="38"/>
      <c r="BP239" s="61"/>
    </row>
    <row r="240" spans="2:69" s="7" customFormat="1" ht="12.75">
      <c r="B240" s="7" t="str">
        <f t="shared" ref="B240:B254" si="1382">B62</f>
        <v xml:space="preserve">Adj. EBITDA </v>
      </c>
      <c r="C240" s="64">
        <f t="shared" ref="C240:P240" si="1383">C62*C$214</f>
        <v>190.76228874999998</v>
      </c>
      <c r="D240" s="64">
        <f t="shared" si="1383"/>
        <v>201.69500713577861</v>
      </c>
      <c r="E240" s="64">
        <f t="shared" si="1383"/>
        <v>199.46128247686943</v>
      </c>
      <c r="F240" s="64">
        <f t="shared" si="1383"/>
        <v>229.93003740732158</v>
      </c>
      <c r="G240" s="64">
        <f t="shared" si="1383"/>
        <v>246.077093808</v>
      </c>
      <c r="H240" s="64">
        <f t="shared" si="1383"/>
        <v>245.3084534912</v>
      </c>
      <c r="I240" s="64">
        <f t="shared" si="1383"/>
        <v>351.81296059632433</v>
      </c>
      <c r="J240" s="64">
        <f t="shared" si="1383"/>
        <v>358.62630748241082</v>
      </c>
      <c r="K240" s="64">
        <f t="shared" si="1383"/>
        <v>463.79224366592655</v>
      </c>
      <c r="L240" s="64">
        <f t="shared" si="1383"/>
        <v>643.5863806095673</v>
      </c>
      <c r="M240" s="64">
        <f t="shared" si="1383"/>
        <v>476.03598089809003</v>
      </c>
      <c r="N240" s="64">
        <f t="shared" si="1383"/>
        <v>623.09459053833825</v>
      </c>
      <c r="O240" s="64">
        <f t="shared" si="1383"/>
        <v>466.48754939860129</v>
      </c>
      <c r="P240" s="64">
        <f t="shared" si="1383"/>
        <v>437.33217400747793</v>
      </c>
      <c r="R240" s="64">
        <f t="shared" ref="R240:BC240" si="1384">R62*R$214</f>
        <v>58.943176055999992</v>
      </c>
      <c r="S240" s="64">
        <f t="shared" si="1384"/>
        <v>45.797502431999995</v>
      </c>
      <c r="T240" s="64">
        <f t="shared" si="1384"/>
        <v>41.593996807999993</v>
      </c>
      <c r="U240" s="64">
        <f t="shared" si="1384"/>
        <v>50.63775152800001</v>
      </c>
      <c r="V240" s="64">
        <f t="shared" si="1384"/>
        <v>61.567942016000011</v>
      </c>
      <c r="W240" s="64">
        <f t="shared" si="1384"/>
        <v>54.246736739999996</v>
      </c>
      <c r="X240" s="64">
        <f t="shared" si="1384"/>
        <v>55.431776334999988</v>
      </c>
      <c r="Y240" s="64">
        <f t="shared" si="1384"/>
        <v>58.67985696300002</v>
      </c>
      <c r="Z240" s="64">
        <f t="shared" si="1384"/>
        <v>68.071196486999995</v>
      </c>
      <c r="AA240" s="64">
        <f t="shared" si="1384"/>
        <v>55.350130797000013</v>
      </c>
      <c r="AB240" s="64">
        <f t="shared" si="1384"/>
        <v>53.526045019999998</v>
      </c>
      <c r="AC240" s="64">
        <f t="shared" si="1384"/>
        <v>58.291859771000006</v>
      </c>
      <c r="AD240" s="64">
        <f t="shared" si="1384"/>
        <v>59.954112093333336</v>
      </c>
      <c r="AE240" s="64">
        <f t="shared" si="1384"/>
        <v>41.875866144</v>
      </c>
      <c r="AF240" s="64">
        <f t="shared" si="1384"/>
        <v>80.379261066666672</v>
      </c>
      <c r="AG240" s="64">
        <f t="shared" si="1384"/>
        <v>77.93943575039998</v>
      </c>
      <c r="AH240" s="64">
        <f t="shared" si="1384"/>
        <v>89.37355038381169</v>
      </c>
      <c r="AI240" s="64">
        <f t="shared" si="1384"/>
        <v>71.991102423669346</v>
      </c>
      <c r="AJ240" s="64">
        <f t="shared" si="1384"/>
        <v>71.193845757804866</v>
      </c>
      <c r="AK240" s="64">
        <f t="shared" si="1384"/>
        <v>98.101337100948129</v>
      </c>
      <c r="AL240" s="64">
        <f t="shared" si="1384"/>
        <v>132.71496214654502</v>
      </c>
      <c r="AM240" s="64">
        <f t="shared" si="1384"/>
        <v>124.31431224300306</v>
      </c>
      <c r="AN240" s="64">
        <f t="shared" si="1384"/>
        <v>189.52609099350045</v>
      </c>
      <c r="AO240" s="64">
        <f t="shared" si="1384"/>
        <v>91.42973770397883</v>
      </c>
      <c r="AP240" s="64">
        <f t="shared" si="1384"/>
        <v>150.95040533185653</v>
      </c>
      <c r="AQ240" s="64">
        <f t="shared" si="1384"/>
        <v>100.80732927858251</v>
      </c>
      <c r="AR240" s="64">
        <f t="shared" si="1384"/>
        <v>158.46520587049326</v>
      </c>
      <c r="AS240" s="64">
        <f t="shared" si="1384"/>
        <v>130.98348842973292</v>
      </c>
      <c r="AT240" s="64">
        <f t="shared" si="1384"/>
        <v>146.300164</v>
      </c>
      <c r="AU240" s="64">
        <f t="shared" si="1384"/>
        <v>130.81011462115475</v>
      </c>
      <c r="AV240" s="64">
        <f t="shared" si="1384"/>
        <v>101.2353857663083</v>
      </c>
      <c r="AW240" s="64">
        <f t="shared" si="1384"/>
        <v>106.11844010377017</v>
      </c>
      <c r="AX240" s="64">
        <f t="shared" si="1384"/>
        <v>136.83667203485069</v>
      </c>
      <c r="AY240" s="64">
        <f t="shared" si="1384"/>
        <v>150.0014943291354</v>
      </c>
      <c r="AZ240" s="64">
        <f t="shared" si="1384"/>
        <v>95.467981439113544</v>
      </c>
      <c r="BA240" s="64">
        <f t="shared" si="1384"/>
        <v>127.416766170496</v>
      </c>
      <c r="BB240" s="64">
        <f t="shared" si="1384"/>
        <v>95.433380495630047</v>
      </c>
      <c r="BC240" s="64">
        <f t="shared" si="1384"/>
        <v>117.38498362711469</v>
      </c>
      <c r="BD240" s="120"/>
      <c r="BE240" s="64">
        <f t="shared" ref="BE240:BI254" si="1385">BE62*BE$214</f>
        <v>180.65374832534025</v>
      </c>
      <c r="BF240" s="64">
        <f t="shared" si="1385"/>
        <v>132.89929085029954</v>
      </c>
      <c r="BG240" s="64">
        <f t="shared" si="1385"/>
        <v>137.61671905926184</v>
      </c>
      <c r="BH240" s="64">
        <f t="shared" si="1385"/>
        <v>171.54580528553717</v>
      </c>
      <c r="BI240" s="64">
        <f t="shared" si="1385"/>
        <v>196.30376106161029</v>
      </c>
      <c r="BJ240" s="120"/>
      <c r="BK240" s="38"/>
      <c r="BL240" s="38"/>
      <c r="BM240" s="38"/>
      <c r="BN240" s="38"/>
      <c r="BO240" s="38"/>
      <c r="BP240" s="120"/>
      <c r="BQ240" s="11"/>
    </row>
    <row r="241" spans="2:69">
      <c r="B241" s="11" t="str">
        <f t="shared" si="1382"/>
        <v>Working Capital</v>
      </c>
      <c r="C241" s="34">
        <f t="shared" ref="C241:P241" si="1386">C63*C$214</f>
        <v>21.939837757075001</v>
      </c>
      <c r="D241" s="34">
        <f t="shared" si="1386"/>
        <v>17.116218516874181</v>
      </c>
      <c r="E241" s="34">
        <f t="shared" si="1386"/>
        <v>-184.14968629794311</v>
      </c>
      <c r="F241" s="34">
        <f t="shared" si="1386"/>
        <v>-75.907678433565536</v>
      </c>
      <c r="G241" s="34">
        <f t="shared" si="1386"/>
        <v>-138.32850469899998</v>
      </c>
      <c r="H241" s="34">
        <f t="shared" si="1386"/>
        <v>-255.5333309312</v>
      </c>
      <c r="I241" s="34">
        <f t="shared" si="1386"/>
        <v>-206.2738326363154</v>
      </c>
      <c r="J241" s="34">
        <f t="shared" si="1386"/>
        <v>-267.24501752227064</v>
      </c>
      <c r="K241" s="34">
        <f t="shared" si="1386"/>
        <v>-187.31166513975012</v>
      </c>
      <c r="L241" s="34">
        <f t="shared" si="1386"/>
        <v>-259.92510764986883</v>
      </c>
      <c r="M241" s="34">
        <f t="shared" si="1386"/>
        <v>-324.8012392498631</v>
      </c>
      <c r="N241" s="34">
        <f t="shared" si="1386"/>
        <v>-425.13987758872338</v>
      </c>
      <c r="O241" s="34">
        <f t="shared" si="1386"/>
        <v>-373.47671499588853</v>
      </c>
      <c r="P241" s="34">
        <f t="shared" si="1386"/>
        <v>-335.0641135391561</v>
      </c>
      <c r="R241" s="34">
        <f t="shared" ref="R241:BC241" si="1387">R63*R$214</f>
        <v>-91.59772388399999</v>
      </c>
      <c r="S241" s="34">
        <f t="shared" si="1387"/>
        <v>-76.167914591999988</v>
      </c>
      <c r="T241" s="34">
        <f t="shared" si="1387"/>
        <v>-47.399844674000043</v>
      </c>
      <c r="U241" s="34">
        <f t="shared" si="1387"/>
        <v>15.264530619000013</v>
      </c>
      <c r="V241" s="34">
        <f t="shared" si="1387"/>
        <v>-76.951910084000005</v>
      </c>
      <c r="W241" s="34">
        <f t="shared" si="1387"/>
        <v>-18.948980959999993</v>
      </c>
      <c r="X241" s="34">
        <f t="shared" si="1387"/>
        <v>-36.637213079999988</v>
      </c>
      <c r="Y241" s="34">
        <f t="shared" si="1387"/>
        <v>52.020092786999989</v>
      </c>
      <c r="Z241" s="34">
        <f t="shared" si="1387"/>
        <v>-80.730789258000001</v>
      </c>
      <c r="AA241" s="34">
        <f t="shared" si="1387"/>
        <v>-31.703037561000002</v>
      </c>
      <c r="AB241" s="34">
        <f t="shared" si="1387"/>
        <v>-69.370292969999994</v>
      </c>
      <c r="AC241" s="34">
        <f t="shared" si="1387"/>
        <v>39.672111741499997</v>
      </c>
      <c r="AD241" s="34">
        <f t="shared" si="1387"/>
        <v>-21.009663693333334</v>
      </c>
      <c r="AE241" s="34">
        <f t="shared" si="1387"/>
        <v>-13.362745392000008</v>
      </c>
      <c r="AF241" s="34">
        <f t="shared" si="1387"/>
        <v>-81.830887733333313</v>
      </c>
      <c r="AG241" s="34">
        <f t="shared" si="1387"/>
        <v>-136.09474522960002</v>
      </c>
      <c r="AH241" s="34">
        <f t="shared" si="1387"/>
        <v>-82.52755617150531</v>
      </c>
      <c r="AI241" s="34">
        <f t="shared" si="1387"/>
        <v>-55.055118010293789</v>
      </c>
      <c r="AJ241" s="34">
        <f t="shared" si="1387"/>
        <v>-105.89564337849959</v>
      </c>
      <c r="AK241" s="34">
        <f t="shared" si="1387"/>
        <v>36.167619188042494</v>
      </c>
      <c r="AL241" s="34">
        <f t="shared" si="1387"/>
        <v>-59.564163612530457</v>
      </c>
      <c r="AM241" s="34">
        <f t="shared" si="1387"/>
        <v>-154.23610558429502</v>
      </c>
      <c r="AN241" s="34">
        <f t="shared" si="1387"/>
        <v>-257.99564929035682</v>
      </c>
      <c r="AO241" s="34">
        <f t="shared" si="1387"/>
        <v>-37.026707024797318</v>
      </c>
      <c r="AP241" s="34">
        <f t="shared" si="1387"/>
        <v>-87.762940541779244</v>
      </c>
      <c r="AQ241" s="34">
        <f t="shared" si="1387"/>
        <v>-4.2872661230944482</v>
      </c>
      <c r="AR241" s="34">
        <f t="shared" si="1387"/>
        <v>-13.146776117414188</v>
      </c>
      <c r="AS241" s="34">
        <f t="shared" si="1387"/>
        <v>-17.301941031192637</v>
      </c>
      <c r="AT241" s="34">
        <f t="shared" si="1387"/>
        <v>29.706241999999932</v>
      </c>
      <c r="AU241" s="34">
        <f t="shared" si="1387"/>
        <v>-198.08405982823007</v>
      </c>
      <c r="AV241" s="34">
        <f t="shared" si="1387"/>
        <v>16.998757287796085</v>
      </c>
      <c r="AW241" s="34">
        <f t="shared" si="1387"/>
        <v>-137.85142594433546</v>
      </c>
      <c r="AX241" s="34">
        <f t="shared" si="1387"/>
        <v>-13.100618692866419</v>
      </c>
      <c r="AY241" s="34">
        <f t="shared" si="1387"/>
        <v>-348.72920094535169</v>
      </c>
      <c r="AZ241" s="34">
        <f t="shared" si="1387"/>
        <v>-69.809877301088164</v>
      </c>
      <c r="BA241" s="34">
        <f t="shared" si="1387"/>
        <v>-76.673907766692665</v>
      </c>
      <c r="BB241" s="34">
        <f t="shared" si="1387"/>
        <v>90.855451504067133</v>
      </c>
      <c r="BC241" s="34">
        <f t="shared" si="1387"/>
        <v>-271.03047347501047</v>
      </c>
      <c r="BD241" s="188"/>
      <c r="BE241" s="34">
        <f t="shared" si="1385"/>
        <v>-273.5616695467578</v>
      </c>
      <c r="BF241" s="34">
        <f t="shared" si="1385"/>
        <v>28.73771971584554</v>
      </c>
      <c r="BG241" s="34">
        <f t="shared" si="1385"/>
        <v>-180.82935537703264</v>
      </c>
      <c r="BH241" s="34">
        <f t="shared" si="1385"/>
        <v>-10.059783805076963</v>
      </c>
      <c r="BI241" s="34">
        <f t="shared" si="1385"/>
        <v>-456.3744716526956</v>
      </c>
      <c r="BJ241" s="188"/>
      <c r="BK241" s="38"/>
      <c r="BL241" s="38"/>
      <c r="BM241" s="38"/>
      <c r="BN241" s="38"/>
      <c r="BO241" s="38"/>
      <c r="BP241" s="188"/>
    </row>
    <row r="242" spans="2:69">
      <c r="B242" s="11" t="str">
        <f t="shared" si="1382"/>
        <v>Taxes</v>
      </c>
      <c r="C242" s="34">
        <f t="shared" ref="C242:P242" si="1388">C64*C$214</f>
        <v>-17.804785785949999</v>
      </c>
      <c r="D242" s="34">
        <f t="shared" si="1388"/>
        <v>-13.967036666835998</v>
      </c>
      <c r="E242" s="34">
        <f t="shared" si="1388"/>
        <v>-30.021942218695472</v>
      </c>
      <c r="F242" s="34">
        <f t="shared" si="1388"/>
        <v>-30.27819210442782</v>
      </c>
      <c r="G242" s="34">
        <f t="shared" si="1388"/>
        <v>-51.308866412999997</v>
      </c>
      <c r="H242" s="34">
        <f t="shared" si="1388"/>
        <v>-41.444099059200006</v>
      </c>
      <c r="I242" s="34">
        <f t="shared" si="1388"/>
        <v>-36.469613827177568</v>
      </c>
      <c r="J242" s="34">
        <f t="shared" si="1388"/>
        <v>-67.222118188384471</v>
      </c>
      <c r="K242" s="34">
        <f t="shared" si="1388"/>
        <v>-59.328425572082075</v>
      </c>
      <c r="L242" s="34">
        <f t="shared" si="1388"/>
        <v>-82.327718159187242</v>
      </c>
      <c r="M242" s="34">
        <f t="shared" si="1388"/>
        <v>-30.290639011175141</v>
      </c>
      <c r="N242" s="34">
        <f t="shared" si="1388"/>
        <v>-39.648118351164797</v>
      </c>
      <c r="O242" s="34">
        <f t="shared" si="1388"/>
        <v>-28.457329825299222</v>
      </c>
      <c r="P242" s="34">
        <f t="shared" si="1388"/>
        <v>-29.96716905136855</v>
      </c>
      <c r="R242" s="34">
        <f t="shared" ref="R242:BC242" si="1389">R64*R$214</f>
        <v>-3.810120768</v>
      </c>
      <c r="S242" s="34">
        <f t="shared" si="1389"/>
        <v>-8.4097052160000008</v>
      </c>
      <c r="T242" s="34">
        <f t="shared" si="1389"/>
        <v>-4.3077754719999977</v>
      </c>
      <c r="U242" s="34">
        <f t="shared" si="1389"/>
        <v>-11.938114305000003</v>
      </c>
      <c r="V242" s="34">
        <f t="shared" si="1389"/>
        <v>-0.14543256000000002</v>
      </c>
      <c r="W242" s="34">
        <f t="shared" si="1389"/>
        <v>-11.401912438</v>
      </c>
      <c r="X242" s="34">
        <f t="shared" si="1389"/>
        <v>-7.190805505000001</v>
      </c>
      <c r="Y242" s="34">
        <f t="shared" si="1389"/>
        <v>-10.885940675999999</v>
      </c>
      <c r="Z242" s="34">
        <f t="shared" si="1389"/>
        <v>-5.6218947679999989</v>
      </c>
      <c r="AA242" s="34">
        <f t="shared" si="1389"/>
        <v>-12.794632227000001</v>
      </c>
      <c r="AB242" s="34">
        <f t="shared" si="1389"/>
        <v>-16.893650574999995</v>
      </c>
      <c r="AC242" s="34">
        <f t="shared" si="1389"/>
        <v>-12.457960999999999</v>
      </c>
      <c r="AD242" s="34">
        <f t="shared" si="1389"/>
        <v>-3.1565210600000002</v>
      </c>
      <c r="AE242" s="34">
        <f t="shared" si="1389"/>
        <v>-21.477520800000004</v>
      </c>
      <c r="AF242" s="34">
        <f t="shared" si="1389"/>
        <v>-16.5970096</v>
      </c>
      <c r="AG242" s="34">
        <f t="shared" si="1389"/>
        <v>-4.4144037904000015</v>
      </c>
      <c r="AH242" s="34">
        <f t="shared" si="1389"/>
        <v>-16.091224391609998</v>
      </c>
      <c r="AI242" s="34">
        <f t="shared" si="1389"/>
        <v>-5.5564158379397242</v>
      </c>
      <c r="AJ242" s="34">
        <f t="shared" si="1389"/>
        <v>-6.7798633126504937</v>
      </c>
      <c r="AK242" s="34">
        <f t="shared" si="1389"/>
        <v>-7.2567565830089444</v>
      </c>
      <c r="AL242" s="34">
        <f t="shared" si="1389"/>
        <v>-44.160295337203387</v>
      </c>
      <c r="AM242" s="34">
        <f t="shared" si="1389"/>
        <v>-3.5380819737365696</v>
      </c>
      <c r="AN242" s="34">
        <f t="shared" si="1389"/>
        <v>-0.17307335190343548</v>
      </c>
      <c r="AO242" s="34">
        <f t="shared" si="1389"/>
        <v>-16.964546591679479</v>
      </c>
      <c r="AP242" s="34">
        <f t="shared" si="1389"/>
        <v>-40.541158609363215</v>
      </c>
      <c r="AQ242" s="34">
        <f t="shared" si="1389"/>
        <v>-16.30817599689075</v>
      </c>
      <c r="AR242" s="34">
        <f t="shared" si="1389"/>
        <v>-32.033919819925075</v>
      </c>
      <c r="AS242" s="34">
        <f t="shared" si="1389"/>
        <v>-17.907519664663532</v>
      </c>
      <c r="AT242" s="34">
        <f t="shared" si="1389"/>
        <v>-8.2474479999999968</v>
      </c>
      <c r="AU242" s="34">
        <f t="shared" si="1389"/>
        <v>-3.1454154774155549</v>
      </c>
      <c r="AV242" s="34">
        <f t="shared" si="1389"/>
        <v>-15.453218995567044</v>
      </c>
      <c r="AW242" s="34">
        <f t="shared" si="1389"/>
        <v>-6.9156732970913888</v>
      </c>
      <c r="AX242" s="34">
        <f t="shared" si="1389"/>
        <v>-4.7398941038801521</v>
      </c>
      <c r="AY242" s="34">
        <f t="shared" si="1389"/>
        <v>-1.8234428962784774</v>
      </c>
      <c r="AZ242" s="34">
        <f t="shared" si="1389"/>
        <v>-7.6779804847600062</v>
      </c>
      <c r="BA242" s="34">
        <f t="shared" si="1389"/>
        <v>-5.3043591258700955</v>
      </c>
      <c r="BB242" s="34">
        <f t="shared" si="1389"/>
        <v>-12.841615127267222</v>
      </c>
      <c r="BC242" s="34">
        <f t="shared" si="1389"/>
        <v>-4.1381866943705194</v>
      </c>
      <c r="BD242" s="188"/>
      <c r="BE242" s="34">
        <f t="shared" si="1385"/>
        <v>-4.3439540738727187</v>
      </c>
      <c r="BF242" s="34">
        <f t="shared" si="1385"/>
        <v>-20.77756069814459</v>
      </c>
      <c r="BG242" s="34">
        <f t="shared" si="1385"/>
        <v>-8.905397780703403</v>
      </c>
      <c r="BH242" s="34">
        <f t="shared" si="1385"/>
        <v>-5.6276430582428709</v>
      </c>
      <c r="BI242" s="34">
        <f t="shared" si="1385"/>
        <v>-2.3863115749257111</v>
      </c>
      <c r="BJ242" s="188"/>
      <c r="BK242" s="38"/>
      <c r="BL242" s="38"/>
      <c r="BM242" s="38"/>
      <c r="BN242" s="38"/>
      <c r="BO242" s="38"/>
      <c r="BP242" s="188"/>
    </row>
    <row r="243" spans="2:69">
      <c r="B243" s="11" t="str">
        <f t="shared" si="1382"/>
        <v>Cash interest paid</v>
      </c>
      <c r="C243" s="34">
        <f t="shared" ref="C243:P243" si="1390">C65*C$214</f>
        <v>-25.1609440548125</v>
      </c>
      <c r="D243" s="34">
        <f t="shared" si="1390"/>
        <v>-47.683133250578095</v>
      </c>
      <c r="E243" s="34">
        <f t="shared" si="1390"/>
        <v>-71.59995034054289</v>
      </c>
      <c r="F243" s="34">
        <f t="shared" si="1390"/>
        <v>-73.139400695284522</v>
      </c>
      <c r="G243" s="34">
        <f t="shared" si="1390"/>
        <v>-55.272294269499994</v>
      </c>
      <c r="H243" s="34">
        <f t="shared" si="1390"/>
        <v>-79.728653043199998</v>
      </c>
      <c r="I243" s="34">
        <f t="shared" si="1390"/>
        <v>-129.62034442585508</v>
      </c>
      <c r="J243" s="34">
        <f t="shared" si="1390"/>
        <v>-206.08544447714078</v>
      </c>
      <c r="K243" s="34">
        <f t="shared" si="1390"/>
        <v>-160.59735741906317</v>
      </c>
      <c r="L243" s="34">
        <f t="shared" si="1390"/>
        <v>-222.85465585682567</v>
      </c>
      <c r="M243" s="34">
        <f t="shared" si="1390"/>
        <v>-126.12630461422326</v>
      </c>
      <c r="N243" s="34">
        <f t="shared" si="1390"/>
        <v>-165.08966905352642</v>
      </c>
      <c r="O243" s="34">
        <f t="shared" si="1390"/>
        <v>-132.34812348404986</v>
      </c>
      <c r="P243" s="34">
        <f t="shared" si="1390"/>
        <v>-136.83816127125752</v>
      </c>
      <c r="R243" s="34">
        <f t="shared" ref="R243:BC243" si="1391">R65*R$214</f>
        <v>-4.449856392</v>
      </c>
      <c r="S243" s="34">
        <f t="shared" si="1391"/>
        <v>-32.734155696000002</v>
      </c>
      <c r="T243" s="34">
        <f t="shared" si="1391"/>
        <v>-3.8917718840000015</v>
      </c>
      <c r="U243" s="34">
        <f t="shared" si="1391"/>
        <v>-28.173440632999995</v>
      </c>
      <c r="V243" s="34">
        <f t="shared" si="1391"/>
        <v>-6.2109025720000002</v>
      </c>
      <c r="W243" s="34">
        <f t="shared" si="1391"/>
        <v>-27.512973585999994</v>
      </c>
      <c r="X243" s="34">
        <f t="shared" si="1391"/>
        <v>-11.627370560000003</v>
      </c>
      <c r="Y243" s="34">
        <f t="shared" si="1391"/>
        <v>-26.525898672000004</v>
      </c>
      <c r="Z243" s="34">
        <f t="shared" si="1391"/>
        <v>-6.2187128079999994</v>
      </c>
      <c r="AA243" s="34">
        <f t="shared" si="1391"/>
        <v>-20.007161811000003</v>
      </c>
      <c r="AB243" s="34">
        <f t="shared" si="1391"/>
        <v>-2.0913243599999962</v>
      </c>
      <c r="AC243" s="34">
        <f t="shared" si="1391"/>
        <v>-23.038215707999999</v>
      </c>
      <c r="AD243" s="34">
        <f t="shared" si="1391"/>
        <v>-4.9927469533333335</v>
      </c>
      <c r="AE243" s="34">
        <f t="shared" si="1391"/>
        <v>-36.144041616000003</v>
      </c>
      <c r="AF243" s="34">
        <f t="shared" si="1391"/>
        <v>-16.984149066666667</v>
      </c>
      <c r="AG243" s="34">
        <f t="shared" si="1391"/>
        <v>-25.280179745600002</v>
      </c>
      <c r="AH243" s="34">
        <f t="shared" si="1391"/>
        <v>-4.0289097450111662</v>
      </c>
      <c r="AI243" s="34">
        <f t="shared" si="1391"/>
        <v>-45.862563542783896</v>
      </c>
      <c r="AJ243" s="34">
        <f t="shared" si="1391"/>
        <v>-1.1201913260800711</v>
      </c>
      <c r="AK243" s="34">
        <f t="shared" si="1391"/>
        <v>-65.021148682879755</v>
      </c>
      <c r="AL243" s="34">
        <f t="shared" si="1391"/>
        <v>-163.36347342232685</v>
      </c>
      <c r="AM243" s="34">
        <f t="shared" si="1391"/>
        <v>-2.9469160366096299</v>
      </c>
      <c r="AN243" s="34">
        <f t="shared" si="1391"/>
        <v>-5.5860989521156652</v>
      </c>
      <c r="AO243" s="34">
        <f t="shared" si="1391"/>
        <v>-44.922753010150011</v>
      </c>
      <c r="AP243" s="34">
        <f t="shared" si="1391"/>
        <v>-81.442866827717253</v>
      </c>
      <c r="AQ243" s="34">
        <f t="shared" si="1391"/>
        <v>-0.75723396966158207</v>
      </c>
      <c r="AR243" s="34">
        <f t="shared" si="1391"/>
        <v>-2.5512992336571632</v>
      </c>
      <c r="AS243" s="34">
        <f t="shared" si="1391"/>
        <v>-94.640818702980866</v>
      </c>
      <c r="AT243" s="34">
        <f t="shared" si="1391"/>
        <v>-116.27231600000002</v>
      </c>
      <c r="AU243" s="34">
        <f t="shared" si="1391"/>
        <v>-2.345559158366179</v>
      </c>
      <c r="AV243" s="34">
        <f t="shared" si="1391"/>
        <v>-50.881800139727844</v>
      </c>
      <c r="AW243" s="34">
        <f t="shared" si="1391"/>
        <v>-22.117795271829504</v>
      </c>
      <c r="AX243" s="34">
        <f t="shared" si="1391"/>
        <v>-48.454078854375467</v>
      </c>
      <c r="AY243" s="34">
        <f t="shared" si="1391"/>
        <v>-21.55959345957266</v>
      </c>
      <c r="AZ243" s="34">
        <f t="shared" si="1391"/>
        <v>-44.354379837863071</v>
      </c>
      <c r="BA243" s="34">
        <f t="shared" si="1391"/>
        <v>-31.520361303103794</v>
      </c>
      <c r="BB243" s="34">
        <f t="shared" si="1391"/>
        <v>-33.866661619196776</v>
      </c>
      <c r="BC243" s="34">
        <f t="shared" si="1391"/>
        <v>-27.795941904288988</v>
      </c>
      <c r="BD243" s="188"/>
      <c r="BE243" s="34">
        <f t="shared" si="1385"/>
        <v>-3.2392935039382813</v>
      </c>
      <c r="BF243" s="34">
        <f t="shared" si="1385"/>
        <v>-68.64674205375195</v>
      </c>
      <c r="BG243" s="34">
        <f t="shared" si="1385"/>
        <v>-28.581548850497498</v>
      </c>
      <c r="BH243" s="34">
        <f t="shared" si="1385"/>
        <v>-61.711861755743762</v>
      </c>
      <c r="BI243" s="34">
        <f t="shared" si="1385"/>
        <v>-28.214572000056602</v>
      </c>
      <c r="BJ243" s="188"/>
      <c r="BK243" s="38"/>
      <c r="BL243" s="38"/>
      <c r="BM243" s="38"/>
      <c r="BN243" s="38"/>
      <c r="BO243" s="38"/>
      <c r="BP243" s="188"/>
    </row>
    <row r="244" spans="2:69" s="7" customFormat="1" ht="13.5" thickBot="1">
      <c r="B244" s="62" t="str">
        <f t="shared" si="1382"/>
        <v xml:space="preserve">Net cash from operations </v>
      </c>
      <c r="C244" s="65">
        <f t="shared" ref="C244:P244" si="1392">C66*C$214</f>
        <v>169.73639666631246</v>
      </c>
      <c r="D244" s="65">
        <f t="shared" si="1392"/>
        <v>157.1610557352387</v>
      </c>
      <c r="E244" s="65">
        <f t="shared" si="1392"/>
        <v>-86.310296380312039</v>
      </c>
      <c r="F244" s="65">
        <f t="shared" si="1392"/>
        <v>50.604766174043718</v>
      </c>
      <c r="G244" s="65">
        <f t="shared" si="1392"/>
        <v>1.1674284265000219</v>
      </c>
      <c r="H244" s="65">
        <f t="shared" si="1392"/>
        <v>-131.39762954240001</v>
      </c>
      <c r="I244" s="65">
        <f t="shared" si="1392"/>
        <v>-20.550830293023719</v>
      </c>
      <c r="J244" s="65">
        <f t="shared" si="1392"/>
        <v>-181.92627270538512</v>
      </c>
      <c r="K244" s="65">
        <f t="shared" si="1392"/>
        <v>56.554795535031175</v>
      </c>
      <c r="L244" s="65">
        <f t="shared" si="1392"/>
        <v>78.478898943685635</v>
      </c>
      <c r="M244" s="65">
        <f t="shared" si="1392"/>
        <v>-5.1822019771714221</v>
      </c>
      <c r="N244" s="65">
        <f t="shared" si="1392"/>
        <v>-6.7830744550763828</v>
      </c>
      <c r="O244" s="65">
        <f t="shared" si="1392"/>
        <v>-67.794618906636344</v>
      </c>
      <c r="P244" s="65">
        <f t="shared" si="1392"/>
        <v>-64.537269854304228</v>
      </c>
      <c r="R244" s="65">
        <f t="shared" ref="R244:BC244" si="1393">R66*R$214</f>
        <v>-40.914524987999997</v>
      </c>
      <c r="S244" s="65">
        <f t="shared" si="1393"/>
        <v>-71.514273071999995</v>
      </c>
      <c r="T244" s="65">
        <f t="shared" si="1393"/>
        <v>-14.00539522200005</v>
      </c>
      <c r="U244" s="65">
        <f t="shared" si="1393"/>
        <v>25.790727209000018</v>
      </c>
      <c r="V244" s="65">
        <f t="shared" si="1393"/>
        <v>-21.740303199999996</v>
      </c>
      <c r="W244" s="65">
        <f t="shared" si="1393"/>
        <v>-3.6171302439999931</v>
      </c>
      <c r="X244" s="65">
        <f t="shared" si="1393"/>
        <v>-2.361281000000507E-2</v>
      </c>
      <c r="Y244" s="65">
        <f t="shared" si="1393"/>
        <v>73.288110402000015</v>
      </c>
      <c r="Z244" s="65">
        <f t="shared" si="1393"/>
        <v>-24.500200347000003</v>
      </c>
      <c r="AA244" s="65">
        <f t="shared" si="1393"/>
        <v>-9.1547008019999936</v>
      </c>
      <c r="AB244" s="65">
        <f t="shared" si="1393"/>
        <v>-34.829222884999993</v>
      </c>
      <c r="AC244" s="65">
        <f t="shared" si="1393"/>
        <v>62.467794804500009</v>
      </c>
      <c r="AD244" s="65">
        <f t="shared" si="1393"/>
        <v>30.795180386666672</v>
      </c>
      <c r="AE244" s="65">
        <f t="shared" si="1393"/>
        <v>-29.108441664000011</v>
      </c>
      <c r="AF244" s="65">
        <f t="shared" si="1393"/>
        <v>-35.032785333333308</v>
      </c>
      <c r="AG244" s="65">
        <f t="shared" si="1393"/>
        <v>-87.849893015200053</v>
      </c>
      <c r="AH244" s="65">
        <f t="shared" si="1393"/>
        <v>-13.274139924314778</v>
      </c>
      <c r="AI244" s="65">
        <f t="shared" si="1393"/>
        <v>-34.48299496734807</v>
      </c>
      <c r="AJ244" s="65">
        <f t="shared" si="1393"/>
        <v>-42.601852259425279</v>
      </c>
      <c r="AK244" s="65">
        <f t="shared" si="1393"/>
        <v>61.991051023101932</v>
      </c>
      <c r="AL244" s="65">
        <f t="shared" si="1393"/>
        <v>-134.37297022551564</v>
      </c>
      <c r="AM244" s="65">
        <f t="shared" si="1393"/>
        <v>-36.406791351638148</v>
      </c>
      <c r="AN244" s="65">
        <f t="shared" si="1393"/>
        <v>-74.22873060087548</v>
      </c>
      <c r="AO244" s="65">
        <f t="shared" si="1393"/>
        <v>-7.4842689226479839</v>
      </c>
      <c r="AP244" s="65">
        <f t="shared" si="1393"/>
        <v>-58.79656064700319</v>
      </c>
      <c r="AQ244" s="65">
        <f t="shared" si="1393"/>
        <v>79.454653188935737</v>
      </c>
      <c r="AR244" s="65">
        <f t="shared" si="1393"/>
        <v>110.73321069949684</v>
      </c>
      <c r="AS244" s="65">
        <f t="shared" si="1393"/>
        <v>1.133209030895878</v>
      </c>
      <c r="AT244" s="65">
        <f t="shared" si="1393"/>
        <v>51.486641999999911</v>
      </c>
      <c r="AU244" s="65">
        <f t="shared" si="1393"/>
        <v>-72.764919842857054</v>
      </c>
      <c r="AV244" s="65">
        <f t="shared" si="1393"/>
        <v>51.899123918809501</v>
      </c>
      <c r="AW244" s="65">
        <f t="shared" si="1393"/>
        <v>-60.766454409486187</v>
      </c>
      <c r="AX244" s="65">
        <f t="shared" si="1393"/>
        <v>70.54208038372866</v>
      </c>
      <c r="AY244" s="65">
        <f t="shared" si="1393"/>
        <v>-222.11074297206744</v>
      </c>
      <c r="AZ244" s="65">
        <f t="shared" si="1393"/>
        <v>-26.374256184597701</v>
      </c>
      <c r="BA244" s="65">
        <f t="shared" si="1393"/>
        <v>13.918137974829444</v>
      </c>
      <c r="BB244" s="65">
        <f t="shared" si="1393"/>
        <v>139.58055525323317</v>
      </c>
      <c r="BC244" s="65">
        <f t="shared" si="1393"/>
        <v>-185.57961844655532</v>
      </c>
      <c r="BD244" s="68"/>
      <c r="BE244" s="65">
        <f t="shared" si="1385"/>
        <v>-100.49116879922853</v>
      </c>
      <c r="BF244" s="65">
        <f t="shared" si="1385"/>
        <v>72.212707814248546</v>
      </c>
      <c r="BG244" s="65">
        <f t="shared" si="1385"/>
        <v>-80.699582948971681</v>
      </c>
      <c r="BH244" s="65">
        <f t="shared" si="1385"/>
        <v>94.146516666473573</v>
      </c>
      <c r="BI244" s="65">
        <f t="shared" si="1385"/>
        <v>-290.67159416606762</v>
      </c>
      <c r="BJ244" s="68"/>
      <c r="BK244" s="38"/>
      <c r="BL244" s="38"/>
      <c r="BM244" s="38"/>
      <c r="BN244" s="38"/>
      <c r="BO244" s="38"/>
      <c r="BP244" s="68"/>
      <c r="BQ244" s="11"/>
    </row>
    <row r="245" spans="2:69" ht="15.75" thickTop="1">
      <c r="B245" s="11" t="str">
        <f t="shared" si="1382"/>
        <v>Net Capex</v>
      </c>
      <c r="C245" s="66">
        <f t="shared" ref="C245:P245" si="1394">C67*C$214</f>
        <v>-87.501801380062503</v>
      </c>
      <c r="D245" s="66">
        <f t="shared" si="1394"/>
        <v>-87.489187751060697</v>
      </c>
      <c r="E245" s="66">
        <f t="shared" si="1394"/>
        <v>-39.319975101882868</v>
      </c>
      <c r="F245" s="66">
        <f t="shared" si="1394"/>
        <v>-22.58296560957324</v>
      </c>
      <c r="G245" s="66">
        <f t="shared" si="1394"/>
        <v>-28.699977862499999</v>
      </c>
      <c r="H245" s="66">
        <f t="shared" si="1394"/>
        <v>-46.088648230399997</v>
      </c>
      <c r="I245" s="66">
        <f t="shared" si="1394"/>
        <v>-43.17308255216664</v>
      </c>
      <c r="J245" s="66">
        <f t="shared" si="1394"/>
        <v>-60.744923891816697</v>
      </c>
      <c r="K245" s="66">
        <f t="shared" si="1394"/>
        <v>-48.463207340814854</v>
      </c>
      <c r="L245" s="66">
        <f t="shared" si="1394"/>
        <v>-67.250513018906005</v>
      </c>
      <c r="M245" s="66">
        <f t="shared" si="1394"/>
        <v>-77.548823102429182</v>
      </c>
      <c r="N245" s="66">
        <f t="shared" si="1394"/>
        <v>-101.50544264432219</v>
      </c>
      <c r="O245" s="66">
        <f t="shared" si="1394"/>
        <v>-39.371130638345143</v>
      </c>
      <c r="P245" s="66">
        <f t="shared" si="1394"/>
        <v>-38.121382168203226</v>
      </c>
      <c r="R245" s="66">
        <f t="shared" ref="R245:BC245" si="1395">R67*R$214</f>
        <v>-10.949381712000001</v>
      </c>
      <c r="S245" s="66">
        <f t="shared" si="1395"/>
        <v>-12.46229424</v>
      </c>
      <c r="T245" s="66">
        <f t="shared" si="1395"/>
        <v>-12.064457495999999</v>
      </c>
      <c r="U245" s="66">
        <f t="shared" si="1395"/>
        <v>-3.7393545149999996</v>
      </c>
      <c r="V245" s="66">
        <f t="shared" si="1395"/>
        <v>-3.5211460199999998</v>
      </c>
      <c r="W245" s="66">
        <f t="shared" si="1395"/>
        <v>-3.8029079060000006</v>
      </c>
      <c r="X245" s="66">
        <f t="shared" si="1395"/>
        <v>-5.0527889099999985</v>
      </c>
      <c r="Y245" s="66">
        <f t="shared" si="1395"/>
        <v>-10.028285592</v>
      </c>
      <c r="Z245" s="66">
        <f t="shared" si="1395"/>
        <v>-3.4933530660000001</v>
      </c>
      <c r="AA245" s="66">
        <f t="shared" si="1395"/>
        <v>-3.786548883</v>
      </c>
      <c r="AB245" s="66">
        <f t="shared" si="1395"/>
        <v>-4.9698045900000007</v>
      </c>
      <c r="AC245" s="66">
        <f t="shared" si="1395"/>
        <v>-14.036941290999998</v>
      </c>
      <c r="AD245" s="66">
        <f t="shared" si="1395"/>
        <v>0.68681557999999998</v>
      </c>
      <c r="AE245" s="66">
        <f t="shared" si="1395"/>
        <v>-7.1458754400000011</v>
      </c>
      <c r="AF245" s="66">
        <f t="shared" si="1395"/>
        <v>-5.0730839999999988</v>
      </c>
      <c r="AG245" s="66">
        <f t="shared" si="1395"/>
        <v>-31.766520715200002</v>
      </c>
      <c r="AH245" s="66">
        <f t="shared" si="1395"/>
        <v>-5.3502416326178901</v>
      </c>
      <c r="AI245" s="66">
        <f t="shared" si="1395"/>
        <v>-6.6689301965463201</v>
      </c>
      <c r="AJ245" s="66">
        <f t="shared" si="1395"/>
        <v>-8.1917007405578719</v>
      </c>
      <c r="AK245" s="66">
        <f t="shared" si="1395"/>
        <v>-18.560578260854236</v>
      </c>
      <c r="AL245" s="66">
        <f t="shared" si="1395"/>
        <v>-43.417939594981412</v>
      </c>
      <c r="AM245" s="66">
        <f t="shared" si="1395"/>
        <v>-8.0969359331476323</v>
      </c>
      <c r="AN245" s="66">
        <f t="shared" si="1395"/>
        <v>-13.465128001061149</v>
      </c>
      <c r="AO245" s="66">
        <f t="shared" si="1395"/>
        <v>-7.2050243962990219</v>
      </c>
      <c r="AP245" s="66">
        <f t="shared" si="1395"/>
        <v>-12.285422375846235</v>
      </c>
      <c r="AQ245" s="66">
        <f t="shared" si="1395"/>
        <v>-10.477058990413445</v>
      </c>
      <c r="AR245" s="66">
        <f t="shared" si="1395"/>
        <v>-17.206586063879165</v>
      </c>
      <c r="AS245" s="66">
        <f t="shared" si="1395"/>
        <v>-9.6073162112737176</v>
      </c>
      <c r="AT245" s="66">
        <f t="shared" si="1395"/>
        <v>-21.240072000000001</v>
      </c>
      <c r="AU245" s="66">
        <f t="shared" si="1395"/>
        <v>-8.6080746105404859</v>
      </c>
      <c r="AV245" s="66">
        <f t="shared" si="1395"/>
        <v>-10.601417062871347</v>
      </c>
      <c r="AW245" s="66">
        <f t="shared" si="1395"/>
        <v>-19.70994504001839</v>
      </c>
      <c r="AX245" s="66">
        <f t="shared" si="1395"/>
        <v>-36.828822513932174</v>
      </c>
      <c r="AY245" s="66">
        <f t="shared" si="1395"/>
        <v>-4.8021067473043724</v>
      </c>
      <c r="AZ245" s="66">
        <f t="shared" si="1395"/>
        <v>-7.09719187922527</v>
      </c>
      <c r="BA245" s="66">
        <f t="shared" si="1395"/>
        <v>-15.275500972154461</v>
      </c>
      <c r="BB245" s="66">
        <f t="shared" si="1395"/>
        <v>-11.369607291070235</v>
      </c>
      <c r="BC245" s="66">
        <f t="shared" si="1395"/>
        <v>-4.4771317359377392</v>
      </c>
      <c r="BD245" s="188"/>
      <c r="BE245" s="66">
        <f t="shared" si="1385"/>
        <v>-11.888077717155634</v>
      </c>
      <c r="BF245" s="66">
        <f t="shared" si="1385"/>
        <v>-14.065894660047112</v>
      </c>
      <c r="BG245" s="66">
        <f t="shared" si="1385"/>
        <v>-25.953172065641503</v>
      </c>
      <c r="BH245" s="66">
        <f t="shared" si="1385"/>
        <v>-47.323168541669084</v>
      </c>
      <c r="BI245" s="66">
        <f t="shared" si="1385"/>
        <v>-6.2844643524550721</v>
      </c>
      <c r="BJ245" s="188"/>
      <c r="BK245" s="38"/>
      <c r="BL245" s="38"/>
      <c r="BM245" s="38"/>
      <c r="BN245" s="38"/>
      <c r="BO245" s="38"/>
      <c r="BP245" s="188"/>
    </row>
    <row r="246" spans="2:69">
      <c r="B246" s="11" t="str">
        <f t="shared" si="1382"/>
        <v>Purchase of intangible assets</v>
      </c>
      <c r="C246" s="66">
        <f t="shared" ref="C246:P246" si="1396">C68*C$214</f>
        <v>-0.14873821535000001</v>
      </c>
      <c r="D246" s="66">
        <f t="shared" si="1396"/>
        <v>-0.36484759167108993</v>
      </c>
      <c r="E246" s="66">
        <f t="shared" si="1396"/>
        <v>-1.45735727831046</v>
      </c>
      <c r="F246" s="66">
        <f t="shared" si="1396"/>
        <v>-0.91335173498273992</v>
      </c>
      <c r="G246" s="66">
        <f t="shared" si="1396"/>
        <v>-0.41408721200000004</v>
      </c>
      <c r="H246" s="66">
        <f t="shared" si="1396"/>
        <v>-0.14634059520000001</v>
      </c>
      <c r="I246" s="66">
        <f t="shared" si="1396"/>
        <v>-0.41654957863523984</v>
      </c>
      <c r="J246" s="66">
        <f t="shared" si="1396"/>
        <v>-0.59286803456301318</v>
      </c>
      <c r="K246" s="66">
        <f t="shared" si="1396"/>
        <v>-0.15391798202295282</v>
      </c>
      <c r="L246" s="66">
        <f t="shared" si="1396"/>
        <v>-0.21361770840341787</v>
      </c>
      <c r="M246" s="66">
        <f t="shared" si="1396"/>
        <v>-0.26393273940748002</v>
      </c>
      <c r="N246" s="66">
        <f t="shared" si="1396"/>
        <v>-0.3454597831171341</v>
      </c>
      <c r="O246" s="66">
        <f t="shared" si="1396"/>
        <v>-0.58369086686739213</v>
      </c>
      <c r="P246" s="66">
        <f t="shared" si="1396"/>
        <v>-1.4426535737647277</v>
      </c>
      <c r="R246" s="66">
        <f t="shared" ref="R246:BC246" si="1397">R68*R$214</f>
        <v>-0.7293300479999999</v>
      </c>
      <c r="S246" s="66">
        <f t="shared" si="1397"/>
        <v>-0.13717440000000003</v>
      </c>
      <c r="T246" s="66">
        <f t="shared" si="1397"/>
        <v>-0.17230395000000001</v>
      </c>
      <c r="U246" s="66">
        <f t="shared" si="1397"/>
        <v>-0.45512299299999998</v>
      </c>
      <c r="V246" s="66">
        <f t="shared" si="1397"/>
        <v>-0.27650831600000003</v>
      </c>
      <c r="W246" s="66">
        <f t="shared" si="1397"/>
        <v>-3.184273399999997E-2</v>
      </c>
      <c r="X246" s="66">
        <f t="shared" si="1397"/>
        <v>-8.5816705000000021E-2</v>
      </c>
      <c r="Y246" s="66">
        <f t="shared" si="1397"/>
        <v>-0.52111343700000001</v>
      </c>
      <c r="Z246" s="66">
        <f t="shared" si="1397"/>
        <v>-0.28529213999999997</v>
      </c>
      <c r="AA246" s="66">
        <f t="shared" si="1397"/>
        <v>-5.2321737000000035E-2</v>
      </c>
      <c r="AB246" s="66">
        <f t="shared" si="1397"/>
        <v>-9.8359849999999621E-3</v>
      </c>
      <c r="AC246" s="66">
        <f t="shared" si="1397"/>
        <v>-7.3952577000000033E-2</v>
      </c>
      <c r="AD246" s="66">
        <f t="shared" si="1397"/>
        <v>-9.959546666666666E-3</v>
      </c>
      <c r="AE246" s="66">
        <f t="shared" si="1397"/>
        <v>-4.7635200000000011E-3</v>
      </c>
      <c r="AF246" s="66">
        <f t="shared" si="1397"/>
        <v>-4.9168000000000003E-2</v>
      </c>
      <c r="AG246" s="66">
        <f t="shared" si="1397"/>
        <v>-7.9848306399999999E-2</v>
      </c>
      <c r="AH246" s="66">
        <f t="shared" si="1397"/>
        <v>-2.7430508182477508E-2</v>
      </c>
      <c r="AI246" s="66">
        <f t="shared" si="1397"/>
        <v>-1.2883081277646266E-2</v>
      </c>
      <c r="AJ246" s="66">
        <f t="shared" si="1397"/>
        <v>-1.4082599932471129E-2</v>
      </c>
      <c r="AK246" s="66">
        <f t="shared" si="1397"/>
        <v>-0.30164061707757267</v>
      </c>
      <c r="AL246" s="66">
        <f t="shared" si="1397"/>
        <v>-0.54829993847141589</v>
      </c>
      <c r="AM246" s="66">
        <f t="shared" si="1397"/>
        <v>-3.8148295529911128E-2</v>
      </c>
      <c r="AN246" s="66">
        <f t="shared" si="1397"/>
        <v>-6.9929698899058229E-2</v>
      </c>
      <c r="AO246" s="66">
        <f t="shared" si="1397"/>
        <v>-8.1496051714424866E-2</v>
      </c>
      <c r="AP246" s="66">
        <f t="shared" si="1397"/>
        <v>-0.11009367033009006</v>
      </c>
      <c r="AQ246" s="66">
        <f t="shared" si="1397"/>
        <v>-1.2387667932618423E-2</v>
      </c>
      <c r="AR246" s="66">
        <f t="shared" si="1397"/>
        <v>1.7821002243305134E-3</v>
      </c>
      <c r="AS246" s="66">
        <f t="shared" si="1397"/>
        <v>5.4984528811877237E-2</v>
      </c>
      <c r="AT246" s="66">
        <f t="shared" si="1397"/>
        <v>-5.1136000000000001E-2</v>
      </c>
      <c r="AU246" s="66">
        <f t="shared" si="1397"/>
        <v>-0.12957174015753126</v>
      </c>
      <c r="AV246" s="66">
        <f t="shared" si="1397"/>
        <v>-1.6476756335668325E-2</v>
      </c>
      <c r="AW246" s="66">
        <f t="shared" si="1397"/>
        <v>-0.15867045206898506</v>
      </c>
      <c r="AX246" s="66">
        <f t="shared" si="1397"/>
        <v>3.4902851316749896E-2</v>
      </c>
      <c r="AY246" s="66">
        <f t="shared" si="1397"/>
        <v>-7.2204728456204898E-3</v>
      </c>
      <c r="AZ246" s="66">
        <f t="shared" si="1397"/>
        <v>-0.11155618949850013</v>
      </c>
      <c r="BA246" s="66">
        <f t="shared" si="1397"/>
        <v>-0.18935558296167529</v>
      </c>
      <c r="BB246" s="66">
        <f t="shared" si="1397"/>
        <v>-0.25389562147761524</v>
      </c>
      <c r="BC246" s="66">
        <f t="shared" si="1397"/>
        <v>-0.8421223652926868</v>
      </c>
      <c r="BD246" s="188"/>
      <c r="BE246" s="66">
        <f t="shared" si="1385"/>
        <v>-0.17895397679099598</v>
      </c>
      <c r="BF246" s="66">
        <f t="shared" si="1385"/>
        <v>-1.8455203625504644E-2</v>
      </c>
      <c r="BG246" s="66">
        <f t="shared" si="1385"/>
        <v>-0.20909272743013574</v>
      </c>
      <c r="BH246" s="66">
        <f t="shared" si="1385"/>
        <v>5.2513584595242802E-2</v>
      </c>
      <c r="BI246" s="66">
        <f t="shared" si="1385"/>
        <v>-9.4358451959813197E-3</v>
      </c>
      <c r="BJ246" s="188"/>
      <c r="BK246" s="38"/>
      <c r="BL246" s="38"/>
      <c r="BM246" s="38"/>
      <c r="BN246" s="38"/>
      <c r="BO246" s="38"/>
      <c r="BP246" s="188"/>
    </row>
    <row r="247" spans="2:69">
      <c r="B247" s="11" t="str">
        <f t="shared" si="1382"/>
        <v>Disposals/ Acquistion, of subsidiaries, businesses</v>
      </c>
      <c r="C247" s="66">
        <f t="shared" ref="C247:P247" si="1398">C69*C$214</f>
        <v>-6.8032314703874999</v>
      </c>
      <c r="D247" s="66">
        <f t="shared" si="1398"/>
        <v>11.203048091802488</v>
      </c>
      <c r="E247" s="66">
        <f t="shared" si="1398"/>
        <v>8.6538818156975097</v>
      </c>
      <c r="F247" s="66">
        <f t="shared" si="1398"/>
        <v>0</v>
      </c>
      <c r="G247" s="66">
        <f t="shared" si="1398"/>
        <v>0</v>
      </c>
      <c r="H247" s="66">
        <f t="shared" si="1398"/>
        <v>-393.64608683519998</v>
      </c>
      <c r="I247" s="66">
        <f t="shared" si="1398"/>
        <v>0</v>
      </c>
      <c r="J247" s="66">
        <f t="shared" si="1398"/>
        <v>0</v>
      </c>
      <c r="K247" s="66">
        <f t="shared" si="1398"/>
        <v>0</v>
      </c>
      <c r="L247" s="66">
        <f t="shared" si="1398"/>
        <v>0</v>
      </c>
      <c r="M247" s="66">
        <f t="shared" si="1398"/>
        <v>0</v>
      </c>
      <c r="N247" s="66">
        <f t="shared" si="1398"/>
        <v>0</v>
      </c>
      <c r="O247" s="66">
        <f t="shared" si="1398"/>
        <v>0</v>
      </c>
      <c r="P247" s="66">
        <f t="shared" si="1398"/>
        <v>0</v>
      </c>
      <c r="R247" s="66">
        <f t="shared" ref="R247:BC247" si="1399">R69*R$214</f>
        <v>0</v>
      </c>
      <c r="S247" s="66">
        <f t="shared" si="1399"/>
        <v>9.3155135040000001</v>
      </c>
      <c r="T247" s="66">
        <f t="shared" si="1399"/>
        <v>0</v>
      </c>
      <c r="U247" s="66">
        <f t="shared" si="1399"/>
        <v>1.8183099999957621E-4</v>
      </c>
      <c r="V247" s="66">
        <f t="shared" si="1399"/>
        <v>0</v>
      </c>
      <c r="W247" s="66">
        <f t="shared" si="1399"/>
        <v>0</v>
      </c>
      <c r="X247" s="66">
        <f t="shared" si="1399"/>
        <v>0</v>
      </c>
      <c r="Y247" s="66">
        <f t="shared" si="1399"/>
        <v>0</v>
      </c>
      <c r="Z247" s="66">
        <f t="shared" si="1399"/>
        <v>-154.67277331099999</v>
      </c>
      <c r="AA247" s="66">
        <f t="shared" si="1399"/>
        <v>122.067778365</v>
      </c>
      <c r="AB247" s="66">
        <f t="shared" si="1399"/>
        <v>245.64056454999999</v>
      </c>
      <c r="AC247" s="66">
        <f t="shared" si="1399"/>
        <v>-220.97427602100001</v>
      </c>
      <c r="AD247" s="66">
        <f t="shared" si="1399"/>
        <v>-156.31351237333334</v>
      </c>
      <c r="AE247" s="66">
        <f t="shared" si="1399"/>
        <v>-0.80753572799999396</v>
      </c>
      <c r="AF247" s="66">
        <f t="shared" si="1399"/>
        <v>-247.36900773333329</v>
      </c>
      <c r="AG247" s="66">
        <f t="shared" si="1399"/>
        <v>-39.65867864320002</v>
      </c>
      <c r="AH247" s="66">
        <f t="shared" si="1399"/>
        <v>-0.71994312837046981</v>
      </c>
      <c r="AI247" s="66">
        <f t="shared" si="1399"/>
        <v>-0.54648380729956658</v>
      </c>
      <c r="AJ247" s="66">
        <f t="shared" si="1399"/>
        <v>60.760002040095308</v>
      </c>
      <c r="AK247" s="66">
        <f t="shared" si="1399"/>
        <v>-56.229768719299223</v>
      </c>
      <c r="AL247" s="66">
        <f t="shared" si="1399"/>
        <v>-56.251571654048853</v>
      </c>
      <c r="AM247" s="66">
        <f t="shared" si="1399"/>
        <v>11.027669452181987</v>
      </c>
      <c r="AN247" s="66">
        <f t="shared" si="1399"/>
        <v>-1.0391829155060353</v>
      </c>
      <c r="AO247" s="66">
        <f t="shared" si="1399"/>
        <v>-4.7742268139902742E-5</v>
      </c>
      <c r="AP247" s="66">
        <f t="shared" si="1399"/>
        <v>21.261255239713932</v>
      </c>
      <c r="AQ247" s="66">
        <f t="shared" si="1399"/>
        <v>-0.1572251878155192</v>
      </c>
      <c r="AR247" s="66">
        <f t="shared" si="1399"/>
        <v>1.4991918137180402</v>
      </c>
      <c r="AS247" s="66">
        <f t="shared" si="1399"/>
        <v>-23.142496097478389</v>
      </c>
      <c r="AT247" s="66">
        <f t="shared" si="1399"/>
        <v>-15.848352</v>
      </c>
      <c r="AU247" s="66">
        <f t="shared" si="1399"/>
        <v>-0.36651586638966016</v>
      </c>
      <c r="AV247" s="66">
        <f t="shared" si="1399"/>
        <v>-2.9460316675219311E-2</v>
      </c>
      <c r="AW247" s="66">
        <f t="shared" si="1399"/>
        <v>-0.17700039704929674</v>
      </c>
      <c r="AX247" s="66">
        <f t="shared" si="1399"/>
        <v>0.52739511765591862</v>
      </c>
      <c r="AY247" s="66">
        <f t="shared" si="1399"/>
        <v>0</v>
      </c>
      <c r="AZ247" s="66">
        <f t="shared" si="1399"/>
        <v>0</v>
      </c>
      <c r="BA247" s="66">
        <f t="shared" si="1399"/>
        <v>0</v>
      </c>
      <c r="BB247" s="66">
        <f t="shared" si="1399"/>
        <v>0</v>
      </c>
      <c r="BC247" s="66">
        <f t="shared" si="1399"/>
        <v>0</v>
      </c>
      <c r="BD247" s="188"/>
      <c r="BE247" s="66">
        <f t="shared" si="1385"/>
        <v>0</v>
      </c>
      <c r="BF247" s="66">
        <f t="shared" si="1385"/>
        <v>0</v>
      </c>
      <c r="BG247" s="66">
        <f t="shared" si="1385"/>
        <v>0</v>
      </c>
      <c r="BH247" s="66">
        <f t="shared" si="1385"/>
        <v>0</v>
      </c>
      <c r="BI247" s="66">
        <f t="shared" si="1385"/>
        <v>0</v>
      </c>
      <c r="BJ247" s="188"/>
      <c r="BK247" s="38"/>
      <c r="BL247" s="38"/>
      <c r="BM247" s="38"/>
      <c r="BN247" s="38"/>
      <c r="BO247" s="38"/>
      <c r="BP247" s="188"/>
    </row>
   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C70*C$214</f>
        <v>75.282625600512461</v>
      </c>
      <c r="D248" s="65">
        <f t="shared" si="1400"/>
        <v>80.5100684843094</v>
      </c>
      <c r="E248" s="65">
        <f t="shared" si="1400"/>
        <v>-118.43374694480787</v>
      </c>
      <c r="F248" s="65">
        <f t="shared" si="1400"/>
        <v>27.108448829487738</v>
      </c>
      <c r="G248" s="65">
        <f t="shared" si="1400"/>
        <v>-27.946636647999977</v>
      </c>
      <c r="H248" s="65">
        <f t="shared" si="1400"/>
        <v>-571.27870520319993</v>
      </c>
      <c r="I248" s="65">
        <f t="shared" si="1400"/>
        <v>-64.140462423825596</v>
      </c>
      <c r="J248" s="65">
        <f t="shared" si="1400"/>
        <v>-243.26406463176482</v>
      </c>
      <c r="K248" s="65">
        <f t="shared" si="1400"/>
        <v>7.9376702121933684</v>
      </c>
      <c r="L248" s="65">
        <f t="shared" si="1400"/>
        <v>11.014768216376208</v>
      </c>
      <c r="M248" s="65">
        <f t="shared" si="1400"/>
        <v>-82.994957819008079</v>
      </c>
      <c r="N248" s="65">
        <f t="shared" si="1400"/>
        <v>-108.63397688251571</v>
      </c>
      <c r="O248" s="65">
        <f t="shared" si="1400"/>
        <v>-107.74944041184888</v>
      </c>
      <c r="P248" s="65">
        <f t="shared" si="1400"/>
        <v>-104.10130559627218</v>
      </c>
      <c r="R248" s="65">
        <f t="shared" ref="R248:BC248" si="1401">R70*R$214</f>
        <v>-52.593236748000002</v>
      </c>
      <c r="S248" s="65">
        <f t="shared" si="1401"/>
        <v>-74.798228208000012</v>
      </c>
      <c r="T248" s="65">
        <f t="shared" si="1401"/>
        <v>-26.24215666800005</v>
      </c>
      <c r="U248" s="65">
        <f t="shared" si="1401"/>
        <v>21.596431532000018</v>
      </c>
      <c r="V248" s="65">
        <f t="shared" si="1401"/>
        <v>-25.537957535999993</v>
      </c>
      <c r="W248" s="65">
        <f t="shared" si="1401"/>
        <v>-7.4518808839999933</v>
      </c>
      <c r="X248" s="65">
        <f t="shared" si="1401"/>
        <v>-5.1622184250000043</v>
      </c>
      <c r="Y248" s="65">
        <f t="shared" si="1401"/>
        <v>62.738711373000008</v>
      </c>
      <c r="Z248" s="65">
        <f t="shared" si="1401"/>
        <v>-182.95161886400001</v>
      </c>
      <c r="AA248" s="65">
        <f t="shared" si="1401"/>
        <v>109.07420694300002</v>
      </c>
      <c r="AB248" s="65">
        <f t="shared" si="1401"/>
        <v>205.83170109</v>
      </c>
      <c r="AC248" s="65">
        <f t="shared" si="1401"/>
        <v>-172.6173750845</v>
      </c>
      <c r="AD248" s="65">
        <f t="shared" si="1401"/>
        <v>-124.84147595333334</v>
      </c>
      <c r="AE248" s="65">
        <f t="shared" si="1401"/>
        <v>-37.066616352000011</v>
      </c>
      <c r="AF248" s="65">
        <f t="shared" si="1401"/>
        <v>-287.52404506666659</v>
      </c>
      <c r="AG248" s="65">
        <f t="shared" si="1401"/>
        <v>-159.35494068000008</v>
      </c>
      <c r="AH248" s="65">
        <f t="shared" si="1401"/>
        <v>-19.371755193485615</v>
      </c>
      <c r="AI248" s="65">
        <f t="shared" si="1401"/>
        <v>-41.711292052471599</v>
      </c>
      <c r="AJ248" s="65">
        <f t="shared" si="1401"/>
        <v>9.9523664401796914</v>
      </c>
      <c r="AK248" s="65">
        <f t="shared" si="1401"/>
        <v>-13.100936574129097</v>
      </c>
      <c r="AL248" s="65">
        <f t="shared" si="1401"/>
        <v>-234.59078141301734</v>
      </c>
      <c r="AM248" s="65">
        <f t="shared" si="1401"/>
        <v>-33.514206128133708</v>
      </c>
      <c r="AN248" s="65">
        <f t="shared" si="1401"/>
        <v>-88.802971216341717</v>
      </c>
      <c r="AO248" s="65">
        <f t="shared" si="1401"/>
        <v>-14.77083711292957</v>
      </c>
      <c r="AP248" s="65">
        <f t="shared" si="1401"/>
        <v>-49.930821453465576</v>
      </c>
      <c r="AQ248" s="65">
        <f t="shared" si="1401"/>
        <v>68.807981342774156</v>
      </c>
      <c r="AR248" s="65">
        <f t="shared" si="1401"/>
        <v>95.027598549560039</v>
      </c>
      <c r="AS248" s="65">
        <f t="shared" si="1401"/>
        <v>-31.561618749044349</v>
      </c>
      <c r="AT248" s="65">
        <f t="shared" si="1401"/>
        <v>14.347081999999913</v>
      </c>
      <c r="AU248" s="65">
        <f t="shared" si="1401"/>
        <v>-81.869082059944745</v>
      </c>
      <c r="AV248" s="65">
        <f t="shared" si="1401"/>
        <v>41.251769782927269</v>
      </c>
      <c r="AW248" s="65">
        <f t="shared" si="1401"/>
        <v>-80.812070298622857</v>
      </c>
      <c r="AX248" s="65">
        <f t="shared" si="1401"/>
        <v>34.275555838769165</v>
      </c>
      <c r="AY248" s="65">
        <f t="shared" si="1401"/>
        <v>-226.92007019221742</v>
      </c>
      <c r="AZ248" s="65">
        <f t="shared" si="1401"/>
        <v>-33.583004253321469</v>
      </c>
      <c r="BA248" s="65">
        <f t="shared" si="1401"/>
        <v>-1.546718580286693</v>
      </c>
      <c r="BB248" s="65">
        <f t="shared" si="1401"/>
        <v>127.95705234068532</v>
      </c>
      <c r="BC248" s="65">
        <f t="shared" si="1401"/>
        <v>-190.89887254778571</v>
      </c>
      <c r="BD248" s="68"/>
      <c r="BE248" s="65">
        <f t="shared" si="1385"/>
        <v>-112.55820049317516</v>
      </c>
      <c r="BF248" s="65">
        <f t="shared" si="1385"/>
        <v>58.128357950575932</v>
      </c>
      <c r="BG248" s="65">
        <f t="shared" si="1385"/>
        <v>-106.86184774204331</v>
      </c>
      <c r="BH248" s="65">
        <f t="shared" si="1385"/>
        <v>46.875861709399736</v>
      </c>
      <c r="BI248" s="65">
        <f t="shared" si="1385"/>
        <v>-296.96549436371862</v>
      </c>
      <c r="BJ248" s="68"/>
      <c r="BK248" s="38"/>
      <c r="BL248" s="38"/>
      <c r="BM248" s="38"/>
      <c r="BN248" s="38"/>
      <c r="BO248" s="38"/>
      <c r="BP248" s="68"/>
      <c r="BQ248" s="11"/>
    </row>
    <row r="249" spans="2:69" s="7" customFormat="1" ht="13.5" thickTop="1">
      <c r="B249" s="11" t="str">
        <f t="shared" si="1382"/>
        <v xml:space="preserve">Other Investing </v>
      </c>
      <c r="C249" s="66">
        <f t="shared" ref="C249:P249" si="1402">C71*C$214</f>
        <v>299.27380439121248</v>
      </c>
      <c r="D249" s="66">
        <f t="shared" si="1402"/>
        <v>25.385639025307771</v>
      </c>
      <c r="E249" s="66">
        <f t="shared" si="1402"/>
        <v>53.380011029995529</v>
      </c>
      <c r="F249" s="66">
        <f t="shared" si="1402"/>
        <v>266.79730909079154</v>
      </c>
      <c r="G249" s="66">
        <f t="shared" si="1402"/>
        <v>-122.08286761999999</v>
      </c>
      <c r="H249" s="66">
        <f t="shared" si="1402"/>
        <v>277.22871925760001</v>
      </c>
      <c r="I249" s="66">
        <f t="shared" si="1402"/>
        <v>419.65075903752791</v>
      </c>
      <c r="J249" s="66">
        <f t="shared" si="1402"/>
        <v>614.38292180519522</v>
      </c>
      <c r="K249" s="66">
        <f t="shared" si="1402"/>
        <v>29.853525778711106</v>
      </c>
      <c r="L249" s="66">
        <f t="shared" si="1402"/>
        <v>41.426613066002822</v>
      </c>
      <c r="M249" s="66">
        <f t="shared" si="1402"/>
        <v>88.288996220047949</v>
      </c>
      <c r="N249" s="66">
        <f t="shared" si="1402"/>
        <v>115.56353141350472</v>
      </c>
      <c r="O249" s="66">
        <f t="shared" si="1402"/>
        <v>114.95490569880654</v>
      </c>
      <c r="P249" s="66">
        <f t="shared" si="1402"/>
        <v>113.07868841592182</v>
      </c>
      <c r="R249" s="66">
        <f t="shared" ref="R249:BC249" si="1403">R71*R$214</f>
        <v>25.032210515999999</v>
      </c>
      <c r="S249" s="66">
        <f t="shared" si="1403"/>
        <v>-4.3827220799999971</v>
      </c>
      <c r="T249" s="66">
        <f t="shared" si="1403"/>
        <v>12.889395791999995</v>
      </c>
      <c r="U249" s="66">
        <f t="shared" si="1403"/>
        <v>18.550762282000004</v>
      </c>
      <c r="V249" s="66">
        <f t="shared" si="1403"/>
        <v>9.9020928160000015</v>
      </c>
      <c r="W249" s="66">
        <f t="shared" si="1403"/>
        <v>132.81859774399999</v>
      </c>
      <c r="X249" s="66">
        <f t="shared" si="1403"/>
        <v>-145.87130564500001</v>
      </c>
      <c r="Y249" s="66">
        <f t="shared" si="1403"/>
        <v>259.99403328599999</v>
      </c>
      <c r="Z249" s="66">
        <f t="shared" si="1403"/>
        <v>6.0175326609999997</v>
      </c>
      <c r="AA249" s="66">
        <f t="shared" si="1403"/>
        <v>3.9371014020000006</v>
      </c>
      <c r="AB249" s="66">
        <f t="shared" si="1403"/>
        <v>-204.01453749499996</v>
      </c>
      <c r="AC249" s="66">
        <f t="shared" si="1403"/>
        <v>80.136761852999967</v>
      </c>
      <c r="AD249" s="66">
        <f t="shared" si="1403"/>
        <v>7.5123812133333345</v>
      </c>
      <c r="AE249" s="66">
        <f t="shared" si="1403"/>
        <v>1.5747006239999981</v>
      </c>
      <c r="AF249" s="66">
        <f t="shared" si="1403"/>
        <v>247.78459439999997</v>
      </c>
      <c r="AG249" s="66">
        <f t="shared" si="1403"/>
        <v>41.578407913600003</v>
      </c>
      <c r="AH249" s="66">
        <f t="shared" si="1403"/>
        <v>-16.682416469794131</v>
      </c>
      <c r="AI249" s="66">
        <f t="shared" si="1403"/>
        <v>1.5387983829511804</v>
      </c>
      <c r="AJ249" s="66">
        <f t="shared" si="1403"/>
        <v>-9.8907550654750906</v>
      </c>
      <c r="AK249" s="66">
        <f t="shared" si="1403"/>
        <v>369.21266130515664</v>
      </c>
      <c r="AL249" s="66">
        <f t="shared" si="1403"/>
        <v>634.83470212139866</v>
      </c>
      <c r="AM249" s="66">
        <f t="shared" si="1403"/>
        <v>8.4180395277888298</v>
      </c>
      <c r="AN249" s="66">
        <f t="shared" si="1403"/>
        <v>37.499190874121233</v>
      </c>
      <c r="AO249" s="66">
        <f t="shared" si="1403"/>
        <v>-17.392985705964918</v>
      </c>
      <c r="AP249" s="66">
        <f t="shared" si="1403"/>
        <v>-45.623418537367876</v>
      </c>
      <c r="AQ249" s="66">
        <f t="shared" si="1403"/>
        <v>8.8399984592936995</v>
      </c>
      <c r="AR249" s="66">
        <f t="shared" si="1403"/>
        <v>23.758663174070328</v>
      </c>
      <c r="AS249" s="66">
        <f t="shared" si="1403"/>
        <v>57.393115042523029</v>
      </c>
      <c r="AT249" s="66">
        <f t="shared" si="1403"/>
        <v>20.198821999999996</v>
      </c>
      <c r="AU249" s="66">
        <f t="shared" si="1403"/>
        <v>3.2502313781074239</v>
      </c>
      <c r="AV249" s="66">
        <f t="shared" si="1403"/>
        <v>18.26601460341406</v>
      </c>
      <c r="AW249" s="66">
        <f t="shared" si="1403"/>
        <v>24.698108194440717</v>
      </c>
      <c r="AX249" s="66">
        <f t="shared" si="1403"/>
        <v>39.795130400528315</v>
      </c>
      <c r="AY249" s="66">
        <f t="shared" si="1403"/>
        <v>19.861250725399742</v>
      </c>
      <c r="AZ249" s="66">
        <f t="shared" si="1403"/>
        <v>36.965671645640803</v>
      </c>
      <c r="BA249" s="66">
        <f t="shared" si="1403"/>
        <v>40.853460894382096</v>
      </c>
      <c r="BB249" s="66">
        <f t="shared" si="1403"/>
        <v>16.86093116355222</v>
      </c>
      <c r="BC249" s="66">
        <f t="shared" si="1403"/>
        <v>19.633869790367569</v>
      </c>
      <c r="BD249" s="188"/>
      <c r="BE249" s="66">
        <f t="shared" si="1385"/>
        <v>3.9825188176740514</v>
      </c>
      <c r="BF249" s="66">
        <f t="shared" si="1385"/>
        <v>24.544091552648339</v>
      </c>
      <c r="BG249" s="66">
        <f t="shared" si="1385"/>
        <v>32.32945538569011</v>
      </c>
      <c r="BH249" s="66">
        <f t="shared" si="1385"/>
        <v>51.735323423433854</v>
      </c>
      <c r="BI249" s="66">
        <f t="shared" si="1385"/>
        <v>25.99200652712608</v>
      </c>
      <c r="BJ249" s="188"/>
      <c r="BK249" s="38"/>
      <c r="BL249" s="38"/>
      <c r="BM249" s="38"/>
      <c r="BN249" s="38"/>
      <c r="BO249" s="38"/>
      <c r="BP249" s="188"/>
      <c r="BQ249" s="11"/>
    </row>
    <row r="250" spans="2:69">
      <c r="B250" s="11" t="str">
        <f t="shared" si="1382"/>
        <v>Equity Issuance</v>
      </c>
      <c r="C250" s="66">
        <f t="shared" ref="C250:P250" si="1404">C72*C$214</f>
        <v>0</v>
      </c>
      <c r="D250" s="66">
        <f t="shared" si="1404"/>
        <v>0</v>
      </c>
      <c r="E250" s="66">
        <f t="shared" si="1404"/>
        <v>0</v>
      </c>
      <c r="F250" s="66">
        <f t="shared" si="1404"/>
        <v>0</v>
      </c>
      <c r="G250" s="66">
        <f t="shared" si="1404"/>
        <v>0</v>
      </c>
      <c r="H250" s="66">
        <f t="shared" si="1404"/>
        <v>0</v>
      </c>
      <c r="I250" s="66">
        <f t="shared" si="1404"/>
        <v>0</v>
      </c>
      <c r="J250" s="66">
        <f t="shared" si="1404"/>
        <v>0</v>
      </c>
      <c r="K250" s="66">
        <f t="shared" si="1404"/>
        <v>0</v>
      </c>
      <c r="L250" s="66">
        <f t="shared" si="1404"/>
        <v>0</v>
      </c>
      <c r="M250" s="66">
        <f t="shared" si="1404"/>
        <v>0</v>
      </c>
      <c r="N250" s="66">
        <f t="shared" si="1404"/>
        <v>0</v>
      </c>
      <c r="O250" s="66">
        <f t="shared" si="1404"/>
        <v>0</v>
      </c>
      <c r="P250" s="66">
        <f t="shared" si="1404"/>
        <v>0</v>
      </c>
      <c r="R250" s="66">
        <f t="shared" ref="R250:BC250" si="1405">R72*R$214</f>
        <v>0</v>
      </c>
      <c r="S250" s="66">
        <f t="shared" si="1405"/>
        <v>0</v>
      </c>
      <c r="T250" s="66">
        <f t="shared" si="1405"/>
        <v>0</v>
      </c>
      <c r="U250" s="66">
        <f t="shared" si="1405"/>
        <v>0</v>
      </c>
      <c r="V250" s="66">
        <f t="shared" si="1405"/>
        <v>0</v>
      </c>
      <c r="W250" s="66">
        <f t="shared" si="1405"/>
        <v>0</v>
      </c>
      <c r="X250" s="66">
        <f t="shared" si="1405"/>
        <v>0</v>
      </c>
      <c r="Y250" s="66">
        <f t="shared" si="1405"/>
        <v>0</v>
      </c>
      <c r="Z250" s="66">
        <f t="shared" si="1405"/>
        <v>0</v>
      </c>
      <c r="AA250" s="66">
        <f t="shared" si="1405"/>
        <v>0</v>
      </c>
      <c r="AB250" s="66">
        <f t="shared" si="1405"/>
        <v>0</v>
      </c>
      <c r="AC250" s="66">
        <f t="shared" si="1405"/>
        <v>0</v>
      </c>
      <c r="AD250" s="66">
        <f t="shared" si="1405"/>
        <v>0</v>
      </c>
      <c r="AE250" s="66">
        <f t="shared" si="1405"/>
        <v>0</v>
      </c>
      <c r="AF250" s="66">
        <f t="shared" si="1405"/>
        <v>0</v>
      </c>
      <c r="AG250" s="66">
        <f t="shared" si="1405"/>
        <v>0</v>
      </c>
      <c r="AH250" s="66">
        <f t="shared" si="1405"/>
        <v>0</v>
      </c>
      <c r="AI250" s="66">
        <f t="shared" si="1405"/>
        <v>0</v>
      </c>
      <c r="AJ250" s="66">
        <f t="shared" si="1405"/>
        <v>-1.5769672690510312</v>
      </c>
      <c r="AK250" s="66">
        <f t="shared" si="1405"/>
        <v>1.4852591448335586</v>
      </c>
      <c r="AL250" s="66">
        <f t="shared" si="1405"/>
        <v>1.4858350498916562</v>
      </c>
      <c r="AM250" s="66">
        <f t="shared" si="1405"/>
        <v>0</v>
      </c>
      <c r="AN250" s="66">
        <f t="shared" si="1405"/>
        <v>0</v>
      </c>
      <c r="AO250" s="66">
        <f t="shared" si="1405"/>
        <v>0</v>
      </c>
      <c r="AP250" s="66">
        <f t="shared" si="1405"/>
        <v>0</v>
      </c>
      <c r="AQ250" s="66">
        <f t="shared" si="1405"/>
        <v>0</v>
      </c>
      <c r="AR250" s="66">
        <f t="shared" si="1405"/>
        <v>0</v>
      </c>
      <c r="AS250" s="66">
        <f t="shared" si="1405"/>
        <v>0</v>
      </c>
      <c r="AT250" s="66">
        <f t="shared" si="1405"/>
        <v>0</v>
      </c>
      <c r="AU250" s="66">
        <f t="shared" si="1405"/>
        <v>0</v>
      </c>
      <c r="AV250" s="66">
        <f t="shared" si="1405"/>
        <v>0</v>
      </c>
      <c r="AW250" s="66">
        <f t="shared" si="1405"/>
        <v>0</v>
      </c>
      <c r="AX250" s="66">
        <f t="shared" si="1405"/>
        <v>0</v>
      </c>
      <c r="AY250" s="66">
        <f t="shared" si="1405"/>
        <v>0</v>
      </c>
      <c r="AZ250" s="66">
        <f t="shared" si="1405"/>
        <v>0</v>
      </c>
      <c r="BA250" s="66">
        <f t="shared" si="1405"/>
        <v>0</v>
      </c>
      <c r="BB250" s="66">
        <f t="shared" si="1405"/>
        <v>0</v>
      </c>
      <c r="BC250" s="66">
        <f t="shared" si="1405"/>
        <v>0</v>
      </c>
      <c r="BD250" s="188"/>
      <c r="BE250" s="66">
        <f t="shared" si="1385"/>
        <v>0</v>
      </c>
      <c r="BF250" s="66">
        <f t="shared" si="1385"/>
        <v>0</v>
      </c>
      <c r="BG250" s="66">
        <f t="shared" si="1385"/>
        <v>0</v>
      </c>
      <c r="BH250" s="66">
        <f t="shared" si="1385"/>
        <v>0</v>
      </c>
      <c r="BI250" s="66">
        <f t="shared" si="1385"/>
        <v>0</v>
      </c>
      <c r="BJ250" s="188"/>
      <c r="BK250" s="38"/>
      <c r="BL250" s="38"/>
      <c r="BM250" s="38"/>
      <c r="BN250" s="38"/>
      <c r="BO250" s="38"/>
      <c r="BP250" s="188"/>
    </row>
    <row r="251" spans="2:69">
      <c r="B251" s="11" t="str">
        <f t="shared" si="1382"/>
        <v>Dividends</v>
      </c>
      <c r="C251" s="66">
        <f t="shared" ref="C251:P251" si="1406">C73*C$214</f>
        <v>-38.074645106137496</v>
      </c>
      <c r="D251" s="66">
        <f t="shared" si="1406"/>
        <v>-19.772979841906388</v>
      </c>
      <c r="E251" s="66">
        <f t="shared" si="1406"/>
        <v>-21.63672215716041</v>
      </c>
      <c r="F251" s="66">
        <f t="shared" si="1406"/>
        <v>0</v>
      </c>
      <c r="G251" s="66">
        <f t="shared" si="1406"/>
        <v>-1.014877969</v>
      </c>
      <c r="H251" s="66">
        <f t="shared" si="1406"/>
        <v>-39.334013068800004</v>
      </c>
      <c r="I251" s="66">
        <f t="shared" si="1406"/>
        <v>-7.7628933678242324</v>
      </c>
      <c r="J251" s="66">
        <f t="shared" si="1406"/>
        <v>-10.634707471710227</v>
      </c>
      <c r="K251" s="66">
        <f t="shared" si="1406"/>
        <v>-8.7420426111393486</v>
      </c>
      <c r="L251" s="66">
        <f t="shared" si="1406"/>
        <v>-12.131004844244096</v>
      </c>
      <c r="M251" s="66">
        <f t="shared" si="1406"/>
        <v>-11.13392035230784</v>
      </c>
      <c r="N251" s="66">
        <f t="shared" si="1406"/>
        <v>-14.57343980100349</v>
      </c>
      <c r="O251" s="66">
        <f t="shared" si="1406"/>
        <v>-97.146292933493001</v>
      </c>
      <c r="P251" s="66">
        <f t="shared" si="1406"/>
        <v>-92.863257022890153</v>
      </c>
      <c r="R251" s="66">
        <f t="shared" ref="R251:BC251" si="1407">R73*R$214</f>
        <v>0</v>
      </c>
      <c r="S251" s="66">
        <f t="shared" si="1407"/>
        <v>0</v>
      </c>
      <c r="T251" s="66">
        <f t="shared" si="1407"/>
        <v>0</v>
      </c>
      <c r="U251" s="66">
        <f t="shared" si="1407"/>
        <v>-18.524396786999997</v>
      </c>
      <c r="V251" s="66">
        <f t="shared" si="1407"/>
        <v>0</v>
      </c>
      <c r="W251" s="66">
        <f t="shared" si="1407"/>
        <v>0</v>
      </c>
      <c r="X251" s="66">
        <f t="shared" si="1407"/>
        <v>0</v>
      </c>
      <c r="Y251" s="66">
        <f t="shared" si="1407"/>
        <v>0</v>
      </c>
      <c r="Z251" s="66">
        <f t="shared" si="1407"/>
        <v>0</v>
      </c>
      <c r="AA251" s="66">
        <f t="shared" si="1407"/>
        <v>0</v>
      </c>
      <c r="AB251" s="66">
        <f t="shared" si="1407"/>
        <v>0</v>
      </c>
      <c r="AC251" s="66">
        <f t="shared" si="1407"/>
        <v>-0.88610560900000002</v>
      </c>
      <c r="AD251" s="66">
        <f t="shared" si="1407"/>
        <v>-8.6523561666666673</v>
      </c>
      <c r="AE251" s="66">
        <f t="shared" si="1407"/>
        <v>-33.73370049599999</v>
      </c>
      <c r="AF251" s="66">
        <f t="shared" si="1407"/>
        <v>1.1706666666057117E-4</v>
      </c>
      <c r="AG251" s="66">
        <f t="shared" si="1407"/>
        <v>-2.2512916400000065</v>
      </c>
      <c r="AH251" s="66">
        <f t="shared" si="1407"/>
        <v>0</v>
      </c>
      <c r="AI251" s="66">
        <f t="shared" si="1407"/>
        <v>0</v>
      </c>
      <c r="AJ251" s="66">
        <f t="shared" si="1407"/>
        <v>-6.7908795400170261</v>
      </c>
      <c r="AK251" s="66">
        <f t="shared" si="1407"/>
        <v>-5.5728638828870782E-2</v>
      </c>
      <c r="AL251" s="66">
        <f t="shared" si="1407"/>
        <v>-4.2362697627136781</v>
      </c>
      <c r="AM251" s="66">
        <f t="shared" si="1407"/>
        <v>0</v>
      </c>
      <c r="AN251" s="66">
        <f t="shared" si="1407"/>
        <v>0</v>
      </c>
      <c r="AO251" s="66">
        <f t="shared" si="1407"/>
        <v>-9.5394303392565583</v>
      </c>
      <c r="AP251" s="66">
        <f t="shared" si="1407"/>
        <v>-16.36943921931843</v>
      </c>
      <c r="AQ251" s="66">
        <f t="shared" si="1407"/>
        <v>0</v>
      </c>
      <c r="AR251" s="66">
        <f t="shared" si="1407"/>
        <v>1.6478115470096055</v>
      </c>
      <c r="AS251" s="66">
        <f t="shared" si="1407"/>
        <v>12.226070284213456</v>
      </c>
      <c r="AT251" s="66">
        <f t="shared" si="1407"/>
        <v>0.34010199999999957</v>
      </c>
      <c r="AU251" s="66">
        <f t="shared" si="1407"/>
        <v>0</v>
      </c>
      <c r="AV251" s="66">
        <f t="shared" si="1407"/>
        <v>-10.565495879265255</v>
      </c>
      <c r="AW251" s="66">
        <f t="shared" si="1407"/>
        <v>0</v>
      </c>
      <c r="AX251" s="66">
        <f t="shared" si="1407"/>
        <v>-0.66596378213669227</v>
      </c>
      <c r="AY251" s="66">
        <f t="shared" si="1407"/>
        <v>0</v>
      </c>
      <c r="AZ251" s="66">
        <f t="shared" si="1407"/>
        <v>-88.634268513813623</v>
      </c>
      <c r="BA251" s="66">
        <f t="shared" si="1407"/>
        <v>-5.9806500807881129</v>
      </c>
      <c r="BB251" s="66">
        <f t="shared" si="1407"/>
        <v>-3.6649599909145611</v>
      </c>
      <c r="BC251" s="66">
        <f t="shared" si="1407"/>
        <v>0</v>
      </c>
      <c r="BD251" s="188"/>
      <c r="BE251" s="66">
        <f t="shared" si="1385"/>
        <v>0</v>
      </c>
      <c r="BF251" s="66">
        <f t="shared" si="1385"/>
        <v>-14.268561854299723</v>
      </c>
      <c r="BG251" s="66">
        <f t="shared" si="1385"/>
        <v>0.17903042352919976</v>
      </c>
      <c r="BH251" s="66">
        <f t="shared" si="1385"/>
        <v>-0.63392846798206393</v>
      </c>
      <c r="BI251" s="66">
        <f t="shared" si="1385"/>
        <v>0</v>
      </c>
      <c r="BJ251" s="188"/>
      <c r="BK251" s="38"/>
      <c r="BL251" s="38"/>
      <c r="BM251" s="38"/>
      <c r="BN251" s="38"/>
      <c r="BO251" s="38"/>
      <c r="BP251" s="188"/>
    </row>
    <row r="252" spans="2:69">
      <c r="B252" s="11" t="str">
        <f t="shared" si="1382"/>
        <v>Net Change in debt</v>
      </c>
      <c r="C252" s="66">
        <f t="shared" ref="C252:P252" si="1408">C74*C$214</f>
        <v>-88.411858526837534</v>
      </c>
      <c r="D252" s="66">
        <f t="shared" si="1408"/>
        <v>224.49152048605509</v>
      </c>
      <c r="E252" s="66">
        <f t="shared" si="1408"/>
        <v>-100.18619812592758</v>
      </c>
      <c r="F252" s="66">
        <f t="shared" si="1408"/>
        <v>-4.8546285149082582</v>
      </c>
      <c r="G252" s="66">
        <f t="shared" si="1408"/>
        <v>275.0858155814999</v>
      </c>
      <c r="H252" s="66">
        <f t="shared" si="1408"/>
        <v>-12.393225740800009</v>
      </c>
      <c r="I252" s="66">
        <f t="shared" si="1408"/>
        <v>-65.980217700143058</v>
      </c>
      <c r="J252" s="66">
        <f t="shared" si="1408"/>
        <v>-107.02099997324845</v>
      </c>
      <c r="K252" s="66">
        <f t="shared" si="1408"/>
        <v>-301.83640036232305</v>
      </c>
      <c r="L252" s="66">
        <f t="shared" si="1408"/>
        <v>-418.8465905268115</v>
      </c>
      <c r="M252" s="66">
        <f t="shared" si="1408"/>
        <v>335.88739104230365</v>
      </c>
      <c r="N252" s="66">
        <f t="shared" si="1408"/>
        <v>439.65083672388118</v>
      </c>
      <c r="O252" s="66">
        <f t="shared" si="1408"/>
        <v>-117.40200996367912</v>
      </c>
      <c r="P252" s="66">
        <f t="shared" si="1408"/>
        <v>-201.47981648233434</v>
      </c>
      <c r="R252" s="66">
        <f t="shared" ref="R252:BC252" si="1409">R74*R$214</f>
        <v>20.459751227999995</v>
      </c>
      <c r="S252" s="66">
        <f t="shared" si="1409"/>
        <v>-109.032385968</v>
      </c>
      <c r="T252" s="66">
        <f t="shared" si="1409"/>
        <v>-3.7883895140000017</v>
      </c>
      <c r="U252" s="66">
        <f t="shared" si="1409"/>
        <v>-9.3613872040000068</v>
      </c>
      <c r="V252" s="66">
        <f t="shared" si="1409"/>
        <v>-3.9348830079999999</v>
      </c>
      <c r="W252" s="66">
        <f t="shared" si="1409"/>
        <v>29.070713322</v>
      </c>
      <c r="X252" s="66">
        <f t="shared" si="1409"/>
        <v>16.294072404999998</v>
      </c>
      <c r="Y252" s="66">
        <f t="shared" si="1409"/>
        <v>-46.506226181999999</v>
      </c>
      <c r="Z252" s="66">
        <f t="shared" si="1409"/>
        <v>-9.1491877610000003</v>
      </c>
      <c r="AA252" s="66">
        <f t="shared" si="1409"/>
        <v>65.053699737000002</v>
      </c>
      <c r="AB252" s="66">
        <f t="shared" si="1409"/>
        <v>-3.6161791050000067</v>
      </c>
      <c r="AC252" s="66">
        <f t="shared" si="1409"/>
        <v>191.87990088899994</v>
      </c>
      <c r="AD252" s="66">
        <f t="shared" si="1409"/>
        <v>-3.2887471466666667</v>
      </c>
      <c r="AE252" s="66">
        <f t="shared" si="1409"/>
        <v>-17.463302496000001</v>
      </c>
      <c r="AF252" s="66">
        <f t="shared" si="1409"/>
        <v>48.949319466666651</v>
      </c>
      <c r="AG252" s="66">
        <f t="shared" si="1409"/>
        <v>-34.075943420000002</v>
      </c>
      <c r="AH252" s="66">
        <f t="shared" si="1409"/>
        <v>-16.452273069990881</v>
      </c>
      <c r="AI252" s="66">
        <f t="shared" si="1409"/>
        <v>25.300658116023886</v>
      </c>
      <c r="AJ252" s="66">
        <f t="shared" si="1409"/>
        <v>-13.54371334634552</v>
      </c>
      <c r="AK252" s="66">
        <f t="shared" si="1409"/>
        <v>-51.147498698194518</v>
      </c>
      <c r="AL252" s="66">
        <f t="shared" si="1409"/>
        <v>-103.33137155239294</v>
      </c>
      <c r="AM252" s="66">
        <f t="shared" si="1409"/>
        <v>12.941716408011672</v>
      </c>
      <c r="AN252" s="66">
        <f t="shared" si="1409"/>
        <v>14.676694521819865</v>
      </c>
      <c r="AO252" s="66">
        <f t="shared" si="1409"/>
        <v>-194.68494877254631</v>
      </c>
      <c r="AP252" s="66">
        <f t="shared" si="1409"/>
        <v>-341.42978544624702</v>
      </c>
      <c r="AQ252" s="66">
        <f t="shared" si="1409"/>
        <v>-62.878896011244365</v>
      </c>
      <c r="AR252" s="66">
        <f t="shared" si="1409"/>
        <v>-106.87388702826905</v>
      </c>
      <c r="AS252" s="66">
        <f t="shared" si="1409"/>
        <v>205.08533917185699</v>
      </c>
      <c r="AT252" s="66">
        <f t="shared" si="1409"/>
        <v>-7.0383399999999456</v>
      </c>
      <c r="AU252" s="66">
        <f t="shared" si="1409"/>
        <v>13.422519076558649</v>
      </c>
      <c r="AV252" s="66">
        <f t="shared" si="1409"/>
        <v>112.77987300841458</v>
      </c>
      <c r="AW252" s="66">
        <f t="shared" si="1409"/>
        <v>210.24488687080367</v>
      </c>
      <c r="AX252" s="66">
        <f t="shared" si="1409"/>
        <v>-2.9329112164150457</v>
      </c>
      <c r="AY252" s="66">
        <f t="shared" si="1409"/>
        <v>87.124057823744167</v>
      </c>
      <c r="AZ252" s="66">
        <f t="shared" si="1409"/>
        <v>125.21840509470026</v>
      </c>
      <c r="BA252" s="66">
        <f t="shared" si="1409"/>
        <v>6.0732070308941788E-2</v>
      </c>
      <c r="BB252" s="66">
        <f t="shared" si="1409"/>
        <v>-299.94877606742153</v>
      </c>
      <c r="BC252" s="66">
        <f t="shared" si="1409"/>
        <v>-11.455207401322177</v>
      </c>
      <c r="BD252" s="188"/>
      <c r="BE252" s="66">
        <f t="shared" si="1385"/>
        <v>18.53697842844106</v>
      </c>
      <c r="BF252" s="66">
        <f t="shared" si="1385"/>
        <v>151.91600254725091</v>
      </c>
      <c r="BG252" s="66">
        <f t="shared" si="1385"/>
        <v>278.11550850670648</v>
      </c>
      <c r="BH252" s="66">
        <f t="shared" si="1385"/>
        <v>-11.56454565466745</v>
      </c>
      <c r="BI252" s="66">
        <f t="shared" si="1385"/>
        <v>114.01742004443186</v>
      </c>
      <c r="BJ252" s="188"/>
      <c r="BK252" s="38"/>
      <c r="BL252" s="38"/>
      <c r="BM252" s="38"/>
      <c r="BN252" s="38"/>
      <c r="BO252" s="38"/>
      <c r="BP252" s="188"/>
    </row>
    <row r="253" spans="2:69">
      <c r="B253" s="11" t="str">
        <f t="shared" si="1382"/>
        <v>Other financing activities</v>
      </c>
      <c r="C253" s="66">
        <f t="shared" ref="C253:P253" si="1410">C75*C$214</f>
        <v>-27.065512026674998</v>
      </c>
      <c r="D253" s="66">
        <f t="shared" si="1410"/>
        <v>-175.70449644379687</v>
      </c>
      <c r="E253" s="66">
        <f t="shared" si="1410"/>
        <v>-59.762904594895346</v>
      </c>
      <c r="F253" s="66">
        <f t="shared" si="1410"/>
        <v>-4.3848997257504703</v>
      </c>
      <c r="G253" s="66">
        <f t="shared" si="1410"/>
        <v>70.801930842999994</v>
      </c>
      <c r="H253" s="66">
        <f t="shared" si="1410"/>
        <v>-0.80640094719999988</v>
      </c>
      <c r="I253" s="66">
        <f t="shared" si="1410"/>
        <v>-5.4463551735230791</v>
      </c>
      <c r="J253" s="66">
        <f t="shared" si="1410"/>
        <v>-9.7056258527059214</v>
      </c>
      <c r="K253" s="66">
        <f t="shared" si="1410"/>
        <v>17.83628526641877</v>
      </c>
      <c r="L253" s="66">
        <f t="shared" si="1410"/>
        <v>24.750723272556009</v>
      </c>
      <c r="M253" s="66">
        <f t="shared" si="1410"/>
        <v>-19.235437582763669</v>
      </c>
      <c r="N253" s="66">
        <f t="shared" si="1410"/>
        <v>-25.177724338092339</v>
      </c>
      <c r="O253" s="66">
        <f t="shared" si="1410"/>
        <v>-104.97823231320611</v>
      </c>
      <c r="P253" s="66">
        <f t="shared" si="1410"/>
        <v>-87.441901458075989</v>
      </c>
      <c r="R253" s="66">
        <f t="shared" ref="R253:BC253" si="1411">R75*R$214</f>
        <v>1.2145021919999999</v>
      </c>
      <c r="S253" s="66">
        <f t="shared" si="1411"/>
        <v>-56.818779599999999</v>
      </c>
      <c r="T253" s="66">
        <f t="shared" si="1411"/>
        <v>-2.4046562539999954</v>
      </c>
      <c r="U253" s="66">
        <f t="shared" si="1411"/>
        <v>-4.3455790690000002</v>
      </c>
      <c r="V253" s="66">
        <f t="shared" si="1411"/>
        <v>-2.6862139640000002</v>
      </c>
      <c r="W253" s="66">
        <f t="shared" si="1411"/>
        <v>-2.7245120000000023E-3</v>
      </c>
      <c r="X253" s="66">
        <f t="shared" si="1411"/>
        <v>-1.0121789600000004</v>
      </c>
      <c r="Y253" s="66">
        <f t="shared" si="1411"/>
        <v>-0.80935592400000012</v>
      </c>
      <c r="Z253" s="66">
        <f t="shared" si="1411"/>
        <v>-0.5012287769999999</v>
      </c>
      <c r="AA253" s="66">
        <f t="shared" si="1411"/>
        <v>70.937053161000009</v>
      </c>
      <c r="AB253" s="66">
        <f t="shared" si="1411"/>
        <v>-1.1031542049999974</v>
      </c>
      <c r="AC253" s="66">
        <f t="shared" si="1411"/>
        <v>-1.2279043475000058</v>
      </c>
      <c r="AD253" s="66">
        <f t="shared" si="1411"/>
        <v>-0.91195375333333339</v>
      </c>
      <c r="AE253" s="66">
        <f t="shared" si="1411"/>
        <v>-0.78860073599999991</v>
      </c>
      <c r="AF253" s="66">
        <f t="shared" si="1411"/>
        <v>3.6551725333333334</v>
      </c>
      <c r="AG253" s="66">
        <f t="shared" si="1411"/>
        <v>-2.3679282048000001</v>
      </c>
      <c r="AH253" s="66">
        <f t="shared" si="1411"/>
        <v>-1.3049597518328893</v>
      </c>
      <c r="AI253" s="66">
        <f t="shared" si="1411"/>
        <v>-0.82819808213440305</v>
      </c>
      <c r="AJ253" s="66">
        <f t="shared" si="1411"/>
        <v>-1.5979208149182971</v>
      </c>
      <c r="AK253" s="66">
        <f t="shared" si="1411"/>
        <v>-1.3515531975474004</v>
      </c>
      <c r="AL253" s="66">
        <f t="shared" si="1411"/>
        <v>-6.5295203445600709</v>
      </c>
      <c r="AM253" s="66">
        <f t="shared" si="1411"/>
        <v>-2.2273511075739485</v>
      </c>
      <c r="AN253" s="66">
        <f t="shared" si="1411"/>
        <v>-2.3360127337843215</v>
      </c>
      <c r="AO253" s="66">
        <f t="shared" si="1411"/>
        <v>19.135101070381655</v>
      </c>
      <c r="AP253" s="66">
        <f t="shared" si="1411"/>
        <v>32.612265943530446</v>
      </c>
      <c r="AQ253" s="66">
        <f t="shared" si="1411"/>
        <v>0.8275188782670797</v>
      </c>
      <c r="AR253" s="66">
        <f t="shared" si="1411"/>
        <v>-3.313258460822484</v>
      </c>
      <c r="AS253" s="66">
        <f t="shared" si="1411"/>
        <v>-23.396915431507409</v>
      </c>
      <c r="AT253" s="66">
        <f t="shared" si="1411"/>
        <v>1.3182139999999987</v>
      </c>
      <c r="AU253" s="66">
        <f t="shared" si="1411"/>
        <v>-2.4410875741866169</v>
      </c>
      <c r="AV253" s="66">
        <f t="shared" si="1411"/>
        <v>-6.2031432581317274</v>
      </c>
      <c r="AW253" s="66">
        <f t="shared" si="1411"/>
        <v>-2.8420370718659171E-2</v>
      </c>
      <c r="AX253" s="66">
        <f t="shared" si="1411"/>
        <v>-10.228852637554889</v>
      </c>
      <c r="AY253" s="66">
        <f t="shared" si="1411"/>
        <v>-40.313103309240134</v>
      </c>
      <c r="AZ253" s="66">
        <f t="shared" si="1411"/>
        <v>-11.064284737823606</v>
      </c>
      <c r="BA253" s="66">
        <f t="shared" si="1411"/>
        <v>-20.821660532980925</v>
      </c>
      <c r="BB253" s="66">
        <f t="shared" si="1411"/>
        <v>-32.939449289489751</v>
      </c>
      <c r="BC253" s="66">
        <f t="shared" si="1411"/>
        <v>-21.530058146053918</v>
      </c>
      <c r="BD253" s="188"/>
      <c r="BE253" s="66">
        <f t="shared" si="1385"/>
        <v>-3.3712275660317523</v>
      </c>
      <c r="BF253" s="66">
        <f t="shared" si="1385"/>
        <v>-8.3060163345554372</v>
      </c>
      <c r="BG253" s="66">
        <f t="shared" si="1385"/>
        <v>0.10672565684790547</v>
      </c>
      <c r="BH253" s="66">
        <f t="shared" si="1385"/>
        <v>-13.196058439828061</v>
      </c>
      <c r="BI253" s="66">
        <f t="shared" si="1385"/>
        <v>-52.75690450176878</v>
      </c>
      <c r="BJ253" s="188"/>
      <c r="BK253" s="38"/>
      <c r="BL253" s="38"/>
      <c r="BM253" s="38"/>
      <c r="BN253" s="38"/>
      <c r="BO253" s="38"/>
      <c r="BP253" s="188"/>
    </row>
    <row r="254" spans="2:69" s="7" customFormat="1" ht="13.5" thickBot="1">
      <c r="B254" s="62" t="str">
        <f t="shared" si="1382"/>
        <v>Cash flow after financing activities</v>
      </c>
      <c r="C254" s="65">
        <f t="shared" ref="C254:P254" si="1412">C76*C$214</f>
        <v>221.0044143320749</v>
      </c>
      <c r="D254" s="65">
        <f t="shared" si="1412"/>
        <v>134.90975170996902</v>
      </c>
      <c r="E254" s="65">
        <f t="shared" si="1412"/>
        <v>-246.63956079279566</v>
      </c>
      <c r="F254" s="65">
        <f t="shared" si="1412"/>
        <v>284.66622967962059</v>
      </c>
      <c r="G254" s="65">
        <f t="shared" si="1412"/>
        <v>194.84336418749993</v>
      </c>
      <c r="H254" s="65">
        <f t="shared" si="1412"/>
        <v>-346.58362570240001</v>
      </c>
      <c r="I254" s="65">
        <f t="shared" si="1412"/>
        <v>276.32083037221196</v>
      </c>
      <c r="J254" s="65">
        <f t="shared" si="1412"/>
        <v>243.7575238757658</v>
      </c>
      <c r="K254" s="65">
        <f t="shared" si="1412"/>
        <v>-254.95096171613915</v>
      </c>
      <c r="L254" s="65">
        <f t="shared" si="1412"/>
        <v>-353.78549081612056</v>
      </c>
      <c r="M254" s="65">
        <f t="shared" si="1412"/>
        <v>310.81207150827203</v>
      </c>
      <c r="N254" s="65">
        <f t="shared" si="1412"/>
        <v>406.82922711577436</v>
      </c>
      <c r="O254" s="65">
        <f t="shared" si="1412"/>
        <v>-312.32106992342057</v>
      </c>
      <c r="P254" s="65">
        <f t="shared" si="1412"/>
        <v>-372.80759214365088</v>
      </c>
      <c r="R254" s="65">
        <f t="shared" ref="R254:BC254" si="1413">R76*R$214</f>
        <v>-5.8867728120000073</v>
      </c>
      <c r="S254" s="65">
        <f t="shared" si="1413"/>
        <v>-245.03211585599999</v>
      </c>
      <c r="T254" s="65">
        <f t="shared" si="1413"/>
        <v>-19.545806644000049</v>
      </c>
      <c r="U254" s="65">
        <f t="shared" si="1413"/>
        <v>7.9158307540000159</v>
      </c>
      <c r="V254" s="65">
        <f t="shared" si="1413"/>
        <v>-22.25696169199999</v>
      </c>
      <c r="W254" s="65">
        <f t="shared" si="1413"/>
        <v>154.43470567</v>
      </c>
      <c r="X254" s="65">
        <f t="shared" si="1413"/>
        <v>-135.75163062500002</v>
      </c>
      <c r="Y254" s="65">
        <f t="shared" si="1413"/>
        <v>275.41716255300003</v>
      </c>
      <c r="Z254" s="65">
        <f t="shared" si="1413"/>
        <v>-186.58450274099999</v>
      </c>
      <c r="AA254" s="65">
        <f t="shared" si="1413"/>
        <v>249.00206124300004</v>
      </c>
      <c r="AB254" s="65">
        <f t="shared" si="1413"/>
        <v>-2.902169714999947</v>
      </c>
      <c r="AC254" s="65">
        <f t="shared" si="1413"/>
        <v>97.285277700999913</v>
      </c>
      <c r="AD254" s="65">
        <f t="shared" si="1413"/>
        <v>-130.18215180666667</v>
      </c>
      <c r="AE254" s="65">
        <f t="shared" si="1413"/>
        <v>-87.477519455999996</v>
      </c>
      <c r="AF254" s="65">
        <f t="shared" si="1413"/>
        <v>12.865158400000034</v>
      </c>
      <c r="AG254" s="65">
        <f t="shared" si="1413"/>
        <v>-156.47169603120011</v>
      </c>
      <c r="AH254" s="65">
        <f t="shared" si="1413"/>
        <v>-53.811404485103516</v>
      </c>
      <c r="AI254" s="65">
        <f t="shared" si="1413"/>
        <v>-15.70003363563093</v>
      </c>
      <c r="AJ254" s="65">
        <f t="shared" si="1413"/>
        <v>-23.447869595627271</v>
      </c>
      <c r="AK254" s="65">
        <f t="shared" si="1413"/>
        <v>305.0422033412903</v>
      </c>
      <c r="AL254" s="65">
        <f t="shared" si="1413"/>
        <v>287.63259409860632</v>
      </c>
      <c r="AM254" s="65">
        <f t="shared" si="1413"/>
        <v>-14.381801299907158</v>
      </c>
      <c r="AN254" s="65">
        <f t="shared" si="1413"/>
        <v>-38.963098554184931</v>
      </c>
      <c r="AO254" s="65">
        <f t="shared" si="1413"/>
        <v>-217.2531008603157</v>
      </c>
      <c r="AP254" s="65">
        <f t="shared" si="1413"/>
        <v>-420.74119871286842</v>
      </c>
      <c r="AQ254" s="65">
        <f t="shared" si="1413"/>
        <v>15.596602669090565</v>
      </c>
      <c r="AR254" s="65">
        <f t="shared" si="1413"/>
        <v>10.246927781548418</v>
      </c>
      <c r="AS254" s="65">
        <f t="shared" si="1413"/>
        <v>219.74599031804169</v>
      </c>
      <c r="AT254" s="65">
        <f t="shared" si="1413"/>
        <v>29.165879999999962</v>
      </c>
      <c r="AU254" s="65">
        <f t="shared" si="1413"/>
        <v>-67.637419179465283</v>
      </c>
      <c r="AV254" s="65">
        <f t="shared" si="1413"/>
        <v>155.52901825735896</v>
      </c>
      <c r="AW254" s="65">
        <f t="shared" si="1413"/>
        <v>154.10250439590286</v>
      </c>
      <c r="AX254" s="65">
        <f t="shared" si="1413"/>
        <v>60.24295860319085</v>
      </c>
      <c r="AY254" s="65">
        <f t="shared" si="1413"/>
        <v>-160.24786495231365</v>
      </c>
      <c r="AZ254" s="65">
        <f t="shared" si="1413"/>
        <v>28.90251923538235</v>
      </c>
      <c r="BA254" s="65">
        <f t="shared" si="1413"/>
        <v>12.565163770635303</v>
      </c>
      <c r="BB254" s="65">
        <f t="shared" si="1413"/>
        <v>-191.73520184358836</v>
      </c>
      <c r="BC254" s="65">
        <f t="shared" si="1413"/>
        <v>-204.25026830479425</v>
      </c>
      <c r="BD254" s="68"/>
      <c r="BE254" s="65">
        <f t="shared" si="1385"/>
        <v>-93.409930813091819</v>
      </c>
      <c r="BF254" s="65">
        <f t="shared" si="1385"/>
        <v>212.01387386162003</v>
      </c>
      <c r="BG254" s="65">
        <f t="shared" si="1385"/>
        <v>203.86887223073037</v>
      </c>
      <c r="BH254" s="65">
        <f t="shared" si="1385"/>
        <v>73.216652570356018</v>
      </c>
      <c r="BI254" s="65">
        <f t="shared" si="1385"/>
        <v>-209.71297229392948</v>
      </c>
      <c r="BJ254" s="68"/>
      <c r="BK254" s="38"/>
      <c r="BL254" s="38"/>
      <c r="BM254" s="38"/>
      <c r="BN254" s="38"/>
      <c r="BO254" s="38"/>
      <c r="BP254" s="68"/>
      <c r="BQ254" s="11"/>
    </row>
    <row r="255" spans="2:69" s="7" customFormat="1" ht="13.5" thickTop="1">
      <c r="B255" s="11" t="str">
        <f>B78</f>
        <v>Balancing figure</v>
      </c>
      <c r="C255" s="66">
        <f t="shared" ref="C255:P255" si="1414">C78*C$214</f>
        <v>0.16226764852508141</v>
      </c>
      <c r="D255" s="66">
        <f t="shared" si="1414"/>
        <v>-10.008426550121413</v>
      </c>
      <c r="E255" s="66">
        <f t="shared" si="1414"/>
        <v>15.427768494757919</v>
      </c>
      <c r="F255" s="66">
        <f t="shared" si="1414"/>
        <v>16.607020567186151</v>
      </c>
      <c r="G255" s="66">
        <f t="shared" si="1414"/>
        <v>24.951486770000084</v>
      </c>
      <c r="H255" s="66">
        <f t="shared" si="1414"/>
        <v>54.549326054399984</v>
      </c>
      <c r="I255" s="66">
        <f t="shared" si="1414"/>
        <v>64.633912473103351</v>
      </c>
      <c r="J255" s="66">
        <f t="shared" si="1414"/>
        <v>191.01885984858609</v>
      </c>
      <c r="K255" s="66">
        <f t="shared" si="1414"/>
        <v>104.46747701803052</v>
      </c>
      <c r="L255" s="66">
        <f t="shared" si="1414"/>
        <v>144.96543429993937</v>
      </c>
      <c r="M255" s="66">
        <f t="shared" si="1414"/>
        <v>55.724940035685755</v>
      </c>
      <c r="N255" s="66">
        <f t="shared" si="1414"/>
        <v>72.939599659334007</v>
      </c>
      <c r="O255" s="66">
        <f t="shared" si="1414"/>
        <v>84.982330290677822</v>
      </c>
      <c r="P255" s="66">
        <f t="shared" si="1414"/>
        <v>99.92683566054535</v>
      </c>
      <c r="R255" s="66">
        <f t="shared" ref="R255:BC255" si="1415">R78*R$214</f>
        <v>21.835366200000003</v>
      </c>
      <c r="S255" s="66">
        <f t="shared" si="1415"/>
        <v>10.032478367999994</v>
      </c>
      <c r="T255" s="66">
        <f t="shared" si="1415"/>
        <v>19.483953944000071</v>
      </c>
      <c r="U255" s="66">
        <f t="shared" si="1415"/>
        <v>-29.973385702000023</v>
      </c>
      <c r="V255" s="66">
        <f t="shared" si="1415"/>
        <v>25.160765139999995</v>
      </c>
      <c r="W255" s="66">
        <f t="shared" si="1415"/>
        <v>3.3181150519999885</v>
      </c>
      <c r="X255" s="66">
        <f t="shared" si="1415"/>
        <v>-1.56179354499999</v>
      </c>
      <c r="Y255" s="66">
        <f t="shared" si="1415"/>
        <v>-8.8696232430000119</v>
      </c>
      <c r="Z255" s="66">
        <f t="shared" si="1415"/>
        <v>30.988301078000006</v>
      </c>
      <c r="AA255" s="66">
        <f t="shared" si="1415"/>
        <v>-5.0858477280000436</v>
      </c>
      <c r="AB255" s="66">
        <f t="shared" si="1415"/>
        <v>14.954991784999955</v>
      </c>
      <c r="AC255" s="66">
        <f t="shared" si="1415"/>
        <v>-12.944749199499849</v>
      </c>
      <c r="AD255" s="66">
        <f t="shared" si="1415"/>
        <v>25.491066553333319</v>
      </c>
      <c r="AE255" s="66">
        <f t="shared" si="1415"/>
        <v>-2.8515621600000061</v>
      </c>
      <c r="AF255" s="66">
        <f t="shared" si="1415"/>
        <v>-4.5965056000000146</v>
      </c>
      <c r="AG255" s="66">
        <f t="shared" si="1415"/>
        <v>36.174933542400012</v>
      </c>
      <c r="AH255" s="66">
        <f t="shared" si="1415"/>
        <v>35.125052958114622</v>
      </c>
      <c r="AI255" s="66">
        <f t="shared" si="1415"/>
        <v>12.669653679928421</v>
      </c>
      <c r="AJ255" s="66">
        <f t="shared" si="1415"/>
        <v>31.458484000763178</v>
      </c>
      <c r="AK255" s="66">
        <f t="shared" si="1415"/>
        <v>-12.750466545102595</v>
      </c>
      <c r="AL255" s="66">
        <f t="shared" si="1415"/>
        <v>124.5258286295176</v>
      </c>
      <c r="AM255" s="66">
        <f t="shared" si="1415"/>
        <v>38.077145510014596</v>
      </c>
      <c r="AN255" s="66">
        <f t="shared" si="1415"/>
        <v>78.654516514126584</v>
      </c>
      <c r="AO255" s="66">
        <f t="shared" si="1415"/>
        <v>37.051485261961822</v>
      </c>
      <c r="AP255" s="66">
        <f t="shared" si="1415"/>
        <v>61.214372332400693</v>
      </c>
      <c r="AQ255" s="66">
        <f t="shared" si="1415"/>
        <v>3.3801715852723381E-2</v>
      </c>
      <c r="AR255" s="66">
        <f t="shared" si="1415"/>
        <v>-150.769725830954</v>
      </c>
      <c r="AS255" s="66">
        <f t="shared" si="1415"/>
        <v>-13.873359698949013</v>
      </c>
      <c r="AT255" s="66">
        <f t="shared" si="1415"/>
        <v>161.28505199999995</v>
      </c>
      <c r="AU255" s="66">
        <f t="shared" si="1415"/>
        <v>40.860758920192353</v>
      </c>
      <c r="AV255" s="66">
        <f t="shared" si="1415"/>
        <v>-28.998936584581759</v>
      </c>
      <c r="AW255" s="66">
        <f t="shared" si="1415"/>
        <v>74.777010547181717</v>
      </c>
      <c r="AX255" s="66">
        <f t="shared" si="1415"/>
        <v>-29.073379986328547</v>
      </c>
      <c r="AY255" s="66">
        <f t="shared" si="1415"/>
        <v>43.524518008433652</v>
      </c>
      <c r="AZ255" s="66">
        <f t="shared" si="1415"/>
        <v>14.536919295222713</v>
      </c>
      <c r="BA255" s="66">
        <f t="shared" si="1415"/>
        <v>6.4127868346013255</v>
      </c>
      <c r="BB255" s="66">
        <f t="shared" si="1415"/>
        <v>22.203125961188153</v>
      </c>
      <c r="BC255" s="66">
        <f t="shared" si="1415"/>
        <v>54.079766042796081</v>
      </c>
      <c r="BD255" s="188"/>
      <c r="BE255" s="66">
        <f t="shared" ref="BE255:BI257" si="1416">BE78*BE$214</f>
        <v>56.430305030774939</v>
      </c>
      <c r="BF255" s="66">
        <f t="shared" si="1416"/>
        <v>-9.0138058524944267</v>
      </c>
      <c r="BG255" s="66">
        <f t="shared" si="1416"/>
        <v>12.192518158288376</v>
      </c>
      <c r="BH255" s="66">
        <f t="shared" si="1416"/>
        <v>15.32333653879579</v>
      </c>
      <c r="BI255" s="66">
        <f t="shared" si="1416"/>
        <v>56.959684652610697</v>
      </c>
      <c r="BJ255" s="188"/>
      <c r="BK255" s="38"/>
      <c r="BL255" s="38"/>
      <c r="BM255" s="38"/>
      <c r="BN255" s="38"/>
      <c r="BO255" s="38"/>
      <c r="BP255" s="188"/>
      <c r="BQ255" s="11"/>
    </row>
    <row r="256" spans="2:69">
      <c r="B256" s="11" t="str">
        <f>B79</f>
        <v xml:space="preserve">FX </v>
      </c>
      <c r="C256" s="66">
        <f t="shared" ref="C256:P256" si="1417">C79*C$214</f>
        <v>81.429458061462498</v>
      </c>
      <c r="D256" s="66">
        <f t="shared" si="1417"/>
        <v>122.9657358264908</v>
      </c>
      <c r="E256" s="66">
        <f t="shared" si="1417"/>
        <v>271.32968219074144</v>
      </c>
      <c r="F256" s="66">
        <f t="shared" si="1417"/>
        <v>-119.91930803940051</v>
      </c>
      <c r="G256" s="66">
        <f t="shared" si="1417"/>
        <v>52.932124713999997</v>
      </c>
      <c r="H256" s="66">
        <f t="shared" si="1417"/>
        <v>204.5158808832</v>
      </c>
      <c r="I256" s="66">
        <f t="shared" si="1417"/>
        <v>61.244371393870345</v>
      </c>
      <c r="J256" s="66">
        <f t="shared" si="1417"/>
        <v>116.21476150985795</v>
      </c>
      <c r="K256" s="66">
        <f t="shared" si="1417"/>
        <v>255.59174703868277</v>
      </c>
      <c r="L256" s="66">
        <f t="shared" si="1417"/>
        <v>354.67469555271481</v>
      </c>
      <c r="M256" s="66">
        <f t="shared" si="1417"/>
        <v>80.653687924680568</v>
      </c>
      <c r="N256" s="66">
        <f t="shared" si="1417"/>
        <v>105.56949404410103</v>
      </c>
      <c r="O256" s="66">
        <f t="shared" si="1417"/>
        <v>151.61417761580654</v>
      </c>
      <c r="P256" s="66">
        <f t="shared" si="1417"/>
        <v>108.812351617844</v>
      </c>
      <c r="R256" s="66">
        <f t="shared" ref="R256:BC256" si="1418">R79*R$214</f>
        <v>64.762098120000005</v>
      </c>
      <c r="S256" s="66">
        <f t="shared" si="1418"/>
        <v>141.56786740799998</v>
      </c>
      <c r="T256" s="66">
        <f t="shared" si="1418"/>
        <v>167.06325908999995</v>
      </c>
      <c r="U256" s="66">
        <f t="shared" si="1418"/>
        <v>-97.135938510000003</v>
      </c>
      <c r="V256" s="66">
        <f t="shared" si="1418"/>
        <v>16.883042148000001</v>
      </c>
      <c r="W256" s="66">
        <f t="shared" si="1418"/>
        <v>7.424295199999878E-2</v>
      </c>
      <c r="X256" s="66">
        <f t="shared" si="1418"/>
        <v>32.317654785000002</v>
      </c>
      <c r="Y256" s="66">
        <f t="shared" si="1418"/>
        <v>-164.60250229800002</v>
      </c>
      <c r="Z256" s="66">
        <f t="shared" si="1418"/>
        <v>23.075707178999998</v>
      </c>
      <c r="AA256" s="66">
        <f t="shared" si="1418"/>
        <v>9.1876387199999989</v>
      </c>
      <c r="AB256" s="66">
        <f t="shared" si="1418"/>
        <v>67.794318809999993</v>
      </c>
      <c r="AC256" s="66">
        <f t="shared" si="1418"/>
        <v>-45.647692013499999</v>
      </c>
      <c r="AD256" s="66">
        <f t="shared" si="1418"/>
        <v>44.84390724</v>
      </c>
      <c r="AE256" s="66">
        <f t="shared" si="1418"/>
        <v>18.221535792000001</v>
      </c>
      <c r="AF256" s="66">
        <f t="shared" si="1418"/>
        <v>2.1822397333333288</v>
      </c>
      <c r="AG256" s="66">
        <f t="shared" si="1418"/>
        <v>133.61027406880001</v>
      </c>
      <c r="AH256" s="66">
        <f t="shared" si="1418"/>
        <v>17.27023359016523</v>
      </c>
      <c r="AI256" s="66">
        <f t="shared" si="1418"/>
        <v>24.540619784097331</v>
      </c>
      <c r="AJ256" s="66">
        <f t="shared" si="1418"/>
        <v>17.051813915813806</v>
      </c>
      <c r="AK256" s="66">
        <f t="shared" si="1418"/>
        <v>1.2956641115817802</v>
      </c>
      <c r="AL256" s="66">
        <f t="shared" si="1418"/>
        <v>66.591423450415974</v>
      </c>
      <c r="AM256" s="66">
        <f t="shared" si="1418"/>
        <v>8.4923729937657519</v>
      </c>
      <c r="AN256" s="66">
        <f t="shared" si="1418"/>
        <v>14.543414245921211</v>
      </c>
      <c r="AO256" s="66">
        <f t="shared" si="1418"/>
        <v>127.51907303612181</v>
      </c>
      <c r="AP256" s="66">
        <f t="shared" si="1418"/>
        <v>225.60293710433598</v>
      </c>
      <c r="AQ256" s="66">
        <f t="shared" si="1418"/>
        <v>19.301912770313905</v>
      </c>
      <c r="AR256" s="66">
        <f t="shared" si="1418"/>
        <v>47.67623028481011</v>
      </c>
      <c r="AS256" s="66">
        <f t="shared" si="1418"/>
        <v>-79.362750490403329</v>
      </c>
      <c r="AT256" s="66">
        <f t="shared" si="1418"/>
        <v>73.126214000000033</v>
      </c>
      <c r="AU256" s="66">
        <f t="shared" si="1418"/>
        <v>59.307807312195408</v>
      </c>
      <c r="AV256" s="66">
        <f t="shared" si="1418"/>
        <v>-24.15708871481301</v>
      </c>
      <c r="AW256" s="66">
        <f t="shared" si="1418"/>
        <v>33.493735278576352</v>
      </c>
      <c r="AX256" s="66">
        <f t="shared" si="1418"/>
        <v>13.58963515658492</v>
      </c>
      <c r="AY256" s="66">
        <f t="shared" si="1418"/>
        <v>51.869935053346538</v>
      </c>
      <c r="AZ256" s="66">
        <f t="shared" si="1418"/>
        <v>45.662617972282483</v>
      </c>
      <c r="BA256" s="66">
        <f t="shared" si="1418"/>
        <v>34.44440085618244</v>
      </c>
      <c r="BB256" s="66">
        <f t="shared" si="1418"/>
        <v>21.619764630170305</v>
      </c>
      <c r="BC256" s="66">
        <f t="shared" si="1418"/>
        <v>9.2653139680963292</v>
      </c>
      <c r="BD256" s="188"/>
      <c r="BE256" s="66">
        <f t="shared" si="1416"/>
        <v>81.906393802302773</v>
      </c>
      <c r="BF256" s="66">
        <f t="shared" si="1416"/>
        <v>-34.354778877602115</v>
      </c>
      <c r="BG256" s="66">
        <f t="shared" si="1416"/>
        <v>44.094473849975067</v>
      </c>
      <c r="BH256" s="66">
        <f t="shared" si="1416"/>
        <v>16.275996107101061</v>
      </c>
      <c r="BI256" s="66">
        <f t="shared" si="1416"/>
        <v>67.881032735474747</v>
      </c>
      <c r="BJ256" s="188"/>
      <c r="BK256" s="38"/>
      <c r="BL256" s="38"/>
      <c r="BM256" s="38"/>
      <c r="BN256" s="38"/>
      <c r="BO256" s="38"/>
      <c r="BP256" s="188"/>
    </row>
    <row r="257" spans="2:69" s="7" customFormat="1" ht="13.5" thickBot="1">
      <c r="B257" s="62" t="str">
        <f>B80</f>
        <v xml:space="preserve">Net change in cash </v>
      </c>
      <c r="C257" s="65">
        <f t="shared" ref="C257:P257" si="1419">C80*C$214</f>
        <v>302.59614004206247</v>
      </c>
      <c r="D257" s="65">
        <f t="shared" si="1419"/>
        <v>247.8670609863384</v>
      </c>
      <c r="E257" s="65">
        <f t="shared" si="1419"/>
        <v>40.117889892703673</v>
      </c>
      <c r="F257" s="65">
        <f t="shared" si="1419"/>
        <v>181.35394220740625</v>
      </c>
      <c r="G257" s="65">
        <f t="shared" si="1419"/>
        <v>272.72697567149999</v>
      </c>
      <c r="H257" s="65">
        <f t="shared" si="1419"/>
        <v>-87.518418764800018</v>
      </c>
      <c r="I257" s="65">
        <f t="shared" si="1419"/>
        <v>402.19911423918569</v>
      </c>
      <c r="J257" s="65">
        <f t="shared" si="1419"/>
        <v>380.74000160509343</v>
      </c>
      <c r="K257" s="65">
        <f t="shared" si="1419"/>
        <v>-157.16601020641502</v>
      </c>
      <c r="L257" s="65">
        <f t="shared" si="1419"/>
        <v>-218.09312554665956</v>
      </c>
      <c r="M257" s="65">
        <f t="shared" si="1419"/>
        <v>289.28487240441058</v>
      </c>
      <c r="N257" s="65">
        <f t="shared" si="1419"/>
        <v>378.65169826409743</v>
      </c>
      <c r="O257" s="65">
        <f t="shared" si="1419"/>
        <v>-281.5906057535563</v>
      </c>
      <c r="P257" s="65">
        <f t="shared" si="1419"/>
        <v>-353.45799503210088</v>
      </c>
      <c r="R257" s="65">
        <f t="shared" ref="R257:BC257" si="1420">R80*R$214</f>
        <v>80.710691507999996</v>
      </c>
      <c r="S257" s="65">
        <f t="shared" si="1420"/>
        <v>-93.431770079999993</v>
      </c>
      <c r="T257" s="65">
        <f t="shared" si="1420"/>
        <v>167.00140638999997</v>
      </c>
      <c r="U257" s="65">
        <f t="shared" si="1420"/>
        <v>-119.19349345800001</v>
      </c>
      <c r="V257" s="65">
        <f t="shared" si="1420"/>
        <v>19.786845596000003</v>
      </c>
      <c r="W257" s="65">
        <f t="shared" si="1420"/>
        <v>157.82706367400002</v>
      </c>
      <c r="X257" s="65">
        <f t="shared" si="1420"/>
        <v>-104.99576938500002</v>
      </c>
      <c r="Y257" s="65">
        <f t="shared" si="1420"/>
        <v>101.94503701199996</v>
      </c>
      <c r="Z257" s="65">
        <f t="shared" si="1420"/>
        <v>-132.52049448399998</v>
      </c>
      <c r="AA257" s="65">
        <f t="shared" si="1420"/>
        <v>253.10385223500001</v>
      </c>
      <c r="AB257" s="65">
        <f t="shared" si="1420"/>
        <v>79.847140879999998</v>
      </c>
      <c r="AC257" s="65">
        <f t="shared" si="1420"/>
        <v>38.692836487999969</v>
      </c>
      <c r="AD257" s="65">
        <f t="shared" si="1420"/>
        <v>-59.847178013333341</v>
      </c>
      <c r="AE257" s="65">
        <f t="shared" si="1420"/>
        <v>-72.107545823999999</v>
      </c>
      <c r="AF257" s="65">
        <f t="shared" si="1420"/>
        <v>10.450892533333349</v>
      </c>
      <c r="AG257" s="65">
        <f t="shared" si="1420"/>
        <v>13.313511579999993</v>
      </c>
      <c r="AH257" s="65">
        <f t="shared" si="1420"/>
        <v>-1.4161179368236623</v>
      </c>
      <c r="AI257" s="65">
        <f t="shared" si="1420"/>
        <v>21.510239828394823</v>
      </c>
      <c r="AJ257" s="65">
        <f t="shared" si="1420"/>
        <v>25.06242832094971</v>
      </c>
      <c r="AK257" s="65">
        <f t="shared" si="1420"/>
        <v>293.58740090776951</v>
      </c>
      <c r="AL257" s="65">
        <f t="shared" si="1420"/>
        <v>340.0467617238703</v>
      </c>
      <c r="AM257" s="65">
        <f t="shared" si="1420"/>
        <v>32.187717203873191</v>
      </c>
      <c r="AN257" s="65">
        <f t="shared" si="1420"/>
        <v>-49.365857540787893</v>
      </c>
      <c r="AO257" s="65">
        <f t="shared" si="1420"/>
        <v>-52.682542562232051</v>
      </c>
      <c r="AP257" s="65">
        <f t="shared" si="1420"/>
        <v>-190.62761985696415</v>
      </c>
      <c r="AQ257" s="65">
        <f t="shared" si="1420"/>
        <v>34.932317155257195</v>
      </c>
      <c r="AR257" s="65">
        <f t="shared" si="1420"/>
        <v>-232.15917125332868</v>
      </c>
      <c r="AS257" s="65">
        <f t="shared" si="1420"/>
        <v>-0.98080703599191743</v>
      </c>
      <c r="AT257" s="65">
        <f t="shared" si="1420"/>
        <v>203.65782399999998</v>
      </c>
      <c r="AU257" s="65">
        <f t="shared" si="1420"/>
        <v>-24.294021707473352</v>
      </c>
      <c r="AV257" s="65">
        <f t="shared" si="1420"/>
        <v>67.522458468063519</v>
      </c>
      <c r="AW257" s="65">
        <f t="shared" si="1420"/>
        <v>223.65485370375345</v>
      </c>
      <c r="AX257" s="65">
        <f t="shared" si="1420"/>
        <v>15.996599506436045</v>
      </c>
      <c r="AY257" s="65">
        <f t="shared" si="1420"/>
        <v>-137.25853581848023</v>
      </c>
      <c r="AZ257" s="65">
        <f t="shared" si="1420"/>
        <v>44.240347487857775</v>
      </c>
      <c r="BA257" s="65">
        <f t="shared" si="1420"/>
        <v>-3.0545755007269837</v>
      </c>
      <c r="BB257" s="65">
        <f t="shared" si="1420"/>
        <v>-181.91518357805668</v>
      </c>
      <c r="BC257" s="65">
        <f t="shared" si="1420"/>
        <v>-194.49086161879893</v>
      </c>
      <c r="BD257" s="68"/>
      <c r="BE257" s="65">
        <f t="shared" si="1416"/>
        <v>-33.550958196609898</v>
      </c>
      <c r="BF257" s="65">
        <f t="shared" si="1416"/>
        <v>123.23856364726757</v>
      </c>
      <c r="BG257" s="65">
        <f t="shared" si="1416"/>
        <v>210.0568705947679</v>
      </c>
      <c r="BH257" s="65">
        <f t="shared" si="1416"/>
        <v>70.076004217307215</v>
      </c>
      <c r="BI257" s="65">
        <f t="shared" si="1416"/>
        <v>-179.62731321692371</v>
      </c>
      <c r="BJ257" s="68"/>
      <c r="BK257" s="38"/>
      <c r="BL257" s="38"/>
      <c r="BM257" s="38"/>
      <c r="BN257" s="38"/>
      <c r="BO257" s="38"/>
      <c r="BP257" s="68"/>
      <c r="BQ257" s="11"/>
    </row>
    <row r="258" spans="2:69" ht="15.75" thickTop="1"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38"/>
      <c r="BL258" s="38"/>
      <c r="BM258" s="38"/>
      <c r="BN258" s="38"/>
      <c r="BO258" s="38"/>
      <c r="BP258" s="67"/>
    </row>
    <row r="259" spans="2:69" s="7" customFormat="1" ht="12.75">
      <c r="B259" s="7" t="str">
        <f>+B123</f>
        <v>Total debt</v>
      </c>
      <c r="C259" s="68">
        <f t="shared" ref="C259:G259" si="1421">C123*C$215</f>
        <v>838.01996520000012</v>
      </c>
      <c r="D259" s="68">
        <f t="shared" si="1421"/>
        <v>1132.9463245200002</v>
      </c>
      <c r="E259" s="68">
        <f t="shared" si="1421"/>
        <v>991.76206217999993</v>
      </c>
      <c r="F259" s="68">
        <f t="shared" si="1421"/>
        <v>987.85966075999988</v>
      </c>
      <c r="G259" s="68">
        <f t="shared" si="1421"/>
        <v>1265.4544077630001</v>
      </c>
      <c r="H259" s="68">
        <f t="shared" ref="H259:I259" si="1422">H123*H$215</f>
        <v>1364.5505320844002</v>
      </c>
      <c r="I259" s="68">
        <f t="shared" si="1422"/>
        <v>1270.1675182579384</v>
      </c>
      <c r="J259" s="68">
        <f t="shared" ref="J259" si="1423">J123*J$215</f>
        <v>2092.8920574623471</v>
      </c>
      <c r="K259" s="68">
        <f t="shared" ref="K259" si="1424">K123*K$215</f>
        <v>1039.0613180000003</v>
      </c>
      <c r="L259" s="68">
        <f t="shared" ref="L259" si="1425">L123*L$215</f>
        <v>1497.0122741428793</v>
      </c>
      <c r="M259" s="68">
        <f>M123*M$215</f>
        <v>1358.6915522852696</v>
      </c>
      <c r="N259" s="68">
        <f>N123*N$215</f>
        <v>1778.423008348663</v>
      </c>
      <c r="O259" s="68">
        <f>O123*O$215</f>
        <v>1334.8956090384486</v>
      </c>
      <c r="P259" s="68">
        <f>P123*P$215</f>
        <v>1310.4062878905468</v>
      </c>
      <c r="R259" s="68">
        <f t="shared" ref="R259:AB259" si="1426">R123*R$215</f>
        <v>1189.9443752250004</v>
      </c>
      <c r="S259" s="68">
        <f t="shared" si="1426"/>
        <v>1044.8821061690001</v>
      </c>
      <c r="T259" s="68">
        <f t="shared" si="1426"/>
        <v>1019.626429792</v>
      </c>
      <c r="U259" s="68">
        <f t="shared" si="1426"/>
        <v>991.746324921</v>
      </c>
      <c r="V259" s="68">
        <f t="shared" si="1426"/>
        <v>997.59683932200016</v>
      </c>
      <c r="W259" s="68">
        <f t="shared" si="1426"/>
        <v>1015.4781343850001</v>
      </c>
      <c r="X259" s="68">
        <f t="shared" si="1426"/>
        <v>1018.3465458869999</v>
      </c>
      <c r="Y259" s="68">
        <f t="shared" si="1426"/>
        <v>987.65982004799992</v>
      </c>
      <c r="Z259" s="68">
        <f t="shared" si="1426"/>
        <v>962.59532708699987</v>
      </c>
      <c r="AA259" s="68">
        <f t="shared" si="1426"/>
        <v>1047.131216108</v>
      </c>
      <c r="AB259" s="68">
        <f t="shared" si="1426"/>
        <v>1089.0447153</v>
      </c>
      <c r="AC259" s="68">
        <f t="shared" ref="AC259:AF259" si="1427">AC123*AC$215</f>
        <v>1265.4544077630001</v>
      </c>
      <c r="AD259" s="68">
        <f t="shared" si="1427"/>
        <v>1276.4574755199999</v>
      </c>
      <c r="AE259" s="68">
        <f t="shared" si="1427"/>
        <v>1236.1313813939998</v>
      </c>
      <c r="AF259" s="68">
        <f t="shared" si="1427"/>
        <v>1422.4383530549999</v>
      </c>
      <c r="AG259" s="68">
        <f t="shared" ref="AG259:AH259" si="1428">AG123*AG$215</f>
        <v>858.48478555800011</v>
      </c>
      <c r="AH259" s="68">
        <f t="shared" si="1428"/>
        <v>1352.709952283572</v>
      </c>
      <c r="AI259" s="68">
        <f t="shared" ref="AI259:AM259" si="1429">AI123*AI$215</f>
        <v>1326.6121489709558</v>
      </c>
      <c r="AJ259" s="68">
        <f t="shared" si="1429"/>
        <v>1294.5991980753813</v>
      </c>
      <c r="AK259" s="68">
        <f t="shared" si="1429"/>
        <v>1270.1675182579384</v>
      </c>
      <c r="AL259" s="68">
        <f t="shared" ref="AL259" si="1430">AL123*AL$215</f>
        <v>2092.8920574623471</v>
      </c>
      <c r="AM259" s="68">
        <f t="shared" si="1429"/>
        <v>1313.8164329284186</v>
      </c>
      <c r="AN259" s="68">
        <f t="shared" ref="AN259" si="1431">AN123*AN$215</f>
        <v>1313.8164329284186</v>
      </c>
      <c r="AO259" s="68">
        <f t="shared" ref="AO259:AU259" si="1432">AO123*AO$215</f>
        <v>1098.5741609887621</v>
      </c>
      <c r="AP259" s="68">
        <f t="shared" si="1432"/>
        <v>1098.5741609887621</v>
      </c>
      <c r="AQ259" s="68">
        <f t="shared" si="1432"/>
        <v>1042.4873116820092</v>
      </c>
      <c r="AR259" s="68">
        <f t="shared" ref="AR259" si="1433">AR123*AR$215</f>
        <v>1042.4873116820092</v>
      </c>
      <c r="AS259" s="68">
        <f t="shared" si="1432"/>
        <v>1039.0613180000003</v>
      </c>
      <c r="AT259" s="68">
        <f t="shared" ref="AT259" si="1434">AT123*AT$215</f>
        <v>1039.0613180000003</v>
      </c>
      <c r="AU259" s="68">
        <f t="shared" si="1432"/>
        <v>1060.7812712545604</v>
      </c>
      <c r="AV259" s="68">
        <f t="shared" ref="AV259:AY259" si="1435">AV123*AV$215</f>
        <v>1156.0763587913686</v>
      </c>
      <c r="AW259" s="68">
        <f t="shared" si="1435"/>
        <v>1391.6029332123358</v>
      </c>
      <c r="AX259" s="68">
        <f t="shared" si="1435"/>
        <v>1358.6915522852696</v>
      </c>
      <c r="AY259" s="68">
        <f t="shared" si="1435"/>
        <v>1463.0923559999999</v>
      </c>
      <c r="AZ259" s="68">
        <f t="shared" ref="AZ259:BC259" si="1436">AZ123*AZ$215</f>
        <v>1639.8163441638033</v>
      </c>
      <c r="BA259" s="68">
        <f t="shared" si="1436"/>
        <v>1646.576257899445</v>
      </c>
      <c r="BB259" s="68">
        <f t="shared" si="1436"/>
        <v>1334.8956090384486</v>
      </c>
      <c r="BC259" s="68">
        <f t="shared" si="1436"/>
        <v>1310.4062878905468</v>
      </c>
      <c r="BD259" s="68"/>
      <c r="BE259" s="68">
        <f>BE123*BE$215</f>
        <v>1060.7812712545604</v>
      </c>
      <c r="BF259" s="68">
        <f>BF123*BF$215</f>
        <v>1156.0763587913686</v>
      </c>
      <c r="BG259" s="68">
        <f>BG123*BG$215</f>
        <v>1391.6029332123358</v>
      </c>
      <c r="BH259" s="68">
        <f>BH123*BH$215</f>
        <v>1778.423008348663</v>
      </c>
      <c r="BI259" s="68">
        <f>BI123*BI$215</f>
        <v>1463.0923559999999</v>
      </c>
      <c r="BJ259" s="68"/>
      <c r="BK259" s="38"/>
      <c r="BL259" s="38"/>
      <c r="BM259" s="38"/>
      <c r="BN259" s="38"/>
      <c r="BO259" s="38"/>
      <c r="BP259" s="68"/>
      <c r="BQ259" s="11"/>
    </row>
    <row r="260" spans="2:69">
      <c r="B260" s="11" t="str">
        <f>+B127</f>
        <v>Total Cash and cash equivalents</v>
      </c>
      <c r="C260" s="67">
        <f t="shared" ref="C260:G260" si="1437">C127*C$215</f>
        <v>649.6448772</v>
      </c>
      <c r="D260" s="67">
        <f t="shared" si="1437"/>
        <v>838.58681455999999</v>
      </c>
      <c r="E260" s="67">
        <f t="shared" si="1437"/>
        <v>638.92127478000009</v>
      </c>
      <c r="F260" s="67">
        <f t="shared" si="1437"/>
        <v>854.64569805999997</v>
      </c>
      <c r="G260" s="67">
        <f t="shared" si="1437"/>
        <v>1011.441116322</v>
      </c>
      <c r="H260" s="67">
        <f t="shared" ref="H260:I260" si="1438">H127*H$215</f>
        <v>708.36731742180007</v>
      </c>
      <c r="I260" s="67">
        <f t="shared" si="1438"/>
        <v>506.42470773922577</v>
      </c>
      <c r="J260" s="67">
        <f t="shared" ref="J260" si="1439">J127*J$215</f>
        <v>834.45076375698875</v>
      </c>
      <c r="K260" s="67">
        <f t="shared" ref="K260" si="1440">K127*K$215</f>
        <v>396.48936800000001</v>
      </c>
      <c r="L260" s="67">
        <f t="shared" ref="L260:M260" si="1441">L127*L$215</f>
        <v>571.18734860872689</v>
      </c>
      <c r="M260" s="67">
        <f t="shared" si="1441"/>
        <v>744.68903353615394</v>
      </c>
      <c r="N260" s="67">
        <f t="shared" ref="N260:O260" si="1442">N127*N$215</f>
        <v>974.74079524550734</v>
      </c>
      <c r="O260" s="67">
        <f t="shared" si="1442"/>
        <v>542.96575548142744</v>
      </c>
      <c r="P260" s="67">
        <f>P127*P$215</f>
        <v>386.1927803534914</v>
      </c>
      <c r="R260" s="67">
        <f t="shared" ref="R260:AB260" si="1443">R127*R$215</f>
        <v>880.71917422500007</v>
      </c>
      <c r="S260" s="67">
        <f t="shared" si="1443"/>
        <v>673.16093588199999</v>
      </c>
      <c r="T260" s="67">
        <f t="shared" si="1443"/>
        <v>666.610011912</v>
      </c>
      <c r="U260" s="67">
        <f t="shared" si="1443"/>
        <v>638.91113639100001</v>
      </c>
      <c r="V260" s="67">
        <f t="shared" si="1443"/>
        <v>687.66301982699997</v>
      </c>
      <c r="W260" s="67">
        <f t="shared" si="1443"/>
        <v>710.95974349400001</v>
      </c>
      <c r="X260" s="67">
        <f t="shared" si="1443"/>
        <v>675.46212191699999</v>
      </c>
      <c r="Y260" s="67">
        <f t="shared" si="1443"/>
        <v>854.47280608799997</v>
      </c>
      <c r="Z260" s="67">
        <f t="shared" si="1443"/>
        <v>761.81894569500002</v>
      </c>
      <c r="AA260" s="67">
        <f t="shared" si="1443"/>
        <v>957.51359667199995</v>
      </c>
      <c r="AB260" s="67">
        <f t="shared" si="1443"/>
        <v>765.25301594999996</v>
      </c>
      <c r="AC260" s="67">
        <f t="shared" ref="AC260:AF260" si="1444">AC127*AC$215</f>
        <v>1011.441116322</v>
      </c>
      <c r="AD260" s="67">
        <f t="shared" si="1444"/>
        <v>1085.40756268</v>
      </c>
      <c r="AE260" s="67">
        <f t="shared" si="1444"/>
        <v>1006.937641892</v>
      </c>
      <c r="AF260" s="67">
        <f t="shared" si="1444"/>
        <v>799.86511767299999</v>
      </c>
      <c r="AG260" s="67">
        <f t="shared" ref="AG260:AH260" si="1445">AG127*AG$215</f>
        <v>708.36731742180007</v>
      </c>
      <c r="AH260" s="67">
        <f t="shared" si="1445"/>
        <v>636.00688479890937</v>
      </c>
      <c r="AI260" s="67">
        <f t="shared" ref="AI260:AM260" si="1446">AI127*AI$215</f>
        <v>582.45443835352955</v>
      </c>
      <c r="AJ260" s="67">
        <f t="shared" si="1446"/>
        <v>507.17759957230692</v>
      </c>
      <c r="AK260" s="67">
        <f t="shared" si="1446"/>
        <v>506.42470773922577</v>
      </c>
      <c r="AL260" s="67">
        <f t="shared" ref="AL260" si="1447">AL127*AL$215</f>
        <v>834.45076375698875</v>
      </c>
      <c r="AM260" s="67">
        <f t="shared" si="1446"/>
        <v>514.29497940670456</v>
      </c>
      <c r="AN260" s="67">
        <f t="shared" ref="AN260" si="1448">AN127*AN$215</f>
        <v>866.448985975705</v>
      </c>
      <c r="AO260" s="67">
        <f t="shared" ref="AO260:AU260" si="1449">AO127*AO$215</f>
        <v>336.52516073527266</v>
      </c>
      <c r="AP260" s="67">
        <f t="shared" si="1449"/>
        <v>336.52516073527266</v>
      </c>
      <c r="AQ260" s="67">
        <f t="shared" si="1449"/>
        <v>353.43086280562341</v>
      </c>
      <c r="AR260" s="67">
        <f t="shared" ref="AR260" si="1450">AR127*AR$215</f>
        <v>353.43086280562341</v>
      </c>
      <c r="AS260" s="67">
        <f t="shared" si="1449"/>
        <v>396.48936800000001</v>
      </c>
      <c r="AT260" s="67">
        <f t="shared" ref="AT260" si="1451">AT127*AT$215</f>
        <v>396.48936800000001</v>
      </c>
      <c r="AU260" s="67">
        <f t="shared" si="1449"/>
        <v>391.6121622457182</v>
      </c>
      <c r="AV260" s="67">
        <f t="shared" ref="AV260:AY260" si="1452">AV127*AV$215</f>
        <v>512.41279078671312</v>
      </c>
      <c r="AW260" s="67">
        <f t="shared" si="1452"/>
        <v>683.07419387889513</v>
      </c>
      <c r="AX260" s="67">
        <f t="shared" si="1452"/>
        <v>744.68903353615394</v>
      </c>
      <c r="AY260" s="67">
        <f t="shared" si="1452"/>
        <v>632.08717439999998</v>
      </c>
      <c r="AZ260" s="67">
        <f t="shared" ref="AZ260:BC260" si="1453">AZ127*AZ$215</f>
        <v>688.14196656418903</v>
      </c>
      <c r="BA260" s="67">
        <f t="shared" si="1453"/>
        <v>711.22661427623291</v>
      </c>
      <c r="BB260" s="67">
        <f t="shared" si="1453"/>
        <v>542.96575548142744</v>
      </c>
      <c r="BC260" s="67">
        <f t="shared" si="1453"/>
        <v>386.1927803534914</v>
      </c>
      <c r="BD260" s="67"/>
      <c r="BE260" s="67">
        <f>BE127*BE$215</f>
        <v>391.6121622457182</v>
      </c>
      <c r="BF260" s="67">
        <f>BF127*BF$215</f>
        <v>512.41279078671312</v>
      </c>
      <c r="BG260" s="67">
        <f>BG127*BG$215</f>
        <v>683.07419387889513</v>
      </c>
      <c r="BH260" s="67">
        <f>BH127*BH$215</f>
        <v>974.74079524550734</v>
      </c>
      <c r="BI260" s="67">
        <f>BI127*BI$215</f>
        <v>632.08717439999998</v>
      </c>
      <c r="BJ260" s="67"/>
      <c r="BK260" s="38"/>
      <c r="BL260" s="38"/>
      <c r="BM260" s="38"/>
      <c r="BN260" s="38"/>
      <c r="BO260" s="38"/>
      <c r="BP260" s="67"/>
    </row>
    <row r="261" spans="2:69" s="7" customFormat="1" ht="13.5" thickBot="1">
      <c r="B261" s="62" t="str">
        <f>+B130</f>
        <v>Net debt Incl Short term financial investments</v>
      </c>
      <c r="C261" s="65">
        <f t="shared" ref="C261:V261" si="1454">C259-C260</f>
        <v>188.37508800000012</v>
      </c>
      <c r="D261" s="65">
        <f t="shared" si="1454"/>
        <v>294.3595099600002</v>
      </c>
      <c r="E261" s="65">
        <f t="shared" si="1454"/>
        <v>352.84078739999984</v>
      </c>
      <c r="F261" s="65">
        <f t="shared" ref="F261:K261" si="1455">F259-F260</f>
        <v>133.21396269999991</v>
      </c>
      <c r="G261" s="65">
        <f t="shared" si="1455"/>
        <v>254.01329144100009</v>
      </c>
      <c r="H261" s="65">
        <f t="shared" si="1455"/>
        <v>656.18321466260011</v>
      </c>
      <c r="I261" s="65">
        <f t="shared" si="1455"/>
        <v>763.74281051871253</v>
      </c>
      <c r="J261" s="65">
        <f t="shared" si="1455"/>
        <v>1258.4412937053585</v>
      </c>
      <c r="K261" s="65">
        <f t="shared" si="1455"/>
        <v>642.57195000000024</v>
      </c>
      <c r="L261" s="65">
        <f t="shared" ref="L261:M261" si="1456">L259-L260</f>
        <v>925.82492553415238</v>
      </c>
      <c r="M261" s="65">
        <f t="shared" si="1456"/>
        <v>614.00251874911567</v>
      </c>
      <c r="N261" s="65">
        <f t="shared" ref="N261:O261" si="1457">N259-N260</f>
        <v>803.68221310315562</v>
      </c>
      <c r="O261" s="65">
        <f t="shared" si="1457"/>
        <v>791.92985355702115</v>
      </c>
      <c r="P261" s="65">
        <f t="shared" ref="P261" si="1458">P259-P260</f>
        <v>924.21350753705542</v>
      </c>
      <c r="R261" s="65">
        <f t="shared" si="1454"/>
        <v>309.22520100000031</v>
      </c>
      <c r="S261" s="65">
        <f t="shared" si="1454"/>
        <v>371.72117028700006</v>
      </c>
      <c r="T261" s="65">
        <f t="shared" si="1454"/>
        <v>353.01641787999995</v>
      </c>
      <c r="U261" s="65">
        <f t="shared" si="1454"/>
        <v>352.83518852999998</v>
      </c>
      <c r="V261" s="65">
        <f t="shared" si="1454"/>
        <v>309.93381949500019</v>
      </c>
      <c r="W261" s="65">
        <f t="shared" ref="W261:AB261" si="1459">W259-W260</f>
        <v>304.51839089100008</v>
      </c>
      <c r="X261" s="65">
        <f t="shared" si="1459"/>
        <v>342.88442396999994</v>
      </c>
      <c r="Y261" s="65">
        <f t="shared" si="1459"/>
        <v>133.18701395999994</v>
      </c>
      <c r="Z261" s="65">
        <f t="shared" si="1459"/>
        <v>200.77638139199985</v>
      </c>
      <c r="AA261" s="65">
        <f t="shared" si="1459"/>
        <v>89.617619436000041</v>
      </c>
      <c r="AB261" s="65">
        <f t="shared" si="1459"/>
        <v>323.79169935000004</v>
      </c>
      <c r="AC261" s="65">
        <f t="shared" ref="AC261:AF261" si="1460">AC259-AC260</f>
        <v>254.01329144100009</v>
      </c>
      <c r="AD261" s="65">
        <f t="shared" si="1460"/>
        <v>191.04991283999993</v>
      </c>
      <c r="AE261" s="65">
        <f t="shared" si="1460"/>
        <v>229.19373950199986</v>
      </c>
      <c r="AF261" s="65">
        <f t="shared" si="1460"/>
        <v>622.57323538199989</v>
      </c>
      <c r="AG261" s="65">
        <f t="shared" ref="AG261:AH261" si="1461">AG259-AG260</f>
        <v>150.11746813620005</v>
      </c>
      <c r="AH261" s="65">
        <f t="shared" si="1461"/>
        <v>716.7030674846626</v>
      </c>
      <c r="AI261" s="65">
        <f t="shared" ref="AI261:AM261" si="1462">AI259-AI260</f>
        <v>744.15771061742623</v>
      </c>
      <c r="AJ261" s="65">
        <f t="shared" si="1462"/>
        <v>787.42159850307439</v>
      </c>
      <c r="AK261" s="65">
        <f t="shared" si="1462"/>
        <v>763.74281051871253</v>
      </c>
      <c r="AL261" s="65">
        <f t="shared" ref="AL261" si="1463">AL259-AL260</f>
        <v>1258.4412937053585</v>
      </c>
      <c r="AM261" s="65">
        <f t="shared" si="1462"/>
        <v>799.52145352171408</v>
      </c>
      <c r="AN261" s="65">
        <f t="shared" ref="AN261" si="1464">AN259-AN260</f>
        <v>447.36744695271364</v>
      </c>
      <c r="AO261" s="65">
        <f t="shared" ref="AO261:AU261" si="1465">AO259-AO260</f>
        <v>762.04900025348934</v>
      </c>
      <c r="AP261" s="65">
        <f t="shared" si="1465"/>
        <v>762.04900025348934</v>
      </c>
      <c r="AQ261" s="65">
        <f t="shared" si="1465"/>
        <v>689.05644887638584</v>
      </c>
      <c r="AR261" s="65">
        <f t="shared" ref="AR261" si="1466">AR259-AR260</f>
        <v>689.05644887638584</v>
      </c>
      <c r="AS261" s="65">
        <f t="shared" si="1465"/>
        <v>642.57195000000024</v>
      </c>
      <c r="AT261" s="65">
        <f t="shared" ref="AT261" si="1467">AT259-AT260</f>
        <v>642.57195000000024</v>
      </c>
      <c r="AU261" s="65">
        <f t="shared" si="1465"/>
        <v>669.16910900884216</v>
      </c>
      <c r="AV261" s="65">
        <f t="shared" ref="AV261:AY261" si="1468">AV259-AV260</f>
        <v>643.66356800465553</v>
      </c>
      <c r="AW261" s="65">
        <f t="shared" si="1468"/>
        <v>708.52873933344063</v>
      </c>
      <c r="AX261" s="65">
        <f t="shared" si="1468"/>
        <v>614.00251874911567</v>
      </c>
      <c r="AY261" s="65">
        <f t="shared" si="1468"/>
        <v>831.0051815999999</v>
      </c>
      <c r="AZ261" s="65">
        <f t="shared" ref="AZ261:BC261" si="1469">AZ259-AZ260</f>
        <v>951.67437759961422</v>
      </c>
      <c r="BA261" s="65">
        <f t="shared" si="1469"/>
        <v>935.34964362321205</v>
      </c>
      <c r="BB261" s="65">
        <f t="shared" si="1469"/>
        <v>791.92985355702115</v>
      </c>
      <c r="BC261" s="65">
        <f t="shared" si="1469"/>
        <v>924.21350753705542</v>
      </c>
      <c r="BD261" s="68"/>
      <c r="BE261" s="65">
        <f t="shared" ref="BE261:BF261" si="1470">BE259-BE260</f>
        <v>669.16910900884216</v>
      </c>
      <c r="BF261" s="65">
        <f t="shared" si="1470"/>
        <v>643.66356800465553</v>
      </c>
      <c r="BG261" s="65">
        <f t="shared" ref="BG261:BI261" si="1471">BG259-BG260</f>
        <v>708.52873933344063</v>
      </c>
      <c r="BH261" s="65">
        <f t="shared" si="1471"/>
        <v>803.68221310315562</v>
      </c>
      <c r="BI261" s="65">
        <f t="shared" si="1471"/>
        <v>831.0051815999999</v>
      </c>
      <c r="BJ261" s="68"/>
      <c r="BK261" s="38"/>
      <c r="BL261" s="38"/>
      <c r="BM261" s="38"/>
      <c r="BN261" s="38"/>
      <c r="BO261" s="38"/>
      <c r="BP261" s="68"/>
      <c r="BQ261" s="11"/>
    </row>
    <row r="262" spans="2:69" ht="15.75" thickTop="1"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38"/>
      <c r="BL262" s="38"/>
      <c r="BM262" s="38"/>
      <c r="BN262" s="38"/>
      <c r="BO262" s="38"/>
      <c r="BP262" s="69"/>
    </row>
    <row r="263" spans="2:69" ht="12.75">
      <c r="B263" s="78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  <c r="AM263" s="222"/>
      <c r="AN263" s="222"/>
      <c r="AO263" s="222"/>
      <c r="AP263" s="222"/>
      <c r="AQ263" s="222"/>
      <c r="AR263" s="222"/>
      <c r="AS263" s="222"/>
      <c r="AT263" s="222"/>
      <c r="AU263" s="222"/>
      <c r="AV263" s="222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38"/>
      <c r="BL263" s="38"/>
      <c r="BM263" s="38"/>
      <c r="BN263" s="38"/>
      <c r="BO263" s="38"/>
      <c r="BP263" s="69"/>
    </row>
    <row r="264" spans="2:69" ht="12.75">
      <c r="B264" s="78" t="s">
        <v>285</v>
      </c>
      <c r="C264" s="222">
        <f t="shared" ref="C264:M264" si="1472">C118*C$215</f>
        <v>2.0433600000000003E-2</v>
      </c>
      <c r="D264" s="222">
        <f t="shared" si="1472"/>
        <v>0</v>
      </c>
      <c r="E264" s="222">
        <f t="shared" si="1472"/>
        <v>0</v>
      </c>
      <c r="F264" s="222">
        <f t="shared" si="1472"/>
        <v>10.53008971</v>
      </c>
      <c r="G264" s="222">
        <f t="shared" si="1472"/>
        <v>6.7527483029999997</v>
      </c>
      <c r="H264" s="222">
        <f t="shared" si="1472"/>
        <v>2.3576140106000003</v>
      </c>
      <c r="I264" s="222">
        <f t="shared" si="1472"/>
        <v>0.56456488590460385</v>
      </c>
      <c r="J264" s="222">
        <f t="shared" si="1472"/>
        <v>0.9303121906851074</v>
      </c>
      <c r="K264" s="222">
        <f t="shared" si="1472"/>
        <v>8.8875999999999997E-2</v>
      </c>
      <c r="L264" s="222">
        <f t="shared" si="1472"/>
        <v>0.12810161280473326</v>
      </c>
      <c r="M264" s="222">
        <f t="shared" si="1472"/>
        <v>3.9507570397622753E-2</v>
      </c>
      <c r="N264" s="222">
        <f t="shared" ref="N264:O264" si="1473">N118*N$215</f>
        <v>5.1705108249610866E-2</v>
      </c>
      <c r="O264" s="222">
        <f t="shared" si="1473"/>
        <v>0</v>
      </c>
      <c r="P264" s="222">
        <f>P118*P$215</f>
        <v>0</v>
      </c>
      <c r="Q264" s="222"/>
      <c r="R264" s="222">
        <f t="shared" ref="R264:AY264" si="1474">R118*R$215</f>
        <v>0</v>
      </c>
      <c r="S264" s="222">
        <f t="shared" si="1474"/>
        <v>0</v>
      </c>
      <c r="T264" s="222">
        <f t="shared" si="1474"/>
        <v>0</v>
      </c>
      <c r="U264" s="222">
        <f t="shared" si="1474"/>
        <v>0</v>
      </c>
      <c r="V264" s="222">
        <f t="shared" si="1474"/>
        <v>0</v>
      </c>
      <c r="W264" s="222">
        <f t="shared" si="1474"/>
        <v>11.789338704</v>
      </c>
      <c r="X264" s="222">
        <f t="shared" si="1474"/>
        <v>11.603451155999998</v>
      </c>
      <c r="Y264" s="222">
        <f t="shared" si="1474"/>
        <v>10.527959508</v>
      </c>
      <c r="Z264" s="222">
        <f t="shared" si="1474"/>
        <v>9.1850580869999998</v>
      </c>
      <c r="AA264" s="222">
        <f t="shared" si="1474"/>
        <v>8.3696169440000006</v>
      </c>
      <c r="AB264" s="222">
        <f t="shared" si="1474"/>
        <v>6.8345397999999999</v>
      </c>
      <c r="AC264" s="222">
        <f t="shared" si="1474"/>
        <v>6.7527483029999997</v>
      </c>
      <c r="AD264" s="222">
        <f t="shared" si="1474"/>
        <v>5.5326568600000003</v>
      </c>
      <c r="AE264" s="222">
        <f t="shared" si="1474"/>
        <v>4.7360840799999995</v>
      </c>
      <c r="AF264" s="222">
        <f t="shared" si="1474"/>
        <v>4.0824595650000006</v>
      </c>
      <c r="AG264" s="222">
        <f t="shared" si="1474"/>
        <v>2.3576140106000003</v>
      </c>
      <c r="AH264" s="222">
        <f t="shared" si="1474"/>
        <v>1.765303340149966</v>
      </c>
      <c r="AI264" s="222">
        <f t="shared" si="1474"/>
        <v>1.2058208309290248</v>
      </c>
      <c r="AJ264" s="222">
        <f t="shared" si="1474"/>
        <v>0.73889334402566165</v>
      </c>
      <c r="AK264" s="222">
        <f t="shared" si="1474"/>
        <v>0.56456488590460385</v>
      </c>
      <c r="AL264" s="222">
        <f t="shared" si="1474"/>
        <v>0.9303121906851074</v>
      </c>
      <c r="AM264" s="222">
        <f t="shared" si="1474"/>
        <v>0.16917783222981073</v>
      </c>
      <c r="AN264" s="222">
        <f t="shared" si="1474"/>
        <v>0.16917783222981073</v>
      </c>
      <c r="AO264" s="222">
        <f t="shared" si="1474"/>
        <v>0.11752686602705423</v>
      </c>
      <c r="AP264" s="222">
        <f t="shared" si="1474"/>
        <v>0.11752686602705423</v>
      </c>
      <c r="AQ264" s="222">
        <f t="shared" si="1474"/>
        <v>0.10420657420887287</v>
      </c>
      <c r="AR264" s="222">
        <f t="shared" si="1474"/>
        <v>0.10420657420887287</v>
      </c>
      <c r="AS264" s="222">
        <f t="shared" si="1474"/>
        <v>8.8875999999999997E-2</v>
      </c>
      <c r="AT264" s="222">
        <f t="shared" si="1474"/>
        <v>8.8875999999999997E-2</v>
      </c>
      <c r="AU264" s="222">
        <f t="shared" si="1474"/>
        <v>7.2868360848327471E-2</v>
      </c>
      <c r="AV264" s="222">
        <f t="shared" si="1474"/>
        <v>6.340260655160268E-2</v>
      </c>
      <c r="AW264" s="222">
        <f t="shared" si="1474"/>
        <v>5.1287305513678078E-2</v>
      </c>
      <c r="AX264" s="222">
        <f t="shared" si="1474"/>
        <v>3.9507570397622753E-2</v>
      </c>
      <c r="AY264" s="222">
        <f t="shared" si="1474"/>
        <v>2.6268E-2</v>
      </c>
      <c r="AZ264" s="222">
        <f t="shared" ref="AZ264:BC264" si="1475">AZ118*AZ$215</f>
        <v>1.3864609078304901E-2</v>
      </c>
      <c r="BA264" s="222">
        <f t="shared" si="1475"/>
        <v>1.3466329367178708E-3</v>
      </c>
      <c r="BB264" s="222">
        <f t="shared" si="1475"/>
        <v>0</v>
      </c>
      <c r="BC264" s="222">
        <f t="shared" si="1475"/>
        <v>0</v>
      </c>
      <c r="BD264" s="222"/>
      <c r="BE264" s="222">
        <f>BE118*BE$215</f>
        <v>7.2868360848327471E-2</v>
      </c>
      <c r="BF264" s="222">
        <f>BF118*BF$215</f>
        <v>6.340260655160268E-2</v>
      </c>
      <c r="BG264" s="222">
        <f>BG118*BG$215</f>
        <v>5.1287305513678078E-2</v>
      </c>
      <c r="BH264" s="222">
        <f>BH118*BH$215</f>
        <v>5.1705108249610866E-2</v>
      </c>
      <c r="BI264" s="222">
        <f>BI118*BI$215</f>
        <v>2.6268E-2</v>
      </c>
      <c r="BJ264" s="222"/>
      <c r="BK264" s="38"/>
      <c r="BL264" s="38"/>
      <c r="BM264" s="38"/>
      <c r="BN264" s="38"/>
      <c r="BO264" s="38"/>
      <c r="BP264" s="69"/>
    </row>
    <row r="265" spans="2:69">
      <c r="B265" s="7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23"/>
      <c r="AE265" s="223"/>
      <c r="AF265" s="223"/>
      <c r="AG265" s="223"/>
      <c r="AH265" s="223"/>
      <c r="AI265" s="223"/>
      <c r="AJ265" s="223"/>
      <c r="AK265" s="223"/>
      <c r="AL265" s="223"/>
      <c r="AM265" s="223"/>
      <c r="AN265" s="223"/>
      <c r="AO265" s="223"/>
      <c r="AP265" s="223"/>
      <c r="AQ265" s="223"/>
      <c r="AR265" s="223"/>
      <c r="AS265" s="223"/>
      <c r="AT265" s="223"/>
      <c r="AU265" s="223"/>
      <c r="AV265" s="223"/>
      <c r="AW265" s="223"/>
      <c r="AX265" s="223"/>
      <c r="AY265" s="223"/>
      <c r="AZ265" s="223"/>
      <c r="BA265" s="223"/>
      <c r="BB265" s="223"/>
      <c r="BC265" s="223"/>
      <c r="BD265" s="223"/>
      <c r="BE265" s="223"/>
      <c r="BF265" s="223"/>
      <c r="BG265" s="223"/>
      <c r="BH265" s="223"/>
      <c r="BI265" s="223"/>
      <c r="BJ265" s="223"/>
      <c r="BK265" s="38"/>
      <c r="BL265" s="38"/>
      <c r="BM265" s="38"/>
      <c r="BN265" s="38"/>
      <c r="BO265" s="38"/>
      <c r="BP265" s="69"/>
    </row>
    <row r="266" spans="2:69">
      <c r="B266" s="7" t="s">
        <v>256</v>
      </c>
      <c r="C266" s="223">
        <f t="shared" ref="C266:P266" si="1476">C133*C$215</f>
        <v>410.4622104</v>
      </c>
      <c r="D266" s="223">
        <f t="shared" si="1476"/>
        <v>673.80006507999997</v>
      </c>
      <c r="E266" s="223">
        <f t="shared" si="1476"/>
        <v>695.69013192</v>
      </c>
      <c r="F266" s="223">
        <f t="shared" si="1476"/>
        <v>829.29637223999998</v>
      </c>
      <c r="G266" s="223">
        <f t="shared" si="1476"/>
        <v>877.2516717929999</v>
      </c>
      <c r="H266" s="223">
        <f t="shared" si="1476"/>
        <v>324.40801874120001</v>
      </c>
      <c r="I266" s="223">
        <f t="shared" si="1476"/>
        <v>411.03726492068159</v>
      </c>
      <c r="J266" s="223">
        <f t="shared" si="1476"/>
        <v>836.95540515235007</v>
      </c>
      <c r="K266" s="223">
        <f t="shared" si="1476"/>
        <v>673.26708200000007</v>
      </c>
      <c r="L266" s="223">
        <f t="shared" si="1476"/>
        <v>969.91667967133253</v>
      </c>
      <c r="M266" s="223">
        <f t="shared" si="1476"/>
        <v>947.3920758454791</v>
      </c>
      <c r="N266" s="223">
        <f t="shared" ref="N266:O266" si="1477">N133*N$215</f>
        <v>1158.8153388991084</v>
      </c>
      <c r="O266" s="223">
        <f t="shared" si="1477"/>
        <v>1007.9877184365447</v>
      </c>
      <c r="P266" s="223">
        <f t="shared" si="1476"/>
        <v>1165.5882637440754</v>
      </c>
      <c r="R266" s="223">
        <f t="shared" ref="R266:AY266" si="1478">R133*R$215</f>
        <v>722.24745292500006</v>
      </c>
      <c r="S266" s="223">
        <f t="shared" si="1478"/>
        <v>629.41936385499992</v>
      </c>
      <c r="T266" s="223">
        <f t="shared" si="1478"/>
        <v>535.76720829599992</v>
      </c>
      <c r="U266" s="223">
        <f t="shared" si="1478"/>
        <v>695.67909272400004</v>
      </c>
      <c r="V266" s="223">
        <f t="shared" si="1478"/>
        <v>740.54570385000011</v>
      </c>
      <c r="W266" s="223">
        <f t="shared" si="1478"/>
        <v>792.38288443600004</v>
      </c>
      <c r="X266" s="223">
        <f t="shared" si="1478"/>
        <v>816.14821536600004</v>
      </c>
      <c r="Y266" s="223">
        <f t="shared" si="1478"/>
        <v>829.1286083519999</v>
      </c>
      <c r="Z266" s="223">
        <f t="shared" si="1478"/>
        <v>745.27054303799991</v>
      </c>
      <c r="AA266" s="223">
        <f t="shared" si="1478"/>
        <v>821.37438456799998</v>
      </c>
      <c r="AB266" s="223">
        <f t="shared" si="1478"/>
        <v>795.3561608</v>
      </c>
      <c r="AC266" s="223">
        <f t="shared" si="1478"/>
        <v>877.2516717929999</v>
      </c>
      <c r="AD266" s="223">
        <f t="shared" si="1478"/>
        <v>859.51903091999998</v>
      </c>
      <c r="AE266" s="223">
        <f t="shared" si="1478"/>
        <v>815.77739079200001</v>
      </c>
      <c r="AF266" s="223">
        <f t="shared" si="1478"/>
        <v>416.03573069700002</v>
      </c>
      <c r="AG266" s="223">
        <f t="shared" si="1478"/>
        <v>324.40801874120001</v>
      </c>
      <c r="AH266" s="223">
        <f t="shared" si="1478"/>
        <v>279.12801635991821</v>
      </c>
      <c r="AI266" s="223">
        <f t="shared" si="1478"/>
        <v>254.44238074629735</v>
      </c>
      <c r="AJ266" s="223">
        <f t="shared" si="1478"/>
        <v>243.2959101844427</v>
      </c>
      <c r="AK266" s="223">
        <f t="shared" si="1478"/>
        <v>411.03726492068159</v>
      </c>
      <c r="AL266" s="223">
        <f t="shared" si="1478"/>
        <v>836.95540515235007</v>
      </c>
      <c r="AM266" s="223">
        <f t="shared" si="1478"/>
        <v>454.74386111255922</v>
      </c>
      <c r="AN266" s="223">
        <f t="shared" si="1478"/>
        <v>454.74386111255922</v>
      </c>
      <c r="AO266" s="223">
        <f t="shared" si="1478"/>
        <v>331.81459944846875</v>
      </c>
      <c r="AP266" s="223">
        <f t="shared" si="1478"/>
        <v>331.81459944846875</v>
      </c>
      <c r="AQ266" s="223">
        <f t="shared" si="1478"/>
        <v>383.44231969088298</v>
      </c>
      <c r="AR266" s="223">
        <f t="shared" si="1478"/>
        <v>383.44231969088298</v>
      </c>
      <c r="AS266" s="223">
        <f t="shared" si="1478"/>
        <v>673.26708200000007</v>
      </c>
      <c r="AT266" s="223">
        <f t="shared" si="1478"/>
        <v>673.26708200000007</v>
      </c>
      <c r="AU266" s="223">
        <f t="shared" si="1478"/>
        <v>726.10025969207936</v>
      </c>
      <c r="AV266" s="223">
        <f t="shared" si="1478"/>
        <v>796.65681424874049</v>
      </c>
      <c r="AW266" s="223">
        <f t="shared" si="1478"/>
        <v>850.30699199367689</v>
      </c>
      <c r="AX266" s="223">
        <f t="shared" si="1478"/>
        <v>947.3920758454791</v>
      </c>
      <c r="AY266" s="223">
        <f t="shared" si="1478"/>
        <v>1034.2607352</v>
      </c>
      <c r="AZ266" s="223">
        <f t="shared" ref="AZ266:BC266" si="1479">AZ133*AZ$215</f>
        <v>963.8303243112905</v>
      </c>
      <c r="BA266" s="223">
        <f t="shared" si="1479"/>
        <v>1024.0080124659735</v>
      </c>
      <c r="BB266" s="223">
        <f t="shared" si="1479"/>
        <v>1007.9877184365447</v>
      </c>
      <c r="BC266" s="223">
        <f t="shared" si="1479"/>
        <v>1165.5882637440754</v>
      </c>
      <c r="BD266" s="223"/>
      <c r="BE266" s="223">
        <f>BE133*BE$215</f>
        <v>726.10025969207936</v>
      </c>
      <c r="BF266" s="223">
        <f>BF133*BF$215</f>
        <v>796.65681424874049</v>
      </c>
      <c r="BG266" s="223">
        <f>BG133*BG$215</f>
        <v>850.30699199367689</v>
      </c>
      <c r="BH266" s="223">
        <f>BH133*BH$215</f>
        <v>1158.8153388991084</v>
      </c>
      <c r="BI266" s="223">
        <f>BI133*BI$215</f>
        <v>1034.2607352</v>
      </c>
      <c r="BJ266" s="223"/>
      <c r="BK266" s="38"/>
      <c r="BL266" s="38"/>
      <c r="BM266" s="38"/>
      <c r="BN266" s="38"/>
      <c r="BO266" s="38"/>
      <c r="BP266" s="69"/>
    </row>
    <row r="267" spans="2:69">
      <c r="B267" s="7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R267" s="223"/>
      <c r="S267" s="223"/>
      <c r="T267" s="223"/>
      <c r="U267" s="223"/>
      <c r="V267" s="223"/>
      <c r="W267" s="223"/>
      <c r="X267" s="223"/>
      <c r="Y267" s="223"/>
      <c r="Z267" s="223"/>
      <c r="AA267" s="223"/>
      <c r="AB267" s="223"/>
      <c r="AC267" s="223"/>
      <c r="AD267" s="223"/>
      <c r="AE267" s="223"/>
      <c r="AF267" s="223"/>
      <c r="AG267" s="223"/>
      <c r="AH267" s="223"/>
      <c r="AI267" s="223"/>
      <c r="AJ267" s="223"/>
      <c r="AK267" s="223"/>
      <c r="AL267" s="223"/>
      <c r="AM267" s="223"/>
      <c r="AN267" s="223"/>
      <c r="AO267" s="223"/>
      <c r="AP267" s="223"/>
      <c r="AQ267" s="223"/>
      <c r="AR267" s="223"/>
      <c r="AS267" s="223"/>
      <c r="AT267" s="223"/>
      <c r="AU267" s="223"/>
      <c r="AV267" s="223"/>
      <c r="AW267" s="223"/>
      <c r="AX267" s="223"/>
      <c r="AY267" s="223"/>
      <c r="AZ267" s="223"/>
      <c r="BA267" s="223"/>
      <c r="BB267" s="223"/>
      <c r="BC267" s="223"/>
      <c r="BD267" s="223"/>
      <c r="BE267" s="223"/>
      <c r="BF267" s="223"/>
      <c r="BG267" s="223"/>
      <c r="BH267" s="223"/>
      <c r="BI267" s="223"/>
      <c r="BJ267" s="223"/>
      <c r="BK267" s="38"/>
      <c r="BL267" s="38"/>
      <c r="BM267" s="38"/>
      <c r="BN267" s="38"/>
      <c r="BO267" s="38"/>
      <c r="BP267" s="69"/>
    </row>
    <row r="268" spans="2:69">
      <c r="B268" s="7" t="s">
        <v>286</v>
      </c>
      <c r="C268" s="223">
        <f>C236</f>
        <v>190.76228874999998</v>
      </c>
      <c r="D268" s="223">
        <f t="shared" ref="D268:P268" si="1480">D236</f>
        <v>201.69500713577861</v>
      </c>
      <c r="E268" s="223">
        <f t="shared" si="1480"/>
        <v>199.46128247686943</v>
      </c>
      <c r="F268" s="223">
        <f t="shared" si="1480"/>
        <v>229.93003740732158</v>
      </c>
      <c r="G268" s="223">
        <f t="shared" si="1480"/>
        <v>246.077093808</v>
      </c>
      <c r="H268" s="223">
        <f t="shared" si="1480"/>
        <v>245.3084534912</v>
      </c>
      <c r="I268" s="223">
        <f t="shared" si="1480"/>
        <v>351.81296059632433</v>
      </c>
      <c r="J268" s="223">
        <f t="shared" si="1480"/>
        <v>358.62630748241082</v>
      </c>
      <c r="K268" s="223">
        <f t="shared" si="1480"/>
        <v>463.79224366592655</v>
      </c>
      <c r="L268" s="223">
        <f t="shared" si="1480"/>
        <v>643.5863806095673</v>
      </c>
      <c r="M268" s="223">
        <f t="shared" si="1480"/>
        <v>476.03598089809003</v>
      </c>
      <c r="N268" s="223">
        <f t="shared" si="1480"/>
        <v>623.09459053833825</v>
      </c>
      <c r="O268" s="223">
        <f t="shared" si="1480"/>
        <v>466.48754939860129</v>
      </c>
      <c r="P268" s="223">
        <f t="shared" si="1480"/>
        <v>437.33217400747793</v>
      </c>
      <c r="R268" s="223"/>
      <c r="S268" s="223"/>
      <c r="T268" s="223"/>
      <c r="U268" s="223">
        <f t="shared" ref="U268:AK268" si="1481">SUM(R236:U236)</f>
        <v>196.97242682399997</v>
      </c>
      <c r="V268" s="223">
        <f t="shared" si="1481"/>
        <v>199.59719278400001</v>
      </c>
      <c r="W268" s="223">
        <f t="shared" si="1481"/>
        <v>208.04642709200002</v>
      </c>
      <c r="X268" s="223">
        <f t="shared" si="1481"/>
        <v>221.884206619</v>
      </c>
      <c r="Y268" s="223">
        <f t="shared" si="1481"/>
        <v>229.92631205400002</v>
      </c>
      <c r="Z268" s="223">
        <f t="shared" si="1481"/>
        <v>236.42956652499998</v>
      </c>
      <c r="AA268" s="223">
        <f t="shared" si="1481"/>
        <v>237.53296058200004</v>
      </c>
      <c r="AB268" s="223">
        <f t="shared" si="1481"/>
        <v>235.62722926700002</v>
      </c>
      <c r="AC268" s="223">
        <f t="shared" si="1481"/>
        <v>235.23923207500002</v>
      </c>
      <c r="AD268" s="223">
        <f t="shared" si="1481"/>
        <v>227.12214768133333</v>
      </c>
      <c r="AE268" s="223">
        <f t="shared" si="1481"/>
        <v>213.64788302833335</v>
      </c>
      <c r="AF268" s="223">
        <f t="shared" si="1481"/>
        <v>240.50109907500001</v>
      </c>
      <c r="AG268" s="223">
        <f t="shared" si="1481"/>
        <v>260.14867505439997</v>
      </c>
      <c r="AH268" s="223">
        <f t="shared" si="1481"/>
        <v>289.56811334487833</v>
      </c>
      <c r="AI268" s="223">
        <f t="shared" si="1481"/>
        <v>319.6833496245477</v>
      </c>
      <c r="AJ268" s="223">
        <f t="shared" si="1481"/>
        <v>310.49793431568588</v>
      </c>
      <c r="AK268" s="223">
        <f t="shared" si="1481"/>
        <v>330.65983566623402</v>
      </c>
      <c r="AL268" s="223">
        <f>AL236+AJ236+AI236+AH236</f>
        <v>365.27346071183092</v>
      </c>
      <c r="AM268" s="223">
        <f>AM236+AL236+AJ236+AI236</f>
        <v>400.21422257102228</v>
      </c>
      <c r="AN268" s="223">
        <f>AN236+AL236+AJ236+AI236</f>
        <v>465.42600132151966</v>
      </c>
      <c r="AO268" s="223">
        <f>AO236+AN236+AL236+AJ236</f>
        <v>484.86463660182915</v>
      </c>
      <c r="AP268" s="223">
        <f>AP236+AN236+AL236+AJ236</f>
        <v>544.38530422970689</v>
      </c>
      <c r="AQ268" s="223">
        <f>AQ236+AP236+AN236+AL236</f>
        <v>573.99878775048455</v>
      </c>
      <c r="AR268" s="223">
        <f>AR236+AP236+AN236+AL236</f>
        <v>631.65666434239529</v>
      </c>
      <c r="AS268" s="223">
        <f>AS236+AQ236+AO236+AM236</f>
        <v>447.53486765529738</v>
      </c>
      <c r="AT268" s="223">
        <f>AT236+AR236+AP236+AN236</f>
        <v>645.24186619585021</v>
      </c>
      <c r="AU268" s="223">
        <f>AU236+AT236+AR236+AP236</f>
        <v>586.52588982350449</v>
      </c>
      <c r="AV268" s="223">
        <f>AV236+AU236+AT236+AR236</f>
        <v>536.81087025795637</v>
      </c>
      <c r="AW268" s="223">
        <f>AW236+AV236+AU236+AT236</f>
        <v>484.46410449123323</v>
      </c>
      <c r="AX268" s="223">
        <f>AX236+AW236+AV236+AU236</f>
        <v>475.0006125260839</v>
      </c>
      <c r="AY268" s="223">
        <f t="shared" ref="AY268:BC268" si="1482">AY236+AX236+AW236+AV236</f>
        <v>494.19199223406457</v>
      </c>
      <c r="AZ268" s="223">
        <f t="shared" si="1482"/>
        <v>488.42458790686982</v>
      </c>
      <c r="BA268" s="223">
        <f t="shared" si="1482"/>
        <v>509.72291397359561</v>
      </c>
      <c r="BB268" s="223">
        <f t="shared" si="1482"/>
        <v>468.31962243437499</v>
      </c>
      <c r="BC268" s="223">
        <f t="shared" si="1482"/>
        <v>435.70311173235433</v>
      </c>
      <c r="BD268" s="223"/>
      <c r="BE268" s="223">
        <f>BE236+AT236+AR236+AP236</f>
        <v>636.36952352769003</v>
      </c>
      <c r="BF268" s="223">
        <f>BF236+BE236+AT236+AR236</f>
        <v>618.31840904613307</v>
      </c>
      <c r="BG268" s="223">
        <f>BG236+BF236+BE236+AT236</f>
        <v>597.46992223490156</v>
      </c>
      <c r="BH268" s="223">
        <f t="shared" ref="BH268:BI268" si="1483">BH236+BG236+BF236+BE236</f>
        <v>622.71556352043876</v>
      </c>
      <c r="BI268" s="223">
        <f t="shared" si="1483"/>
        <v>638.36557625670878</v>
      </c>
      <c r="BJ268" s="223"/>
      <c r="BK268" s="38"/>
      <c r="BL268" s="38"/>
      <c r="BM268" s="38"/>
      <c r="BN268" s="38"/>
      <c r="BO268" s="38"/>
      <c r="BP268" s="69"/>
    </row>
    <row r="269" spans="2:69">
      <c r="B269" s="7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38"/>
      <c r="BL269" s="38"/>
      <c r="BM269" s="38"/>
      <c r="BN269" s="38"/>
      <c r="BO269" s="38"/>
      <c r="BP269" s="69"/>
    </row>
    <row r="270" spans="2:69">
      <c r="B270" s="7" t="s">
        <v>259</v>
      </c>
      <c r="C270" s="70">
        <f>C259/C268</f>
        <v>4.3930064515961629</v>
      </c>
      <c r="D270" s="70">
        <f t="shared" ref="D270:P270" si="1484">D259/D268</f>
        <v>5.6171262769896657</v>
      </c>
      <c r="E270" s="70">
        <f t="shared" si="1484"/>
        <v>4.9722033763370082</v>
      </c>
      <c r="F270" s="70">
        <f t="shared" si="1484"/>
        <v>4.2963488889883674</v>
      </c>
      <c r="G270" s="70">
        <f t="shared" si="1484"/>
        <v>5.142511999716489</v>
      </c>
      <c r="H270" s="70">
        <f t="shared" si="1484"/>
        <v>5.5625907410212871</v>
      </c>
      <c r="I270" s="70">
        <f t="shared" si="1484"/>
        <v>3.6103488515744262</v>
      </c>
      <c r="J270" s="70">
        <f t="shared" si="1484"/>
        <v>5.8358575871208087</v>
      </c>
      <c r="K270" s="70">
        <f t="shared" si="1484"/>
        <v>2.2403594113325553</v>
      </c>
      <c r="L270" s="70">
        <f t="shared" si="1484"/>
        <v>2.326047162037514</v>
      </c>
      <c r="M270" s="70">
        <f t="shared" si="1484"/>
        <v>2.8541782697223024</v>
      </c>
      <c r="N270" s="70">
        <f t="shared" si="1484"/>
        <v>2.8541782184501869</v>
      </c>
      <c r="O270" s="70">
        <f t="shared" si="1484"/>
        <v>2.8615889336369307</v>
      </c>
      <c r="P270" s="70">
        <f t="shared" si="1484"/>
        <v>2.996363784266511</v>
      </c>
      <c r="R270" s="106"/>
      <c r="S270" s="106"/>
      <c r="T270" s="106"/>
      <c r="U270" s="70">
        <f t="shared" ref="U270:BC270" si="1485">U259/U268</f>
        <v>5.034950022762076</v>
      </c>
      <c r="V270" s="70">
        <f t="shared" si="1485"/>
        <v>4.9980504505470629</v>
      </c>
      <c r="W270" s="70">
        <f t="shared" si="1485"/>
        <v>4.8810169373201804</v>
      </c>
      <c r="X270" s="70">
        <f t="shared" si="1485"/>
        <v>4.5895404697983526</v>
      </c>
      <c r="Y270" s="70">
        <f t="shared" si="1485"/>
        <v>4.2955493489411518</v>
      </c>
      <c r="Z270" s="70">
        <f t="shared" si="1485"/>
        <v>4.0713830390803318</v>
      </c>
      <c r="AA270" s="70">
        <f t="shared" si="1485"/>
        <v>4.4083617429022617</v>
      </c>
      <c r="AB270" s="70">
        <f t="shared" si="1485"/>
        <v>4.6218967081514739</v>
      </c>
      <c r="AC270" s="70">
        <f t="shared" si="1485"/>
        <v>5.3794360600511668</v>
      </c>
      <c r="AD270" s="70">
        <f t="shared" si="1485"/>
        <v>5.6201365148719447</v>
      </c>
      <c r="AE270" s="70">
        <f t="shared" si="1485"/>
        <v>5.7858349161834086</v>
      </c>
      <c r="AF270" s="70">
        <f t="shared" si="1485"/>
        <v>5.9144775575907618</v>
      </c>
      <c r="AG270" s="70">
        <f t="shared" si="1485"/>
        <v>3.299977543143287</v>
      </c>
      <c r="AH270" s="70">
        <f t="shared" si="1485"/>
        <v>4.6714741366307893</v>
      </c>
      <c r="AI270" s="70">
        <f t="shared" si="1485"/>
        <v>4.1497692968025897</v>
      </c>
      <c r="AJ270" s="70">
        <f t="shared" si="1485"/>
        <v>4.1694293423516022</v>
      </c>
      <c r="AK270" s="70">
        <f t="shared" si="1485"/>
        <v>3.8413117689323402</v>
      </c>
      <c r="AL270" s="70">
        <f t="shared" si="1485"/>
        <v>5.7296581399146804</v>
      </c>
      <c r="AM270" s="70">
        <f t="shared" si="1485"/>
        <v>3.2827829668029049</v>
      </c>
      <c r="AN270" s="70">
        <f t="shared" si="1485"/>
        <v>2.8228256032065229</v>
      </c>
      <c r="AO270" s="70">
        <f t="shared" si="1485"/>
        <v>2.2657337286713926</v>
      </c>
      <c r="AP270" s="70">
        <f t="shared" si="1485"/>
        <v>2.0180084812230925</v>
      </c>
      <c r="AQ270" s="70">
        <f t="shared" si="1485"/>
        <v>1.8161838211671888</v>
      </c>
      <c r="AR270" s="70">
        <f t="shared" si="1485"/>
        <v>1.6504018251233386</v>
      </c>
      <c r="AS270" s="70">
        <f t="shared" si="1485"/>
        <v>2.3217438306959166</v>
      </c>
      <c r="AT270" s="70">
        <f t="shared" si="1485"/>
        <v>1.6103439228548355</v>
      </c>
      <c r="AU270" s="70">
        <f t="shared" si="1485"/>
        <v>1.8085838829276015</v>
      </c>
      <c r="AV270" s="70">
        <f t="shared" si="1485"/>
        <v>2.1536008729402845</v>
      </c>
      <c r="AW270" s="70">
        <f t="shared" si="1485"/>
        <v>2.8724582901219216</v>
      </c>
      <c r="AX270" s="70">
        <f t="shared" si="1485"/>
        <v>2.8603995794019301</v>
      </c>
      <c r="AY270" s="70">
        <f t="shared" si="1485"/>
        <v>2.9605747947996579</v>
      </c>
      <c r="AZ270" s="70">
        <f t="shared" si="1485"/>
        <v>3.3573583000626388</v>
      </c>
      <c r="BA270" s="70">
        <f t="shared" si="1485"/>
        <v>3.2303359585375437</v>
      </c>
      <c r="BB270" s="70">
        <f t="shared" si="1485"/>
        <v>2.850394356955448</v>
      </c>
      <c r="BC270" s="70">
        <f t="shared" si="1485"/>
        <v>3.0075669707300805</v>
      </c>
      <c r="BD270" s="70"/>
      <c r="BE270" s="70">
        <f t="shared" ref="BE270:BI270" si="1486">BE259/BE268</f>
        <v>1.666926576518247</v>
      </c>
      <c r="BF270" s="70">
        <f t="shared" si="1486"/>
        <v>1.8697103981989207</v>
      </c>
      <c r="BG270" s="70">
        <f t="shared" si="1486"/>
        <v>2.3291598144503958</v>
      </c>
      <c r="BH270" s="70">
        <f t="shared" si="1486"/>
        <v>2.8559154653122647</v>
      </c>
      <c r="BI270" s="70">
        <f t="shared" si="1486"/>
        <v>2.2919349200804024</v>
      </c>
      <c r="BJ270" s="70"/>
      <c r="BK270" s="38"/>
      <c r="BL270" s="38"/>
      <c r="BM270" s="38"/>
      <c r="BN270" s="38"/>
      <c r="BO270" s="38"/>
      <c r="BP270" s="70"/>
      <c r="BQ270" s="231"/>
    </row>
    <row r="271" spans="2:69">
      <c r="B271" s="11" t="s">
        <v>260</v>
      </c>
      <c r="C271" s="57">
        <f>(C259-C264)/C268</f>
        <v>4.3928993360853674</v>
      </c>
      <c r="D271" s="57">
        <f t="shared" ref="D271:P271" si="1487">(D259-D264)/D268</f>
        <v>5.6171262769896657</v>
      </c>
      <c r="E271" s="57">
        <f t="shared" si="1487"/>
        <v>4.9722033763370082</v>
      </c>
      <c r="F271" s="57">
        <f t="shared" si="1487"/>
        <v>4.2505519595017436</v>
      </c>
      <c r="G271" s="57">
        <f t="shared" si="1487"/>
        <v>5.1150704032700158</v>
      </c>
      <c r="H271" s="57">
        <f t="shared" si="1487"/>
        <v>5.5529799266484163</v>
      </c>
      <c r="I271" s="57">
        <f t="shared" si="1487"/>
        <v>3.6087441213650906</v>
      </c>
      <c r="J271" s="57">
        <f t="shared" si="1487"/>
        <v>5.8332634879951311</v>
      </c>
      <c r="K271" s="57">
        <f t="shared" si="1487"/>
        <v>2.2401677824271267</v>
      </c>
      <c r="L271" s="57">
        <f t="shared" si="1487"/>
        <v>2.3258481186508537</v>
      </c>
      <c r="M271" s="57">
        <f t="shared" si="1487"/>
        <v>2.8540952768982661</v>
      </c>
      <c r="N271" s="57">
        <f t="shared" si="1487"/>
        <v>2.854095237296066</v>
      </c>
      <c r="O271" s="57">
        <f t="shared" si="1487"/>
        <v>2.8615889336369307</v>
      </c>
      <c r="P271" s="57">
        <f t="shared" si="1487"/>
        <v>2.996363784266511</v>
      </c>
      <c r="R271" s="106"/>
      <c r="S271" s="106"/>
      <c r="T271" s="106"/>
      <c r="U271" s="57">
        <f t="shared" ref="U271:BC271" si="1488">(U259-U264)/U268</f>
        <v>5.034950022762076</v>
      </c>
      <c r="V271" s="57">
        <f t="shared" si="1488"/>
        <v>4.9980504505470629</v>
      </c>
      <c r="W271" s="57">
        <f t="shared" si="1488"/>
        <v>4.8243500727708231</v>
      </c>
      <c r="X271" s="57">
        <f t="shared" si="1488"/>
        <v>4.537245395115888</v>
      </c>
      <c r="Y271" s="57">
        <f t="shared" si="1488"/>
        <v>4.2497609421513829</v>
      </c>
      <c r="Z271" s="57">
        <f t="shared" si="1488"/>
        <v>4.0325340143073287</v>
      </c>
      <c r="AA271" s="57">
        <f t="shared" si="1488"/>
        <v>4.3731261405526221</v>
      </c>
      <c r="AB271" s="57">
        <f t="shared" si="1488"/>
        <v>4.5928909781207761</v>
      </c>
      <c r="AC271" s="57">
        <f t="shared" si="1488"/>
        <v>5.3507301837250303</v>
      </c>
      <c r="AD271" s="57">
        <f t="shared" si="1488"/>
        <v>5.5957766850777908</v>
      </c>
      <c r="AE271" s="57">
        <f t="shared" si="1488"/>
        <v>5.7636672072743913</v>
      </c>
      <c r="AF271" s="57">
        <f t="shared" si="1488"/>
        <v>5.8975027513187674</v>
      </c>
      <c r="AG271" s="57">
        <f t="shared" si="1488"/>
        <v>3.2909149791686407</v>
      </c>
      <c r="AH271" s="57">
        <f t="shared" si="1488"/>
        <v>4.6653778046840202</v>
      </c>
      <c r="AI271" s="57">
        <f t="shared" si="1488"/>
        <v>4.1459973742662886</v>
      </c>
      <c r="AJ271" s="57">
        <f t="shared" si="1488"/>
        <v>4.1670496378113642</v>
      </c>
      <c r="AK271" s="57">
        <f t="shared" si="1488"/>
        <v>3.8396043801750479</v>
      </c>
      <c r="AL271" s="57">
        <f t="shared" si="1488"/>
        <v>5.7271112475429424</v>
      </c>
      <c r="AM271" s="57">
        <f t="shared" si="1488"/>
        <v>3.2823602486117749</v>
      </c>
      <c r="AN271" s="57">
        <f t="shared" si="1488"/>
        <v>2.8224621129164458</v>
      </c>
      <c r="AO271" s="57">
        <f t="shared" si="1488"/>
        <v>2.2654913375849839</v>
      </c>
      <c r="AP271" s="57">
        <f t="shared" si="1488"/>
        <v>2.0177925920998674</v>
      </c>
      <c r="AQ271" s="57">
        <f t="shared" si="1488"/>
        <v>1.8160022762294075</v>
      </c>
      <c r="AR271" s="57">
        <f t="shared" si="1488"/>
        <v>1.6502368516811328</v>
      </c>
      <c r="AS271" s="57">
        <f t="shared" si="1488"/>
        <v>2.3215452405827808</v>
      </c>
      <c r="AT271" s="57">
        <f t="shared" si="1488"/>
        <v>1.6102061822576172</v>
      </c>
      <c r="AU271" s="57">
        <f t="shared" si="1488"/>
        <v>1.8084596456823023</v>
      </c>
      <c r="AV271" s="57">
        <f t="shared" si="1488"/>
        <v>2.1534827631737645</v>
      </c>
      <c r="AW271" s="57">
        <f t="shared" si="1488"/>
        <v>2.8723524261269668</v>
      </c>
      <c r="AX271" s="57">
        <f t="shared" si="1488"/>
        <v>2.8603164056767691</v>
      </c>
      <c r="AY271" s="57">
        <f t="shared" si="1488"/>
        <v>2.9605216413685769</v>
      </c>
      <c r="AZ271" s="57">
        <f t="shared" si="1488"/>
        <v>3.3573299136762409</v>
      </c>
      <c r="BA271" s="57">
        <f t="shared" si="1488"/>
        <v>3.2303333166454493</v>
      </c>
      <c r="BB271" s="57">
        <f t="shared" si="1488"/>
        <v>2.850394356955448</v>
      </c>
      <c r="BC271" s="57">
        <f t="shared" si="1488"/>
        <v>3.0075669707300805</v>
      </c>
      <c r="BD271" s="57"/>
      <c r="BE271" s="57">
        <f t="shared" ref="BE271:BI271" si="1489">(BE259-BE264)/BE268</f>
        <v>1.6668120701533846</v>
      </c>
      <c r="BF271" s="57">
        <f t="shared" si="1489"/>
        <v>1.8696078578158044</v>
      </c>
      <c r="BG271" s="57">
        <f t="shared" si="1489"/>
        <v>2.3290739736346411</v>
      </c>
      <c r="BH271" s="57">
        <f t="shared" si="1489"/>
        <v>2.855832433650173</v>
      </c>
      <c r="BI271" s="57">
        <f t="shared" si="1489"/>
        <v>2.2918937712450376</v>
      </c>
      <c r="BJ271" s="57"/>
      <c r="BK271" s="38"/>
      <c r="BL271" s="38"/>
      <c r="BM271" s="38"/>
      <c r="BN271" s="38"/>
      <c r="BO271" s="38"/>
      <c r="BP271" s="57"/>
    </row>
    <row r="272" spans="2:69"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R272" s="106"/>
      <c r="S272" s="106"/>
      <c r="T272" s="106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38"/>
      <c r="BL272" s="38"/>
      <c r="BM272" s="38"/>
      <c r="BN272" s="38"/>
      <c r="BO272" s="38"/>
      <c r="BP272" s="69"/>
    </row>
    <row r="273" spans="2:69" s="7" customFormat="1" ht="12.75">
      <c r="B273" s="7" t="s">
        <v>261</v>
      </c>
      <c r="C273" s="70">
        <f>C261/C268</f>
        <v>0.9874859923015058</v>
      </c>
      <c r="D273" s="70">
        <f t="shared" ref="D273:P273" si="1490">D261/D268</f>
        <v>1.4594288383243963</v>
      </c>
      <c r="E273" s="70">
        <f t="shared" si="1490"/>
        <v>1.7689688094776845</v>
      </c>
      <c r="F273" s="70">
        <f t="shared" si="1490"/>
        <v>0.57936737714703657</v>
      </c>
      <c r="G273" s="70">
        <f t="shared" si="1490"/>
        <v>1.0322508589084374</v>
      </c>
      <c r="H273" s="70">
        <f t="shared" si="1490"/>
        <v>2.6749311135587894</v>
      </c>
      <c r="I273" s="70">
        <f t="shared" si="1490"/>
        <v>2.170877415158798</v>
      </c>
      <c r="J273" s="70">
        <f t="shared" si="1490"/>
        <v>3.5090601761475066</v>
      </c>
      <c r="K273" s="70">
        <f t="shared" si="1490"/>
        <v>1.385473687358278</v>
      </c>
      <c r="L273" s="70">
        <f t="shared" si="1490"/>
        <v>1.4385402696950567</v>
      </c>
      <c r="M273" s="70">
        <f t="shared" si="1490"/>
        <v>1.2898237599408722</v>
      </c>
      <c r="N273" s="70">
        <f t="shared" si="1490"/>
        <v>1.2898237688258443</v>
      </c>
      <c r="O273" s="70">
        <f t="shared" si="1490"/>
        <v>1.6976441377223939</v>
      </c>
      <c r="P273" s="70">
        <f t="shared" si="1490"/>
        <v>2.1132986833967817</v>
      </c>
      <c r="R273" s="106"/>
      <c r="S273" s="106"/>
      <c r="T273" s="106"/>
      <c r="U273" s="70">
        <f t="shared" ref="U273:BC273" si="1491">U261/U268</f>
        <v>1.7912922850123967</v>
      </c>
      <c r="V273" s="70">
        <f t="shared" si="1491"/>
        <v>1.5527964856219407</v>
      </c>
      <c r="W273" s="70">
        <f t="shared" si="1491"/>
        <v>1.4637040162018224</v>
      </c>
      <c r="X273" s="70">
        <f t="shared" si="1491"/>
        <v>1.5453304640053578</v>
      </c>
      <c r="Y273" s="70">
        <f t="shared" si="1491"/>
        <v>0.57925955829152742</v>
      </c>
      <c r="Z273" s="70">
        <f t="shared" si="1491"/>
        <v>0.84920166433909106</v>
      </c>
      <c r="AA273" s="70">
        <f t="shared" si="1491"/>
        <v>0.37728498485608131</v>
      </c>
      <c r="AB273" s="70">
        <f t="shared" si="1491"/>
        <v>1.3741692772828764</v>
      </c>
      <c r="AC273" s="70">
        <f t="shared" si="1491"/>
        <v>1.0798083686993776</v>
      </c>
      <c r="AD273" s="70">
        <f t="shared" si="1491"/>
        <v>0.84117693844659736</v>
      </c>
      <c r="AE273" s="70">
        <f t="shared" si="1491"/>
        <v>1.0727639153419781</v>
      </c>
      <c r="AF273" s="70">
        <f t="shared" si="1491"/>
        <v>2.5886502713563528</v>
      </c>
      <c r="AG273" s="70">
        <f t="shared" si="1491"/>
        <v>0.5770449075122478</v>
      </c>
      <c r="AH273" s="70">
        <f t="shared" si="1491"/>
        <v>2.4750759301700547</v>
      </c>
      <c r="AI273" s="70">
        <f t="shared" si="1491"/>
        <v>2.3277962755689425</v>
      </c>
      <c r="AJ273" s="70">
        <f t="shared" si="1491"/>
        <v>2.5359962546562262</v>
      </c>
      <c r="AK273" s="70">
        <f t="shared" si="1491"/>
        <v>2.3097537957093457</v>
      </c>
      <c r="AL273" s="70">
        <f t="shared" si="1491"/>
        <v>3.4452031944860058</v>
      </c>
      <c r="AM273" s="70">
        <f t="shared" si="1491"/>
        <v>1.997733734662142</v>
      </c>
      <c r="AN273" s="70">
        <f t="shared" si="1491"/>
        <v>0.96119994517381713</v>
      </c>
      <c r="AO273" s="70">
        <f t="shared" si="1491"/>
        <v>1.5716737058703747</v>
      </c>
      <c r="AP273" s="70">
        <f t="shared" si="1491"/>
        <v>1.3998338939949375</v>
      </c>
      <c r="AQ273" s="70">
        <f t="shared" si="1491"/>
        <v>1.200449310314426</v>
      </c>
      <c r="AR273" s="70">
        <f t="shared" si="1491"/>
        <v>1.0908718102321429</v>
      </c>
      <c r="AS273" s="70">
        <f t="shared" si="1491"/>
        <v>1.4358030992457225</v>
      </c>
      <c r="AT273" s="70">
        <f t="shared" si="1491"/>
        <v>0.99586214668370643</v>
      </c>
      <c r="AU273" s="70">
        <f t="shared" si="1491"/>
        <v>1.1409029347540078</v>
      </c>
      <c r="AV273" s="70">
        <f t="shared" si="1491"/>
        <v>1.1990509202903301</v>
      </c>
      <c r="AW273" s="70">
        <f t="shared" si="1491"/>
        <v>1.4624999721651453</v>
      </c>
      <c r="AX273" s="70">
        <f t="shared" si="1491"/>
        <v>1.2926352146870099</v>
      </c>
      <c r="AY273" s="70">
        <f t="shared" si="1491"/>
        <v>1.6815431950714617</v>
      </c>
      <c r="AZ273" s="70">
        <f t="shared" si="1491"/>
        <v>1.9484571439738296</v>
      </c>
      <c r="BA273" s="70">
        <f t="shared" si="1491"/>
        <v>1.8350158840841606</v>
      </c>
      <c r="BB273" s="70">
        <f t="shared" si="1491"/>
        <v>1.6910029296668927</v>
      </c>
      <c r="BC273" s="70">
        <f t="shared" si="1491"/>
        <v>2.1212001536146601</v>
      </c>
      <c r="BD273" s="70"/>
      <c r="BE273" s="70">
        <f t="shared" ref="BE273:BI273" si="1492">BE261/BE268</f>
        <v>1.0515417289302744</v>
      </c>
      <c r="BF273" s="70">
        <f t="shared" si="1492"/>
        <v>1.0409904647633279</v>
      </c>
      <c r="BG273" s="70">
        <f t="shared" si="1492"/>
        <v>1.185881854408857</v>
      </c>
      <c r="BH273" s="70">
        <f t="shared" si="1492"/>
        <v>1.2906088432407987</v>
      </c>
      <c r="BI273" s="70">
        <f t="shared" si="1492"/>
        <v>1.3017700397833234</v>
      </c>
      <c r="BJ273" s="70"/>
      <c r="BK273" s="38"/>
      <c r="BL273" s="38"/>
      <c r="BM273" s="38"/>
      <c r="BN273" s="38"/>
      <c r="BO273" s="38"/>
      <c r="BP273" s="70"/>
      <c r="BQ273" s="11"/>
    </row>
    <row r="274" spans="2:69">
      <c r="B274" s="11" t="s">
        <v>262</v>
      </c>
      <c r="C274" s="57">
        <f>(C261-C264)/C268</f>
        <v>0.98737887679071024</v>
      </c>
      <c r="D274" s="57">
        <f t="shared" ref="D274:P274" si="1493">(D261-D264)/D268</f>
        <v>1.4594288383243963</v>
      </c>
      <c r="E274" s="57">
        <f t="shared" si="1493"/>
        <v>1.7689688094776845</v>
      </c>
      <c r="F274" s="57">
        <f t="shared" si="1493"/>
        <v>0.53357044766041228</v>
      </c>
      <c r="G274" s="57">
        <f t="shared" si="1493"/>
        <v>1.0048092624619642</v>
      </c>
      <c r="H274" s="57">
        <f t="shared" si="1493"/>
        <v>2.6653202991859186</v>
      </c>
      <c r="I274" s="57">
        <f t="shared" si="1493"/>
        <v>2.1692726849494623</v>
      </c>
      <c r="J274" s="57">
        <f t="shared" si="1493"/>
        <v>3.5064660770218294</v>
      </c>
      <c r="K274" s="57">
        <f t="shared" si="1493"/>
        <v>1.3852820584528494</v>
      </c>
      <c r="L274" s="57">
        <f t="shared" si="1493"/>
        <v>1.4383412263083968</v>
      </c>
      <c r="M274" s="57">
        <f t="shared" si="1493"/>
        <v>1.2897407671168357</v>
      </c>
      <c r="N274" s="57">
        <f t="shared" si="1493"/>
        <v>1.2897407876717228</v>
      </c>
      <c r="O274" s="57">
        <f t="shared" si="1493"/>
        <v>1.6976441377223939</v>
      </c>
      <c r="P274" s="57">
        <f t="shared" si="1493"/>
        <v>2.1132986833967817</v>
      </c>
      <c r="R274" s="106"/>
      <c r="S274" s="106"/>
      <c r="T274" s="106"/>
      <c r="U274" s="57">
        <f t="shared" ref="U274:BC274" si="1494">(U261-U264)/U268</f>
        <v>1.7912922850123967</v>
      </c>
      <c r="V274" s="57">
        <f t="shared" si="1494"/>
        <v>1.5527964856219407</v>
      </c>
      <c r="W274" s="57">
        <f t="shared" si="1494"/>
        <v>1.4070371516524658</v>
      </c>
      <c r="X274" s="57">
        <f t="shared" si="1494"/>
        <v>1.4930353893228931</v>
      </c>
      <c r="Y274" s="57">
        <f t="shared" si="1494"/>
        <v>0.53347115150175806</v>
      </c>
      <c r="Z274" s="57">
        <f t="shared" si="1494"/>
        <v>0.8103526395660885</v>
      </c>
      <c r="AA274" s="57">
        <f t="shared" si="1494"/>
        <v>0.34204938250644157</v>
      </c>
      <c r="AB274" s="57">
        <f t="shared" si="1494"/>
        <v>1.3451635472521783</v>
      </c>
      <c r="AC274" s="57">
        <f t="shared" si="1494"/>
        <v>1.0511024923732424</v>
      </c>
      <c r="AD274" s="57">
        <f t="shared" si="1494"/>
        <v>0.81681710865244339</v>
      </c>
      <c r="AE274" s="57">
        <f t="shared" si="1494"/>
        <v>1.0505962064329601</v>
      </c>
      <c r="AF274" s="57">
        <f t="shared" si="1494"/>
        <v>2.5716754650843576</v>
      </c>
      <c r="AG274" s="57">
        <f t="shared" si="1494"/>
        <v>0.56798234353760135</v>
      </c>
      <c r="AH274" s="57">
        <f t="shared" si="1494"/>
        <v>2.4689795982232861</v>
      </c>
      <c r="AI274" s="57">
        <f t="shared" si="1494"/>
        <v>2.3240243530326414</v>
      </c>
      <c r="AJ274" s="57">
        <f t="shared" si="1494"/>
        <v>2.5336165501159882</v>
      </c>
      <c r="AK274" s="57">
        <f t="shared" si="1494"/>
        <v>2.3080464069520539</v>
      </c>
      <c r="AL274" s="57">
        <f t="shared" si="1494"/>
        <v>3.4426563021142687</v>
      </c>
      <c r="AM274" s="57">
        <f t="shared" si="1494"/>
        <v>1.9973110164710117</v>
      </c>
      <c r="AN274" s="57">
        <f t="shared" si="1494"/>
        <v>0.96083645488373992</v>
      </c>
      <c r="AO274" s="57">
        <f t="shared" si="1494"/>
        <v>1.571431314783966</v>
      </c>
      <c r="AP274" s="57">
        <f t="shared" si="1494"/>
        <v>1.399618004871712</v>
      </c>
      <c r="AQ274" s="57">
        <f t="shared" si="1494"/>
        <v>1.2002677653766445</v>
      </c>
      <c r="AR274" s="57">
        <f t="shared" si="1494"/>
        <v>1.0907068367899371</v>
      </c>
      <c r="AS274" s="57">
        <f t="shared" si="1494"/>
        <v>1.4356045091325864</v>
      </c>
      <c r="AT274" s="57">
        <f t="shared" si="1494"/>
        <v>0.99572440608648816</v>
      </c>
      <c r="AU274" s="57">
        <f t="shared" si="1494"/>
        <v>1.1407786975087086</v>
      </c>
      <c r="AV274" s="57">
        <f t="shared" si="1494"/>
        <v>1.19893281052381</v>
      </c>
      <c r="AW274" s="57">
        <f t="shared" si="1494"/>
        <v>1.4623941081701903</v>
      </c>
      <c r="AX274" s="57">
        <f t="shared" si="1494"/>
        <v>1.2925520409618487</v>
      </c>
      <c r="AY274" s="57">
        <f t="shared" si="1494"/>
        <v>1.6814900416403806</v>
      </c>
      <c r="AZ274" s="57">
        <f t="shared" si="1494"/>
        <v>1.9484287575874322</v>
      </c>
      <c r="BA274" s="57">
        <f t="shared" si="1494"/>
        <v>1.8350132421920662</v>
      </c>
      <c r="BB274" s="57">
        <f t="shared" si="1494"/>
        <v>1.6910029296668927</v>
      </c>
      <c r="BC274" s="57">
        <f t="shared" si="1494"/>
        <v>2.1212001536146601</v>
      </c>
      <c r="BD274" s="57"/>
      <c r="BE274" s="57">
        <f t="shared" ref="BE274:BI274" si="1495">(BE261-BE264)/BE268</f>
        <v>1.051427222565412</v>
      </c>
      <c r="BF274" s="57">
        <f t="shared" si="1495"/>
        <v>1.0408879243802114</v>
      </c>
      <c r="BG274" s="57">
        <f t="shared" si="1495"/>
        <v>1.185796013593102</v>
      </c>
      <c r="BH274" s="57">
        <f t="shared" si="1495"/>
        <v>1.2905258115787068</v>
      </c>
      <c r="BI274" s="57">
        <f t="shared" si="1495"/>
        <v>1.3017288909479585</v>
      </c>
      <c r="BJ274" s="57"/>
      <c r="BK274" s="38"/>
      <c r="BL274" s="38"/>
      <c r="BM274" s="38"/>
      <c r="BN274" s="38"/>
      <c r="BO274" s="38"/>
      <c r="BP274" s="57"/>
    </row>
    <row r="275" spans="2:69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R275" s="106"/>
      <c r="S275" s="106"/>
      <c r="T275" s="106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38"/>
      <c r="BL275" s="38"/>
      <c r="BM275" s="38"/>
      <c r="BN275" s="38"/>
      <c r="BO275" s="38"/>
      <c r="BP275" s="57"/>
    </row>
    <row r="276" spans="2:69" s="7" customFormat="1">
      <c r="B276" s="7" t="str">
        <f>+B148</f>
        <v>EBITDA - Capex / Interest</v>
      </c>
      <c r="C276" s="70">
        <f>(C268+C245)/-C243</f>
        <v>4.1039989256757234</v>
      </c>
      <c r="D276" s="70">
        <f t="shared" ref="D276:P276" si="1496">(D268+D245)/-D243</f>
        <v>2.3950988871590839</v>
      </c>
      <c r="E276" s="70">
        <f t="shared" si="1496"/>
        <v>2.2366119894402754</v>
      </c>
      <c r="F276" s="70">
        <f t="shared" si="1496"/>
        <v>2.8349572163108592</v>
      </c>
      <c r="G276" s="70">
        <f t="shared" si="1496"/>
        <v>3.9328404731238318</v>
      </c>
      <c r="H276" s="70">
        <f t="shared" si="1496"/>
        <v>2.4987228261946828</v>
      </c>
      <c r="I276" s="70">
        <f t="shared" si="1496"/>
        <v>2.3811067576718612</v>
      </c>
      <c r="J276" s="70">
        <f t="shared" si="1496"/>
        <v>1.4454266013126194</v>
      </c>
      <c r="K276" s="70">
        <f t="shared" si="1496"/>
        <v>2.5861511235290817</v>
      </c>
      <c r="L276" s="70">
        <f t="shared" si="1496"/>
        <v>2.5861513432366063</v>
      </c>
      <c r="M276" s="70">
        <f t="shared" si="1496"/>
        <v>3.1594294228669844</v>
      </c>
      <c r="N276" s="70">
        <f t="shared" si="1496"/>
        <v>3.1594293627477263</v>
      </c>
      <c r="O276" s="70">
        <f t="shared" si="1496"/>
        <v>3.2272193025217368</v>
      </c>
      <c r="P276" s="70">
        <f t="shared" si="1496"/>
        <v>2.9173937162741446</v>
      </c>
      <c r="Q276" s="127"/>
      <c r="R276" s="106"/>
      <c r="S276" s="106"/>
      <c r="T276" s="106"/>
      <c r="U276" s="70">
        <f>(U268+SUM(R245,S245,T245,U245))/-SUM(R243,S243,T243,U243)</f>
        <v>2.2781040475305114</v>
      </c>
      <c r="V276" s="70">
        <f t="shared" ref="V276:BC276" si="1497">(V268+SUM(S245,T245,U245,V245))/-SUM(S243,T243,U243,V243)</f>
        <v>2.3631784340195434</v>
      </c>
      <c r="W276" s="70">
        <f t="shared" si="1497"/>
        <v>2.8107785786257518</v>
      </c>
      <c r="X276" s="70">
        <f t="shared" si="1497"/>
        <v>2.7986247433556946</v>
      </c>
      <c r="Y276" s="70">
        <f t="shared" si="1497"/>
        <v>2.8871650717346333</v>
      </c>
      <c r="Z276" s="70">
        <f t="shared" si="1497"/>
        <v>2.9777055461320985</v>
      </c>
      <c r="AA276" s="70">
        <f t="shared" si="1497"/>
        <v>3.3422622802968163</v>
      </c>
      <c r="AB276" s="70">
        <f t="shared" si="1497"/>
        <v>3.8901748127662481</v>
      </c>
      <c r="AC276" s="70">
        <f t="shared" si="1497"/>
        <v>4.0687546876706238</v>
      </c>
      <c r="AD276" s="70">
        <f t="shared" si="1497"/>
        <v>4.0897251669980239</v>
      </c>
      <c r="AE276" s="70">
        <f t="shared" si="1497"/>
        <v>2.839784263848816</v>
      </c>
      <c r="AF276" s="70">
        <f t="shared" si="1497"/>
        <v>2.6482781678733427</v>
      </c>
      <c r="AG276" s="70">
        <f t="shared" si="1497"/>
        <v>2.6000851941468297</v>
      </c>
      <c r="AH276" s="70">
        <f t="shared" si="1497"/>
        <v>2.9141232104226087</v>
      </c>
      <c r="AI276" s="70">
        <f t="shared" si="1497"/>
        <v>2.9387685518284052</v>
      </c>
      <c r="AJ276" s="70">
        <f t="shared" si="1497"/>
        <v>3.3885737486258138</v>
      </c>
      <c r="AK276" s="70">
        <f t="shared" si="1497"/>
        <v>2.5155675928424723</v>
      </c>
      <c r="AL276" s="70">
        <f t="shared" si="1497"/>
        <v>1.0474527341924418</v>
      </c>
      <c r="AM276" s="70">
        <f t="shared" si="1497"/>
        <v>1.3850061205328437</v>
      </c>
      <c r="AN276" s="70">
        <f t="shared" si="1497"/>
        <v>1.6118910530078741</v>
      </c>
      <c r="AO276" s="70">
        <f t="shared" si="1497"/>
        <v>1.9033348053951133</v>
      </c>
      <c r="AP276" s="70">
        <f t="shared" si="1497"/>
        <v>3.731192640832647</v>
      </c>
      <c r="AQ276" s="70">
        <f t="shared" si="1497"/>
        <v>3.9979680568182796</v>
      </c>
      <c r="AR276" s="70">
        <f t="shared" si="1497"/>
        <v>4.5073174476822606</v>
      </c>
      <c r="AS276" s="70">
        <f t="shared" si="1497"/>
        <v>2.2183709350511687</v>
      </c>
      <c r="AT276" s="70">
        <f t="shared" si="1497"/>
        <v>2.7388024687909289</v>
      </c>
      <c r="AU276" s="70">
        <f t="shared" si="1497"/>
        <v>2.4552331119558195</v>
      </c>
      <c r="AV276" s="70">
        <f t="shared" si="1497"/>
        <v>1.8427844326333773</v>
      </c>
      <c r="AW276" s="70">
        <f t="shared" si="1497"/>
        <v>2.2143314725729515</v>
      </c>
      <c r="AX276" s="70">
        <f t="shared" si="1497"/>
        <v>3.2249985905030436</v>
      </c>
      <c r="AY276" s="70">
        <f t="shared" si="1497"/>
        <v>2.952521172234098</v>
      </c>
      <c r="AZ276" s="70">
        <f t="shared" si="1497"/>
        <v>3.0771433789965519</v>
      </c>
      <c r="BA276" s="70">
        <f t="shared" si="1497"/>
        <v>3.0552069304580067</v>
      </c>
      <c r="BB276" s="70">
        <f t="shared" si="1497"/>
        <v>3.2732060526439453</v>
      </c>
      <c r="BC276" s="70">
        <f t="shared" si="1497"/>
        <v>2.8900054805020439</v>
      </c>
      <c r="BD276" s="70"/>
      <c r="BE276" s="70">
        <f>(BE268+SUM(AR245,AT245,AP245,BE245))/-SUM(AR243,AT243,AP243,BE243)</f>
        <v>2.8193271850737771</v>
      </c>
      <c r="BF276" s="70">
        <f>(BF268+SUM(AT245,BE245,AR245,BF245))/-SUM(AT243,BE243,AR243,BF243)</f>
        <v>2.9045083786089267</v>
      </c>
      <c r="BG276" s="70">
        <f>(BG268+SUM(AU245,BF245,AS245,BG245))/-SUM(AU243,BF243,AS243,BG243)</f>
        <v>2.7764919514818835</v>
      </c>
      <c r="BH276" s="70">
        <f>(SUM(BH268)+SUM(BE245:BH245))/-SUM(BE243:BH243)</f>
        <v>3.2278150093494884</v>
      </c>
      <c r="BI276" s="70">
        <f>(SUM(BI268)+SUM(BF245:BI245))/-SUM(BF243:BI243)</f>
        <v>2.9106338492194981</v>
      </c>
      <c r="BJ276" s="70"/>
      <c r="BK276" s="321"/>
      <c r="BL276" s="321"/>
      <c r="BM276" s="321"/>
      <c r="BN276" s="321"/>
      <c r="BO276" s="321"/>
      <c r="BP276" s="70"/>
    </row>
    <row r="277" spans="2:69" ht="12.75">
      <c r="B277" s="11" t="str">
        <f>+B149</f>
        <v>EBITDA/Interest</v>
      </c>
      <c r="C277" s="57">
        <f>C268/-C243</f>
        <v>7.5816824811672019</v>
      </c>
      <c r="D277" s="57">
        <f t="shared" ref="D277:P277" si="1498">D268/-D243</f>
        <v>4.229902554344692</v>
      </c>
      <c r="E277" s="57">
        <f t="shared" si="1498"/>
        <v>2.785774033755525</v>
      </c>
      <c r="F277" s="57">
        <f t="shared" si="1498"/>
        <v>3.1437232903406294</v>
      </c>
      <c r="G277" s="57">
        <f t="shared" si="1498"/>
        <v>4.4520875614130011</v>
      </c>
      <c r="H277" s="57">
        <f t="shared" si="1498"/>
        <v>3.0767916442572107</v>
      </c>
      <c r="I277" s="57">
        <f t="shared" si="1498"/>
        <v>2.7141801092618372</v>
      </c>
      <c r="J277" s="57">
        <f t="shared" si="1498"/>
        <v>1.7401826140234278</v>
      </c>
      <c r="K277" s="57">
        <f t="shared" si="1498"/>
        <v>2.8879195219614098</v>
      </c>
      <c r="L277" s="57">
        <f t="shared" si="1498"/>
        <v>2.8879198333780529</v>
      </c>
      <c r="M277" s="57">
        <f t="shared" si="1498"/>
        <v>3.7742799359270807</v>
      </c>
      <c r="N277" s="57">
        <f t="shared" si="1498"/>
        <v>3.7742797239257566</v>
      </c>
      <c r="O277" s="57">
        <f t="shared" si="1498"/>
        <v>3.5247008957767409</v>
      </c>
      <c r="P277" s="57">
        <f t="shared" si="1498"/>
        <v>3.1959810768031591</v>
      </c>
      <c r="Q277" s="11"/>
      <c r="R277" s="105"/>
      <c r="S277" s="105"/>
      <c r="T277" s="105"/>
      <c r="U277" s="57">
        <f>(U268)/-SUM(R243,S243,T243,U243)</f>
        <v>2.8443990232026075</v>
      </c>
      <c r="V277" s="57">
        <f t="shared" ref="V277:BC277" si="1499">(V268)/-SUM(S243,T243,U243,V243)</f>
        <v>2.8108214569175023</v>
      </c>
      <c r="W277" s="57">
        <f t="shared" si="1499"/>
        <v>3.162324198162334</v>
      </c>
      <c r="X277" s="57">
        <f t="shared" si="1499"/>
        <v>3.0178191110115917</v>
      </c>
      <c r="Y277" s="57">
        <f t="shared" si="1499"/>
        <v>3.1988792933614305</v>
      </c>
      <c r="Z277" s="57">
        <f t="shared" si="1499"/>
        <v>3.2889992692641523</v>
      </c>
      <c r="AA277" s="57">
        <f t="shared" si="1499"/>
        <v>3.689594896318436</v>
      </c>
      <c r="AB277" s="57">
        <f t="shared" si="1499"/>
        <v>4.2963880480719645</v>
      </c>
      <c r="AC277" s="57">
        <f t="shared" si="1499"/>
        <v>4.5806120641558756</v>
      </c>
      <c r="AD277" s="57">
        <f t="shared" si="1499"/>
        <v>4.5307130433646474</v>
      </c>
      <c r="AE277" s="57">
        <f t="shared" si="1499"/>
        <v>3.2240790673284372</v>
      </c>
      <c r="AF277" s="57">
        <f t="shared" si="1499"/>
        <v>2.9633268604419216</v>
      </c>
      <c r="AG277" s="57">
        <f t="shared" si="1499"/>
        <v>3.1192468784812002</v>
      </c>
      <c r="AH277" s="57">
        <f t="shared" si="1499"/>
        <v>3.5125869356221471</v>
      </c>
      <c r="AI277" s="57">
        <f t="shared" si="1499"/>
        <v>3.4689443566172771</v>
      </c>
      <c r="AJ277" s="57">
        <f t="shared" si="1499"/>
        <v>4.0698705991779223</v>
      </c>
      <c r="AK277" s="57">
        <f t="shared" si="1499"/>
        <v>2.8497097180654301</v>
      </c>
      <c r="AL277" s="57">
        <f t="shared" si="1499"/>
        <v>1.3264950435513143</v>
      </c>
      <c r="AM277" s="57">
        <f t="shared" si="1499"/>
        <v>1.721708947862638</v>
      </c>
      <c r="AN277" s="57">
        <f t="shared" si="1499"/>
        <v>1.9645055008588912</v>
      </c>
      <c r="AO277" s="57">
        <f t="shared" si="1499"/>
        <v>2.2362620283312897</v>
      </c>
      <c r="AP277" s="57">
        <f t="shared" si="1499"/>
        <v>4.0355138132383246</v>
      </c>
      <c r="AQ277" s="57">
        <f t="shared" si="1499"/>
        <v>4.3252454021702746</v>
      </c>
      <c r="AR277" s="57">
        <f t="shared" si="1499"/>
        <v>4.871106920912557</v>
      </c>
      <c r="AS277" s="57">
        <f t="shared" si="1499"/>
        <v>2.4947284269829622</v>
      </c>
      <c r="AT277" s="57">
        <f t="shared" si="1499"/>
        <v>3.0120289534767251</v>
      </c>
      <c r="AU277" s="57">
        <f t="shared" si="1499"/>
        <v>2.7177883721320688</v>
      </c>
      <c r="AV277" s="57">
        <f t="shared" si="1499"/>
        <v>2.0322929745704643</v>
      </c>
      <c r="AW277" s="57">
        <f t="shared" si="1499"/>
        <v>2.5282877550272556</v>
      </c>
      <c r="AX277" s="57">
        <f t="shared" si="1499"/>
        <v>3.8368623083319675</v>
      </c>
      <c r="AY277" s="57">
        <f t="shared" si="1499"/>
        <v>3.4555674455505692</v>
      </c>
      <c r="AZ277" s="57">
        <f t="shared" si="1499"/>
        <v>3.5785731423921234</v>
      </c>
      <c r="BA277" s="57">
        <f t="shared" si="1499"/>
        <v>3.4939232109143421</v>
      </c>
      <c r="BB277" s="57">
        <f t="shared" si="1499"/>
        <v>3.5667636645393577</v>
      </c>
      <c r="BC277" s="57">
        <f t="shared" si="1499"/>
        <v>3.1678895124471924</v>
      </c>
      <c r="BD277" s="57"/>
      <c r="BE277" s="57">
        <f>(BE268)/-SUM(AR243,AT243,AP243,BE243)</f>
        <v>3.1270342168910825</v>
      </c>
      <c r="BF277" s="57">
        <f>(BF268)/-SUM(AT243,BE243,AR243,BF243)</f>
        <v>3.2421977937688427</v>
      </c>
      <c r="BG277" s="57">
        <f>(BG268)/-SUM(AU243,BF243,AS243,BG243)</f>
        <v>3.0763377762984825</v>
      </c>
      <c r="BH277" s="57">
        <f>(SUM(BH268))/-SUM(BE243:BH243)</f>
        <v>3.8396700583808627</v>
      </c>
      <c r="BI277" s="57">
        <f>(SUM(BI268))/-SUM(BF243:BI243)</f>
        <v>3.4108974668753036</v>
      </c>
      <c r="BJ277" s="57"/>
      <c r="BK277" s="38"/>
      <c r="BL277" s="38"/>
      <c r="BM277" s="38"/>
      <c r="BN277" s="38"/>
      <c r="BO277" s="38"/>
      <c r="BP277" s="57"/>
    </row>
    <row r="278" spans="2:69"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R278" s="106"/>
      <c r="S278" s="106"/>
      <c r="T278" s="106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38"/>
      <c r="BL278" s="38"/>
      <c r="BM278" s="38"/>
      <c r="BN278" s="38"/>
      <c r="BO278" s="38"/>
      <c r="BP278" s="69"/>
    </row>
    <row r="279" spans="2:69" s="7" customFormat="1">
      <c r="B279" s="53" t="str">
        <f>+B151</f>
        <v xml:space="preserve">Gearing (Net debt / Equity) </v>
      </c>
      <c r="C279" s="364">
        <f t="shared" ref="C279:M279" si="1500">C261/C266</f>
        <v>0.45893405830570005</v>
      </c>
      <c r="D279" s="364">
        <f t="shared" si="1500"/>
        <v>0.43686476926215645</v>
      </c>
      <c r="E279" s="364">
        <f t="shared" si="1500"/>
        <v>0.50718095774366156</v>
      </c>
      <c r="F279" s="364">
        <f t="shared" si="1500"/>
        <v>0.16063492758346171</v>
      </c>
      <c r="G279" s="364">
        <f t="shared" si="1500"/>
        <v>0.28955577926893727</v>
      </c>
      <c r="H279" s="364">
        <f t="shared" si="1500"/>
        <v>2.0227096025825344</v>
      </c>
      <c r="I279" s="364">
        <f t="shared" si="1500"/>
        <v>1.858086542752013</v>
      </c>
      <c r="J279" s="364">
        <f t="shared" si="1500"/>
        <v>1.5035942010270975</v>
      </c>
      <c r="K279" s="364">
        <f t="shared" si="1500"/>
        <v>0.954408684427557</v>
      </c>
      <c r="L279" s="364">
        <f t="shared" si="1500"/>
        <v>0.95454067853321056</v>
      </c>
      <c r="M279" s="364">
        <f t="shared" si="1500"/>
        <v>0.64809758747576884</v>
      </c>
      <c r="N279" s="364">
        <f t="shared" ref="N279:O279" si="1501">N261/N266</f>
        <v>0.69353777614530498</v>
      </c>
      <c r="O279" s="364">
        <f t="shared" si="1501"/>
        <v>0.78565426847199737</v>
      </c>
      <c r="P279" s="364">
        <f>P261/P266</f>
        <v>0.79291593462713694</v>
      </c>
      <c r="Q279" s="127"/>
      <c r="R279" s="365"/>
      <c r="S279" s="365"/>
      <c r="T279" s="365"/>
      <c r="U279" s="364">
        <f t="shared" ref="U279:AX279" si="1502">U261/U266</f>
        <v>0.50718095774366168</v>
      </c>
      <c r="V279" s="364">
        <f t="shared" si="1502"/>
        <v>0.41852085277612827</v>
      </c>
      <c r="W279" s="364">
        <f t="shared" si="1502"/>
        <v>0.38430712837487557</v>
      </c>
      <c r="X279" s="364">
        <f t="shared" si="1502"/>
        <v>0.42012518990344677</v>
      </c>
      <c r="Y279" s="364">
        <f t="shared" si="1502"/>
        <v>0.16063492758346179</v>
      </c>
      <c r="Z279" s="364">
        <f t="shared" si="1502"/>
        <v>0.26940066700283183</v>
      </c>
      <c r="AA279" s="364">
        <f t="shared" si="1502"/>
        <v>0.10910690803090266</v>
      </c>
      <c r="AB279" s="364">
        <f t="shared" si="1502"/>
        <v>0.40710277396269595</v>
      </c>
      <c r="AC279" s="364">
        <f t="shared" si="1502"/>
        <v>0.28955577926893727</v>
      </c>
      <c r="AD279" s="364">
        <f t="shared" si="1502"/>
        <v>0.22227537258309057</v>
      </c>
      <c r="AE279" s="364">
        <f t="shared" si="1502"/>
        <v>0.28095132580162147</v>
      </c>
      <c r="AF279" s="364">
        <f t="shared" si="1502"/>
        <v>1.4964417463350563</v>
      </c>
      <c r="AG279" s="364">
        <f t="shared" si="1502"/>
        <v>0.46274277904319583</v>
      </c>
      <c r="AH279" s="364">
        <f t="shared" si="1502"/>
        <v>2.5676500583177528</v>
      </c>
      <c r="AI279" s="364">
        <f t="shared" si="1502"/>
        <v>2.9246610114036802</v>
      </c>
      <c r="AJ279" s="364">
        <f t="shared" si="1502"/>
        <v>3.2364769218937131</v>
      </c>
      <c r="AK279" s="364">
        <f t="shared" si="1502"/>
        <v>1.858086542752013</v>
      </c>
      <c r="AL279" s="364">
        <f t="shared" si="1502"/>
        <v>1.5035942010270975</v>
      </c>
      <c r="AM279" s="364">
        <f t="shared" si="1502"/>
        <v>1.758179762043703</v>
      </c>
      <c r="AN279" s="364">
        <f t="shared" si="1502"/>
        <v>0.98377896923820207</v>
      </c>
      <c r="AO279" s="364">
        <f t="shared" si="1502"/>
        <v>2.2966108227912274</v>
      </c>
      <c r="AP279" s="364">
        <f t="shared" si="1502"/>
        <v>2.2966108227912274</v>
      </c>
      <c r="AQ279" s="364">
        <f>AQ261/AQ266</f>
        <v>1.797027645336273</v>
      </c>
      <c r="AR279" s="364">
        <f t="shared" si="1502"/>
        <v>1.797027645336273</v>
      </c>
      <c r="AS279" s="364">
        <f t="shared" si="1502"/>
        <v>0.954408684427557</v>
      </c>
      <c r="AT279" s="364">
        <f t="shared" si="1502"/>
        <v>0.954408684427557</v>
      </c>
      <c r="AU279" s="364">
        <f t="shared" si="1502"/>
        <v>0.92159326494748772</v>
      </c>
      <c r="AV279" s="364">
        <f t="shared" si="1502"/>
        <v>0.80795589329345041</v>
      </c>
      <c r="AW279" s="364">
        <f t="shared" si="1502"/>
        <v>0.83326227586601975</v>
      </c>
      <c r="AX279" s="364">
        <f t="shared" si="1502"/>
        <v>0.64809758747576884</v>
      </c>
      <c r="AY279" s="364">
        <f>AY261/AY266</f>
        <v>0.80347745333221454</v>
      </c>
      <c r="AZ279" s="364">
        <f>AZ261/AZ266</f>
        <v>0.9873878768855272</v>
      </c>
      <c r="BA279" s="364">
        <f t="shared" ref="BA279:BB279" si="1503">BA261/BA266</f>
        <v>0.9134202391353774</v>
      </c>
      <c r="BB279" s="364">
        <f t="shared" si="1503"/>
        <v>0.78565426847199737</v>
      </c>
      <c r="BC279" s="364">
        <f>BC261/BC266</f>
        <v>0.79291593462713694</v>
      </c>
      <c r="BD279" s="366"/>
      <c r="BE279" s="364">
        <f>BE261/BE266</f>
        <v>0.92159326494748772</v>
      </c>
      <c r="BF279" s="364">
        <f>BF261/BF266</f>
        <v>0.80795589329345041</v>
      </c>
      <c r="BG279" s="364">
        <f>BG261/BG266</f>
        <v>0.83326227586601975</v>
      </c>
      <c r="BH279" s="364">
        <f>BH261/BH266</f>
        <v>0.69353777614530498</v>
      </c>
      <c r="BI279" s="364">
        <f>BI261/BI266</f>
        <v>0.80347745333221454</v>
      </c>
      <c r="BJ279" s="366"/>
      <c r="BK279" s="321"/>
      <c r="BL279" s="321"/>
      <c r="BM279" s="321"/>
      <c r="BN279" s="321"/>
      <c r="BO279" s="321"/>
      <c r="BP279" s="366"/>
    </row>
    <row r="280" spans="2:69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J280" s="56"/>
      <c r="AK280" s="56"/>
      <c r="AL280" s="56"/>
      <c r="AQ280" s="56"/>
      <c r="AR280" s="56"/>
      <c r="AS280" s="56"/>
      <c r="AT280" s="56"/>
      <c r="AW280" s="56"/>
      <c r="AX280" s="56"/>
      <c r="BA280" s="56"/>
      <c r="BB280" s="56"/>
      <c r="BK280" s="38"/>
      <c r="BL280" s="38"/>
      <c r="BM280" s="38"/>
      <c r="BN280" s="38"/>
      <c r="BO280" s="38"/>
    </row>
    <row r="281" spans="2:69"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J281" s="23"/>
      <c r="AK281" s="23"/>
      <c r="AL281" s="23"/>
      <c r="AQ281" s="23"/>
      <c r="AR281" s="23"/>
      <c r="AS281" s="23"/>
      <c r="AT281" s="23"/>
      <c r="AW281" s="23"/>
      <c r="AX281" s="23"/>
      <c r="BA281" s="23"/>
      <c r="BB281" s="23"/>
    </row>
    <row r="282" spans="2:69">
      <c r="AC282" s="230"/>
      <c r="AD282" s="230"/>
      <c r="AE282" s="230"/>
      <c r="AF282" s="230"/>
      <c r="AG282" s="230"/>
      <c r="AH282" s="230"/>
      <c r="AI282" s="230"/>
      <c r="AJ282" s="230"/>
      <c r="AK282" s="230"/>
      <c r="AL282" s="230"/>
      <c r="AM282" s="230"/>
      <c r="AN282" s="230"/>
      <c r="AO282" s="230"/>
      <c r="AP282" s="230"/>
      <c r="AQ282" s="230"/>
      <c r="AR282" s="230"/>
      <c r="AS282" s="230"/>
      <c r="AT282" s="230"/>
      <c r="AU282" s="230"/>
      <c r="AV282" s="230"/>
      <c r="AW282" s="230"/>
      <c r="AX282" s="230"/>
      <c r="AY282" s="230"/>
      <c r="AZ282" s="230"/>
      <c r="BA282" s="230"/>
      <c r="BB282" s="230"/>
      <c r="BC282" s="230"/>
      <c r="BD282" s="230"/>
      <c r="BE282" s="230"/>
      <c r="BF282" s="230"/>
      <c r="BG282" s="230"/>
      <c r="BH282" s="230"/>
      <c r="BI282" s="230"/>
      <c r="BJ282" s="230"/>
      <c r="BK282" s="230"/>
      <c r="BL282" s="230"/>
      <c r="BM282" s="230"/>
      <c r="BN282" s="230"/>
      <c r="BO282" s="230"/>
    </row>
    <row r="283" spans="2:69">
      <c r="AC283" s="230"/>
      <c r="AD283" s="230"/>
      <c r="AE283" s="230"/>
      <c r="AF283" s="230"/>
      <c r="AG283" s="230"/>
      <c r="AH283" s="230"/>
      <c r="AI283" s="230"/>
      <c r="AJ283" s="230"/>
      <c r="AK283" s="230"/>
      <c r="AL283" s="230"/>
      <c r="AM283" s="230"/>
      <c r="AN283" s="230"/>
      <c r="AO283" s="230"/>
      <c r="AP283" s="230"/>
      <c r="AQ283" s="230"/>
      <c r="AR283" s="230"/>
      <c r="AS283" s="230"/>
      <c r="AT283" s="230"/>
      <c r="AU283" s="230"/>
      <c r="AV283" s="230"/>
      <c r="AW283" s="230"/>
      <c r="AX283" s="230"/>
      <c r="AY283" s="230"/>
      <c r="AZ283" s="230"/>
      <c r="BA283" s="230"/>
      <c r="BB283" s="230"/>
      <c r="BC283" s="230"/>
      <c r="BD283" s="230"/>
      <c r="BE283" s="230"/>
      <c r="BF283" s="230"/>
      <c r="BG283" s="230"/>
      <c r="BH283" s="230"/>
      <c r="BI283" s="230"/>
      <c r="BJ283" s="230"/>
      <c r="BK283" s="230"/>
      <c r="BL283" s="230"/>
      <c r="BM283" s="230"/>
      <c r="BN283" s="230"/>
      <c r="BO283" s="230"/>
    </row>
    <row r="284" spans="2:69">
      <c r="AC284" s="230"/>
      <c r="AD284" s="230"/>
      <c r="AE284" s="230"/>
      <c r="AF284" s="230"/>
      <c r="AG284" s="230"/>
      <c r="AH284" s="230"/>
      <c r="AI284" s="230"/>
      <c r="AJ284" s="230"/>
      <c r="AK284" s="230"/>
      <c r="AL284" s="230"/>
      <c r="AM284" s="230"/>
      <c r="AN284" s="230"/>
      <c r="AO284" s="230"/>
      <c r="AP284" s="230"/>
      <c r="AQ284" s="230"/>
      <c r="AR284" s="230"/>
      <c r="AS284" s="230"/>
      <c r="AT284" s="230"/>
      <c r="AU284" s="230"/>
      <c r="AV284" s="230"/>
      <c r="AW284" s="230"/>
      <c r="AX284" s="230"/>
      <c r="AY284" s="230"/>
      <c r="AZ284" s="230"/>
      <c r="BA284" s="230"/>
      <c r="BB284" s="230"/>
      <c r="BC284" s="230"/>
      <c r="BD284" s="230"/>
      <c r="BE284" s="230"/>
      <c r="BF284" s="230"/>
      <c r="BG284" s="230"/>
      <c r="BH284" s="230"/>
      <c r="BI284" s="230"/>
      <c r="BJ284" s="230"/>
      <c r="BK284" s="230"/>
      <c r="BL284" s="230"/>
      <c r="BM284" s="230"/>
      <c r="BN284" s="230"/>
      <c r="BO284" s="230"/>
    </row>
    <row r="285" spans="2:69">
      <c r="AC285" s="230"/>
      <c r="AD285" s="230"/>
      <c r="AE285" s="230"/>
      <c r="AF285" s="230"/>
      <c r="AG285" s="230"/>
      <c r="AH285" s="230"/>
      <c r="AI285" s="230"/>
      <c r="AJ285" s="230"/>
      <c r="AK285" s="230"/>
      <c r="AL285" s="230"/>
      <c r="AM285" s="230"/>
      <c r="AN285" s="230"/>
      <c r="AO285" s="230"/>
      <c r="AP285" s="230"/>
      <c r="AQ285" s="230"/>
      <c r="AR285" s="230"/>
      <c r="AS285" s="230"/>
      <c r="AT285" s="230"/>
      <c r="AU285" s="230"/>
      <c r="AV285" s="230"/>
      <c r="AW285" s="230"/>
      <c r="AX285" s="230"/>
      <c r="AY285" s="230"/>
      <c r="AZ285" s="230"/>
      <c r="BA285" s="230"/>
      <c r="BB285" s="230"/>
      <c r="BC285" s="230"/>
      <c r="BD285" s="230"/>
      <c r="BE285" s="230"/>
      <c r="BF285" s="230"/>
      <c r="BG285" s="230"/>
      <c r="BH285" s="230"/>
      <c r="BI285" s="230"/>
      <c r="BJ285" s="230"/>
      <c r="BK285" s="230"/>
      <c r="BL285" s="230"/>
      <c r="BM285" s="230"/>
      <c r="BN285" s="230"/>
      <c r="BO285" s="230"/>
    </row>
    <row r="287" spans="2:69">
      <c r="AC287" s="230"/>
      <c r="AD287" s="230"/>
      <c r="AE287" s="230"/>
      <c r="AF287" s="230"/>
      <c r="AG287" s="230"/>
      <c r="AH287" s="230"/>
      <c r="AI287" s="230"/>
      <c r="AJ287" s="230"/>
      <c r="AK287" s="230"/>
      <c r="AL287" s="230"/>
      <c r="AM287" s="230"/>
      <c r="AN287" s="230"/>
      <c r="AO287" s="230"/>
      <c r="AP287" s="230"/>
      <c r="AQ287" s="230"/>
      <c r="AR287" s="230"/>
      <c r="AS287" s="230"/>
      <c r="AT287" s="230"/>
      <c r="AU287" s="230"/>
      <c r="AV287" s="230"/>
      <c r="AW287" s="230"/>
      <c r="AX287" s="230"/>
      <c r="AY287" s="230"/>
      <c r="AZ287" s="230"/>
      <c r="BA287" s="230"/>
      <c r="BB287" s="230"/>
      <c r="BC287" s="230"/>
      <c r="BD287" s="230"/>
      <c r="BE287" s="230"/>
      <c r="BF287" s="230"/>
      <c r="BG287" s="230"/>
      <c r="BH287" s="230"/>
      <c r="BI287" s="230"/>
      <c r="BJ287" s="230"/>
      <c r="BK287" s="230"/>
      <c r="BL287" s="230"/>
      <c r="BM287" s="230"/>
      <c r="BN287" s="230"/>
      <c r="BO287" s="230"/>
    </row>
  </sheetData>
  <pageMargins left="0.7" right="0.7" top="0.75" bottom="0.75" header="0.3" footer="0.3"/>
  <pageSetup orientation="portrait" horizontalDpi="90" verticalDpi="90" r:id="rId1"/>
  <ignoredErrors>
    <ignoredError sqref="V81 R71:U71 X71:Y71 C92:F92 U25:AC25 AC66:AC76 F81 R66:Y70 R72:Y76 R92:AA92 U8:AC20 U26:Y26 P92 U21:AC23" formula="1"/>
    <ignoredError sqref="U216:AB216 AC21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57"/>
  <sheetViews>
    <sheetView showGridLines="0" zoomScaleNormal="100" workbookViewId="0">
      <pane xSplit="2" ySplit="6" topLeftCell="D7" activePane="bottomRight" state="frozen"/>
      <selection pane="bottomRight" activeCell="M6" sqref="M6"/>
      <selection pane="bottomLeft" activeCell="I29" sqref="I29"/>
      <selection pane="topRight" activeCell="I29" sqref="I29"/>
    </sheetView>
  </sheetViews>
  <sheetFormatPr defaultRowHeight="12.75" outlineLevelCol="1"/>
  <cols>
    <col min="1" max="1" width="2.7109375" style="11" customWidth="1"/>
    <col min="2" max="2" width="50.7109375" style="11" customWidth="1"/>
    <col min="3" max="10" width="12.7109375" style="11" hidden="1" customWidth="1" outlineLevel="1"/>
    <col min="11" max="11" width="12.7109375" style="11" hidden="1" customWidth="1" outlineLevel="1" collapsed="1"/>
    <col min="12" max="12" width="12.7109375" style="11" hidden="1" customWidth="1" outlineLevel="1"/>
    <col min="13" max="13" width="12.7109375" style="11" customWidth="1" collapsed="1"/>
    <col min="14" max="17" width="12.7109375" style="11" customWidth="1"/>
    <col min="18" max="33" width="12.7109375" style="11" hidden="1" customWidth="1" outlineLevel="1"/>
    <col min="34" max="34" width="12.7109375" style="11" hidden="1" customWidth="1" outlineLevel="1" collapsed="1"/>
    <col min="35" max="46" width="12.7109375" style="11" hidden="1" customWidth="1" outlineLevel="1"/>
    <col min="47" max="47" width="12.7109375" style="11" customWidth="1" collapsed="1"/>
    <col min="48" max="50" width="12.7109375" style="11" customWidth="1"/>
    <col min="51" max="51" width="12.7109375" style="11" customWidth="1" collapsed="1"/>
    <col min="52" max="66" width="12.7109375" style="11" customWidth="1"/>
    <col min="67" max="285" width="9.140625" style="11"/>
    <col min="286" max="286" width="2.5703125" style="11" customWidth="1"/>
    <col min="287" max="287" width="29.42578125" style="11" customWidth="1"/>
    <col min="288" max="292" width="11.42578125" style="11" customWidth="1"/>
    <col min="293" max="293" width="6.140625" style="11" customWidth="1"/>
    <col min="294" max="297" width="11.42578125" style="11" customWidth="1"/>
    <col min="298" max="541" width="9.140625" style="11"/>
    <col min="542" max="542" width="2.5703125" style="11" customWidth="1"/>
    <col min="543" max="543" width="29.42578125" style="11" customWidth="1"/>
    <col min="544" max="548" width="11.42578125" style="11" customWidth="1"/>
    <col min="549" max="549" width="6.140625" style="11" customWidth="1"/>
    <col min="550" max="553" width="11.42578125" style="11" customWidth="1"/>
    <col min="554" max="797" width="9.140625" style="11"/>
    <col min="798" max="798" width="2.5703125" style="11" customWidth="1"/>
    <col min="799" max="799" width="29.42578125" style="11" customWidth="1"/>
    <col min="800" max="804" width="11.42578125" style="11" customWidth="1"/>
    <col min="805" max="805" width="6.140625" style="11" customWidth="1"/>
    <col min="806" max="809" width="11.42578125" style="11" customWidth="1"/>
    <col min="810" max="1053" width="9.140625" style="11"/>
    <col min="1054" max="1054" width="2.5703125" style="11" customWidth="1"/>
    <col min="1055" max="1055" width="29.42578125" style="11" customWidth="1"/>
    <col min="1056" max="1060" width="11.42578125" style="11" customWidth="1"/>
    <col min="1061" max="1061" width="6.140625" style="11" customWidth="1"/>
    <col min="1062" max="1065" width="11.42578125" style="11" customWidth="1"/>
    <col min="1066" max="1309" width="9.140625" style="11"/>
    <col min="1310" max="1310" width="2.5703125" style="11" customWidth="1"/>
    <col min="1311" max="1311" width="29.42578125" style="11" customWidth="1"/>
    <col min="1312" max="1316" width="11.42578125" style="11" customWidth="1"/>
    <col min="1317" max="1317" width="6.140625" style="11" customWidth="1"/>
    <col min="1318" max="1321" width="11.42578125" style="11" customWidth="1"/>
    <col min="1322" max="1565" width="9.140625" style="11"/>
    <col min="1566" max="1566" width="2.5703125" style="11" customWidth="1"/>
    <col min="1567" max="1567" width="29.42578125" style="11" customWidth="1"/>
    <col min="1568" max="1572" width="11.42578125" style="11" customWidth="1"/>
    <col min="1573" max="1573" width="6.140625" style="11" customWidth="1"/>
    <col min="1574" max="1577" width="11.42578125" style="11" customWidth="1"/>
    <col min="1578" max="1821" width="9.140625" style="11"/>
    <col min="1822" max="1822" width="2.5703125" style="11" customWidth="1"/>
    <col min="1823" max="1823" width="29.42578125" style="11" customWidth="1"/>
    <col min="1824" max="1828" width="11.42578125" style="11" customWidth="1"/>
    <col min="1829" max="1829" width="6.140625" style="11" customWidth="1"/>
    <col min="1830" max="1833" width="11.42578125" style="11" customWidth="1"/>
    <col min="1834" max="2077" width="9.140625" style="11"/>
    <col min="2078" max="2078" width="2.5703125" style="11" customWidth="1"/>
    <col min="2079" max="2079" width="29.42578125" style="11" customWidth="1"/>
    <col min="2080" max="2084" width="11.42578125" style="11" customWidth="1"/>
    <col min="2085" max="2085" width="6.140625" style="11" customWidth="1"/>
    <col min="2086" max="2089" width="11.42578125" style="11" customWidth="1"/>
    <col min="2090" max="2333" width="9.140625" style="11"/>
    <col min="2334" max="2334" width="2.5703125" style="11" customWidth="1"/>
    <col min="2335" max="2335" width="29.42578125" style="11" customWidth="1"/>
    <col min="2336" max="2340" width="11.42578125" style="11" customWidth="1"/>
    <col min="2341" max="2341" width="6.140625" style="11" customWidth="1"/>
    <col min="2342" max="2345" width="11.42578125" style="11" customWidth="1"/>
    <col min="2346" max="2589" width="9.140625" style="11"/>
    <col min="2590" max="2590" width="2.5703125" style="11" customWidth="1"/>
    <col min="2591" max="2591" width="29.42578125" style="11" customWidth="1"/>
    <col min="2592" max="2596" width="11.42578125" style="11" customWidth="1"/>
    <col min="2597" max="2597" width="6.140625" style="11" customWidth="1"/>
    <col min="2598" max="2601" width="11.42578125" style="11" customWidth="1"/>
    <col min="2602" max="2845" width="9.140625" style="11"/>
    <col min="2846" max="2846" width="2.5703125" style="11" customWidth="1"/>
    <col min="2847" max="2847" width="29.42578125" style="11" customWidth="1"/>
    <col min="2848" max="2852" width="11.42578125" style="11" customWidth="1"/>
    <col min="2853" max="2853" width="6.140625" style="11" customWidth="1"/>
    <col min="2854" max="2857" width="11.42578125" style="11" customWidth="1"/>
    <col min="2858" max="3101" width="9.140625" style="11"/>
    <col min="3102" max="3102" width="2.5703125" style="11" customWidth="1"/>
    <col min="3103" max="3103" width="29.42578125" style="11" customWidth="1"/>
    <col min="3104" max="3108" width="11.42578125" style="11" customWidth="1"/>
    <col min="3109" max="3109" width="6.140625" style="11" customWidth="1"/>
    <col min="3110" max="3113" width="11.42578125" style="11" customWidth="1"/>
    <col min="3114" max="3357" width="9.140625" style="11"/>
    <col min="3358" max="3358" width="2.5703125" style="11" customWidth="1"/>
    <col min="3359" max="3359" width="29.42578125" style="11" customWidth="1"/>
    <col min="3360" max="3364" width="11.42578125" style="11" customWidth="1"/>
    <col min="3365" max="3365" width="6.140625" style="11" customWidth="1"/>
    <col min="3366" max="3369" width="11.42578125" style="11" customWidth="1"/>
    <col min="3370" max="3613" width="9.140625" style="11"/>
    <col min="3614" max="3614" width="2.5703125" style="11" customWidth="1"/>
    <col min="3615" max="3615" width="29.42578125" style="11" customWidth="1"/>
    <col min="3616" max="3620" width="11.42578125" style="11" customWidth="1"/>
    <col min="3621" max="3621" width="6.140625" style="11" customWidth="1"/>
    <col min="3622" max="3625" width="11.42578125" style="11" customWidth="1"/>
    <col min="3626" max="3869" width="9.140625" style="11"/>
    <col min="3870" max="3870" width="2.5703125" style="11" customWidth="1"/>
    <col min="3871" max="3871" width="29.42578125" style="11" customWidth="1"/>
    <col min="3872" max="3876" width="11.42578125" style="11" customWidth="1"/>
    <col min="3877" max="3877" width="6.140625" style="11" customWidth="1"/>
    <col min="3878" max="3881" width="11.42578125" style="11" customWidth="1"/>
    <col min="3882" max="4125" width="9.140625" style="11"/>
    <col min="4126" max="4126" width="2.5703125" style="11" customWidth="1"/>
    <col min="4127" max="4127" width="29.42578125" style="11" customWidth="1"/>
    <col min="4128" max="4132" width="11.42578125" style="11" customWidth="1"/>
    <col min="4133" max="4133" width="6.140625" style="11" customWidth="1"/>
    <col min="4134" max="4137" width="11.42578125" style="11" customWidth="1"/>
    <col min="4138" max="4381" width="9.140625" style="11"/>
    <col min="4382" max="4382" width="2.5703125" style="11" customWidth="1"/>
    <col min="4383" max="4383" width="29.42578125" style="11" customWidth="1"/>
    <col min="4384" max="4388" width="11.42578125" style="11" customWidth="1"/>
    <col min="4389" max="4389" width="6.140625" style="11" customWidth="1"/>
    <col min="4390" max="4393" width="11.42578125" style="11" customWidth="1"/>
    <col min="4394" max="4637" width="9.140625" style="11"/>
    <col min="4638" max="4638" width="2.5703125" style="11" customWidth="1"/>
    <col min="4639" max="4639" width="29.42578125" style="11" customWidth="1"/>
    <col min="4640" max="4644" width="11.42578125" style="11" customWidth="1"/>
    <col min="4645" max="4645" width="6.140625" style="11" customWidth="1"/>
    <col min="4646" max="4649" width="11.42578125" style="11" customWidth="1"/>
    <col min="4650" max="4893" width="9.140625" style="11"/>
    <col min="4894" max="4894" width="2.5703125" style="11" customWidth="1"/>
    <col min="4895" max="4895" width="29.42578125" style="11" customWidth="1"/>
    <col min="4896" max="4900" width="11.42578125" style="11" customWidth="1"/>
    <col min="4901" max="4901" width="6.140625" style="11" customWidth="1"/>
    <col min="4902" max="4905" width="11.42578125" style="11" customWidth="1"/>
    <col min="4906" max="5149" width="9.140625" style="11"/>
    <col min="5150" max="5150" width="2.5703125" style="11" customWidth="1"/>
    <col min="5151" max="5151" width="29.42578125" style="11" customWidth="1"/>
    <col min="5152" max="5156" width="11.42578125" style="11" customWidth="1"/>
    <col min="5157" max="5157" width="6.140625" style="11" customWidth="1"/>
    <col min="5158" max="5161" width="11.42578125" style="11" customWidth="1"/>
    <col min="5162" max="5405" width="9.140625" style="11"/>
    <col min="5406" max="5406" width="2.5703125" style="11" customWidth="1"/>
    <col min="5407" max="5407" width="29.42578125" style="11" customWidth="1"/>
    <col min="5408" max="5412" width="11.42578125" style="11" customWidth="1"/>
    <col min="5413" max="5413" width="6.140625" style="11" customWidth="1"/>
    <col min="5414" max="5417" width="11.42578125" style="11" customWidth="1"/>
    <col min="5418" max="5661" width="9.140625" style="11"/>
    <col min="5662" max="5662" width="2.5703125" style="11" customWidth="1"/>
    <col min="5663" max="5663" width="29.42578125" style="11" customWidth="1"/>
    <col min="5664" max="5668" width="11.42578125" style="11" customWidth="1"/>
    <col min="5669" max="5669" width="6.140625" style="11" customWidth="1"/>
    <col min="5670" max="5673" width="11.42578125" style="11" customWidth="1"/>
    <col min="5674" max="5917" width="9.140625" style="11"/>
    <col min="5918" max="5918" width="2.5703125" style="11" customWidth="1"/>
    <col min="5919" max="5919" width="29.42578125" style="11" customWidth="1"/>
    <col min="5920" max="5924" width="11.42578125" style="11" customWidth="1"/>
    <col min="5925" max="5925" width="6.140625" style="11" customWidth="1"/>
    <col min="5926" max="5929" width="11.42578125" style="11" customWidth="1"/>
    <col min="5930" max="6173" width="9.140625" style="11"/>
    <col min="6174" max="6174" width="2.5703125" style="11" customWidth="1"/>
    <col min="6175" max="6175" width="29.42578125" style="11" customWidth="1"/>
    <col min="6176" max="6180" width="11.42578125" style="11" customWidth="1"/>
    <col min="6181" max="6181" width="6.140625" style="11" customWidth="1"/>
    <col min="6182" max="6185" width="11.42578125" style="11" customWidth="1"/>
    <col min="6186" max="6429" width="9.140625" style="11"/>
    <col min="6430" max="6430" width="2.5703125" style="11" customWidth="1"/>
    <col min="6431" max="6431" width="29.42578125" style="11" customWidth="1"/>
    <col min="6432" max="6436" width="11.42578125" style="11" customWidth="1"/>
    <col min="6437" max="6437" width="6.140625" style="11" customWidth="1"/>
    <col min="6438" max="6441" width="11.42578125" style="11" customWidth="1"/>
    <col min="6442" max="6685" width="9.140625" style="11"/>
    <col min="6686" max="6686" width="2.5703125" style="11" customWidth="1"/>
    <col min="6687" max="6687" width="29.42578125" style="11" customWidth="1"/>
    <col min="6688" max="6692" width="11.42578125" style="11" customWidth="1"/>
    <col min="6693" max="6693" width="6.140625" style="11" customWidth="1"/>
    <col min="6694" max="6697" width="11.42578125" style="11" customWidth="1"/>
    <col min="6698" max="6941" width="9.140625" style="11"/>
    <col min="6942" max="6942" width="2.5703125" style="11" customWidth="1"/>
    <col min="6943" max="6943" width="29.42578125" style="11" customWidth="1"/>
    <col min="6944" max="6948" width="11.42578125" style="11" customWidth="1"/>
    <col min="6949" max="6949" width="6.140625" style="11" customWidth="1"/>
    <col min="6950" max="6953" width="11.42578125" style="11" customWidth="1"/>
    <col min="6954" max="7197" width="9.140625" style="11"/>
    <col min="7198" max="7198" width="2.5703125" style="11" customWidth="1"/>
    <col min="7199" max="7199" width="29.42578125" style="11" customWidth="1"/>
    <col min="7200" max="7204" width="11.42578125" style="11" customWidth="1"/>
    <col min="7205" max="7205" width="6.140625" style="11" customWidth="1"/>
    <col min="7206" max="7209" width="11.42578125" style="11" customWidth="1"/>
    <col min="7210" max="7453" width="9.140625" style="11"/>
    <col min="7454" max="7454" width="2.5703125" style="11" customWidth="1"/>
    <col min="7455" max="7455" width="29.42578125" style="11" customWidth="1"/>
    <col min="7456" max="7460" width="11.42578125" style="11" customWidth="1"/>
    <col min="7461" max="7461" width="6.140625" style="11" customWidth="1"/>
    <col min="7462" max="7465" width="11.42578125" style="11" customWidth="1"/>
    <col min="7466" max="7709" width="9.140625" style="11"/>
    <col min="7710" max="7710" width="2.5703125" style="11" customWidth="1"/>
    <col min="7711" max="7711" width="29.42578125" style="11" customWidth="1"/>
    <col min="7712" max="7716" width="11.42578125" style="11" customWidth="1"/>
    <col min="7717" max="7717" width="6.140625" style="11" customWidth="1"/>
    <col min="7718" max="7721" width="11.42578125" style="11" customWidth="1"/>
    <col min="7722" max="7965" width="9.140625" style="11"/>
    <col min="7966" max="7966" width="2.5703125" style="11" customWidth="1"/>
    <col min="7967" max="7967" width="29.42578125" style="11" customWidth="1"/>
    <col min="7968" max="7972" width="11.42578125" style="11" customWidth="1"/>
    <col min="7973" max="7973" width="6.140625" style="11" customWidth="1"/>
    <col min="7974" max="7977" width="11.42578125" style="11" customWidth="1"/>
    <col min="7978" max="8221" width="9.140625" style="11"/>
    <col min="8222" max="8222" width="2.5703125" style="11" customWidth="1"/>
    <col min="8223" max="8223" width="29.42578125" style="11" customWidth="1"/>
    <col min="8224" max="8228" width="11.42578125" style="11" customWidth="1"/>
    <col min="8229" max="8229" width="6.140625" style="11" customWidth="1"/>
    <col min="8230" max="8233" width="11.42578125" style="11" customWidth="1"/>
    <col min="8234" max="8477" width="9.140625" style="11"/>
    <col min="8478" max="8478" width="2.5703125" style="11" customWidth="1"/>
    <col min="8479" max="8479" width="29.42578125" style="11" customWidth="1"/>
    <col min="8480" max="8484" width="11.42578125" style="11" customWidth="1"/>
    <col min="8485" max="8485" width="6.140625" style="11" customWidth="1"/>
    <col min="8486" max="8489" width="11.42578125" style="11" customWidth="1"/>
    <col min="8490" max="8733" width="9.140625" style="11"/>
    <col min="8734" max="8734" width="2.5703125" style="11" customWidth="1"/>
    <col min="8735" max="8735" width="29.42578125" style="11" customWidth="1"/>
    <col min="8736" max="8740" width="11.42578125" style="11" customWidth="1"/>
    <col min="8741" max="8741" width="6.140625" style="11" customWidth="1"/>
    <col min="8742" max="8745" width="11.42578125" style="11" customWidth="1"/>
    <col min="8746" max="8989" width="9.140625" style="11"/>
    <col min="8990" max="8990" width="2.5703125" style="11" customWidth="1"/>
    <col min="8991" max="8991" width="29.42578125" style="11" customWidth="1"/>
    <col min="8992" max="8996" width="11.42578125" style="11" customWidth="1"/>
    <col min="8997" max="8997" width="6.140625" style="11" customWidth="1"/>
    <col min="8998" max="9001" width="11.42578125" style="11" customWidth="1"/>
    <col min="9002" max="9245" width="9.140625" style="11"/>
    <col min="9246" max="9246" width="2.5703125" style="11" customWidth="1"/>
    <col min="9247" max="9247" width="29.42578125" style="11" customWidth="1"/>
    <col min="9248" max="9252" width="11.42578125" style="11" customWidth="1"/>
    <col min="9253" max="9253" width="6.140625" style="11" customWidth="1"/>
    <col min="9254" max="9257" width="11.42578125" style="11" customWidth="1"/>
    <col min="9258" max="9501" width="9.140625" style="11"/>
    <col min="9502" max="9502" width="2.5703125" style="11" customWidth="1"/>
    <col min="9503" max="9503" width="29.42578125" style="11" customWidth="1"/>
    <col min="9504" max="9508" width="11.42578125" style="11" customWidth="1"/>
    <col min="9509" max="9509" width="6.140625" style="11" customWidth="1"/>
    <col min="9510" max="9513" width="11.42578125" style="11" customWidth="1"/>
    <col min="9514" max="9757" width="9.140625" style="11"/>
    <col min="9758" max="9758" width="2.5703125" style="11" customWidth="1"/>
    <col min="9759" max="9759" width="29.42578125" style="11" customWidth="1"/>
    <col min="9760" max="9764" width="11.42578125" style="11" customWidth="1"/>
    <col min="9765" max="9765" width="6.140625" style="11" customWidth="1"/>
    <col min="9766" max="9769" width="11.42578125" style="11" customWidth="1"/>
    <col min="9770" max="10013" width="9.140625" style="11"/>
    <col min="10014" max="10014" width="2.5703125" style="11" customWidth="1"/>
    <col min="10015" max="10015" width="29.42578125" style="11" customWidth="1"/>
    <col min="10016" max="10020" width="11.42578125" style="11" customWidth="1"/>
    <col min="10021" max="10021" width="6.140625" style="11" customWidth="1"/>
    <col min="10022" max="10025" width="11.42578125" style="11" customWidth="1"/>
    <col min="10026" max="10269" width="9.140625" style="11"/>
    <col min="10270" max="10270" width="2.5703125" style="11" customWidth="1"/>
    <col min="10271" max="10271" width="29.42578125" style="11" customWidth="1"/>
    <col min="10272" max="10276" width="11.42578125" style="11" customWidth="1"/>
    <col min="10277" max="10277" width="6.140625" style="11" customWidth="1"/>
    <col min="10278" max="10281" width="11.42578125" style="11" customWidth="1"/>
    <col min="10282" max="10525" width="9.140625" style="11"/>
    <col min="10526" max="10526" width="2.5703125" style="11" customWidth="1"/>
    <col min="10527" max="10527" width="29.42578125" style="11" customWidth="1"/>
    <col min="10528" max="10532" width="11.42578125" style="11" customWidth="1"/>
    <col min="10533" max="10533" width="6.140625" style="11" customWidth="1"/>
    <col min="10534" max="10537" width="11.42578125" style="11" customWidth="1"/>
    <col min="10538" max="10781" width="9.140625" style="11"/>
    <col min="10782" max="10782" width="2.5703125" style="11" customWidth="1"/>
    <col min="10783" max="10783" width="29.42578125" style="11" customWidth="1"/>
    <col min="10784" max="10788" width="11.42578125" style="11" customWidth="1"/>
    <col min="10789" max="10789" width="6.140625" style="11" customWidth="1"/>
    <col min="10790" max="10793" width="11.42578125" style="11" customWidth="1"/>
    <col min="10794" max="11037" width="9.140625" style="11"/>
    <col min="11038" max="11038" width="2.5703125" style="11" customWidth="1"/>
    <col min="11039" max="11039" width="29.42578125" style="11" customWidth="1"/>
    <col min="11040" max="11044" width="11.42578125" style="11" customWidth="1"/>
    <col min="11045" max="11045" width="6.140625" style="11" customWidth="1"/>
    <col min="11046" max="11049" width="11.42578125" style="11" customWidth="1"/>
    <col min="11050" max="11293" width="9.140625" style="11"/>
    <col min="11294" max="11294" width="2.5703125" style="11" customWidth="1"/>
    <col min="11295" max="11295" width="29.42578125" style="11" customWidth="1"/>
    <col min="11296" max="11300" width="11.42578125" style="11" customWidth="1"/>
    <col min="11301" max="11301" width="6.140625" style="11" customWidth="1"/>
    <col min="11302" max="11305" width="11.42578125" style="11" customWidth="1"/>
    <col min="11306" max="11549" width="9.140625" style="11"/>
    <col min="11550" max="11550" width="2.5703125" style="11" customWidth="1"/>
    <col min="11551" max="11551" width="29.42578125" style="11" customWidth="1"/>
    <col min="11552" max="11556" width="11.42578125" style="11" customWidth="1"/>
    <col min="11557" max="11557" width="6.140625" style="11" customWidth="1"/>
    <col min="11558" max="11561" width="11.42578125" style="11" customWidth="1"/>
    <col min="11562" max="11805" width="9.140625" style="11"/>
    <col min="11806" max="11806" width="2.5703125" style="11" customWidth="1"/>
    <col min="11807" max="11807" width="29.42578125" style="11" customWidth="1"/>
    <col min="11808" max="11812" width="11.42578125" style="11" customWidth="1"/>
    <col min="11813" max="11813" width="6.140625" style="11" customWidth="1"/>
    <col min="11814" max="11817" width="11.42578125" style="11" customWidth="1"/>
    <col min="11818" max="12061" width="9.140625" style="11"/>
    <col min="12062" max="12062" width="2.5703125" style="11" customWidth="1"/>
    <col min="12063" max="12063" width="29.42578125" style="11" customWidth="1"/>
    <col min="12064" max="12068" width="11.42578125" style="11" customWidth="1"/>
    <col min="12069" max="12069" width="6.140625" style="11" customWidth="1"/>
    <col min="12070" max="12073" width="11.42578125" style="11" customWidth="1"/>
    <col min="12074" max="12317" width="9.140625" style="11"/>
    <col min="12318" max="12318" width="2.5703125" style="11" customWidth="1"/>
    <col min="12319" max="12319" width="29.42578125" style="11" customWidth="1"/>
    <col min="12320" max="12324" width="11.42578125" style="11" customWidth="1"/>
    <col min="12325" max="12325" width="6.140625" style="11" customWidth="1"/>
    <col min="12326" max="12329" width="11.42578125" style="11" customWidth="1"/>
    <col min="12330" max="12573" width="9.140625" style="11"/>
    <col min="12574" max="12574" width="2.5703125" style="11" customWidth="1"/>
    <col min="12575" max="12575" width="29.42578125" style="11" customWidth="1"/>
    <col min="12576" max="12580" width="11.42578125" style="11" customWidth="1"/>
    <col min="12581" max="12581" width="6.140625" style="11" customWidth="1"/>
    <col min="12582" max="12585" width="11.42578125" style="11" customWidth="1"/>
    <col min="12586" max="12829" width="9.140625" style="11"/>
    <col min="12830" max="12830" width="2.5703125" style="11" customWidth="1"/>
    <col min="12831" max="12831" width="29.42578125" style="11" customWidth="1"/>
    <col min="12832" max="12836" width="11.42578125" style="11" customWidth="1"/>
    <col min="12837" max="12837" width="6.140625" style="11" customWidth="1"/>
    <col min="12838" max="12841" width="11.42578125" style="11" customWidth="1"/>
    <col min="12842" max="13085" width="9.140625" style="11"/>
    <col min="13086" max="13086" width="2.5703125" style="11" customWidth="1"/>
    <col min="13087" max="13087" width="29.42578125" style="11" customWidth="1"/>
    <col min="13088" max="13092" width="11.42578125" style="11" customWidth="1"/>
    <col min="13093" max="13093" width="6.140625" style="11" customWidth="1"/>
    <col min="13094" max="13097" width="11.42578125" style="11" customWidth="1"/>
    <col min="13098" max="13341" width="9.140625" style="11"/>
    <col min="13342" max="13342" width="2.5703125" style="11" customWidth="1"/>
    <col min="13343" max="13343" width="29.42578125" style="11" customWidth="1"/>
    <col min="13344" max="13348" width="11.42578125" style="11" customWidth="1"/>
    <col min="13349" max="13349" width="6.140625" style="11" customWidth="1"/>
    <col min="13350" max="13353" width="11.42578125" style="11" customWidth="1"/>
    <col min="13354" max="13597" width="9.140625" style="11"/>
    <col min="13598" max="13598" width="2.5703125" style="11" customWidth="1"/>
    <col min="13599" max="13599" width="29.42578125" style="11" customWidth="1"/>
    <col min="13600" max="13604" width="11.42578125" style="11" customWidth="1"/>
    <col min="13605" max="13605" width="6.140625" style="11" customWidth="1"/>
    <col min="13606" max="13609" width="11.42578125" style="11" customWidth="1"/>
    <col min="13610" max="13853" width="9.140625" style="11"/>
    <col min="13854" max="13854" width="2.5703125" style="11" customWidth="1"/>
    <col min="13855" max="13855" width="29.42578125" style="11" customWidth="1"/>
    <col min="13856" max="13860" width="11.42578125" style="11" customWidth="1"/>
    <col min="13861" max="13861" width="6.140625" style="11" customWidth="1"/>
    <col min="13862" max="13865" width="11.42578125" style="11" customWidth="1"/>
    <col min="13866" max="14109" width="9.140625" style="11"/>
    <col min="14110" max="14110" width="2.5703125" style="11" customWidth="1"/>
    <col min="14111" max="14111" width="29.42578125" style="11" customWidth="1"/>
    <col min="14112" max="14116" width="11.42578125" style="11" customWidth="1"/>
    <col min="14117" max="14117" width="6.140625" style="11" customWidth="1"/>
    <col min="14118" max="14121" width="11.42578125" style="11" customWidth="1"/>
    <col min="14122" max="14365" width="9.140625" style="11"/>
    <col min="14366" max="14366" width="2.5703125" style="11" customWidth="1"/>
    <col min="14367" max="14367" width="29.42578125" style="11" customWidth="1"/>
    <col min="14368" max="14372" width="11.42578125" style="11" customWidth="1"/>
    <col min="14373" max="14373" width="6.140625" style="11" customWidth="1"/>
    <col min="14374" max="14377" width="11.42578125" style="11" customWidth="1"/>
    <col min="14378" max="14621" width="9.140625" style="11"/>
    <col min="14622" max="14622" width="2.5703125" style="11" customWidth="1"/>
    <col min="14623" max="14623" width="29.42578125" style="11" customWidth="1"/>
    <col min="14624" max="14628" width="11.42578125" style="11" customWidth="1"/>
    <col min="14629" max="14629" width="6.140625" style="11" customWidth="1"/>
    <col min="14630" max="14633" width="11.42578125" style="11" customWidth="1"/>
    <col min="14634" max="14877" width="9.140625" style="11"/>
    <col min="14878" max="14878" width="2.5703125" style="11" customWidth="1"/>
    <col min="14879" max="14879" width="29.42578125" style="11" customWidth="1"/>
    <col min="14880" max="14884" width="11.42578125" style="11" customWidth="1"/>
    <col min="14885" max="14885" width="6.140625" style="11" customWidth="1"/>
    <col min="14886" max="14889" width="11.42578125" style="11" customWidth="1"/>
    <col min="14890" max="15133" width="9.140625" style="11"/>
    <col min="15134" max="15134" width="2.5703125" style="11" customWidth="1"/>
    <col min="15135" max="15135" width="29.42578125" style="11" customWidth="1"/>
    <col min="15136" max="15140" width="11.42578125" style="11" customWidth="1"/>
    <col min="15141" max="15141" width="6.140625" style="11" customWidth="1"/>
    <col min="15142" max="15145" width="11.42578125" style="11" customWidth="1"/>
    <col min="15146" max="15389" width="9.140625" style="11"/>
    <col min="15390" max="15390" width="2.5703125" style="11" customWidth="1"/>
    <col min="15391" max="15391" width="29.42578125" style="11" customWidth="1"/>
    <col min="15392" max="15396" width="11.42578125" style="11" customWidth="1"/>
    <col min="15397" max="15397" width="6.140625" style="11" customWidth="1"/>
    <col min="15398" max="15401" width="11.42578125" style="11" customWidth="1"/>
    <col min="15402" max="15645" width="9.140625" style="11"/>
    <col min="15646" max="15646" width="2.5703125" style="11" customWidth="1"/>
    <col min="15647" max="15647" width="29.42578125" style="11" customWidth="1"/>
    <col min="15648" max="15652" width="11.42578125" style="11" customWidth="1"/>
    <col min="15653" max="15653" width="6.140625" style="11" customWidth="1"/>
    <col min="15654" max="15657" width="11.42578125" style="11" customWidth="1"/>
    <col min="15658" max="15901" width="9.140625" style="11"/>
    <col min="15902" max="15902" width="2.5703125" style="11" customWidth="1"/>
    <col min="15903" max="15903" width="29.42578125" style="11" customWidth="1"/>
    <col min="15904" max="15908" width="11.42578125" style="11" customWidth="1"/>
    <col min="15909" max="15909" width="6.140625" style="11" customWidth="1"/>
    <col min="15910" max="15913" width="11.42578125" style="11" customWidth="1"/>
    <col min="15914" max="16157" width="9.140625" style="11"/>
    <col min="16158" max="16158" width="2.5703125" style="11" customWidth="1"/>
    <col min="16159" max="16159" width="29.42578125" style="11" customWidth="1"/>
    <col min="16160" max="16164" width="11.42578125" style="11" customWidth="1"/>
    <col min="16165" max="16165" width="6.140625" style="11" customWidth="1"/>
    <col min="16166" max="16169" width="11.42578125" style="11" customWidth="1"/>
    <col min="16170" max="16384" width="9.140625" style="11"/>
  </cols>
  <sheetData>
    <row r="2" spans="2:63" s="395" customFormat="1" ht="25.5">
      <c r="B2" s="391" t="s">
        <v>160</v>
      </c>
      <c r="C2" s="392" t="s">
        <v>161</v>
      </c>
      <c r="D2" s="392" t="s">
        <v>161</v>
      </c>
      <c r="E2" s="392" t="s">
        <v>161</v>
      </c>
      <c r="F2" s="392" t="s">
        <v>161</v>
      </c>
      <c r="G2" s="392" t="s">
        <v>161</v>
      </c>
      <c r="H2" s="392" t="s">
        <v>161</v>
      </c>
      <c r="I2" s="392" t="s">
        <v>161</v>
      </c>
      <c r="J2" s="392" t="s">
        <v>161</v>
      </c>
      <c r="K2" s="392" t="s">
        <v>161</v>
      </c>
      <c r="L2" s="392" t="s">
        <v>161</v>
      </c>
      <c r="M2" s="392" t="s">
        <v>161</v>
      </c>
      <c r="N2" s="392" t="s">
        <v>161</v>
      </c>
      <c r="O2" s="392" t="s">
        <v>161</v>
      </c>
      <c r="P2" s="392" t="s">
        <v>162</v>
      </c>
      <c r="Q2" s="393"/>
      <c r="R2" s="392" t="s">
        <v>163</v>
      </c>
      <c r="S2" s="392" t="s">
        <v>163</v>
      </c>
      <c r="T2" s="392" t="s">
        <v>163</v>
      </c>
      <c r="U2" s="392" t="s">
        <v>163</v>
      </c>
      <c r="V2" s="394" t="s">
        <v>163</v>
      </c>
      <c r="W2" s="392" t="s">
        <v>163</v>
      </c>
      <c r="X2" s="392" t="s">
        <v>163</v>
      </c>
      <c r="Y2" s="392" t="s">
        <v>163</v>
      </c>
      <c r="Z2" s="394" t="s">
        <v>163</v>
      </c>
      <c r="AA2" s="392" t="s">
        <v>163</v>
      </c>
      <c r="AB2" s="392" t="s">
        <v>163</v>
      </c>
      <c r="AC2" s="392" t="s">
        <v>163</v>
      </c>
      <c r="AD2" s="394" t="s">
        <v>163</v>
      </c>
      <c r="AE2" s="392" t="s">
        <v>163</v>
      </c>
      <c r="AF2" s="392" t="s">
        <v>163</v>
      </c>
      <c r="AG2" s="392" t="s">
        <v>163</v>
      </c>
      <c r="AH2" s="394" t="s">
        <v>163</v>
      </c>
      <c r="AI2" s="394" t="s">
        <v>163</v>
      </c>
      <c r="AJ2" s="392" t="s">
        <v>163</v>
      </c>
      <c r="AK2" s="392" t="s">
        <v>163</v>
      </c>
      <c r="AL2" s="394" t="s">
        <v>163</v>
      </c>
      <c r="AM2" s="394" t="s">
        <v>163</v>
      </c>
      <c r="AN2" s="394" t="s">
        <v>163</v>
      </c>
      <c r="AO2" s="392" t="s">
        <v>163</v>
      </c>
      <c r="AP2" s="392" t="s">
        <v>163</v>
      </c>
      <c r="AQ2" s="394" t="s">
        <v>163</v>
      </c>
      <c r="AR2" s="392" t="s">
        <v>163</v>
      </c>
      <c r="AS2" s="392" t="s">
        <v>163</v>
      </c>
      <c r="AT2" s="392" t="s">
        <v>163</v>
      </c>
      <c r="AU2" s="394" t="s">
        <v>163</v>
      </c>
      <c r="AV2" s="392" t="s">
        <v>163</v>
      </c>
      <c r="AW2" s="392" t="s">
        <v>163</v>
      </c>
      <c r="AX2" s="392" t="s">
        <v>163</v>
      </c>
      <c r="AY2" s="394" t="s">
        <v>163</v>
      </c>
      <c r="BA2" s="394" t="s">
        <v>163</v>
      </c>
      <c r="BB2" s="394" t="s">
        <v>163</v>
      </c>
      <c r="BC2" s="394" t="s">
        <v>163</v>
      </c>
      <c r="BD2" s="394" t="s">
        <v>163</v>
      </c>
      <c r="BE2" s="394" t="s">
        <v>163</v>
      </c>
      <c r="BG2" s="396" t="s">
        <v>287</v>
      </c>
      <c r="BH2" s="396" t="s">
        <v>287</v>
      </c>
      <c r="BJ2" s="396" t="s">
        <v>165</v>
      </c>
      <c r="BK2" s="396" t="s">
        <v>165</v>
      </c>
    </row>
    <row r="3" spans="2:63" s="1" customFormat="1">
      <c r="B3" s="5" t="s">
        <v>277</v>
      </c>
      <c r="C3" s="6">
        <v>42735</v>
      </c>
      <c r="D3" s="6">
        <v>43100</v>
      </c>
      <c r="E3" s="6">
        <v>43465</v>
      </c>
      <c r="F3" s="6">
        <v>43830</v>
      </c>
      <c r="G3" s="6">
        <v>44196</v>
      </c>
      <c r="H3" s="6">
        <v>44561</v>
      </c>
      <c r="I3" s="6">
        <v>44926</v>
      </c>
      <c r="J3" s="6">
        <v>44926</v>
      </c>
      <c r="K3" s="6">
        <v>45291</v>
      </c>
      <c r="L3" s="6">
        <v>45291</v>
      </c>
      <c r="M3" s="6">
        <v>45657</v>
      </c>
      <c r="N3" s="6">
        <v>45657</v>
      </c>
      <c r="O3" s="6">
        <v>46022</v>
      </c>
      <c r="P3" s="6">
        <f>AY3</f>
        <v>46112</v>
      </c>
      <c r="Q3" s="234"/>
      <c r="R3" s="6">
        <v>43190</v>
      </c>
      <c r="S3" s="6">
        <v>43281</v>
      </c>
      <c r="T3" s="6">
        <v>43373</v>
      </c>
      <c r="U3" s="6">
        <v>43465</v>
      </c>
      <c r="V3" s="6">
        <v>43555</v>
      </c>
      <c r="W3" s="6">
        <v>43646</v>
      </c>
      <c r="X3" s="6">
        <v>43738</v>
      </c>
      <c r="Y3" s="6">
        <v>43830</v>
      </c>
      <c r="Z3" s="6">
        <v>43921</v>
      </c>
      <c r="AA3" s="6">
        <v>44012</v>
      </c>
      <c r="AB3" s="6">
        <v>44104</v>
      </c>
      <c r="AC3" s="6">
        <v>44196</v>
      </c>
      <c r="AD3" s="6">
        <v>44286</v>
      </c>
      <c r="AE3" s="6">
        <v>44377</v>
      </c>
      <c r="AF3" s="6">
        <v>44469</v>
      </c>
      <c r="AG3" s="6">
        <v>44561</v>
      </c>
      <c r="AH3" s="6">
        <v>44651</v>
      </c>
      <c r="AI3" s="6">
        <v>44742</v>
      </c>
      <c r="AJ3" s="6">
        <v>44834</v>
      </c>
      <c r="AK3" s="6">
        <v>44926</v>
      </c>
      <c r="AL3" s="6">
        <v>45016</v>
      </c>
      <c r="AM3" s="6">
        <v>45016</v>
      </c>
      <c r="AN3" s="6">
        <v>45107</v>
      </c>
      <c r="AO3" s="6">
        <v>45199</v>
      </c>
      <c r="AP3" s="6">
        <v>45291</v>
      </c>
      <c r="AQ3" s="6">
        <v>45382</v>
      </c>
      <c r="AR3" s="6">
        <v>45473</v>
      </c>
      <c r="AS3" s="6">
        <v>45565</v>
      </c>
      <c r="AT3" s="6">
        <v>45657</v>
      </c>
      <c r="AU3" s="6">
        <v>45747</v>
      </c>
      <c r="AV3" s="6">
        <v>45838</v>
      </c>
      <c r="AW3" s="6">
        <v>45930</v>
      </c>
      <c r="AX3" s="6">
        <v>46021</v>
      </c>
      <c r="AY3" s="6">
        <v>46112</v>
      </c>
      <c r="BA3" s="6">
        <v>45382</v>
      </c>
      <c r="BB3" s="6">
        <v>45473</v>
      </c>
      <c r="BC3" s="6">
        <v>45565</v>
      </c>
      <c r="BD3" s="6">
        <v>45656</v>
      </c>
      <c r="BE3" s="6">
        <v>45747</v>
      </c>
      <c r="BG3" s="6">
        <v>45473</v>
      </c>
      <c r="BH3" s="6">
        <v>45838</v>
      </c>
      <c r="BJ3" s="6">
        <v>45565</v>
      </c>
      <c r="BK3" s="6">
        <v>45930</v>
      </c>
    </row>
    <row r="4" spans="2:63" s="7" customFormat="1">
      <c r="B4" s="5"/>
      <c r="C4" s="6" t="s">
        <v>167</v>
      </c>
      <c r="D4" s="6" t="s">
        <v>167</v>
      </c>
      <c r="E4" s="6" t="s">
        <v>167</v>
      </c>
      <c r="F4" s="6" t="s">
        <v>167</v>
      </c>
      <c r="G4" s="6" t="s">
        <v>167</v>
      </c>
      <c r="H4" s="6" t="s">
        <v>167</v>
      </c>
      <c r="I4" s="6" t="s">
        <v>167</v>
      </c>
      <c r="J4" s="212" t="s">
        <v>168</v>
      </c>
      <c r="K4" s="6" t="s">
        <v>167</v>
      </c>
      <c r="L4" s="212" t="s">
        <v>168</v>
      </c>
      <c r="M4" s="6" t="s">
        <v>167</v>
      </c>
      <c r="N4" s="212" t="s">
        <v>168</v>
      </c>
      <c r="O4" s="6" t="s">
        <v>167</v>
      </c>
      <c r="P4" s="6" t="s">
        <v>167</v>
      </c>
      <c r="Q4" s="234"/>
      <c r="R4" s="6" t="s">
        <v>167</v>
      </c>
      <c r="S4" s="6" t="s">
        <v>167</v>
      </c>
      <c r="T4" s="6" t="s">
        <v>167</v>
      </c>
      <c r="U4" s="6" t="s">
        <v>167</v>
      </c>
      <c r="V4" s="6" t="s">
        <v>167</v>
      </c>
      <c r="W4" s="6" t="s">
        <v>167</v>
      </c>
      <c r="X4" s="6" t="s">
        <v>167</v>
      </c>
      <c r="Y4" s="6" t="s">
        <v>167</v>
      </c>
      <c r="Z4" s="6" t="s">
        <v>167</v>
      </c>
      <c r="AA4" s="6" t="s">
        <v>167</v>
      </c>
      <c r="AB4" s="6" t="s">
        <v>167</v>
      </c>
      <c r="AC4" s="6" t="s">
        <v>167</v>
      </c>
      <c r="AD4" s="6" t="s">
        <v>167</v>
      </c>
      <c r="AE4" s="6" t="s">
        <v>167</v>
      </c>
      <c r="AF4" s="6" t="s">
        <v>167</v>
      </c>
      <c r="AG4" s="6" t="s">
        <v>167</v>
      </c>
      <c r="AH4" s="6" t="s">
        <v>167</v>
      </c>
      <c r="AI4" s="6" t="s">
        <v>167</v>
      </c>
      <c r="AJ4" s="6" t="s">
        <v>167</v>
      </c>
      <c r="AK4" s="6" t="s">
        <v>167</v>
      </c>
      <c r="AL4" s="6" t="s">
        <v>167</v>
      </c>
      <c r="AM4" s="212" t="s">
        <v>168</v>
      </c>
      <c r="AN4" s="6" t="s">
        <v>167</v>
      </c>
      <c r="AO4" s="6" t="s">
        <v>167</v>
      </c>
      <c r="AP4" s="6" t="s">
        <v>167</v>
      </c>
      <c r="AQ4" s="6" t="s">
        <v>167</v>
      </c>
      <c r="AR4" s="6" t="s">
        <v>167</v>
      </c>
      <c r="AS4" s="6" t="s">
        <v>167</v>
      </c>
      <c r="AT4" s="6" t="s">
        <v>167</v>
      </c>
      <c r="AU4" s="6" t="s">
        <v>167</v>
      </c>
      <c r="AV4" s="6" t="s">
        <v>167</v>
      </c>
      <c r="AW4" s="6" t="s">
        <v>167</v>
      </c>
      <c r="AX4" s="6" t="s">
        <v>167</v>
      </c>
      <c r="AY4" s="6" t="s">
        <v>167</v>
      </c>
      <c r="BA4" s="212" t="s">
        <v>168</v>
      </c>
      <c r="BB4" s="212" t="s">
        <v>168</v>
      </c>
      <c r="BC4" s="212" t="s">
        <v>168</v>
      </c>
      <c r="BD4" s="212" t="s">
        <v>168</v>
      </c>
      <c r="BE4" s="212" t="s">
        <v>168</v>
      </c>
      <c r="BG4" s="212" t="s">
        <v>167</v>
      </c>
      <c r="BH4" s="212" t="s">
        <v>167</v>
      </c>
      <c r="BJ4" s="212" t="s">
        <v>167</v>
      </c>
      <c r="BK4" s="212" t="s">
        <v>167</v>
      </c>
    </row>
    <row r="5" spans="2:63" s="8" customFormat="1">
      <c r="C5" s="9" t="s">
        <v>169</v>
      </c>
      <c r="D5" s="9" t="s">
        <v>169</v>
      </c>
      <c r="E5" s="9" t="s">
        <v>169</v>
      </c>
      <c r="F5" s="9" t="s">
        <v>169</v>
      </c>
      <c r="G5" s="9" t="s">
        <v>169</v>
      </c>
      <c r="H5" s="9" t="s">
        <v>169</v>
      </c>
      <c r="I5" s="9" t="s">
        <v>169</v>
      </c>
      <c r="J5" s="9" t="s">
        <v>169</v>
      </c>
      <c r="K5" s="9" t="s">
        <v>169</v>
      </c>
      <c r="L5" s="9" t="s">
        <v>169</v>
      </c>
      <c r="M5" s="9" t="s">
        <v>169</v>
      </c>
      <c r="N5" s="9" t="s">
        <v>169</v>
      </c>
      <c r="O5" s="9" t="s">
        <v>169</v>
      </c>
      <c r="P5" s="10" t="s">
        <v>162</v>
      </c>
      <c r="Q5" s="10"/>
      <c r="R5" s="9" t="s">
        <v>170</v>
      </c>
      <c r="S5" s="9" t="s">
        <v>171</v>
      </c>
      <c r="T5" s="9" t="s">
        <v>172</v>
      </c>
      <c r="U5" s="9" t="s">
        <v>173</v>
      </c>
      <c r="V5" s="9" t="s">
        <v>170</v>
      </c>
      <c r="W5" s="9" t="s">
        <v>171</v>
      </c>
      <c r="X5" s="9" t="s">
        <v>172</v>
      </c>
      <c r="Y5" s="9" t="s">
        <v>173</v>
      </c>
      <c r="Z5" s="9" t="s">
        <v>170</v>
      </c>
      <c r="AA5" s="9" t="s">
        <v>171</v>
      </c>
      <c r="AB5" s="9" t="s">
        <v>172</v>
      </c>
      <c r="AC5" s="9" t="s">
        <v>173</v>
      </c>
      <c r="AD5" s="9" t="s">
        <v>170</v>
      </c>
      <c r="AE5" s="9" t="s">
        <v>171</v>
      </c>
      <c r="AF5" s="9" t="s">
        <v>172</v>
      </c>
      <c r="AG5" s="9" t="s">
        <v>173</v>
      </c>
      <c r="AH5" s="9" t="s">
        <v>170</v>
      </c>
      <c r="AI5" s="9" t="s">
        <v>171</v>
      </c>
      <c r="AJ5" s="9" t="s">
        <v>172</v>
      </c>
      <c r="AK5" s="9" t="s">
        <v>173</v>
      </c>
      <c r="AL5" s="9" t="s">
        <v>170</v>
      </c>
      <c r="AM5" s="9" t="s">
        <v>170</v>
      </c>
      <c r="AN5" s="9" t="s">
        <v>171</v>
      </c>
      <c r="AO5" s="9" t="s">
        <v>172</v>
      </c>
      <c r="AP5" s="9" t="s">
        <v>173</v>
      </c>
      <c r="AQ5" s="9" t="s">
        <v>170</v>
      </c>
      <c r="AR5" s="9" t="s">
        <v>171</v>
      </c>
      <c r="AS5" s="9" t="s">
        <v>172</v>
      </c>
      <c r="AT5" s="9" t="s">
        <v>173</v>
      </c>
      <c r="AU5" s="9" t="s">
        <v>170</v>
      </c>
      <c r="AV5" s="9" t="s">
        <v>171</v>
      </c>
      <c r="AW5" s="9" t="s">
        <v>172</v>
      </c>
      <c r="AX5" s="10" t="s">
        <v>173</v>
      </c>
      <c r="AY5" s="9" t="s">
        <v>170</v>
      </c>
      <c r="BA5" s="9" t="s">
        <v>170</v>
      </c>
      <c r="BB5" s="9" t="s">
        <v>171</v>
      </c>
      <c r="BC5" s="9" t="s">
        <v>172</v>
      </c>
      <c r="BD5" s="10" t="s">
        <v>173</v>
      </c>
      <c r="BE5" s="9" t="s">
        <v>170</v>
      </c>
      <c r="BG5" s="9" t="s">
        <v>288</v>
      </c>
      <c r="BH5" s="9" t="s">
        <v>288</v>
      </c>
      <c r="BJ5" s="9" t="s">
        <v>165</v>
      </c>
      <c r="BK5" s="9" t="s">
        <v>165</v>
      </c>
    </row>
    <row r="6" spans="2:63">
      <c r="B6" s="302"/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9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  <c r="AS6" s="304"/>
      <c r="AT6" s="304"/>
      <c r="AU6" s="304"/>
      <c r="AV6" s="304"/>
      <c r="AW6" s="304"/>
      <c r="AX6" s="304"/>
      <c r="AY6" s="304"/>
      <c r="AZ6" s="8"/>
      <c r="BA6" s="304"/>
      <c r="BB6" s="304"/>
      <c r="BC6" s="304"/>
      <c r="BD6" s="304"/>
      <c r="BE6" s="304"/>
      <c r="BF6" s="8"/>
      <c r="BG6" s="14"/>
      <c r="BH6" s="14"/>
      <c r="BJ6" s="14"/>
      <c r="BK6" s="14"/>
    </row>
    <row r="7" spans="2:63">
      <c r="B7" s="8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"/>
      <c r="BA7" s="87"/>
      <c r="BB7" s="87"/>
      <c r="BC7" s="87"/>
      <c r="BD7" s="87"/>
      <c r="BE7" s="87"/>
      <c r="BF7" s="8"/>
    </row>
    <row r="8" spans="2:63">
      <c r="B8" s="372" t="s">
        <v>289</v>
      </c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9"/>
      <c r="R8" s="374"/>
      <c r="S8" s="374"/>
      <c r="T8" s="374"/>
      <c r="U8" s="374"/>
      <c r="V8" s="374"/>
      <c r="W8" s="374"/>
      <c r="X8" s="374"/>
      <c r="Y8" s="374"/>
      <c r="Z8" s="374"/>
      <c r="AA8" s="374"/>
      <c r="AB8" s="374"/>
      <c r="AC8" s="374"/>
      <c r="AD8" s="374"/>
      <c r="AE8" s="374"/>
      <c r="AF8" s="374"/>
      <c r="AG8" s="374"/>
      <c r="AH8" s="374"/>
      <c r="AI8" s="374"/>
      <c r="AJ8" s="374"/>
      <c r="AK8" s="374"/>
      <c r="AL8" s="374"/>
      <c r="AM8" s="374"/>
      <c r="AN8" s="374"/>
      <c r="AO8" s="374"/>
      <c r="AP8" s="374"/>
      <c r="AQ8" s="374"/>
      <c r="AR8" s="374"/>
      <c r="AS8" s="374"/>
      <c r="AT8" s="374"/>
      <c r="AU8" s="374"/>
      <c r="AV8" s="374"/>
      <c r="AW8" s="374"/>
      <c r="AX8" s="374"/>
      <c r="AY8" s="374"/>
      <c r="AZ8" s="8"/>
      <c r="BA8" s="374"/>
      <c r="BB8" s="374"/>
      <c r="BC8" s="374"/>
      <c r="BD8" s="374"/>
      <c r="BE8" s="374"/>
    </row>
    <row r="9" spans="2:63">
      <c r="B9" s="89" t="s">
        <v>290</v>
      </c>
      <c r="C9" s="330"/>
      <c r="D9" s="90">
        <v>3173.1930000000002</v>
      </c>
      <c r="E9" s="90">
        <v>3709.288</v>
      </c>
      <c r="F9" s="90">
        <v>4728.4470000000001</v>
      </c>
      <c r="G9" s="90">
        <v>5606.9290000000001</v>
      </c>
      <c r="H9" s="90">
        <v>7386.8410000000003</v>
      </c>
      <c r="I9" s="90">
        <v>17482.255000000001</v>
      </c>
      <c r="J9" s="90">
        <f>33287.39</f>
        <v>33287.39</v>
      </c>
      <c r="K9" s="90">
        <v>38076.576000000001</v>
      </c>
      <c r="L9" s="90">
        <v>92193.212</v>
      </c>
      <c r="M9" s="368">
        <v>76189.509000000005</v>
      </c>
      <c r="N9" s="368">
        <v>99726.222999999998</v>
      </c>
      <c r="O9" s="368">
        <v>103118.66099999999</v>
      </c>
      <c r="P9" s="210">
        <f>SUM(AV9:AY9)</f>
        <v>110716.99500000001</v>
      </c>
      <c r="Q9" s="9"/>
      <c r="R9" s="368">
        <v>930.38099999999997</v>
      </c>
      <c r="S9" s="368">
        <f>1807.14-R9</f>
        <v>876.75900000000013</v>
      </c>
      <c r="T9" s="368">
        <f>2700.129-S9-R9</f>
        <v>892.98899999999992</v>
      </c>
      <c r="U9" s="210">
        <f>+E9-SUM(R9:T9)</f>
        <v>1009.1590000000001</v>
      </c>
      <c r="V9" s="368">
        <v>1202.223</v>
      </c>
      <c r="W9" s="368">
        <f>2320.967-V9</f>
        <v>1118.7440000000001</v>
      </c>
      <c r="X9" s="368">
        <f>3499.827-V9-W9</f>
        <v>1178.8600000000001</v>
      </c>
      <c r="Y9" s="210">
        <f>+F9-SUM(V9:X9)</f>
        <v>1228.6199999999999</v>
      </c>
      <c r="Z9" s="368">
        <v>1474.9559999999999</v>
      </c>
      <c r="AA9" s="368">
        <f>2736.219-Z9</f>
        <v>1261.2630000000001</v>
      </c>
      <c r="AB9" s="368">
        <f>4047.242-Z9-AA9</f>
        <v>1311.0229999999999</v>
      </c>
      <c r="AC9" s="210">
        <f>+G9-SUM(Z9:AB9)</f>
        <v>1559.6869999999999</v>
      </c>
      <c r="AD9" s="368">
        <v>1681.2460000000001</v>
      </c>
      <c r="AE9" s="368">
        <f>3169.435-AD9</f>
        <v>1488.1889999999999</v>
      </c>
      <c r="AF9" s="368">
        <f>5148.731-AD9-AE9</f>
        <v>1979.2959999999998</v>
      </c>
      <c r="AG9" s="210">
        <f>+H9-SUM(AD9:AF9)</f>
        <v>2238.1100000000006</v>
      </c>
      <c r="AH9" s="368">
        <v>3506.8739999999998</v>
      </c>
      <c r="AI9" s="368">
        <f>7089.243-AH9</f>
        <v>3582.3690000000006</v>
      </c>
      <c r="AJ9" s="368">
        <f>11813.999-AH9-AI9</f>
        <v>4724.7559999999994</v>
      </c>
      <c r="AK9" s="210">
        <f>+I9-SUM(AH9:AJ9)</f>
        <v>5668.2560000000012</v>
      </c>
      <c r="AL9" s="368">
        <v>6659.2269999999999</v>
      </c>
      <c r="AM9" s="368">
        <v>11477.348</v>
      </c>
      <c r="AN9" s="368">
        <f>12859.019-AL9</f>
        <v>6199.7920000000004</v>
      </c>
      <c r="AO9" s="368">
        <f>20920.052-AL9-AN9</f>
        <v>8061.0330000000004</v>
      </c>
      <c r="AP9" s="210">
        <f>+K9-SUM(AL9:AO9)</f>
        <v>5679.1759999999995</v>
      </c>
      <c r="AQ9" s="368">
        <v>13416.966</v>
      </c>
      <c r="AR9" s="368">
        <f>25336.366-AQ9</f>
        <v>11919.400000000001</v>
      </c>
      <c r="AS9" s="368">
        <f>40904.033-AQ9-AR9</f>
        <v>15567.667000000001</v>
      </c>
      <c r="AT9" s="369"/>
      <c r="AU9" s="368">
        <v>25559.447</v>
      </c>
      <c r="AV9" s="368">
        <v>21132.488000000001</v>
      </c>
      <c r="AW9" s="370">
        <v>23096.503000000001</v>
      </c>
      <c r="AX9" s="370">
        <f>O9-SUM(AU9:AW9)</f>
        <v>33330.222999999998</v>
      </c>
      <c r="AY9" s="368">
        <v>33157.781000000003</v>
      </c>
      <c r="AZ9" s="8"/>
      <c r="BA9" s="368">
        <v>25188.647000000001</v>
      </c>
      <c r="BB9" s="368">
        <v>18884.78</v>
      </c>
      <c r="BC9" s="370">
        <v>22027.66</v>
      </c>
      <c r="BD9" s="370">
        <f>N9-SUM(BA9:BC9)</f>
        <v>33625.135999999999</v>
      </c>
      <c r="BE9" s="368">
        <v>33449.106</v>
      </c>
      <c r="BG9" s="387">
        <v>45586.436000000002</v>
      </c>
      <c r="BH9" s="387">
        <v>48227.218999999997</v>
      </c>
      <c r="BJ9" s="90">
        <v>71035.078999999998</v>
      </c>
      <c r="BK9" s="90">
        <v>74942.876000000004</v>
      </c>
    </row>
    <row r="10" spans="2:63">
      <c r="B10" s="89" t="s">
        <v>291</v>
      </c>
      <c r="C10" s="330"/>
      <c r="D10" s="90">
        <v>1652.4549999999999</v>
      </c>
      <c r="E10" s="90">
        <v>2246.2199999999998</v>
      </c>
      <c r="F10" s="90">
        <v>3074.6729999999998</v>
      </c>
      <c r="G10" s="90">
        <v>3793.9319999999998</v>
      </c>
      <c r="H10" s="90">
        <v>5150.2389999999996</v>
      </c>
      <c r="I10" s="90">
        <v>10714.592000000001</v>
      </c>
      <c r="J10" s="90">
        <v>18693.817999999999</v>
      </c>
      <c r="K10" s="90">
        <v>17759.564999999999</v>
      </c>
      <c r="L10" s="90">
        <v>15975.816000000001</v>
      </c>
      <c r="M10" s="368">
        <v>15607.316000000001</v>
      </c>
      <c r="N10" s="368">
        <v>20428.778999999999</v>
      </c>
      <c r="O10" s="368">
        <v>21326.492999999999</v>
      </c>
      <c r="P10" s="210">
        <f>SUM(AV10:AY10)</f>
        <v>22652.166999999998</v>
      </c>
      <c r="Q10" s="9"/>
      <c r="R10" s="368">
        <v>477.30900000000003</v>
      </c>
      <c r="S10" s="368">
        <f>912.819-R10</f>
        <v>435.50999999999993</v>
      </c>
      <c r="T10" s="368">
        <f>1457.504-S10-R10</f>
        <v>544.68499999999995</v>
      </c>
      <c r="U10" s="210">
        <f>+E10-SUM(R10:T10)</f>
        <v>788.71599999999989</v>
      </c>
      <c r="V10" s="368">
        <v>740.13699999999994</v>
      </c>
      <c r="W10" s="368">
        <f>1441.891-V10</f>
        <v>701.75400000000013</v>
      </c>
      <c r="X10" s="368">
        <f>2156.14-V10-W10</f>
        <v>714.2489999999998</v>
      </c>
      <c r="Y10" s="210">
        <f>+F10-SUM(V10:X10)</f>
        <v>918.5329999999999</v>
      </c>
      <c r="Z10" s="368">
        <v>901.17</v>
      </c>
      <c r="AA10" s="368">
        <f>1784.548-Z10</f>
        <v>883.37800000000004</v>
      </c>
      <c r="AB10" s="368">
        <f>2702.324-Z10-AA10</f>
        <v>917.77599999999995</v>
      </c>
      <c r="AC10" s="210">
        <f>+G10-SUM(Z10:AB10)</f>
        <v>1091.6079999999997</v>
      </c>
      <c r="AD10" s="368">
        <v>1102.511</v>
      </c>
      <c r="AE10" s="368">
        <f>2062.659-AD10</f>
        <v>960.14800000000014</v>
      </c>
      <c r="AF10" s="368">
        <f>3270.226-AD10-AE10</f>
        <v>1207.567</v>
      </c>
      <c r="AG10" s="210">
        <f>+H10-SUM(AD10:AF10)</f>
        <v>1880.0129999999995</v>
      </c>
      <c r="AH10" s="368">
        <v>2379.1439999999998</v>
      </c>
      <c r="AI10" s="368">
        <f>4787.817-AH10</f>
        <v>2408.6730000000002</v>
      </c>
      <c r="AJ10" s="368">
        <f>7364.881-AH10-AI10</f>
        <v>2577.0640000000008</v>
      </c>
      <c r="AK10" s="210">
        <f>+I10-SUM(AH10:AJ10)</f>
        <v>3349.7109999999993</v>
      </c>
      <c r="AL10" s="368">
        <v>3452.529</v>
      </c>
      <c r="AM10" s="368">
        <v>5869.5069999999996</v>
      </c>
      <c r="AN10" s="368">
        <f>6764.591-AL10</f>
        <v>3312.0620000000004</v>
      </c>
      <c r="AO10" s="368">
        <f>11112.136-AL10-AN10</f>
        <v>4347.5450000000001</v>
      </c>
      <c r="AP10" s="210">
        <f>+K10-SUM(AL10:AO10)</f>
        <v>777.92199999999866</v>
      </c>
      <c r="AQ10" s="368">
        <v>6183.97</v>
      </c>
      <c r="AR10" s="368">
        <f>11221.335-AQ10</f>
        <v>5037.3649999999989</v>
      </c>
      <c r="AS10" s="368">
        <f>17110.852-AQ10-AR10</f>
        <v>5889.5169999999989</v>
      </c>
      <c r="AT10" s="369"/>
      <c r="AU10" s="368">
        <v>3920.2020000000002</v>
      </c>
      <c r="AV10" s="368">
        <v>4460.924</v>
      </c>
      <c r="AW10" s="370">
        <v>5405.2269999999999</v>
      </c>
      <c r="AX10" s="370">
        <f t="shared" ref="AX10:AX11" si="0">O10-SUM(AU10:AW10)</f>
        <v>7540.1399999999994</v>
      </c>
      <c r="AY10" s="368">
        <v>5245.8760000000002</v>
      </c>
      <c r="AZ10" s="294"/>
      <c r="BA10" s="368">
        <v>4563.1310000000003</v>
      </c>
      <c r="BB10" s="368">
        <v>3856.6790000000001</v>
      </c>
      <c r="BC10" s="370">
        <v>4391.5780000000004</v>
      </c>
      <c r="BD10" s="370">
        <f t="shared" ref="BD10:BD11" si="1">N10-SUM(BA10:BC10)</f>
        <v>7617.390999999996</v>
      </c>
      <c r="BE10" s="368">
        <v>5130.2849999999999</v>
      </c>
      <c r="BG10" s="387">
        <v>8693.9050000000007</v>
      </c>
      <c r="BH10" s="387">
        <v>8616.6020000000008</v>
      </c>
      <c r="BJ10" s="90">
        <v>13737.906000000001</v>
      </c>
      <c r="BK10" s="90">
        <v>14668.451999999999</v>
      </c>
    </row>
    <row r="11" spans="2:63">
      <c r="B11" s="89" t="s">
        <v>292</v>
      </c>
      <c r="C11" s="330"/>
      <c r="D11" s="90"/>
      <c r="E11" s="90"/>
      <c r="F11" s="90"/>
      <c r="G11" s="90"/>
      <c r="H11" s="90"/>
      <c r="I11" s="90"/>
      <c r="J11" s="90"/>
      <c r="K11" s="90"/>
      <c r="L11" s="226">
        <v>-27553.493999999999</v>
      </c>
      <c r="M11" s="371">
        <v>-7698.9170000000004</v>
      </c>
      <c r="N11" s="371">
        <v>-10077.291999999999</v>
      </c>
      <c r="O11" s="371">
        <v>-12540.553</v>
      </c>
      <c r="P11" s="210">
        <f>SUM(AV11:AY11)</f>
        <v>-14520.457000000002</v>
      </c>
      <c r="Q11" s="210"/>
      <c r="R11" s="368"/>
      <c r="S11" s="368"/>
      <c r="T11" s="368"/>
      <c r="U11" s="210"/>
      <c r="V11" s="368"/>
      <c r="W11" s="368"/>
      <c r="X11" s="368"/>
      <c r="Y11" s="210"/>
      <c r="Z11" s="368"/>
      <c r="AA11" s="368"/>
      <c r="AB11" s="368"/>
      <c r="AC11" s="210"/>
      <c r="AD11" s="368"/>
      <c r="AE11" s="368"/>
      <c r="AF11" s="368"/>
      <c r="AG11" s="210"/>
      <c r="AH11" s="368"/>
      <c r="AI11" s="368"/>
      <c r="AJ11" s="368"/>
      <c r="AK11" s="210"/>
      <c r="AL11" s="368"/>
      <c r="AM11" s="368"/>
      <c r="AN11" s="368"/>
      <c r="AO11" s="368"/>
      <c r="AP11" s="210"/>
      <c r="AQ11" s="368"/>
      <c r="AR11" s="368"/>
      <c r="AS11" s="368"/>
      <c r="AT11" s="369"/>
      <c r="AU11" s="368">
        <v>-2517.3319999999999</v>
      </c>
      <c r="AV11" s="368">
        <v>-2535.7269999999999</v>
      </c>
      <c r="AW11" s="370">
        <v>-3090.5970000000002</v>
      </c>
      <c r="AX11" s="370">
        <f t="shared" si="0"/>
        <v>-4396.8970000000008</v>
      </c>
      <c r="AY11" s="368">
        <v>-4497.2359999999999</v>
      </c>
      <c r="AZ11" s="294"/>
      <c r="BA11" s="368">
        <v>-2682.1350000000002</v>
      </c>
      <c r="BB11" s="368">
        <v>-2066.4160000000002</v>
      </c>
      <c r="BC11" s="370">
        <v>-2164.52</v>
      </c>
      <c r="BD11" s="370">
        <f t="shared" si="1"/>
        <v>-3164.2209999999995</v>
      </c>
      <c r="BE11" s="368">
        <v>-3294.38</v>
      </c>
      <c r="BG11" s="387">
        <v>-4909.6570000000002</v>
      </c>
      <c r="BH11" s="387">
        <v>-5204.268</v>
      </c>
      <c r="BJ11" s="90">
        <v>-7442.6180000000004</v>
      </c>
      <c r="BK11" s="90">
        <v>-8685.4130000000005</v>
      </c>
    </row>
    <row r="12" spans="2:63" s="94" customFormat="1">
      <c r="B12" s="92" t="s">
        <v>293</v>
      </c>
      <c r="C12" s="331"/>
      <c r="D12" s="93">
        <f t="shared" ref="D12:L12" si="2">SUM(D9:D11)</f>
        <v>4825.6480000000001</v>
      </c>
      <c r="E12" s="93">
        <f t="shared" si="2"/>
        <v>5955.5079999999998</v>
      </c>
      <c r="F12" s="93">
        <f t="shared" si="2"/>
        <v>7803.12</v>
      </c>
      <c r="G12" s="93">
        <f t="shared" si="2"/>
        <v>9400.8610000000008</v>
      </c>
      <c r="H12" s="93">
        <f t="shared" si="2"/>
        <v>12537.08</v>
      </c>
      <c r="I12" s="93">
        <f t="shared" si="2"/>
        <v>28196.847000000002</v>
      </c>
      <c r="J12" s="93">
        <f t="shared" si="2"/>
        <v>51981.207999999999</v>
      </c>
      <c r="K12" s="93">
        <f t="shared" si="2"/>
        <v>55836.141000000003</v>
      </c>
      <c r="L12" s="93">
        <f t="shared" si="2"/>
        <v>80615.534000000014</v>
      </c>
      <c r="M12" s="380">
        <f>SUM(M9:M11)</f>
        <v>84097.90800000001</v>
      </c>
      <c r="N12" s="380">
        <f>SUM(N9:N11)</f>
        <v>110077.70999999999</v>
      </c>
      <c r="O12" s="380">
        <f>SUM(O9:O11)</f>
        <v>111904.601</v>
      </c>
      <c r="P12" s="380">
        <f>SUM(P9:P11)</f>
        <v>118848.70500000002</v>
      </c>
      <c r="Q12" s="380"/>
      <c r="R12" s="380">
        <f t="shared" ref="R12:Z12" si="3">SUM(R9:R10)</f>
        <v>1407.69</v>
      </c>
      <c r="S12" s="380">
        <f t="shared" si="3"/>
        <v>1312.269</v>
      </c>
      <c r="T12" s="380">
        <f t="shared" si="3"/>
        <v>1437.674</v>
      </c>
      <c r="U12" s="380">
        <f t="shared" si="3"/>
        <v>1797.875</v>
      </c>
      <c r="V12" s="380">
        <f t="shared" si="3"/>
        <v>1942.36</v>
      </c>
      <c r="W12" s="380">
        <f t="shared" si="3"/>
        <v>1820.4980000000003</v>
      </c>
      <c r="X12" s="380">
        <f t="shared" si="3"/>
        <v>1893.1089999999999</v>
      </c>
      <c r="Y12" s="380">
        <f t="shared" si="3"/>
        <v>2147.1529999999998</v>
      </c>
      <c r="Z12" s="380">
        <f t="shared" si="3"/>
        <v>2376.1259999999997</v>
      </c>
      <c r="AA12" s="380">
        <f t="shared" ref="AA12:AT12" si="4">SUM(AA9:AA11)</f>
        <v>2144.6410000000001</v>
      </c>
      <c r="AB12" s="380">
        <f t="shared" si="4"/>
        <v>2228.799</v>
      </c>
      <c r="AC12" s="380">
        <f t="shared" si="4"/>
        <v>2651.2949999999996</v>
      </c>
      <c r="AD12" s="380">
        <f t="shared" si="4"/>
        <v>2783.7570000000001</v>
      </c>
      <c r="AE12" s="380">
        <f t="shared" si="4"/>
        <v>2448.337</v>
      </c>
      <c r="AF12" s="380">
        <f t="shared" si="4"/>
        <v>3186.8629999999998</v>
      </c>
      <c r="AG12" s="380">
        <f t="shared" si="4"/>
        <v>4118.1229999999996</v>
      </c>
      <c r="AH12" s="380">
        <f t="shared" si="4"/>
        <v>5886.018</v>
      </c>
      <c r="AI12" s="380">
        <f t="shared" si="4"/>
        <v>5991.0420000000013</v>
      </c>
      <c r="AJ12" s="380">
        <f t="shared" si="4"/>
        <v>7301.82</v>
      </c>
      <c r="AK12" s="380">
        <f t="shared" si="4"/>
        <v>9017.9670000000006</v>
      </c>
      <c r="AL12" s="380">
        <f t="shared" si="4"/>
        <v>10111.755999999999</v>
      </c>
      <c r="AM12" s="380">
        <f t="shared" si="4"/>
        <v>17346.855</v>
      </c>
      <c r="AN12" s="380">
        <f t="shared" si="4"/>
        <v>9511.8540000000012</v>
      </c>
      <c r="AO12" s="380">
        <f t="shared" si="4"/>
        <v>12408.578000000001</v>
      </c>
      <c r="AP12" s="380">
        <f t="shared" si="4"/>
        <v>6457.0979999999981</v>
      </c>
      <c r="AQ12" s="380">
        <f t="shared" si="4"/>
        <v>19600.936000000002</v>
      </c>
      <c r="AR12" s="380">
        <f t="shared" si="4"/>
        <v>16956.764999999999</v>
      </c>
      <c r="AS12" s="380">
        <f t="shared" si="4"/>
        <v>21457.184000000001</v>
      </c>
      <c r="AT12" s="380">
        <f t="shared" si="4"/>
        <v>0</v>
      </c>
      <c r="AU12" s="380">
        <f t="shared" ref="AU12:AW12" si="5">SUM(AU9:AU11)</f>
        <v>26962.317000000003</v>
      </c>
      <c r="AV12" s="380">
        <f t="shared" si="5"/>
        <v>23057.685000000001</v>
      </c>
      <c r="AW12" s="380">
        <f t="shared" si="5"/>
        <v>25411.132999999998</v>
      </c>
      <c r="AX12" s="380">
        <f t="shared" ref="AX12:AY12" si="6">SUM(AX9:AX11)</f>
        <v>36473.466</v>
      </c>
      <c r="AY12" s="380">
        <f t="shared" si="6"/>
        <v>33906.421000000009</v>
      </c>
      <c r="AZ12" s="381"/>
      <c r="BA12" s="380">
        <f t="shared" ref="BA12:BB12" si="7">SUM(BA9:BA11)</f>
        <v>27069.643000000004</v>
      </c>
      <c r="BB12" s="380">
        <f t="shared" si="7"/>
        <v>20675.042999999998</v>
      </c>
      <c r="BC12" s="380">
        <f t="shared" ref="BC12:BE12" si="8">SUM(BC9:BC11)</f>
        <v>24254.718000000001</v>
      </c>
      <c r="BD12" s="380">
        <f t="shared" si="8"/>
        <v>38078.305999999997</v>
      </c>
      <c r="BE12" s="380">
        <f t="shared" si="8"/>
        <v>35285.011000000006</v>
      </c>
      <c r="BG12" s="68">
        <f t="shared" ref="BG12:BH12" si="9">SUM(BG9:BG11)</f>
        <v>49370.684000000001</v>
      </c>
      <c r="BH12" s="68">
        <f t="shared" si="9"/>
        <v>51639.553</v>
      </c>
      <c r="BJ12" s="93">
        <f t="shared" ref="BJ12:BK12" si="10">SUM(BJ9:BJ11)</f>
        <v>77330.366999999998</v>
      </c>
      <c r="BK12" s="93">
        <f t="shared" si="10"/>
        <v>80925.915000000008</v>
      </c>
    </row>
    <row r="13" spans="2:63" s="315" customFormat="1" ht="11.25">
      <c r="B13" s="382" t="s">
        <v>199</v>
      </c>
      <c r="C13" s="382"/>
      <c r="D13" s="382">
        <f>+D12-Model!D7</f>
        <v>0</v>
      </c>
      <c r="E13" s="382">
        <f>+E12-Model!E7</f>
        <v>0</v>
      </c>
      <c r="F13" s="382">
        <f>+F12-Model!F7</f>
        <v>0</v>
      </c>
      <c r="G13" s="382">
        <f>+G12-Model!G7</f>
        <v>0</v>
      </c>
      <c r="H13" s="382">
        <f>+H12-Model!H7</f>
        <v>0</v>
      </c>
      <c r="I13" s="382">
        <f>+I12-Model!I7</f>
        <v>0</v>
      </c>
      <c r="J13" s="382">
        <f>+J12-Model!J7</f>
        <v>0</v>
      </c>
      <c r="K13" s="382">
        <f>+K12-Model!K7</f>
        <v>0</v>
      </c>
      <c r="L13" s="382">
        <f>+L12-Model!L7</f>
        <v>0</v>
      </c>
      <c r="M13" s="382">
        <f>+M12-Model!M7</f>
        <v>0</v>
      </c>
      <c r="N13" s="382">
        <f>+N12-Model!N7</f>
        <v>0</v>
      </c>
      <c r="O13" s="382">
        <f>+O12-Model!O7</f>
        <v>0</v>
      </c>
      <c r="P13" s="382">
        <f>+P12-Model!P7</f>
        <v>0</v>
      </c>
      <c r="Q13" s="382"/>
      <c r="R13" s="382">
        <f>+R12-Model!R7</f>
        <v>0</v>
      </c>
      <c r="S13" s="382">
        <f>+S12-Model!S7</f>
        <v>0</v>
      </c>
      <c r="T13" s="382">
        <f>+T12-Model!T7</f>
        <v>0</v>
      </c>
      <c r="U13" s="382">
        <f>+U12-Model!U7</f>
        <v>0</v>
      </c>
      <c r="V13" s="382">
        <f>+V12-Model!V7</f>
        <v>0</v>
      </c>
      <c r="W13" s="382">
        <f>+W12-Model!W7</f>
        <v>0</v>
      </c>
      <c r="X13" s="382">
        <f>+X12-Model!X7</f>
        <v>0</v>
      </c>
      <c r="Y13" s="382">
        <f>+Y12-Model!Y7</f>
        <v>0</v>
      </c>
      <c r="Z13" s="382">
        <f>+Z12-Model!Z7</f>
        <v>0</v>
      </c>
      <c r="AA13" s="382">
        <f>+AA12-Model!AA7</f>
        <v>0</v>
      </c>
      <c r="AB13" s="382">
        <f>+AB12-Model!AB7</f>
        <v>0</v>
      </c>
      <c r="AC13" s="382">
        <f>+AC12-Model!AC7</f>
        <v>0</v>
      </c>
      <c r="AD13" s="382">
        <f>+AD12-Model!BR7</f>
        <v>0</v>
      </c>
      <c r="AE13" s="382">
        <f>+AE12-Model!AE7</f>
        <v>-94.079000000000178</v>
      </c>
      <c r="AF13" s="382">
        <f>((+AF12-Model!AF7)-(8418.957-SUM(Model!AD7:AF7)))</f>
        <v>-1.3642420526593924E-12</v>
      </c>
      <c r="AG13" s="382">
        <f>((+AG12-Model!AG7))+(8418.957-SUM(Model!AD7:AF7))</f>
        <v>0</v>
      </c>
      <c r="AH13" s="382">
        <f>+AH12-Model!AH7</f>
        <v>0</v>
      </c>
      <c r="AI13" s="382">
        <f>+AI12-Model!AI7</f>
        <v>0</v>
      </c>
      <c r="AJ13" s="382">
        <f>((+AJ12-Model!AJ7)-(19178.88-SUM(Model!AH7:AJ7)))</f>
        <v>0</v>
      </c>
      <c r="AK13" s="382">
        <f>+AK12-Model!AK7</f>
        <v>0</v>
      </c>
      <c r="AL13" s="382">
        <f>+AL12-Model!AM7</f>
        <v>0</v>
      </c>
      <c r="AM13" s="382">
        <f>+AM12-Model!AN7</f>
        <v>0</v>
      </c>
      <c r="AN13" s="382">
        <f>+AN12-Model!AO7</f>
        <v>0</v>
      </c>
      <c r="AO13" s="382">
        <f>+AO12-Model!AQ7</f>
        <v>0</v>
      </c>
      <c r="AP13" s="383">
        <f>+AP12-Model!AS7</f>
        <v>-17346.855000000003</v>
      </c>
      <c r="AQ13" s="382">
        <f>+AQ12-Model!AU7</f>
        <v>0</v>
      </c>
      <c r="AR13" s="383">
        <f>+AR12-Model!AV7</f>
        <v>1647.4359999999997</v>
      </c>
      <c r="AS13" s="383">
        <f>+AS12-Model!AW7</f>
        <v>3260.7790000000023</v>
      </c>
      <c r="AT13" s="383"/>
      <c r="AU13" s="382">
        <f>+AU12-Model!AY7</f>
        <v>0</v>
      </c>
      <c r="AV13" s="382">
        <f>+AV12-Model!AZ7</f>
        <v>0</v>
      </c>
      <c r="AW13" s="383">
        <f>+AW12-Model!BA7</f>
        <v>0</v>
      </c>
      <c r="AX13" s="383">
        <f>+AX12-Model!BB7</f>
        <v>0</v>
      </c>
      <c r="AY13" s="382">
        <f>+AY12-Model!BC7</f>
        <v>0</v>
      </c>
      <c r="BA13" s="382">
        <f>BA12-Model!BE7</f>
        <v>0</v>
      </c>
      <c r="BB13" s="382">
        <f>BB12-Model!BF7</f>
        <v>0</v>
      </c>
      <c r="BC13" s="383">
        <f>BC12-Model!BG7</f>
        <v>0</v>
      </c>
      <c r="BD13" s="383">
        <f>BD12-Model!BH7</f>
        <v>0</v>
      </c>
      <c r="BE13" s="382">
        <f>BE12-Model!BI7</f>
        <v>0</v>
      </c>
      <c r="BG13" s="382">
        <f>BG12-Model!BK7</f>
        <v>0</v>
      </c>
      <c r="BH13" s="382">
        <f>BH12-Model!BL7</f>
        <v>0</v>
      </c>
      <c r="BJ13" s="382">
        <f>BJ12-Model!BN7</f>
        <v>0</v>
      </c>
      <c r="BK13" s="382">
        <f>BK12-Model!BO7</f>
        <v>0</v>
      </c>
    </row>
    <row r="14" spans="2:63">
      <c r="B14" s="8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5"/>
      <c r="Q14" s="95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315"/>
      <c r="BA14" s="87"/>
      <c r="BB14" s="87"/>
      <c r="BC14" s="87"/>
      <c r="BD14" s="87"/>
      <c r="BE14" s="87"/>
    </row>
    <row r="15" spans="2:63">
      <c r="B15" s="375" t="s">
        <v>294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5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315"/>
      <c r="BA15" s="87"/>
      <c r="BB15" s="87"/>
      <c r="BC15" s="87"/>
      <c r="BD15" s="87"/>
      <c r="BE15" s="87"/>
      <c r="BF15" s="315"/>
    </row>
    <row r="16" spans="2:63">
      <c r="B16" s="89" t="str">
        <f>+B9</f>
        <v>Domestic</v>
      </c>
      <c r="C16" s="332"/>
      <c r="D16" s="376">
        <f t="shared" ref="D16" si="11">+D9/D$12</f>
        <v>0.65756826855170536</v>
      </c>
      <c r="E16" s="376">
        <f t="shared" ref="E16:P16" si="12">+E9/E$12</f>
        <v>0.62283318232466489</v>
      </c>
      <c r="F16" s="376">
        <f t="shared" si="12"/>
        <v>0.60596876633961805</v>
      </c>
      <c r="G16" s="376">
        <f t="shared" si="12"/>
        <v>0.5964271783190922</v>
      </c>
      <c r="H16" s="376">
        <f t="shared" si="12"/>
        <v>0.58919947866648381</v>
      </c>
      <c r="I16" s="376">
        <f t="shared" si="12"/>
        <v>0.62000744267612617</v>
      </c>
      <c r="J16" s="376">
        <f t="shared" si="12"/>
        <v>0.64037353652881635</v>
      </c>
      <c r="K16" s="376">
        <f t="shared" si="12"/>
        <v>0.68193423324151281</v>
      </c>
      <c r="L16" s="376">
        <f t="shared" si="12"/>
        <v>1.1436159686047602</v>
      </c>
      <c r="M16" s="376">
        <f t="shared" si="12"/>
        <v>0.90596200086213796</v>
      </c>
      <c r="N16" s="376">
        <f t="shared" si="12"/>
        <v>0.90596200629537083</v>
      </c>
      <c r="O16" s="376">
        <f t="shared" si="12"/>
        <v>0.92148723178951331</v>
      </c>
      <c r="P16" s="376">
        <f t="shared" si="12"/>
        <v>0.93157931337998168</v>
      </c>
      <c r="Q16" s="95"/>
      <c r="R16" s="376">
        <f t="shared" ref="R16:BK16" si="13">+R9/R$12</f>
        <v>0.66092747693028997</v>
      </c>
      <c r="S16" s="376">
        <f t="shared" si="13"/>
        <v>0.66812444704553731</v>
      </c>
      <c r="T16" s="376">
        <f t="shared" si="13"/>
        <v>0.62113455484344848</v>
      </c>
      <c r="U16" s="376">
        <f t="shared" si="13"/>
        <v>0.56130654244594314</v>
      </c>
      <c r="V16" s="376">
        <f t="shared" si="13"/>
        <v>0.61894962828723821</v>
      </c>
      <c r="W16" s="376">
        <f t="shared" si="13"/>
        <v>0.61452635487652274</v>
      </c>
      <c r="X16" s="376">
        <f t="shared" si="13"/>
        <v>0.62271110643919614</v>
      </c>
      <c r="Y16" s="376">
        <f t="shared" si="13"/>
        <v>0.57220887379706986</v>
      </c>
      <c r="Z16" s="376">
        <f t="shared" si="13"/>
        <v>0.62073980925253969</v>
      </c>
      <c r="AA16" s="376">
        <f t="shared" si="13"/>
        <v>0.58809982649776815</v>
      </c>
      <c r="AB16" s="376">
        <f t="shared" si="13"/>
        <v>0.58821948502309984</v>
      </c>
      <c r="AC16" s="376">
        <f t="shared" si="13"/>
        <v>0.58827365494975103</v>
      </c>
      <c r="AD16" s="376">
        <f t="shared" si="13"/>
        <v>0.60394854867001679</v>
      </c>
      <c r="AE16" s="376">
        <f t="shared" si="13"/>
        <v>0.60783666627592514</v>
      </c>
      <c r="AF16" s="376">
        <f t="shared" si="13"/>
        <v>0.62107972636413922</v>
      </c>
      <c r="AG16" s="376">
        <f t="shared" si="13"/>
        <v>0.54347818168617135</v>
      </c>
      <c r="AH16" s="376">
        <f t="shared" si="13"/>
        <v>0.59579736249532367</v>
      </c>
      <c r="AI16" s="376">
        <f t="shared" si="13"/>
        <v>0.59795424568881339</v>
      </c>
      <c r="AJ16" s="376">
        <f t="shared" si="13"/>
        <v>0.64706552612910195</v>
      </c>
      <c r="AK16" s="376">
        <f t="shared" si="13"/>
        <v>0.62855142406265196</v>
      </c>
      <c r="AL16" s="376">
        <f t="shared" si="13"/>
        <v>0.65856286484760906</v>
      </c>
      <c r="AM16" s="376">
        <f t="shared" si="13"/>
        <v>0.66163855061911803</v>
      </c>
      <c r="AN16" s="376">
        <f t="shared" si="13"/>
        <v>0.65179637954913938</v>
      </c>
      <c r="AO16" s="376">
        <f t="shared" si="13"/>
        <v>0.64963390647985608</v>
      </c>
      <c r="AP16" s="376">
        <f t="shared" si="13"/>
        <v>0.87952451705084866</v>
      </c>
      <c r="AQ16" s="376">
        <f t="shared" si="13"/>
        <v>0.68450639296000959</v>
      </c>
      <c r="AR16" s="376">
        <f t="shared" si="13"/>
        <v>0.7029288900329751</v>
      </c>
      <c r="AS16" s="376">
        <f t="shared" si="13"/>
        <v>0.72552237050304458</v>
      </c>
      <c r="AT16" s="376" t="e">
        <f t="shared" si="13"/>
        <v>#DIV/0!</v>
      </c>
      <c r="AU16" s="376">
        <f t="shared" si="13"/>
        <v>0.94796923424644841</v>
      </c>
      <c r="AV16" s="376">
        <f t="shared" si="13"/>
        <v>0.91650519121932661</v>
      </c>
      <c r="AW16" s="376">
        <f t="shared" si="13"/>
        <v>0.90891275882897482</v>
      </c>
      <c r="AX16" s="376">
        <f t="shared" si="13"/>
        <v>0.91382110490952517</v>
      </c>
      <c r="AY16" s="376">
        <f t="shared" si="13"/>
        <v>0.9779204062852872</v>
      </c>
      <c r="AZ16" s="315"/>
      <c r="BA16" s="376">
        <f t="shared" si="13"/>
        <v>0.93051271492571952</v>
      </c>
      <c r="BB16" s="376">
        <f t="shared" si="13"/>
        <v>0.91340946666954936</v>
      </c>
      <c r="BC16" s="376">
        <f t="shared" si="13"/>
        <v>0.90818042081544714</v>
      </c>
      <c r="BD16" s="376">
        <f t="shared" si="13"/>
        <v>0.88305230805172907</v>
      </c>
      <c r="BE16" s="376">
        <f t="shared" si="13"/>
        <v>0.94796926661011938</v>
      </c>
      <c r="BG16" s="376">
        <f t="shared" si="13"/>
        <v>0.92335030237782412</v>
      </c>
      <c r="BH16" s="376">
        <f t="shared" si="13"/>
        <v>0.93392014837928583</v>
      </c>
      <c r="BJ16" s="376">
        <f t="shared" si="13"/>
        <v>0.9185922911758585</v>
      </c>
      <c r="BK16" s="376">
        <f t="shared" si="13"/>
        <v>0.92606770031577645</v>
      </c>
    </row>
    <row r="17" spans="2:63">
      <c r="B17" s="89" t="str">
        <f>+B10</f>
        <v>Foreign</v>
      </c>
      <c r="C17" s="332"/>
      <c r="D17" s="376">
        <f t="shared" ref="D17:D18" si="14">+D10/D$12</f>
        <v>0.34243173144829459</v>
      </c>
      <c r="E17" s="376">
        <f t="shared" ref="E17:P17" si="15">+E10/E$12</f>
        <v>0.37716681767533516</v>
      </c>
      <c r="F17" s="376">
        <f t="shared" si="15"/>
        <v>0.39403123366038195</v>
      </c>
      <c r="G17" s="376">
        <f t="shared" si="15"/>
        <v>0.40357282168090769</v>
      </c>
      <c r="H17" s="376">
        <f t="shared" si="15"/>
        <v>0.41080052133351624</v>
      </c>
      <c r="I17" s="376">
        <f t="shared" si="15"/>
        <v>0.37999255732387383</v>
      </c>
      <c r="J17" s="376">
        <f t="shared" si="15"/>
        <v>0.35962646347118365</v>
      </c>
      <c r="K17" s="376">
        <f t="shared" si="15"/>
        <v>0.31806576675848708</v>
      </c>
      <c r="L17" s="376">
        <f t="shared" si="15"/>
        <v>0.1981729228513204</v>
      </c>
      <c r="M17" s="376">
        <f t="shared" si="15"/>
        <v>0.18558506829920191</v>
      </c>
      <c r="N17" s="376">
        <f t="shared" si="15"/>
        <v>0.18558506531431296</v>
      </c>
      <c r="O17" s="376">
        <f t="shared" si="15"/>
        <v>0.19057744551539932</v>
      </c>
      <c r="P17" s="376">
        <f t="shared" si="15"/>
        <v>0.1905966665770569</v>
      </c>
      <c r="Q17" s="95"/>
      <c r="R17" s="376">
        <f t="shared" ref="R17:BK17" si="16">+R10/R$12</f>
        <v>0.33907252306970997</v>
      </c>
      <c r="S17" s="376">
        <f t="shared" si="16"/>
        <v>0.3318755529544628</v>
      </c>
      <c r="T17" s="376">
        <f t="shared" si="16"/>
        <v>0.37886544515655146</v>
      </c>
      <c r="U17" s="376">
        <f t="shared" si="16"/>
        <v>0.43869345755405681</v>
      </c>
      <c r="V17" s="376">
        <f t="shared" si="16"/>
        <v>0.38105037171276179</v>
      </c>
      <c r="W17" s="376">
        <f t="shared" si="16"/>
        <v>0.3854736451234772</v>
      </c>
      <c r="X17" s="376">
        <f t="shared" si="16"/>
        <v>0.37728889356080386</v>
      </c>
      <c r="Y17" s="376">
        <f t="shared" si="16"/>
        <v>0.42779112620293008</v>
      </c>
      <c r="Z17" s="376">
        <f t="shared" si="16"/>
        <v>0.37926019074746037</v>
      </c>
      <c r="AA17" s="376">
        <f t="shared" si="16"/>
        <v>0.41190017350223185</v>
      </c>
      <c r="AB17" s="376">
        <f t="shared" si="16"/>
        <v>0.4117805149769001</v>
      </c>
      <c r="AC17" s="376">
        <f t="shared" si="16"/>
        <v>0.41172634505024897</v>
      </c>
      <c r="AD17" s="376">
        <f t="shared" si="16"/>
        <v>0.39605145132998315</v>
      </c>
      <c r="AE17" s="376">
        <f t="shared" si="16"/>
        <v>0.3921633337240748</v>
      </c>
      <c r="AF17" s="376">
        <f t="shared" si="16"/>
        <v>0.37892027363586073</v>
      </c>
      <c r="AG17" s="376">
        <f t="shared" si="16"/>
        <v>0.45652181831382882</v>
      </c>
      <c r="AH17" s="376">
        <f t="shared" si="16"/>
        <v>0.40420263750467628</v>
      </c>
      <c r="AI17" s="376">
        <f t="shared" si="16"/>
        <v>0.40204575431118655</v>
      </c>
      <c r="AJ17" s="376">
        <f t="shared" si="16"/>
        <v>0.35293447387089805</v>
      </c>
      <c r="AK17" s="376">
        <f t="shared" si="16"/>
        <v>0.37144857593734809</v>
      </c>
      <c r="AL17" s="376">
        <f t="shared" si="16"/>
        <v>0.34143713515239094</v>
      </c>
      <c r="AM17" s="376">
        <f t="shared" si="16"/>
        <v>0.33836144938088197</v>
      </c>
      <c r="AN17" s="376">
        <f t="shared" si="16"/>
        <v>0.34820362045086056</v>
      </c>
      <c r="AO17" s="376">
        <f t="shared" si="16"/>
        <v>0.35036609352014386</v>
      </c>
      <c r="AP17" s="376">
        <f t="shared" si="16"/>
        <v>0.12047548294915129</v>
      </c>
      <c r="AQ17" s="376">
        <f t="shared" si="16"/>
        <v>0.3154936070399903</v>
      </c>
      <c r="AR17" s="376">
        <f t="shared" si="16"/>
        <v>0.2970711099670249</v>
      </c>
      <c r="AS17" s="376">
        <f t="shared" si="16"/>
        <v>0.27447762949695537</v>
      </c>
      <c r="AT17" s="376" t="e">
        <f t="shared" si="16"/>
        <v>#DIV/0!</v>
      </c>
      <c r="AU17" s="376">
        <f t="shared" si="16"/>
        <v>0.14539559044573208</v>
      </c>
      <c r="AV17" s="376">
        <f t="shared" si="16"/>
        <v>0.19346799125757855</v>
      </c>
      <c r="AW17" s="376">
        <f t="shared" si="16"/>
        <v>0.21271097986854817</v>
      </c>
      <c r="AX17" s="376">
        <f t="shared" si="16"/>
        <v>0.20672946190526559</v>
      </c>
      <c r="AY17" s="376">
        <f t="shared" si="16"/>
        <v>0.15471629990083585</v>
      </c>
      <c r="AZ17" s="315"/>
      <c r="BA17" s="376">
        <f t="shared" si="16"/>
        <v>0.16857004726660044</v>
      </c>
      <c r="BB17" s="376">
        <f t="shared" si="16"/>
        <v>0.18653789498769122</v>
      </c>
      <c r="BC17" s="376">
        <f t="shared" si="16"/>
        <v>0.18106077341323862</v>
      </c>
      <c r="BD17" s="376">
        <f t="shared" si="16"/>
        <v>0.20004542744102105</v>
      </c>
      <c r="BE17" s="376">
        <f t="shared" si="16"/>
        <v>0.14539559021251258</v>
      </c>
      <c r="BF17" s="315"/>
      <c r="BG17" s="376">
        <f t="shared" si="16"/>
        <v>0.17609448149432161</v>
      </c>
      <c r="BH17" s="376">
        <f t="shared" si="16"/>
        <v>0.16686050710005179</v>
      </c>
      <c r="BJ17" s="376">
        <f t="shared" si="16"/>
        <v>0.17765215054520564</v>
      </c>
      <c r="BK17" s="376">
        <f t="shared" si="16"/>
        <v>0.18125778373960921</v>
      </c>
    </row>
    <row r="18" spans="2:63">
      <c r="B18" s="89" t="s">
        <v>292</v>
      </c>
      <c r="C18" s="332"/>
      <c r="D18" s="376">
        <f t="shared" si="14"/>
        <v>0</v>
      </c>
      <c r="E18" s="376">
        <f t="shared" ref="E18:P18" si="17">+E11/E$12</f>
        <v>0</v>
      </c>
      <c r="F18" s="376">
        <f t="shared" si="17"/>
        <v>0</v>
      </c>
      <c r="G18" s="376">
        <f t="shared" si="17"/>
        <v>0</v>
      </c>
      <c r="H18" s="376">
        <f t="shared" si="17"/>
        <v>0</v>
      </c>
      <c r="I18" s="376">
        <f t="shared" si="17"/>
        <v>0</v>
      </c>
      <c r="J18" s="376">
        <f t="shared" si="17"/>
        <v>0</v>
      </c>
      <c r="K18" s="376">
        <f t="shared" si="17"/>
        <v>0</v>
      </c>
      <c r="L18" s="376">
        <f t="shared" si="17"/>
        <v>-0.34178889145608082</v>
      </c>
      <c r="M18" s="376">
        <f t="shared" si="17"/>
        <v>-9.1547069161339895E-2</v>
      </c>
      <c r="N18" s="376">
        <f t="shared" si="17"/>
        <v>-9.1547071609683742E-2</v>
      </c>
      <c r="O18" s="376">
        <f t="shared" si="17"/>
        <v>-0.11206467730491261</v>
      </c>
      <c r="P18" s="376">
        <f t="shared" si="17"/>
        <v>-0.12217597995703866</v>
      </c>
      <c r="Q18" s="95"/>
      <c r="R18" s="376">
        <f t="shared" ref="R18:BK18" si="18">+R11/R$12</f>
        <v>0</v>
      </c>
      <c r="S18" s="376">
        <f t="shared" si="18"/>
        <v>0</v>
      </c>
      <c r="T18" s="376">
        <f t="shared" si="18"/>
        <v>0</v>
      </c>
      <c r="U18" s="376">
        <f t="shared" si="18"/>
        <v>0</v>
      </c>
      <c r="V18" s="376">
        <f t="shared" si="18"/>
        <v>0</v>
      </c>
      <c r="W18" s="376">
        <f t="shared" si="18"/>
        <v>0</v>
      </c>
      <c r="X18" s="376">
        <f t="shared" si="18"/>
        <v>0</v>
      </c>
      <c r="Y18" s="376">
        <f t="shared" si="18"/>
        <v>0</v>
      </c>
      <c r="Z18" s="376">
        <f t="shared" si="18"/>
        <v>0</v>
      </c>
      <c r="AA18" s="376">
        <f t="shared" si="18"/>
        <v>0</v>
      </c>
      <c r="AB18" s="376">
        <f t="shared" si="18"/>
        <v>0</v>
      </c>
      <c r="AC18" s="376">
        <f t="shared" si="18"/>
        <v>0</v>
      </c>
      <c r="AD18" s="376">
        <f t="shared" si="18"/>
        <v>0</v>
      </c>
      <c r="AE18" s="376">
        <f t="shared" si="18"/>
        <v>0</v>
      </c>
      <c r="AF18" s="376">
        <f t="shared" si="18"/>
        <v>0</v>
      </c>
      <c r="AG18" s="376">
        <f t="shared" si="18"/>
        <v>0</v>
      </c>
      <c r="AH18" s="376">
        <f t="shared" si="18"/>
        <v>0</v>
      </c>
      <c r="AI18" s="376">
        <f t="shared" si="18"/>
        <v>0</v>
      </c>
      <c r="AJ18" s="376">
        <f t="shared" si="18"/>
        <v>0</v>
      </c>
      <c r="AK18" s="376">
        <f t="shared" si="18"/>
        <v>0</v>
      </c>
      <c r="AL18" s="376">
        <f t="shared" si="18"/>
        <v>0</v>
      </c>
      <c r="AM18" s="376">
        <f t="shared" si="18"/>
        <v>0</v>
      </c>
      <c r="AN18" s="376">
        <f t="shared" si="18"/>
        <v>0</v>
      </c>
      <c r="AO18" s="376">
        <f t="shared" si="18"/>
        <v>0</v>
      </c>
      <c r="AP18" s="376">
        <f t="shared" si="18"/>
        <v>0</v>
      </c>
      <c r="AQ18" s="376">
        <f t="shared" si="18"/>
        <v>0</v>
      </c>
      <c r="AR18" s="376">
        <f t="shared" si="18"/>
        <v>0</v>
      </c>
      <c r="AS18" s="376">
        <f t="shared" si="18"/>
        <v>0</v>
      </c>
      <c r="AT18" s="376" t="e">
        <f t="shared" si="18"/>
        <v>#DIV/0!</v>
      </c>
      <c r="AU18" s="376">
        <f t="shared" si="18"/>
        <v>-9.3364824692180562E-2</v>
      </c>
      <c r="AV18" s="376">
        <f t="shared" si="18"/>
        <v>-0.1099731824769052</v>
      </c>
      <c r="AW18" s="376">
        <f t="shared" si="18"/>
        <v>-0.12162373869752287</v>
      </c>
      <c r="AX18" s="376">
        <f t="shared" si="18"/>
        <v>-0.1205505668147908</v>
      </c>
      <c r="AY18" s="376">
        <f t="shared" si="18"/>
        <v>-0.13263670618612322</v>
      </c>
      <c r="AZ18" s="315"/>
      <c r="BA18" s="376">
        <f t="shared" si="18"/>
        <v>-9.9082762192319998E-2</v>
      </c>
      <c r="BB18" s="376">
        <f t="shared" si="18"/>
        <v>-9.994736165724058E-2</v>
      </c>
      <c r="BC18" s="376">
        <f t="shared" si="18"/>
        <v>-8.9241194228685733E-2</v>
      </c>
      <c r="BD18" s="376">
        <f t="shared" si="18"/>
        <v>-8.3097735492750124E-2</v>
      </c>
      <c r="BE18" s="376">
        <f t="shared" si="18"/>
        <v>-9.3364856822632125E-2</v>
      </c>
      <c r="BG18" s="376">
        <f t="shared" si="18"/>
        <v>-9.944478387214567E-2</v>
      </c>
      <c r="BH18" s="376">
        <f t="shared" si="18"/>
        <v>-0.10078065547933771</v>
      </c>
      <c r="BJ18" s="376">
        <f t="shared" si="18"/>
        <v>-9.6244441721064125E-2</v>
      </c>
      <c r="BK18" s="376">
        <f t="shared" si="18"/>
        <v>-0.10732548405538571</v>
      </c>
    </row>
    <row r="19" spans="2:63" s="94" customFormat="1">
      <c r="B19" s="92" t="s">
        <v>293</v>
      </c>
      <c r="C19" s="333"/>
      <c r="D19" s="378">
        <f>SUM(D16:D18)</f>
        <v>1</v>
      </c>
      <c r="E19" s="378">
        <f t="shared" ref="E19:P19" si="19">SUM(E16:E18)</f>
        <v>1</v>
      </c>
      <c r="F19" s="378">
        <f t="shared" si="19"/>
        <v>1</v>
      </c>
      <c r="G19" s="378">
        <f t="shared" si="19"/>
        <v>0.99999999999999989</v>
      </c>
      <c r="H19" s="378">
        <f t="shared" si="19"/>
        <v>1</v>
      </c>
      <c r="I19" s="378">
        <f t="shared" si="19"/>
        <v>1</v>
      </c>
      <c r="J19" s="378">
        <f t="shared" si="19"/>
        <v>1</v>
      </c>
      <c r="K19" s="378">
        <f t="shared" si="19"/>
        <v>0.99999999999999989</v>
      </c>
      <c r="L19" s="378">
        <f t="shared" si="19"/>
        <v>0.99999999999999989</v>
      </c>
      <c r="M19" s="378">
        <f t="shared" si="19"/>
        <v>0.99999999999999989</v>
      </c>
      <c r="N19" s="378">
        <f t="shared" si="19"/>
        <v>1</v>
      </c>
      <c r="O19" s="378">
        <f t="shared" si="19"/>
        <v>0.99999999999999989</v>
      </c>
      <c r="P19" s="378">
        <f t="shared" si="19"/>
        <v>0.99999999999999989</v>
      </c>
      <c r="Q19" s="95"/>
      <c r="R19" s="378">
        <f t="shared" ref="R19" si="20">SUM(R16:R18)</f>
        <v>1</v>
      </c>
      <c r="S19" s="378">
        <f t="shared" ref="S19" si="21">SUM(S16:S18)</f>
        <v>1</v>
      </c>
      <c r="T19" s="378">
        <f t="shared" ref="T19" si="22">SUM(T16:T18)</f>
        <v>1</v>
      </c>
      <c r="U19" s="378">
        <f t="shared" ref="U19" si="23">SUM(U16:U18)</f>
        <v>1</v>
      </c>
      <c r="V19" s="378">
        <f t="shared" ref="V19" si="24">SUM(V16:V18)</f>
        <v>1</v>
      </c>
      <c r="W19" s="378">
        <f t="shared" ref="W19" si="25">SUM(W16:W18)</f>
        <v>1</v>
      </c>
      <c r="X19" s="378">
        <f t="shared" ref="X19" si="26">SUM(X16:X18)</f>
        <v>1</v>
      </c>
      <c r="Y19" s="378">
        <f t="shared" ref="Y19" si="27">SUM(Y16:Y18)</f>
        <v>1</v>
      </c>
      <c r="Z19" s="378">
        <f t="shared" ref="Z19" si="28">SUM(Z16:Z18)</f>
        <v>1</v>
      </c>
      <c r="AA19" s="378">
        <f t="shared" ref="AA19" si="29">SUM(AA16:AA18)</f>
        <v>1</v>
      </c>
      <c r="AB19" s="378">
        <f t="shared" ref="AB19" si="30">SUM(AB16:AB18)</f>
        <v>1</v>
      </c>
      <c r="AC19" s="378">
        <f t="shared" ref="AC19" si="31">SUM(AC16:AC18)</f>
        <v>1</v>
      </c>
      <c r="AD19" s="378">
        <f t="shared" ref="AD19" si="32">SUM(AD16:AD18)</f>
        <v>1</v>
      </c>
      <c r="AE19" s="378">
        <f t="shared" ref="AE19" si="33">SUM(AE16:AE18)</f>
        <v>1</v>
      </c>
      <c r="AF19" s="378">
        <f t="shared" ref="AF19" si="34">SUM(AF16:AF18)</f>
        <v>1</v>
      </c>
      <c r="AG19" s="378">
        <f t="shared" ref="AG19" si="35">SUM(AG16:AG18)</f>
        <v>1.0000000000000002</v>
      </c>
      <c r="AH19" s="378">
        <f t="shared" ref="AH19" si="36">SUM(AH16:AH18)</f>
        <v>1</v>
      </c>
      <c r="AI19" s="378">
        <f t="shared" ref="AI19" si="37">SUM(AI16:AI18)</f>
        <v>1</v>
      </c>
      <c r="AJ19" s="378">
        <f t="shared" ref="AJ19" si="38">SUM(AJ16:AJ18)</f>
        <v>1</v>
      </c>
      <c r="AK19" s="378">
        <f t="shared" ref="AK19" si="39">SUM(AK16:AK18)</f>
        <v>1</v>
      </c>
      <c r="AL19" s="378">
        <f t="shared" ref="AL19" si="40">SUM(AL16:AL18)</f>
        <v>1</v>
      </c>
      <c r="AM19" s="378">
        <f t="shared" ref="AM19" si="41">SUM(AM16:AM18)</f>
        <v>1</v>
      </c>
      <c r="AN19" s="378">
        <f t="shared" ref="AN19" si="42">SUM(AN16:AN18)</f>
        <v>1</v>
      </c>
      <c r="AO19" s="378">
        <f t="shared" ref="AO19" si="43">SUM(AO16:AO18)</f>
        <v>1</v>
      </c>
      <c r="AP19" s="378">
        <f t="shared" ref="AP19" si="44">SUM(AP16:AP18)</f>
        <v>1</v>
      </c>
      <c r="AQ19" s="378">
        <f t="shared" ref="AQ19" si="45">SUM(AQ16:AQ18)</f>
        <v>0.99999999999999989</v>
      </c>
      <c r="AR19" s="378">
        <f t="shared" ref="AR19" si="46">SUM(AR16:AR18)</f>
        <v>1</v>
      </c>
      <c r="AS19" s="378">
        <f t="shared" ref="AS19" si="47">SUM(AS16:AS18)</f>
        <v>1</v>
      </c>
      <c r="AT19" s="378" t="e">
        <f t="shared" ref="AT19" si="48">SUM(AT16:AT18)</f>
        <v>#DIV/0!</v>
      </c>
      <c r="AU19" s="378">
        <f t="shared" ref="AU19" si="49">SUM(AU16:AU18)</f>
        <v>1</v>
      </c>
      <c r="AV19" s="378">
        <f t="shared" ref="AV19" si="50">SUM(AV16:AV18)</f>
        <v>1</v>
      </c>
      <c r="AW19" s="378">
        <f t="shared" ref="AW19" si="51">SUM(AW16:AW18)</f>
        <v>1</v>
      </c>
      <c r="AX19" s="378">
        <f t="shared" ref="AX19" si="52">SUM(AX16:AX18)</f>
        <v>1</v>
      </c>
      <c r="AY19" s="378">
        <f t="shared" ref="AY19" si="53">SUM(AY16:AY18)</f>
        <v>0.99999999999999989</v>
      </c>
      <c r="AZ19" s="315"/>
      <c r="BA19" s="378">
        <f t="shared" ref="BA19" si="54">SUM(BA16:BA18)</f>
        <v>1</v>
      </c>
      <c r="BB19" s="378">
        <f t="shared" ref="BB19" si="55">SUM(BB16:BB18)</f>
        <v>1</v>
      </c>
      <c r="BC19" s="378">
        <f t="shared" ref="BC19" si="56">SUM(BC16:BC18)</f>
        <v>1</v>
      </c>
      <c r="BD19" s="378">
        <f t="shared" ref="BD19" si="57">SUM(BD16:BD18)</f>
        <v>1</v>
      </c>
      <c r="BE19" s="378">
        <f t="shared" ref="BE19" si="58">SUM(BE16:BE18)</f>
        <v>0.99999999999999978</v>
      </c>
      <c r="BF19" s="315"/>
      <c r="BG19" s="378">
        <f t="shared" ref="BG19" si="59">SUM(BG16:BG18)</f>
        <v>1</v>
      </c>
      <c r="BH19" s="378">
        <f t="shared" ref="BH19" si="60">SUM(BH16:BH18)</f>
        <v>0.99999999999999989</v>
      </c>
      <c r="BI19" s="11"/>
      <c r="BJ19" s="378">
        <f t="shared" ref="BJ19" si="61">SUM(BJ16:BJ18)</f>
        <v>1</v>
      </c>
      <c r="BK19" s="378">
        <f t="shared" ref="BK19" si="62">SUM(BK16:BK18)</f>
        <v>1</v>
      </c>
    </row>
    <row r="20" spans="2:63" s="94" customFormat="1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315"/>
      <c r="BA20" s="93"/>
      <c r="BB20" s="93"/>
      <c r="BC20" s="93"/>
      <c r="BD20" s="93"/>
      <c r="BE20" s="93"/>
      <c r="BF20" s="11"/>
      <c r="BI20" s="11"/>
    </row>
    <row r="21" spans="2:63">
      <c r="B21" s="88" t="s">
        <v>295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315"/>
      <c r="BA21" s="87"/>
      <c r="BB21" s="87"/>
      <c r="BC21" s="87"/>
      <c r="BD21" s="87"/>
      <c r="BE21" s="87"/>
      <c r="BF21" s="315"/>
    </row>
    <row r="22" spans="2:63">
      <c r="B22" s="89" t="str">
        <f>B16</f>
        <v>Domestic</v>
      </c>
      <c r="C22" s="330"/>
      <c r="D22" s="90">
        <v>429.64299999999997</v>
      </c>
      <c r="E22" s="90">
        <v>497.50700000000001</v>
      </c>
      <c r="F22" s="90">
        <v>676.09799999999996</v>
      </c>
      <c r="G22" s="90">
        <v>809.63</v>
      </c>
      <c r="H22" s="90">
        <v>1250.8820000000001</v>
      </c>
      <c r="I22" s="90">
        <v>3217.7570000000001</v>
      </c>
      <c r="J22" s="90">
        <v>3464.5030000000002</v>
      </c>
      <c r="K22" s="90">
        <v>6602.5870000000004</v>
      </c>
      <c r="L22" s="90">
        <v>9532.7340000000004</v>
      </c>
      <c r="M22" s="99">
        <v>10799.323</v>
      </c>
      <c r="N22" s="99">
        <v>14135.486000000001</v>
      </c>
      <c r="O22" s="99">
        <v>13594.98</v>
      </c>
      <c r="P22" s="294">
        <f>SUM(AV22:AY22)</f>
        <v>13383.96</v>
      </c>
      <c r="Q22" s="294"/>
      <c r="R22" s="99">
        <v>132.262</v>
      </c>
      <c r="S22" s="99">
        <f>252.088-R22</f>
        <v>119.82599999999999</v>
      </c>
      <c r="T22" s="99">
        <f>369.64-S22-R22</f>
        <v>117.55199999999999</v>
      </c>
      <c r="U22" s="294">
        <f>+E22-SUM(R22:T22)</f>
        <v>127.86700000000002</v>
      </c>
      <c r="V22" s="99">
        <v>174.773</v>
      </c>
      <c r="W22" s="99">
        <f>348.102-V22</f>
        <v>173.32899999999998</v>
      </c>
      <c r="X22" s="99">
        <f>512.561-V22-W22</f>
        <v>164.45900000000003</v>
      </c>
      <c r="Y22" s="294">
        <f>+F22-SUM(V22:X22)</f>
        <v>163.53699999999992</v>
      </c>
      <c r="Z22" s="99">
        <v>221.672</v>
      </c>
      <c r="AA22" s="99">
        <f>417.938-Z22</f>
        <v>196.26599999999999</v>
      </c>
      <c r="AB22" s="99">
        <f>602.601-Z22-AA22</f>
        <v>184.66299999999998</v>
      </c>
      <c r="AC22" s="294">
        <f>+G22-SUM(Z22:AB22)</f>
        <v>207.029</v>
      </c>
      <c r="AD22" s="99">
        <v>300.84399999999999</v>
      </c>
      <c r="AE22" s="99">
        <f>412.894-AD22</f>
        <v>112.05000000000001</v>
      </c>
      <c r="AF22" s="99">
        <f>855.013-AD22-AE22</f>
        <v>442.11900000000009</v>
      </c>
      <c r="AG22" s="294">
        <f>+H22-SUM(AD22:AF22)</f>
        <v>395.86899999999991</v>
      </c>
      <c r="AH22" s="99">
        <v>691.59400000000005</v>
      </c>
      <c r="AI22" s="99">
        <f>1308.551-AH22</f>
        <v>616.95699999999988</v>
      </c>
      <c r="AJ22" s="99">
        <f>2070.402-AH22-AI22</f>
        <v>761.85100000000011</v>
      </c>
      <c r="AK22" s="294">
        <f>+I22-SUM(AH22:AJ22)</f>
        <v>1147.355</v>
      </c>
      <c r="AL22" s="99">
        <v>1533.2950000000001</v>
      </c>
      <c r="AM22" s="99">
        <v>2259.9920000000002</v>
      </c>
      <c r="AN22" s="99">
        <f>2733.404-AL22</f>
        <v>1200.1089999999999</v>
      </c>
      <c r="AO22" s="99">
        <f>4404.468-AL22-AN22</f>
        <v>1671.0639999999999</v>
      </c>
      <c r="AP22" s="294">
        <f>+K22-SUM(AL22:AO22)</f>
        <v>-61.873000000000502</v>
      </c>
      <c r="AQ22" s="99">
        <v>2581.6080000000002</v>
      </c>
      <c r="AR22" s="99">
        <f>4860.935-AQ22</f>
        <v>2279.3270000000002</v>
      </c>
      <c r="AS22" s="99">
        <f>7438.392-AQ22-AR22</f>
        <v>2577.4569999999994</v>
      </c>
      <c r="AT22" s="294">
        <f>M22-SUM(AQ22:AS22)</f>
        <v>3360.9310000000005</v>
      </c>
      <c r="AU22" s="99">
        <v>3960.616</v>
      </c>
      <c r="AV22" s="294">
        <f>BH22-AU22</f>
        <v>2843.1319999999996</v>
      </c>
      <c r="AW22" s="294">
        <f>BK22-AU22-AV22</f>
        <v>3889.8630000000012</v>
      </c>
      <c r="AX22" s="370">
        <f>O22-SUM(AU22:AW22)</f>
        <v>2901.3689999999988</v>
      </c>
      <c r="AY22" s="99">
        <v>3749.596</v>
      </c>
      <c r="AZ22" s="315"/>
      <c r="BA22" s="99">
        <v>3565.3</v>
      </c>
      <c r="BB22" s="294">
        <f>BG22-BA22</f>
        <v>2999.3270000000002</v>
      </c>
      <c r="BC22" s="370">
        <f>BJ22-BB22-BA22</f>
        <v>3350.3040000000001</v>
      </c>
      <c r="BD22" s="370">
        <f>N22-SUM(BA22:BC22)</f>
        <v>4220.5550000000003</v>
      </c>
      <c r="BE22" s="99">
        <v>5183.174</v>
      </c>
      <c r="BF22" s="294"/>
      <c r="BG22" s="99">
        <v>6564.6270000000004</v>
      </c>
      <c r="BH22" s="99">
        <f>6803.748</f>
        <v>6803.7479999999996</v>
      </c>
      <c r="BJ22" s="90">
        <v>9914.9310000000005</v>
      </c>
      <c r="BK22" s="90">
        <v>10693.611000000001</v>
      </c>
    </row>
    <row r="23" spans="2:63">
      <c r="B23" s="89" t="str">
        <f>B17</f>
        <v>Foreign</v>
      </c>
      <c r="C23" s="330"/>
      <c r="D23" s="90">
        <v>303.94900000000001</v>
      </c>
      <c r="E23" s="90">
        <v>441.661</v>
      </c>
      <c r="F23" s="90">
        <v>627.428</v>
      </c>
      <c r="G23" s="90">
        <v>811.52200000000005</v>
      </c>
      <c r="H23" s="90">
        <v>1077.4770000000001</v>
      </c>
      <c r="I23" s="90">
        <v>2249.2640000000001</v>
      </c>
      <c r="J23" s="90">
        <v>3238.402</v>
      </c>
      <c r="K23" s="90">
        <v>3998.0010000000002</v>
      </c>
      <c r="L23" s="90">
        <v>5772.2650000000003</v>
      </c>
      <c r="M23" s="99">
        <v>4796.6319999999996</v>
      </c>
      <c r="N23" s="99">
        <v>6278.4229999999998</v>
      </c>
      <c r="O23" s="99">
        <v>4821.0569999999998</v>
      </c>
      <c r="P23" s="294">
        <f>SUM(AV23:AY23)</f>
        <v>4677.3760000000002</v>
      </c>
      <c r="Q23" s="294"/>
      <c r="R23" s="99">
        <v>92.736000000000004</v>
      </c>
      <c r="S23" s="99">
        <f>173.228-R23</f>
        <v>80.492000000000004</v>
      </c>
      <c r="T23" s="99">
        <f>291.04-S23-R23</f>
        <v>117.812</v>
      </c>
      <c r="U23" s="294">
        <f>+E23-SUM(R23:T23)</f>
        <v>150.62099999999998</v>
      </c>
      <c r="V23" s="99">
        <v>155.435</v>
      </c>
      <c r="W23" s="99">
        <f>300.676-V23</f>
        <v>145.24099999999999</v>
      </c>
      <c r="X23" s="99">
        <f>450.786-V23-W23</f>
        <v>150.11000000000001</v>
      </c>
      <c r="Y23" s="294">
        <f>+F23-SUM(V23:X23)</f>
        <v>176.642</v>
      </c>
      <c r="Z23" s="99">
        <v>193.495</v>
      </c>
      <c r="AA23" s="99">
        <f>377.008-Z23</f>
        <v>183.51299999999998</v>
      </c>
      <c r="AB23" s="99">
        <f>578.717-Z23-AA23</f>
        <v>201.709</v>
      </c>
      <c r="AC23" s="294">
        <f>+G23-SUM(Z23:AB23)</f>
        <v>232.80500000000006</v>
      </c>
      <c r="AD23" s="99">
        <v>245.54</v>
      </c>
      <c r="AE23" s="99">
        <f>396.246-AD23</f>
        <v>150.70599999999999</v>
      </c>
      <c r="AF23" s="99">
        <f>640.738-AD23-AE23</f>
        <v>244.4920000000001</v>
      </c>
      <c r="AG23" s="294">
        <f>+H23-SUM(AD23:AF23)</f>
        <v>436.73900000000003</v>
      </c>
      <c r="AH23" s="99">
        <v>553.03099999999995</v>
      </c>
      <c r="AI23" s="99">
        <f>1070.445-AH23</f>
        <v>517.41399999999999</v>
      </c>
      <c r="AJ23" s="99">
        <f>1562.345-AH23-AI23</f>
        <v>491.90000000000009</v>
      </c>
      <c r="AK23" s="294">
        <f>+I23-SUM(AH23:AJ23)</f>
        <v>686.9190000000001</v>
      </c>
      <c r="AL23" s="99">
        <v>809.71900000000005</v>
      </c>
      <c r="AM23" s="99">
        <v>1312.1010000000001</v>
      </c>
      <c r="AN23" s="99">
        <f>1524.68-AL23</f>
        <v>714.96100000000001</v>
      </c>
      <c r="AO23" s="99">
        <f>2522.786-AL23-AN23</f>
        <v>998.10599999999999</v>
      </c>
      <c r="AP23" s="294">
        <f>+K23-SUM(AL23:AO23)</f>
        <v>163.11400000000049</v>
      </c>
      <c r="AQ23" s="99">
        <v>1460.66</v>
      </c>
      <c r="AR23" s="99">
        <f>2456.156-AQ23</f>
        <v>995.49599999999987</v>
      </c>
      <c r="AS23" s="99">
        <f>3433.359-AQ23-AR23</f>
        <v>977.20299999999997</v>
      </c>
      <c r="AT23" s="294">
        <f>M23-SUM(AQ23:AS23)</f>
        <v>1363.2729999999997</v>
      </c>
      <c r="AU23" s="99">
        <v>1523.8440000000001</v>
      </c>
      <c r="AV23" s="294">
        <f>BH23-AU23</f>
        <v>858.13299999999981</v>
      </c>
      <c r="AW23" s="294">
        <f>BK23-AU23-AV23</f>
        <v>1306.9190000000003</v>
      </c>
      <c r="AX23" s="370">
        <f>O23-SUM(AU23:AW23)</f>
        <v>1132.1609999999996</v>
      </c>
      <c r="AY23" s="99">
        <v>1380.163</v>
      </c>
      <c r="AZ23" s="294"/>
      <c r="BA23" s="99">
        <v>2017.2260000000001</v>
      </c>
      <c r="BB23" s="294">
        <f>BG23-BA23</f>
        <v>1299.779</v>
      </c>
      <c r="BC23" s="370">
        <f>BJ23-BB23-BA23</f>
        <v>1259.4570000000003</v>
      </c>
      <c r="BD23" s="370">
        <f>N23-SUM(BA23:BC23)</f>
        <v>1701.9609999999993</v>
      </c>
      <c r="BE23" s="99">
        <v>1994.222</v>
      </c>
      <c r="BF23" s="294"/>
      <c r="BG23" s="99">
        <v>3317.0050000000001</v>
      </c>
      <c r="BH23" s="99">
        <v>2381.9769999999999</v>
      </c>
      <c r="BJ23" s="90">
        <v>4576.4620000000004</v>
      </c>
      <c r="BK23" s="90">
        <v>3688.8960000000002</v>
      </c>
    </row>
    <row r="24" spans="2:63" s="94" customFormat="1">
      <c r="B24" s="92" t="s">
        <v>293</v>
      </c>
      <c r="C24" s="331"/>
      <c r="D24" s="93">
        <f t="shared" ref="D24:H24" si="63">SUM(D22:D23)</f>
        <v>733.59199999999998</v>
      </c>
      <c r="E24" s="93">
        <f t="shared" si="63"/>
        <v>939.16800000000001</v>
      </c>
      <c r="F24" s="93">
        <f t="shared" si="63"/>
        <v>1303.5259999999998</v>
      </c>
      <c r="G24" s="93">
        <f t="shared" si="63"/>
        <v>1621.152</v>
      </c>
      <c r="H24" s="93">
        <f t="shared" si="63"/>
        <v>2328.3590000000004</v>
      </c>
      <c r="I24" s="93">
        <f t="shared" ref="I24:J24" si="64">SUM(I22:I23)</f>
        <v>5467.0210000000006</v>
      </c>
      <c r="J24" s="93">
        <f t="shared" si="64"/>
        <v>6702.9050000000007</v>
      </c>
      <c r="K24" s="93">
        <f t="shared" ref="K24:L24" si="65">SUM(K22:K23)</f>
        <v>10600.588</v>
      </c>
      <c r="L24" s="93">
        <f t="shared" si="65"/>
        <v>15304.999</v>
      </c>
      <c r="M24" s="385">
        <f t="shared" ref="M24:N24" si="66">SUM(M22:M23)</f>
        <v>15595.955</v>
      </c>
      <c r="N24" s="385">
        <f t="shared" si="66"/>
        <v>20413.909</v>
      </c>
      <c r="O24" s="385">
        <f t="shared" ref="O24" si="67">SUM(O22:O23)</f>
        <v>18416.037</v>
      </c>
      <c r="P24" s="385">
        <f t="shared" ref="P24" si="68">SUM(P22:P23)</f>
        <v>18061.335999999999</v>
      </c>
      <c r="Q24" s="385"/>
      <c r="R24" s="385">
        <f t="shared" ref="R24:AA24" si="69">SUM(R22:R23)</f>
        <v>224.99799999999999</v>
      </c>
      <c r="S24" s="385">
        <f t="shared" si="69"/>
        <v>200.31799999999998</v>
      </c>
      <c r="T24" s="385">
        <f t="shared" si="69"/>
        <v>235.36399999999998</v>
      </c>
      <c r="U24" s="385">
        <f t="shared" si="69"/>
        <v>278.488</v>
      </c>
      <c r="V24" s="385">
        <f t="shared" si="69"/>
        <v>330.20799999999997</v>
      </c>
      <c r="W24" s="385">
        <f t="shared" si="69"/>
        <v>318.56999999999994</v>
      </c>
      <c r="X24" s="385">
        <f t="shared" si="69"/>
        <v>314.56900000000007</v>
      </c>
      <c r="Y24" s="385">
        <f t="shared" si="69"/>
        <v>340.17899999999992</v>
      </c>
      <c r="Z24" s="385">
        <f t="shared" si="69"/>
        <v>415.16700000000003</v>
      </c>
      <c r="AA24" s="385">
        <f t="shared" si="69"/>
        <v>379.779</v>
      </c>
      <c r="AB24" s="385">
        <f t="shared" ref="AB24:AE24" si="70">SUM(AB22:AB23)</f>
        <v>386.37199999999996</v>
      </c>
      <c r="AC24" s="385">
        <f t="shared" si="70"/>
        <v>439.83400000000006</v>
      </c>
      <c r="AD24" s="385">
        <f t="shared" si="70"/>
        <v>546.38400000000001</v>
      </c>
      <c r="AE24" s="385">
        <f t="shared" si="70"/>
        <v>262.75599999999997</v>
      </c>
      <c r="AF24" s="385">
        <f t="shared" ref="AF24:AI24" si="71">SUM(AF22:AF23)</f>
        <v>686.61100000000022</v>
      </c>
      <c r="AG24" s="385">
        <f t="shared" si="71"/>
        <v>832.60799999999995</v>
      </c>
      <c r="AH24" s="385">
        <f t="shared" si="71"/>
        <v>1244.625</v>
      </c>
      <c r="AI24" s="385">
        <f t="shared" si="71"/>
        <v>1134.3709999999999</v>
      </c>
      <c r="AJ24" s="385">
        <f t="shared" ref="AJ24:AN24" si="72">SUM(AJ22:AJ23)</f>
        <v>1253.7510000000002</v>
      </c>
      <c r="AK24" s="385">
        <f t="shared" si="72"/>
        <v>1834.2740000000001</v>
      </c>
      <c r="AL24" s="385">
        <f t="shared" si="72"/>
        <v>2343.0140000000001</v>
      </c>
      <c r="AM24" s="385">
        <f t="shared" ref="AM24" si="73">SUM(AM22:AM23)</f>
        <v>3572.0930000000003</v>
      </c>
      <c r="AN24" s="385">
        <f t="shared" si="72"/>
        <v>1915.07</v>
      </c>
      <c r="AO24" s="385">
        <f t="shared" ref="AO24:AR24" si="74">SUM(AO22:AO23)</f>
        <v>2669.17</v>
      </c>
      <c r="AP24" s="385">
        <f t="shared" si="74"/>
        <v>101.24099999999999</v>
      </c>
      <c r="AQ24" s="385">
        <f t="shared" si="74"/>
        <v>4042.268</v>
      </c>
      <c r="AR24" s="385">
        <f t="shared" si="74"/>
        <v>3274.8230000000003</v>
      </c>
      <c r="AS24" s="385">
        <f t="shared" ref="AS24:AV24" si="75">SUM(AS22:AS23)</f>
        <v>3554.6599999999994</v>
      </c>
      <c r="AT24" s="385">
        <f t="shared" si="75"/>
        <v>4724.2039999999997</v>
      </c>
      <c r="AU24" s="385">
        <f t="shared" si="75"/>
        <v>5484.46</v>
      </c>
      <c r="AV24" s="385">
        <f t="shared" si="75"/>
        <v>3701.2649999999994</v>
      </c>
      <c r="AW24" s="385">
        <f t="shared" ref="AW24:AY24" si="76">SUM(AW22:AW23)</f>
        <v>5196.7820000000011</v>
      </c>
      <c r="AX24" s="385">
        <f t="shared" si="76"/>
        <v>4033.5299999999984</v>
      </c>
      <c r="AY24" s="385">
        <f t="shared" si="76"/>
        <v>5129.759</v>
      </c>
      <c r="AZ24" s="386"/>
      <c r="BA24" s="385">
        <f t="shared" ref="BA24:BH24" si="77">SUM(BA22:BA23)</f>
        <v>5582.5259999999998</v>
      </c>
      <c r="BB24" s="385">
        <f t="shared" si="77"/>
        <v>4299.1059999999998</v>
      </c>
      <c r="BC24" s="385">
        <f t="shared" ref="BC24:BE24" si="78">SUM(BC22:BC23)</f>
        <v>4609.7610000000004</v>
      </c>
      <c r="BD24" s="385">
        <f t="shared" si="78"/>
        <v>5922.5159999999996</v>
      </c>
      <c r="BE24" s="385">
        <f t="shared" si="78"/>
        <v>7177.3959999999997</v>
      </c>
      <c r="BF24" s="386"/>
      <c r="BG24" s="385">
        <f t="shared" si="77"/>
        <v>9881.6320000000014</v>
      </c>
      <c r="BH24" s="385">
        <f t="shared" si="77"/>
        <v>9185.7249999999985</v>
      </c>
      <c r="BJ24" s="93">
        <f t="shared" ref="BJ24:BK24" si="79">SUM(BJ22:BJ23)</f>
        <v>14491.393</v>
      </c>
      <c r="BK24" s="93">
        <f t="shared" si="79"/>
        <v>14382.507000000001</v>
      </c>
    </row>
    <row r="25" spans="2:63" s="315" customFormat="1" ht="11.25">
      <c r="B25" s="382" t="s">
        <v>199</v>
      </c>
      <c r="C25" s="382"/>
      <c r="D25" s="382">
        <f>D24-Model!D57</f>
        <v>0</v>
      </c>
      <c r="E25" s="382">
        <f>E24-Model!E57</f>
        <v>0</v>
      </c>
      <c r="F25" s="382">
        <f>F24-Model!F57</f>
        <v>0</v>
      </c>
      <c r="G25" s="382">
        <f>G24-Model!G57</f>
        <v>0</v>
      </c>
      <c r="H25" s="382">
        <f>H24-Model!H57</f>
        <v>0</v>
      </c>
      <c r="I25" s="382">
        <f>I24-Model!I57</f>
        <v>0</v>
      </c>
      <c r="J25" s="382">
        <f>J24-Model!J57</f>
        <v>0</v>
      </c>
      <c r="K25" s="382">
        <f>K24-Model!K57</f>
        <v>0</v>
      </c>
      <c r="L25" s="382">
        <f>L24-Model!L57</f>
        <v>0</v>
      </c>
      <c r="M25" s="382">
        <f>M24-Model!M57</f>
        <v>0</v>
      </c>
      <c r="N25" s="382">
        <f>N24-Model!N57</f>
        <v>0</v>
      </c>
      <c r="O25" s="382">
        <f>O24-Model!O57</f>
        <v>0</v>
      </c>
      <c r="P25" s="382">
        <f>P24-Model!P57</f>
        <v>0</v>
      </c>
      <c r="Q25" s="382"/>
      <c r="R25" s="382">
        <f>R24-Model!R57</f>
        <v>0</v>
      </c>
      <c r="S25" s="382">
        <f>S24-Model!S57</f>
        <v>0</v>
      </c>
      <c r="T25" s="382">
        <f>T24-Model!T57</f>
        <v>0</v>
      </c>
      <c r="U25" s="382">
        <f>U24-Model!U57</f>
        <v>0</v>
      </c>
      <c r="V25" s="382">
        <f>V24-Model!V57</f>
        <v>0</v>
      </c>
      <c r="W25" s="382">
        <f>W24-Model!W57</f>
        <v>0</v>
      </c>
      <c r="X25" s="382">
        <f>X24-Model!X57</f>
        <v>0</v>
      </c>
      <c r="Y25" s="382">
        <f>Y24-Model!Y57</f>
        <v>0</v>
      </c>
      <c r="Z25" s="382">
        <f>Z24-Model!Z57</f>
        <v>0</v>
      </c>
      <c r="AA25" s="382">
        <f>AA24-Model!AA57</f>
        <v>0</v>
      </c>
      <c r="AB25" s="382">
        <f>AB24-Model!AB57</f>
        <v>0</v>
      </c>
      <c r="AC25" s="382">
        <f>AC24-Model!AC57</f>
        <v>0</v>
      </c>
      <c r="AD25" s="382">
        <f>AD24-Model!BR57</f>
        <v>0</v>
      </c>
      <c r="AE25" s="382">
        <f>AE24-Model!AE57</f>
        <v>-88.882000000000005</v>
      </c>
      <c r="AF25" s="382">
        <f>AF24-Model!AF57</f>
        <v>0</v>
      </c>
      <c r="AG25" s="382">
        <f>AG24-Model!AG57</f>
        <v>0</v>
      </c>
      <c r="AH25" s="382">
        <f>AH24-Model!AH57</f>
        <v>0</v>
      </c>
      <c r="AI25" s="382">
        <f>AI24-Model!AI57</f>
        <v>0</v>
      </c>
      <c r="AJ25" s="382">
        <f>AJ24-Model!AJ57</f>
        <v>0</v>
      </c>
      <c r="AK25" s="382">
        <f>AK24-Model!AK57</f>
        <v>0</v>
      </c>
      <c r="AL25" s="382">
        <f>AL24-Model!AM57</f>
        <v>0</v>
      </c>
      <c r="AM25" s="382">
        <f>AM24-Model!AN57</f>
        <v>0</v>
      </c>
      <c r="AN25" s="382">
        <f>AN24-Model!AO57</f>
        <v>1.0000000004311005E-3</v>
      </c>
      <c r="AO25" s="382">
        <f>AO24-Model!AQ57</f>
        <v>-1.0000000002037268E-3</v>
      </c>
      <c r="AP25" s="382">
        <f>AP24-Model!AS57</f>
        <v>-3572.0929999999998</v>
      </c>
      <c r="AQ25" s="382">
        <f>AQ24-Model!AU57</f>
        <v>0</v>
      </c>
      <c r="AR25" s="382">
        <f>AR24-Model!AV57</f>
        <v>0</v>
      </c>
      <c r="AS25" s="382">
        <f>AS24-Model!AW57</f>
        <v>0</v>
      </c>
      <c r="AT25" s="382">
        <f>AT24-Model!AX57</f>
        <v>0</v>
      </c>
      <c r="AU25" s="382">
        <f>AU24-Model!AY57</f>
        <v>0</v>
      </c>
      <c r="AV25" s="382">
        <f>AV24-Model!AZ57</f>
        <v>0</v>
      </c>
      <c r="AW25" s="382">
        <f>AW24-Model!BA57</f>
        <v>0</v>
      </c>
      <c r="AX25" s="384">
        <f>AX24-Model!BB57</f>
        <v>-4.0927261579781771E-12</v>
      </c>
      <c r="AY25" s="382">
        <f>AY24-Model!BC57</f>
        <v>0</v>
      </c>
      <c r="BA25" s="382">
        <f>BA24-Model!BE57</f>
        <v>0</v>
      </c>
      <c r="BB25" s="382">
        <f>BB24-Model!BF57</f>
        <v>0</v>
      </c>
      <c r="BC25" s="382">
        <f>BC24-Model!BG57</f>
        <v>0</v>
      </c>
      <c r="BD25" s="382">
        <f>BD24-Model!BH57</f>
        <v>0</v>
      </c>
      <c r="BE25" s="382">
        <f>BE24-Model!BI57</f>
        <v>0</v>
      </c>
      <c r="BF25" s="382"/>
      <c r="BG25" s="382">
        <f>BG24-Model!BK57</f>
        <v>0</v>
      </c>
      <c r="BH25" s="382">
        <f>BH24-Model!BL57</f>
        <v>0</v>
      </c>
      <c r="BJ25" s="382">
        <f>BJ24-Model!BN57</f>
        <v>0</v>
      </c>
      <c r="BK25" s="382">
        <f>BK24-Model!BO57</f>
        <v>0</v>
      </c>
    </row>
    <row r="26" spans="2:63" s="94" customFormat="1"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BA26" s="93"/>
      <c r="BB26" s="93"/>
      <c r="BC26" s="93"/>
      <c r="BD26" s="93"/>
      <c r="BE26" s="93"/>
    </row>
    <row r="27" spans="2:63">
      <c r="B27" s="88" t="s">
        <v>188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BA27" s="87"/>
      <c r="BB27" s="87"/>
      <c r="BC27" s="87"/>
      <c r="BD27" s="87"/>
      <c r="BE27" s="87"/>
    </row>
    <row r="28" spans="2:63">
      <c r="B28" s="89" t="str">
        <f>+B22</f>
        <v>Domestic</v>
      </c>
      <c r="C28" s="332"/>
      <c r="D28" s="96">
        <f t="shared" ref="D28:P28" si="80">+D22/D9</f>
        <v>0.13539768933058907</v>
      </c>
      <c r="E28" s="96">
        <f t="shared" si="80"/>
        <v>0.13412466219932234</v>
      </c>
      <c r="F28" s="96">
        <f t="shared" si="80"/>
        <v>0.14298521269245482</v>
      </c>
      <c r="G28" s="96">
        <f t="shared" si="80"/>
        <v>0.14439811882761491</v>
      </c>
      <c r="H28" s="96">
        <f t="shared" si="80"/>
        <v>0.16933923445759833</v>
      </c>
      <c r="I28" s="96">
        <f t="shared" si="80"/>
        <v>0.18405846385377631</v>
      </c>
      <c r="J28" s="96">
        <f t="shared" si="80"/>
        <v>0.10407854145368563</v>
      </c>
      <c r="K28" s="96">
        <f t="shared" si="80"/>
        <v>0.17340285534077435</v>
      </c>
      <c r="L28" s="96">
        <f t="shared" si="80"/>
        <v>0.10339952143114398</v>
      </c>
      <c r="M28" s="376">
        <f t="shared" si="80"/>
        <v>0.14174291371270026</v>
      </c>
      <c r="N28" s="376">
        <f t="shared" si="80"/>
        <v>0.14174291951275445</v>
      </c>
      <c r="O28" s="376">
        <f t="shared" si="80"/>
        <v>0.13183821306601334</v>
      </c>
      <c r="P28" s="376">
        <f t="shared" si="80"/>
        <v>0.12088442248635811</v>
      </c>
      <c r="Q28" s="376"/>
      <c r="R28" s="376">
        <f t="shared" ref="R28:AS28" si="81">+R22/R9</f>
        <v>0.14215896498316283</v>
      </c>
      <c r="S28" s="376">
        <f t="shared" si="81"/>
        <v>0.13666925574758854</v>
      </c>
      <c r="T28" s="376">
        <f t="shared" si="81"/>
        <v>0.13163879958207772</v>
      </c>
      <c r="U28" s="376">
        <f t="shared" si="81"/>
        <v>0.12670649521036825</v>
      </c>
      <c r="V28" s="376">
        <f t="shared" si="81"/>
        <v>0.14537485973900016</v>
      </c>
      <c r="W28" s="376">
        <f t="shared" si="81"/>
        <v>0.15493178063971735</v>
      </c>
      <c r="X28" s="376">
        <f t="shared" si="81"/>
        <v>0.13950681166550738</v>
      </c>
      <c r="Y28" s="376">
        <f t="shared" si="81"/>
        <v>0.13310624928781881</v>
      </c>
      <c r="Z28" s="376">
        <f t="shared" si="81"/>
        <v>0.15029058493948294</v>
      </c>
      <c r="AA28" s="376">
        <f t="shared" si="81"/>
        <v>0.15561068547955501</v>
      </c>
      <c r="AB28" s="376">
        <f t="shared" si="81"/>
        <v>0.14085412689174789</v>
      </c>
      <c r="AC28" s="376">
        <f t="shared" si="81"/>
        <v>0.13273753003006372</v>
      </c>
      <c r="AD28" s="376">
        <f t="shared" si="81"/>
        <v>0.17894109487844134</v>
      </c>
      <c r="AE28" s="376">
        <f t="shared" si="81"/>
        <v>7.5292855947732454E-2</v>
      </c>
      <c r="AF28" s="376">
        <f t="shared" si="81"/>
        <v>0.2233718453429907</v>
      </c>
      <c r="AG28" s="376">
        <f t="shared" si="81"/>
        <v>0.1768764716658251</v>
      </c>
      <c r="AH28" s="376">
        <f t="shared" si="81"/>
        <v>0.19721096338220309</v>
      </c>
      <c r="AI28" s="376">
        <f t="shared" si="81"/>
        <v>0.17222039382319348</v>
      </c>
      <c r="AJ28" s="376">
        <f t="shared" si="81"/>
        <v>0.16124663368859687</v>
      </c>
      <c r="AK28" s="376">
        <f t="shared" si="81"/>
        <v>0.20241763957026637</v>
      </c>
      <c r="AL28" s="376">
        <f t="shared" si="81"/>
        <v>0.23025119882532913</v>
      </c>
      <c r="AM28" s="376">
        <f t="shared" si="81"/>
        <v>0.19690890264893948</v>
      </c>
      <c r="AN28" s="376">
        <f t="shared" si="81"/>
        <v>0.19357246178581472</v>
      </c>
      <c r="AO28" s="376">
        <f t="shared" si="81"/>
        <v>0.2073014711638074</v>
      </c>
      <c r="AP28" s="376">
        <f t="shared" si="81"/>
        <v>-1.0894714303624419E-2</v>
      </c>
      <c r="AQ28" s="376">
        <f t="shared" si="81"/>
        <v>0.19241369472055009</v>
      </c>
      <c r="AR28" s="376">
        <f t="shared" si="81"/>
        <v>0.19122833364095507</v>
      </c>
      <c r="AS28" s="376">
        <f t="shared" si="81"/>
        <v>0.1655647567487151</v>
      </c>
      <c r="AT28" s="377"/>
      <c r="AU28" s="376">
        <f t="shared" ref="AU28:AX29" si="82">+AU22/AU9</f>
        <v>0.15495703017361839</v>
      </c>
      <c r="AV28" s="376">
        <f t="shared" si="82"/>
        <v>0.13453844147456748</v>
      </c>
      <c r="AW28" s="376">
        <f t="shared" si="82"/>
        <v>0.16841783364347412</v>
      </c>
      <c r="AX28" s="376">
        <f t="shared" si="82"/>
        <v>8.7049192560157751E-2</v>
      </c>
      <c r="AY28" s="376">
        <f t="shared" ref="AY28" si="83">+AY22/AY9</f>
        <v>0.1130834418624093</v>
      </c>
      <c r="AZ28" s="242"/>
      <c r="BA28" s="376">
        <f t="shared" ref="BA28:BD29" si="84">+BA22/BA9</f>
        <v>0.1415439265157831</v>
      </c>
      <c r="BB28" s="376">
        <f t="shared" si="84"/>
        <v>0.15882244855380898</v>
      </c>
      <c r="BC28" s="376">
        <f t="shared" si="84"/>
        <v>0.15209532015656679</v>
      </c>
      <c r="BD28" s="376">
        <f t="shared" si="84"/>
        <v>0.12551785664153151</v>
      </c>
      <c r="BE28" s="376">
        <f t="shared" ref="BE28" si="85">+BE22/BE9</f>
        <v>0.15495702635520364</v>
      </c>
      <c r="BG28" s="96">
        <f>+BG22/BG9</f>
        <v>0.14400395328119092</v>
      </c>
      <c r="BH28" s="96">
        <f>+BH22/BH9</f>
        <v>0.1410769300216129</v>
      </c>
      <c r="BJ28" s="96">
        <f>+BJ22/BJ9</f>
        <v>0.13957795415417221</v>
      </c>
      <c r="BK28" s="96">
        <f>+BK22/BK9</f>
        <v>0.1426901604363302</v>
      </c>
    </row>
    <row r="29" spans="2:63">
      <c r="B29" s="89" t="str">
        <f>+B23</f>
        <v>Foreign</v>
      </c>
      <c r="C29" s="332"/>
      <c r="D29" s="96">
        <f t="shared" ref="D29:P29" si="86">+D23/D10</f>
        <v>0.18393783794414978</v>
      </c>
      <c r="E29" s="96">
        <f t="shared" si="86"/>
        <v>0.19662410627632201</v>
      </c>
      <c r="F29" s="96">
        <f t="shared" si="86"/>
        <v>0.20406332640901978</v>
      </c>
      <c r="G29" s="96">
        <f t="shared" si="86"/>
        <v>0.21389998555588241</v>
      </c>
      <c r="H29" s="96">
        <f t="shared" si="86"/>
        <v>0.20920912602308361</v>
      </c>
      <c r="I29" s="96">
        <f t="shared" si="86"/>
        <v>0.20992530560193054</v>
      </c>
      <c r="J29" s="96">
        <f t="shared" si="86"/>
        <v>0.17323384661175156</v>
      </c>
      <c r="K29" s="96">
        <f t="shared" si="86"/>
        <v>0.22511818279332857</v>
      </c>
      <c r="L29" s="96">
        <f t="shared" si="86"/>
        <v>0.36131268662583493</v>
      </c>
      <c r="M29" s="376">
        <f t="shared" si="86"/>
        <v>0.30733227929773443</v>
      </c>
      <c r="N29" s="376">
        <f t="shared" si="86"/>
        <v>0.30733226885463882</v>
      </c>
      <c r="O29" s="376">
        <f t="shared" si="86"/>
        <v>0.22605953074422505</v>
      </c>
      <c r="P29" s="376">
        <f t="shared" si="86"/>
        <v>0.20648691138468123</v>
      </c>
      <c r="Q29" s="376"/>
      <c r="R29" s="376">
        <f t="shared" ref="R29:AS29" si="87">+R23/R10</f>
        <v>0.1942892340182146</v>
      </c>
      <c r="S29" s="376">
        <f t="shared" si="87"/>
        <v>0.18482239213795323</v>
      </c>
      <c r="T29" s="376">
        <f t="shared" si="87"/>
        <v>0.21629382119940885</v>
      </c>
      <c r="U29" s="376">
        <f t="shared" si="87"/>
        <v>0.19096988015965188</v>
      </c>
      <c r="V29" s="376">
        <f t="shared" si="87"/>
        <v>0.21000841736056974</v>
      </c>
      <c r="W29" s="376">
        <f t="shared" si="87"/>
        <v>0.20696853883269631</v>
      </c>
      <c r="X29" s="376">
        <f t="shared" si="87"/>
        <v>0.21016480247084707</v>
      </c>
      <c r="Y29" s="376">
        <f t="shared" si="87"/>
        <v>0.19230882287299422</v>
      </c>
      <c r="Z29" s="376">
        <f t="shared" si="87"/>
        <v>0.21471531453554824</v>
      </c>
      <c r="AA29" s="376">
        <f t="shared" si="87"/>
        <v>0.20774006144594948</v>
      </c>
      <c r="AB29" s="376">
        <f t="shared" si="87"/>
        <v>0.21978020780669794</v>
      </c>
      <c r="AC29" s="376">
        <f t="shared" si="87"/>
        <v>0.21326794966691351</v>
      </c>
      <c r="AD29" s="376">
        <f t="shared" si="87"/>
        <v>0.22270979609273739</v>
      </c>
      <c r="AE29" s="376">
        <f t="shared" si="87"/>
        <v>0.1569612184788178</v>
      </c>
      <c r="AF29" s="376">
        <f t="shared" si="87"/>
        <v>0.202466612618596</v>
      </c>
      <c r="AG29" s="376">
        <f t="shared" si="87"/>
        <v>0.23230637234955298</v>
      </c>
      <c r="AH29" s="376">
        <f t="shared" si="87"/>
        <v>0.23244957009748043</v>
      </c>
      <c r="AI29" s="376">
        <f t="shared" si="87"/>
        <v>0.21481288659772413</v>
      </c>
      <c r="AJ29" s="376">
        <f t="shared" si="87"/>
        <v>0.1908761288039412</v>
      </c>
      <c r="AK29" s="376">
        <f t="shared" si="87"/>
        <v>0.2050681387140563</v>
      </c>
      <c r="AL29" s="376">
        <f t="shared" si="87"/>
        <v>0.23452923929096614</v>
      </c>
      <c r="AM29" s="376">
        <f t="shared" si="87"/>
        <v>0.22354535057203276</v>
      </c>
      <c r="AN29" s="376">
        <f t="shared" si="87"/>
        <v>0.21586582618320549</v>
      </c>
      <c r="AO29" s="376">
        <f t="shared" si="87"/>
        <v>0.22957922229672148</v>
      </c>
      <c r="AP29" s="376">
        <f t="shared" si="87"/>
        <v>0.20967911950041362</v>
      </c>
      <c r="AQ29" s="376">
        <f t="shared" si="87"/>
        <v>0.23620101649910979</v>
      </c>
      <c r="AR29" s="376">
        <f t="shared" si="87"/>
        <v>0.19762236804361011</v>
      </c>
      <c r="AS29" s="376">
        <f t="shared" si="87"/>
        <v>0.16592243472597162</v>
      </c>
      <c r="AT29" s="377"/>
      <c r="AU29" s="376">
        <f t="shared" si="82"/>
        <v>0.38871568352855285</v>
      </c>
      <c r="AV29" s="376">
        <f t="shared" si="82"/>
        <v>0.19236664870327308</v>
      </c>
      <c r="AW29" s="376">
        <f t="shared" si="82"/>
        <v>0.24178799521278208</v>
      </c>
      <c r="AX29" s="376">
        <f t="shared" si="82"/>
        <v>0.15015119082669548</v>
      </c>
      <c r="AY29" s="376">
        <f t="shared" ref="AY29" si="88">+AY23/AY10</f>
        <v>0.26309485775111724</v>
      </c>
      <c r="AZ29" s="242"/>
      <c r="BA29" s="376">
        <f t="shared" si="84"/>
        <v>0.44207058705963076</v>
      </c>
      <c r="BB29" s="376">
        <f t="shared" si="84"/>
        <v>0.33702027054883227</v>
      </c>
      <c r="BC29" s="376">
        <f t="shared" si="84"/>
        <v>0.28678916781166136</v>
      </c>
      <c r="BD29" s="376">
        <f t="shared" si="84"/>
        <v>0.22343096212338323</v>
      </c>
      <c r="BE29" s="376">
        <f t="shared" ref="BE29" si="89">+BE23/BE10</f>
        <v>0.38871563665566339</v>
      </c>
      <c r="BG29" s="96">
        <f>+BG23/BG10</f>
        <v>0.38153223436418959</v>
      </c>
      <c r="BH29" s="96">
        <f>+BH23/BH10</f>
        <v>0.27644041119689639</v>
      </c>
      <c r="BJ29" s="96">
        <f>+BJ23/BJ10</f>
        <v>0.33312660604898592</v>
      </c>
      <c r="BK29" s="96">
        <f>+BK23/BK10</f>
        <v>0.25148502377756021</v>
      </c>
    </row>
    <row r="30" spans="2:63" s="94" customFormat="1">
      <c r="B30" s="92" t="s">
        <v>293</v>
      </c>
      <c r="C30" s="333"/>
      <c r="D30" s="97">
        <f t="shared" ref="D30:P30" si="90">+D24/D12</f>
        <v>0.1520193764650882</v>
      </c>
      <c r="E30" s="97">
        <f t="shared" si="90"/>
        <v>0.15769737862832189</v>
      </c>
      <c r="F30" s="97">
        <f t="shared" si="90"/>
        <v>0.16705189718984198</v>
      </c>
      <c r="G30" s="97">
        <f t="shared" si="90"/>
        <v>0.1724471832952322</v>
      </c>
      <c r="H30" s="97">
        <f t="shared" si="90"/>
        <v>0.18571780669821045</v>
      </c>
      <c r="I30" s="97">
        <f t="shared" si="90"/>
        <v>0.19388767119954939</v>
      </c>
      <c r="J30" s="97">
        <f t="shared" si="90"/>
        <v>0.1289486192779514</v>
      </c>
      <c r="K30" s="97">
        <f t="shared" si="90"/>
        <v>0.18985173062013722</v>
      </c>
      <c r="L30" s="97">
        <f t="shared" si="90"/>
        <v>0.18985173502665129</v>
      </c>
      <c r="M30" s="378">
        <f t="shared" si="90"/>
        <v>0.18544997575920674</v>
      </c>
      <c r="N30" s="378">
        <f t="shared" si="90"/>
        <v>0.18544997892852241</v>
      </c>
      <c r="O30" s="378">
        <f t="shared" si="90"/>
        <v>0.16456907790592096</v>
      </c>
      <c r="P30" s="378">
        <f t="shared" si="90"/>
        <v>0.15196914429988947</v>
      </c>
      <c r="Q30" s="378"/>
      <c r="R30" s="378">
        <f t="shared" ref="R30:AS30" si="91">+R24/R12</f>
        <v>0.15983490683318058</v>
      </c>
      <c r="S30" s="378">
        <f t="shared" si="91"/>
        <v>0.15265010451363248</v>
      </c>
      <c r="T30" s="378">
        <f t="shared" si="91"/>
        <v>0.16371166203186535</v>
      </c>
      <c r="U30" s="378">
        <f t="shared" si="91"/>
        <v>0.15489842174789684</v>
      </c>
      <c r="V30" s="378">
        <f t="shared" si="91"/>
        <v>0.17000350089581745</v>
      </c>
      <c r="W30" s="378">
        <f t="shared" si="91"/>
        <v>0.1749905795007739</v>
      </c>
      <c r="X30" s="378">
        <f t="shared" si="91"/>
        <v>0.16616528683768345</v>
      </c>
      <c r="Y30" s="378">
        <f t="shared" si="91"/>
        <v>0.15843258491593284</v>
      </c>
      <c r="Z30" s="378">
        <f t="shared" si="91"/>
        <v>0.17472432017494025</v>
      </c>
      <c r="AA30" s="378">
        <f t="shared" si="91"/>
        <v>0.17708278448467599</v>
      </c>
      <c r="AB30" s="378">
        <f t="shared" si="91"/>
        <v>0.1733543491360145</v>
      </c>
      <c r="AC30" s="378">
        <f t="shared" si="91"/>
        <v>0.16589402537250669</v>
      </c>
      <c r="AD30" s="378">
        <f t="shared" si="91"/>
        <v>0.1962757525171917</v>
      </c>
      <c r="AE30" s="378">
        <f t="shared" si="91"/>
        <v>0.1073201932577092</v>
      </c>
      <c r="AF30" s="378">
        <f t="shared" si="91"/>
        <v>0.21545042883864171</v>
      </c>
      <c r="AG30" s="378">
        <f t="shared" si="91"/>
        <v>0.20218143071491551</v>
      </c>
      <c r="AH30" s="378">
        <f t="shared" si="91"/>
        <v>0.21145450115850817</v>
      </c>
      <c r="AI30" s="378">
        <f t="shared" si="91"/>
        <v>0.1893445247087234</v>
      </c>
      <c r="AJ30" s="378">
        <f t="shared" si="91"/>
        <v>0.17170390395819127</v>
      </c>
      <c r="AK30" s="378">
        <f t="shared" si="91"/>
        <v>0.2034021637027503</v>
      </c>
      <c r="AL30" s="378">
        <f t="shared" si="91"/>
        <v>0.23171188070598225</v>
      </c>
      <c r="AM30" s="378">
        <f t="shared" si="91"/>
        <v>0.20592164977455571</v>
      </c>
      <c r="AN30" s="378">
        <f t="shared" si="91"/>
        <v>0.20133509198101648</v>
      </c>
      <c r="AO30" s="378">
        <f t="shared" si="91"/>
        <v>0.21510683980066045</v>
      </c>
      <c r="AP30" s="378">
        <f t="shared" si="91"/>
        <v>1.5679024849862899E-2</v>
      </c>
      <c r="AQ30" s="378">
        <f t="shared" si="91"/>
        <v>0.20622831481108861</v>
      </c>
      <c r="AR30" s="378">
        <f t="shared" si="91"/>
        <v>0.19312781653811917</v>
      </c>
      <c r="AS30" s="378">
        <f t="shared" si="91"/>
        <v>0.16566293135203572</v>
      </c>
      <c r="AT30" s="377"/>
      <c r="AU30" s="378">
        <f>+AU24/AU12</f>
        <v>0.20341204355693909</v>
      </c>
      <c r="AV30" s="378">
        <f>+AV24/AV12</f>
        <v>0.16052196913957317</v>
      </c>
      <c r="AW30" s="378">
        <f>+AW24/AW12</f>
        <v>0.20450807919505209</v>
      </c>
      <c r="AX30" s="378">
        <f>+AX24/AX12</f>
        <v>0.11058806421084298</v>
      </c>
      <c r="AY30" s="378">
        <f>+AY24/AY12</f>
        <v>0.15129166832441557</v>
      </c>
      <c r="AZ30" s="379"/>
      <c r="BA30" s="378">
        <f>+BA24/BA12</f>
        <v>0.20622828309926358</v>
      </c>
      <c r="BB30" s="378">
        <f>+BB24/BB12</f>
        <v>0.20793697986504794</v>
      </c>
      <c r="BC30" s="378">
        <f>+BC24/BC12</f>
        <v>0.19005626039436946</v>
      </c>
      <c r="BD30" s="378">
        <f>+BD24/BD12</f>
        <v>0.15553517533054123</v>
      </c>
      <c r="BE30" s="378">
        <f>+BE24/BE12</f>
        <v>0.20341203804641009</v>
      </c>
      <c r="BG30" s="97">
        <f>+BG24/BG12</f>
        <v>0.20015181478952168</v>
      </c>
      <c r="BH30" s="97">
        <f>+BH24/BH12</f>
        <v>0.1778815746139398</v>
      </c>
      <c r="BJ30" s="97">
        <f>+BJ24/BJ12</f>
        <v>0.18739589067254783</v>
      </c>
      <c r="BK30" s="97">
        <f>+BK24/BK12</f>
        <v>0.17772436678658499</v>
      </c>
    </row>
    <row r="31" spans="2:63" s="94" customFormat="1">
      <c r="B31" s="92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BA31" s="97"/>
      <c r="BB31" s="97"/>
      <c r="BC31" s="97"/>
      <c r="BD31" s="97"/>
      <c r="BE31" s="97"/>
    </row>
    <row r="32" spans="2:63" s="36" customFormat="1">
      <c r="B32" s="140" t="s">
        <v>296</v>
      </c>
      <c r="C32" s="216"/>
      <c r="D32" s="99">
        <v>545717</v>
      </c>
      <c r="E32" s="99">
        <v>553664</v>
      </c>
      <c r="F32" s="99">
        <v>576335</v>
      </c>
      <c r="G32" s="99">
        <v>595000</v>
      </c>
      <c r="H32" s="99">
        <v>583000</v>
      </c>
      <c r="I32" s="145">
        <v>681745</v>
      </c>
      <c r="J32" s="145">
        <v>594000</v>
      </c>
      <c r="K32" s="145">
        <v>603000</v>
      </c>
      <c r="L32" s="145">
        <v>688000</v>
      </c>
      <c r="M32" s="145">
        <v>705000</v>
      </c>
      <c r="N32" s="145">
        <v>705000</v>
      </c>
      <c r="O32" s="145">
        <v>696000</v>
      </c>
      <c r="P32" s="145">
        <f>SUM(AV32:AY32)</f>
        <v>696000</v>
      </c>
      <c r="Q32" s="145"/>
      <c r="R32" s="99"/>
      <c r="S32" s="99">
        <v>130129</v>
      </c>
      <c r="T32" s="99">
        <v>129687</v>
      </c>
      <c r="U32" s="99"/>
      <c r="V32" s="99">
        <v>154515</v>
      </c>
      <c r="W32" s="99">
        <v>132415</v>
      </c>
      <c r="X32" s="99">
        <v>137496</v>
      </c>
      <c r="Y32" s="91">
        <f>+F32-SUM(V32:X32)</f>
        <v>151909</v>
      </c>
      <c r="Z32" s="99">
        <v>162774</v>
      </c>
      <c r="AA32" s="99">
        <v>137249</v>
      </c>
      <c r="AB32" s="99">
        <v>137665</v>
      </c>
      <c r="AC32" s="91">
        <f>+G32-SUM(Z32:AB32)</f>
        <v>157312</v>
      </c>
      <c r="AD32" s="99">
        <v>167404</v>
      </c>
      <c r="AE32" s="99">
        <v>130645</v>
      </c>
      <c r="AF32" s="99">
        <v>165387</v>
      </c>
      <c r="AG32" s="91">
        <f>+H32-SUM(AD32:AF32)</f>
        <v>119564</v>
      </c>
      <c r="AH32" s="99">
        <v>179138</v>
      </c>
      <c r="AI32" s="99">
        <f>337447-AH32</f>
        <v>158309</v>
      </c>
      <c r="AJ32" s="99">
        <v>163406</v>
      </c>
      <c r="AK32" s="91">
        <f>+I32-SUM(AH32:AJ32)</f>
        <v>180892</v>
      </c>
      <c r="AL32" s="99">
        <v>173324</v>
      </c>
      <c r="AM32" s="216"/>
      <c r="AN32" s="99">
        <f>324376-AL32</f>
        <v>151052</v>
      </c>
      <c r="AO32" s="99">
        <v>177702</v>
      </c>
      <c r="AP32" s="91">
        <f>+K32-SUM(AL32:AO32)</f>
        <v>100922</v>
      </c>
      <c r="AQ32" s="99">
        <v>200000</v>
      </c>
      <c r="AR32" s="99">
        <v>153000</v>
      </c>
      <c r="AS32" s="99">
        <v>172000</v>
      </c>
      <c r="AT32" s="145">
        <f>M32-SUM(AQ32:AS32)</f>
        <v>180000</v>
      </c>
      <c r="AU32" s="99">
        <v>182000</v>
      </c>
      <c r="AV32" s="99">
        <v>161000</v>
      </c>
      <c r="AW32" s="91">
        <f>BK32-AU32-AV32</f>
        <v>174000</v>
      </c>
      <c r="AX32" s="262">
        <f t="shared" ref="AX32" si="92">O32-SUM(AU32:AW32)</f>
        <v>179000</v>
      </c>
      <c r="AY32" s="99">
        <v>182000</v>
      </c>
      <c r="BA32" s="99">
        <v>200000</v>
      </c>
      <c r="BB32" s="99">
        <v>153000</v>
      </c>
      <c r="BC32" s="91">
        <f>BJ32-BB32-BA32</f>
        <v>172000</v>
      </c>
      <c r="BD32" s="262">
        <f t="shared" ref="BD32" si="93">N32-SUM(BA32:BC32)</f>
        <v>180000</v>
      </c>
      <c r="BE32" s="99">
        <v>182000</v>
      </c>
      <c r="BF32" s="94"/>
      <c r="BG32" s="99">
        <v>353000</v>
      </c>
      <c r="BH32" s="99">
        <v>344000</v>
      </c>
      <c r="BJ32" s="99">
        <v>525000</v>
      </c>
      <c r="BK32" s="99">
        <v>517000</v>
      </c>
    </row>
    <row r="33" spans="2:57" s="36" customFormat="1">
      <c r="B33" s="140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1"/>
      <c r="Q33" s="91"/>
      <c r="R33" s="99"/>
      <c r="S33" s="99"/>
      <c r="T33" s="99"/>
      <c r="U33" s="91"/>
      <c r="V33" s="99"/>
      <c r="W33" s="99"/>
      <c r="X33" s="99"/>
      <c r="Y33" s="91"/>
      <c r="Z33" s="99"/>
      <c r="AA33" s="99"/>
      <c r="AB33" s="99"/>
      <c r="AC33" s="91"/>
      <c r="AD33" s="99"/>
      <c r="AE33" s="99"/>
      <c r="AF33" s="99"/>
      <c r="AG33" s="91"/>
      <c r="AH33" s="99"/>
      <c r="AI33" s="99"/>
      <c r="AJ33" s="99"/>
      <c r="AK33" s="91"/>
      <c r="AL33" s="99"/>
      <c r="AM33" s="216"/>
      <c r="AN33" s="99"/>
      <c r="AO33" s="99"/>
      <c r="AP33" s="91"/>
      <c r="AQ33" s="99"/>
      <c r="AR33" s="99"/>
      <c r="AS33" s="99"/>
      <c r="AT33" s="91"/>
      <c r="AU33" s="99"/>
      <c r="AV33" s="99"/>
      <c r="AW33" s="99"/>
      <c r="AX33" s="99"/>
      <c r="AY33" s="99"/>
      <c r="BA33" s="99"/>
      <c r="BB33" s="99"/>
      <c r="BC33" s="99"/>
      <c r="BD33" s="99"/>
      <c r="BE33" s="99"/>
    </row>
    <row r="34" spans="2:57">
      <c r="B34" s="7" t="s">
        <v>297</v>
      </c>
    </row>
    <row r="35" spans="2:57">
      <c r="B35" s="11" t="s">
        <v>298</v>
      </c>
      <c r="C35" s="333"/>
      <c r="D35" s="145">
        <v>307.12299999999999</v>
      </c>
      <c r="E35" s="145">
        <v>313.202</v>
      </c>
      <c r="F35" s="145">
        <v>328</v>
      </c>
      <c r="G35" s="145">
        <v>334</v>
      </c>
      <c r="H35" s="145">
        <v>322</v>
      </c>
      <c r="I35" s="145">
        <v>323</v>
      </c>
      <c r="J35" s="145">
        <v>323</v>
      </c>
      <c r="K35" s="145">
        <v>326</v>
      </c>
      <c r="L35" s="145">
        <v>326</v>
      </c>
      <c r="M35" s="145">
        <v>338</v>
      </c>
      <c r="N35" s="294">
        <f>SUM(BA35:BD35)</f>
        <v>339.21</v>
      </c>
      <c r="O35" s="294">
        <f t="shared" ref="O35:P37" si="94">SUM(AU35:AX35)</f>
        <v>348.12</v>
      </c>
      <c r="P35" s="91">
        <f t="shared" si="94"/>
        <v>350.28</v>
      </c>
      <c r="Q35" s="91"/>
      <c r="R35" s="99">
        <v>83.337000000000003</v>
      </c>
      <c r="S35" s="99">
        <v>71.647999999999996</v>
      </c>
      <c r="T35" s="99">
        <v>74</v>
      </c>
      <c r="U35" s="294">
        <f>+E35-SUM(R35:T35)</f>
        <v>84.216999999999985</v>
      </c>
      <c r="V35" s="99">
        <v>89.947000000000003</v>
      </c>
      <c r="W35" s="99">
        <v>73.468999999999994</v>
      </c>
      <c r="X35" s="99">
        <v>81</v>
      </c>
      <c r="Y35" s="295">
        <f>+F35-SUM(V35:X35)</f>
        <v>83.584000000000003</v>
      </c>
      <c r="Z35" s="99">
        <v>92</v>
      </c>
      <c r="AA35" s="99">
        <v>76</v>
      </c>
      <c r="AB35" s="99">
        <v>79</v>
      </c>
      <c r="AC35" s="91">
        <f>+G35-SUM(Z35:AB35)</f>
        <v>87</v>
      </c>
      <c r="AD35" s="99">
        <v>84</v>
      </c>
      <c r="AE35" s="99">
        <v>70</v>
      </c>
      <c r="AF35" s="99">
        <v>82</v>
      </c>
      <c r="AG35" s="91">
        <f>+H35-SUM(AD35:AF35)</f>
        <v>86</v>
      </c>
      <c r="AH35" s="99">
        <v>87</v>
      </c>
      <c r="AI35" s="99">
        <v>73</v>
      </c>
      <c r="AJ35" s="99">
        <v>80</v>
      </c>
      <c r="AK35" s="210">
        <f>+I35-SUM(AH35:AJ35)</f>
        <v>83</v>
      </c>
      <c r="AL35" s="99">
        <v>83</v>
      </c>
      <c r="AM35" s="216"/>
      <c r="AN35" s="99">
        <v>71</v>
      </c>
      <c r="AO35" s="99">
        <v>85</v>
      </c>
      <c r="AP35" s="210">
        <f>+K35-SUM(AL35:AO35)</f>
        <v>87</v>
      </c>
      <c r="AQ35" s="99">
        <f>AQ38*51%</f>
        <v>91.29</v>
      </c>
      <c r="AR35" s="99">
        <f>AR38*54%</f>
        <v>72.36</v>
      </c>
      <c r="AS35" s="99">
        <v>86.07</v>
      </c>
      <c r="AT35" s="210">
        <f>M35-SUM(AQ35:AS35)</f>
        <v>88.28</v>
      </c>
      <c r="AU35" s="99">
        <f>AU38*53%</f>
        <v>85.86</v>
      </c>
      <c r="AV35" s="99">
        <f>AV38*57%</f>
        <v>81.509999999999991</v>
      </c>
      <c r="AW35" s="99">
        <f>AW38*59%</f>
        <v>90.27</v>
      </c>
      <c r="AX35" s="99">
        <f>AX38*58%</f>
        <v>90.47999999999999</v>
      </c>
      <c r="AY35" s="99">
        <f>AY38*54%</f>
        <v>88.02000000000001</v>
      </c>
      <c r="BA35" s="99">
        <f>BA38*51%</f>
        <v>91.29</v>
      </c>
      <c r="BB35" s="99">
        <f>BB38*54%</f>
        <v>72.36</v>
      </c>
      <c r="BC35" s="99">
        <f>BC38*57%</f>
        <v>86.07</v>
      </c>
      <c r="BD35" s="99">
        <f>BD38*57%</f>
        <v>89.49</v>
      </c>
      <c r="BE35" s="99">
        <f>BE38*53%</f>
        <v>85.86</v>
      </c>
    </row>
    <row r="36" spans="2:57">
      <c r="B36" s="11" t="s">
        <v>299</v>
      </c>
      <c r="C36" s="333"/>
      <c r="D36" s="145">
        <v>179.054</v>
      </c>
      <c r="E36" s="145">
        <v>187.58699999999999</v>
      </c>
      <c r="F36" s="145">
        <v>199</v>
      </c>
      <c r="G36" s="145">
        <v>219</v>
      </c>
      <c r="H36" s="145">
        <v>217</v>
      </c>
      <c r="I36" s="145">
        <v>222</v>
      </c>
      <c r="J36" s="145">
        <v>222</v>
      </c>
      <c r="K36" s="145">
        <v>224</v>
      </c>
      <c r="L36" s="145">
        <v>224</v>
      </c>
      <c r="M36" s="145">
        <v>227</v>
      </c>
      <c r="N36" s="294">
        <f t="shared" ref="N36:N37" si="95">SUM(BA36:BD36)</f>
        <v>224.62</v>
      </c>
      <c r="O36" s="294">
        <f t="shared" si="94"/>
        <v>207.66000000000003</v>
      </c>
      <c r="P36" s="91">
        <f t="shared" si="94"/>
        <v>206.41000000000003</v>
      </c>
      <c r="Q36" s="91"/>
      <c r="R36" s="99">
        <v>50.078000000000003</v>
      </c>
      <c r="S36" s="99">
        <v>45.777999999999999</v>
      </c>
      <c r="T36" s="99">
        <v>42</v>
      </c>
      <c r="U36" s="294">
        <f>+E36-SUM(R36:T36)</f>
        <v>49.730999999999995</v>
      </c>
      <c r="V36" s="99">
        <v>52.006999999999998</v>
      </c>
      <c r="W36" s="99">
        <v>47.704000000000001</v>
      </c>
      <c r="X36" s="99">
        <v>45</v>
      </c>
      <c r="Y36" s="295">
        <f>+F36-SUM(V36:X36)</f>
        <v>54.288999999999987</v>
      </c>
      <c r="Z36" s="99">
        <v>59</v>
      </c>
      <c r="AA36" s="99">
        <v>53</v>
      </c>
      <c r="AB36" s="99">
        <v>48</v>
      </c>
      <c r="AC36" s="91">
        <f>+G36-SUM(Z36:AB36)</f>
        <v>59</v>
      </c>
      <c r="AD36" s="99">
        <v>55</v>
      </c>
      <c r="AE36" s="99">
        <v>51</v>
      </c>
      <c r="AF36" s="99">
        <v>51</v>
      </c>
      <c r="AG36" s="91">
        <f>+H36-SUM(AD36:AF36)</f>
        <v>60</v>
      </c>
      <c r="AH36" s="99">
        <v>58</v>
      </c>
      <c r="AI36" s="99">
        <v>53</v>
      </c>
      <c r="AJ36" s="99">
        <v>51</v>
      </c>
      <c r="AK36" s="210">
        <f>+I36-SUM(AH36:AJ36)</f>
        <v>60</v>
      </c>
      <c r="AL36" s="99">
        <v>58</v>
      </c>
      <c r="AM36" s="216"/>
      <c r="AN36" s="99">
        <v>52</v>
      </c>
      <c r="AO36" s="99">
        <v>55</v>
      </c>
      <c r="AP36" s="210">
        <f>+K36-SUM(AL36:AO36)</f>
        <v>59</v>
      </c>
      <c r="AQ36" s="99">
        <f>AQ38*40%</f>
        <v>71.600000000000009</v>
      </c>
      <c r="AR36" s="99">
        <f>AR38*36%</f>
        <v>48.239999999999995</v>
      </c>
      <c r="AS36" s="99">
        <v>49.830000000000005</v>
      </c>
      <c r="AT36" s="210">
        <f>M36-SUM(AQ36:AS36)</f>
        <v>57.329999999999984</v>
      </c>
      <c r="AU36" s="99">
        <f>AU38*38%</f>
        <v>61.56</v>
      </c>
      <c r="AV36" s="99">
        <f>AV38*33%</f>
        <v>47.190000000000005</v>
      </c>
      <c r="AW36" s="99">
        <f>AW38*31%</f>
        <v>47.43</v>
      </c>
      <c r="AX36" s="99">
        <f>AX38*33%</f>
        <v>51.480000000000004</v>
      </c>
      <c r="AY36" s="99">
        <f>AY38*37%</f>
        <v>60.31</v>
      </c>
      <c r="BA36" s="99">
        <f>BA38*40%</f>
        <v>71.600000000000009</v>
      </c>
      <c r="BB36" s="99">
        <f>BB38*36%</f>
        <v>48.239999999999995</v>
      </c>
      <c r="BC36" s="99">
        <f>BC38*33%</f>
        <v>49.830000000000005</v>
      </c>
      <c r="BD36" s="99">
        <f>BD38*35%</f>
        <v>54.949999999999996</v>
      </c>
      <c r="BE36" s="99">
        <f>BE38*38%</f>
        <v>61.56</v>
      </c>
    </row>
    <row r="37" spans="2:57">
      <c r="B37" s="11" t="s">
        <v>300</v>
      </c>
      <c r="C37" s="333"/>
      <c r="D37" s="145">
        <v>59.54</v>
      </c>
      <c r="E37" s="145">
        <v>52.875</v>
      </c>
      <c r="F37" s="145">
        <v>49</v>
      </c>
      <c r="G37" s="145">
        <v>42</v>
      </c>
      <c r="H37" s="145">
        <v>44</v>
      </c>
      <c r="I37" s="145">
        <v>50</v>
      </c>
      <c r="J37" s="145">
        <v>50</v>
      </c>
      <c r="K37" s="145">
        <v>53</v>
      </c>
      <c r="L37" s="145">
        <v>53</v>
      </c>
      <c r="M37" s="145">
        <v>56</v>
      </c>
      <c r="N37" s="294">
        <f t="shared" si="95"/>
        <v>55.38</v>
      </c>
      <c r="O37" s="294">
        <f t="shared" si="94"/>
        <v>58.220000000000006</v>
      </c>
      <c r="P37" s="91">
        <f t="shared" si="94"/>
        <v>58.31</v>
      </c>
      <c r="Q37" s="91"/>
      <c r="R37" s="99">
        <v>14.641999999999999</v>
      </c>
      <c r="S37" s="99">
        <v>12.871</v>
      </c>
      <c r="T37" s="99">
        <v>13</v>
      </c>
      <c r="U37" s="294">
        <f>+E37-SUM(R37:T37)</f>
        <v>12.362000000000002</v>
      </c>
      <c r="V37" s="99">
        <v>12.561</v>
      </c>
      <c r="W37" s="99">
        <v>11.241</v>
      </c>
      <c r="X37" s="99">
        <v>12</v>
      </c>
      <c r="Y37" s="295">
        <f>+F37-SUM(V37:X37)</f>
        <v>13.198</v>
      </c>
      <c r="Z37" s="99">
        <v>12</v>
      </c>
      <c r="AA37" s="99">
        <v>8</v>
      </c>
      <c r="AB37" s="99">
        <v>11</v>
      </c>
      <c r="AC37" s="91">
        <f>+G37-SUM(Z37:AB37)</f>
        <v>11</v>
      </c>
      <c r="AD37" s="99">
        <v>10</v>
      </c>
      <c r="AE37" s="99">
        <v>10</v>
      </c>
      <c r="AF37" s="99">
        <v>12</v>
      </c>
      <c r="AG37" s="91">
        <f>+H37-SUM(AD37:AF37)</f>
        <v>12</v>
      </c>
      <c r="AH37" s="99">
        <v>12</v>
      </c>
      <c r="AI37" s="99">
        <v>12</v>
      </c>
      <c r="AJ37" s="99">
        <v>13</v>
      </c>
      <c r="AK37" s="210">
        <f>+I37-SUM(AH37:AJ37)</f>
        <v>13</v>
      </c>
      <c r="AL37" s="99">
        <v>12</v>
      </c>
      <c r="AM37" s="216"/>
      <c r="AN37" s="99">
        <v>11</v>
      </c>
      <c r="AO37" s="99">
        <v>15</v>
      </c>
      <c r="AP37" s="210">
        <f>+K37-SUM(AL37:AO37)</f>
        <v>15</v>
      </c>
      <c r="AQ37" s="99">
        <f>AQ38*8%</f>
        <v>14.32</v>
      </c>
      <c r="AR37" s="99">
        <f>AR38*10%</f>
        <v>13.4</v>
      </c>
      <c r="AS37" s="99">
        <v>15.100000000000001</v>
      </c>
      <c r="AT37" s="210">
        <f>M37-SUM(AQ37:AS37)</f>
        <v>13.18</v>
      </c>
      <c r="AU37" s="99">
        <f>AU38*9%</f>
        <v>14.58</v>
      </c>
      <c r="AV37" s="99">
        <f>AV38*10%</f>
        <v>14.3</v>
      </c>
      <c r="AW37" s="99">
        <f>AW38*10%</f>
        <v>15.3</v>
      </c>
      <c r="AX37" s="99">
        <f>AX38*9%</f>
        <v>14.04</v>
      </c>
      <c r="AY37" s="99">
        <f>AY38*9%</f>
        <v>14.67</v>
      </c>
      <c r="BA37" s="99">
        <f>BA38*8%</f>
        <v>14.32</v>
      </c>
      <c r="BB37" s="99">
        <f>BB38*10%</f>
        <v>13.4</v>
      </c>
      <c r="BC37" s="99">
        <f>BC38*10%</f>
        <v>15.100000000000001</v>
      </c>
      <c r="BD37" s="99">
        <f>BD38*8%</f>
        <v>12.56</v>
      </c>
      <c r="BE37" s="99">
        <f>BE38*9%</f>
        <v>14.58</v>
      </c>
    </row>
    <row r="38" spans="2:57" s="7" customFormat="1">
      <c r="B38" s="7" t="s">
        <v>293</v>
      </c>
      <c r="C38" s="333"/>
      <c r="D38" s="146">
        <f t="shared" ref="D38:H38" si="96">+D35+D36+D37</f>
        <v>545.71699999999998</v>
      </c>
      <c r="E38" s="146">
        <f t="shared" si="96"/>
        <v>553.66399999999999</v>
      </c>
      <c r="F38" s="146">
        <f t="shared" si="96"/>
        <v>576</v>
      </c>
      <c r="G38" s="146">
        <f t="shared" si="96"/>
        <v>595</v>
      </c>
      <c r="H38" s="146">
        <f t="shared" si="96"/>
        <v>583</v>
      </c>
      <c r="I38" s="146">
        <f t="shared" ref="I38:J38" si="97">+I35+I36+I37</f>
        <v>595</v>
      </c>
      <c r="J38" s="146">
        <f t="shared" si="97"/>
        <v>595</v>
      </c>
      <c r="K38" s="146">
        <f t="shared" ref="K38:L38" si="98">+K35+K36+K37</f>
        <v>603</v>
      </c>
      <c r="L38" s="146">
        <f t="shared" si="98"/>
        <v>603</v>
      </c>
      <c r="M38" s="146">
        <f t="shared" ref="M38" si="99">+M35+M36+M37</f>
        <v>621</v>
      </c>
      <c r="N38" s="336">
        <f>SUM(N35:N36)</f>
        <v>563.82999999999993</v>
      </c>
      <c r="O38" s="336">
        <f>SUM(O35:O36)</f>
        <v>555.78</v>
      </c>
      <c r="P38" s="146">
        <f t="shared" ref="P38" si="100">+P35+P36+P37</f>
        <v>615</v>
      </c>
      <c r="Q38" s="146"/>
      <c r="R38" s="296">
        <f t="shared" ref="R38:AA38" si="101">+R35+R36+R37</f>
        <v>148.05700000000002</v>
      </c>
      <c r="S38" s="296">
        <f t="shared" si="101"/>
        <v>130.297</v>
      </c>
      <c r="T38" s="296">
        <f t="shared" si="101"/>
        <v>129</v>
      </c>
      <c r="U38" s="296">
        <f t="shared" si="101"/>
        <v>146.30999999999997</v>
      </c>
      <c r="V38" s="7">
        <f t="shared" si="101"/>
        <v>154.51500000000001</v>
      </c>
      <c r="W38" s="7">
        <f t="shared" si="101"/>
        <v>132.41399999999999</v>
      </c>
      <c r="X38" s="7">
        <f t="shared" si="101"/>
        <v>138</v>
      </c>
      <c r="Y38" s="7">
        <f t="shared" si="101"/>
        <v>151.071</v>
      </c>
      <c r="Z38" s="7">
        <f t="shared" si="101"/>
        <v>163</v>
      </c>
      <c r="AA38" s="7">
        <f t="shared" si="101"/>
        <v>137</v>
      </c>
      <c r="AB38" s="7">
        <f t="shared" ref="AB38:AE38" si="102">+AB35+AB36+AB37</f>
        <v>138</v>
      </c>
      <c r="AC38" s="7">
        <f t="shared" si="102"/>
        <v>157</v>
      </c>
      <c r="AD38" s="7">
        <f t="shared" si="102"/>
        <v>149</v>
      </c>
      <c r="AE38" s="7">
        <f t="shared" si="102"/>
        <v>131</v>
      </c>
      <c r="AF38" s="7">
        <f t="shared" ref="AF38:AI38" si="103">+AF35+AF36+AF37</f>
        <v>145</v>
      </c>
      <c r="AG38" s="7">
        <f t="shared" si="103"/>
        <v>158</v>
      </c>
      <c r="AH38" s="7">
        <f t="shared" si="103"/>
        <v>157</v>
      </c>
      <c r="AI38" s="7">
        <f t="shared" si="103"/>
        <v>138</v>
      </c>
      <c r="AJ38" s="7">
        <f t="shared" ref="AJ38:AN38" si="104">+AJ35+AJ36+AJ37</f>
        <v>144</v>
      </c>
      <c r="AK38" s="7">
        <f t="shared" si="104"/>
        <v>156</v>
      </c>
      <c r="AL38" s="7">
        <f t="shared" si="104"/>
        <v>153</v>
      </c>
      <c r="AM38" s="217"/>
      <c r="AN38" s="7">
        <f t="shared" si="104"/>
        <v>134</v>
      </c>
      <c r="AO38" s="7">
        <f t="shared" ref="AO38:AP38" si="105">+AO35+AO36+AO37</f>
        <v>155</v>
      </c>
      <c r="AP38" s="7">
        <f t="shared" si="105"/>
        <v>161</v>
      </c>
      <c r="AQ38" s="7">
        <v>179</v>
      </c>
      <c r="AR38" s="7">
        <v>134</v>
      </c>
      <c r="AS38" s="7">
        <f t="shared" ref="AS38:AT38" si="106">+AS35+AS36+AS37</f>
        <v>151</v>
      </c>
      <c r="AT38" s="146">
        <f t="shared" si="106"/>
        <v>158.79</v>
      </c>
      <c r="AU38" s="7">
        <v>162</v>
      </c>
      <c r="AV38" s="7">
        <v>143</v>
      </c>
      <c r="AW38" s="7">
        <v>153</v>
      </c>
      <c r="AX38" s="7">
        <v>156</v>
      </c>
      <c r="AY38" s="7">
        <v>163</v>
      </c>
      <c r="BA38" s="7">
        <v>179</v>
      </c>
      <c r="BB38" s="7">
        <v>134</v>
      </c>
      <c r="BC38" s="7">
        <v>151</v>
      </c>
      <c r="BD38" s="7">
        <v>157</v>
      </c>
      <c r="BE38" s="7">
        <v>162</v>
      </c>
    </row>
    <row r="39" spans="2:57"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219"/>
      <c r="Q39" s="21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216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BA39" s="99"/>
      <c r="BB39" s="99"/>
      <c r="BC39" s="99"/>
      <c r="BD39" s="99"/>
      <c r="BE39" s="99"/>
    </row>
    <row r="40" spans="2:57">
      <c r="B40" s="7" t="s">
        <v>301</v>
      </c>
    </row>
    <row r="41" spans="2:57">
      <c r="B41" s="11" t="s">
        <v>298</v>
      </c>
      <c r="C41" s="333"/>
      <c r="D41" s="145">
        <v>2050</v>
      </c>
      <c r="E41" s="145">
        <v>2625</v>
      </c>
      <c r="F41" s="145">
        <v>3395</v>
      </c>
      <c r="G41" s="145">
        <v>4149</v>
      </c>
      <c r="H41" s="145">
        <v>5324</v>
      </c>
      <c r="I41" s="145">
        <v>12123</v>
      </c>
      <c r="J41" s="145">
        <v>21906</v>
      </c>
      <c r="K41" s="145">
        <v>22350</v>
      </c>
      <c r="L41" s="145">
        <v>32263</v>
      </c>
      <c r="M41" s="145">
        <v>31283</v>
      </c>
      <c r="N41" s="294">
        <f>SUM(BA41:BD41)</f>
        <v>34716.160000000003</v>
      </c>
      <c r="O41" s="294">
        <f t="shared" ref="O41:P43" si="107">SUM(AU41:AX41)</f>
        <v>36350.44</v>
      </c>
      <c r="P41" s="210">
        <f t="shared" si="107"/>
        <v>38902.300000000003</v>
      </c>
      <c r="Q41" s="91"/>
      <c r="R41" s="99">
        <v>618</v>
      </c>
      <c r="S41" s="99">
        <v>554</v>
      </c>
      <c r="T41" s="99">
        <v>660</v>
      </c>
      <c r="U41" s="294">
        <f>+E41-SUM(R41:T41)</f>
        <v>793</v>
      </c>
      <c r="V41" s="99">
        <v>874</v>
      </c>
      <c r="W41" s="99">
        <v>776</v>
      </c>
      <c r="X41" s="99">
        <v>845</v>
      </c>
      <c r="Y41" s="295">
        <f>+F41-SUM(V41:X41)</f>
        <v>900</v>
      </c>
      <c r="Z41" s="99">
        <v>1050</v>
      </c>
      <c r="AA41" s="99">
        <v>899</v>
      </c>
      <c r="AB41" s="99">
        <v>1010</v>
      </c>
      <c r="AC41" s="91">
        <f>+G41-SUM(Z41:AB41)</f>
        <v>1190</v>
      </c>
      <c r="AD41" s="99">
        <v>1191</v>
      </c>
      <c r="AE41" s="99">
        <v>1055</v>
      </c>
      <c r="AF41" s="99">
        <v>1312</v>
      </c>
      <c r="AG41" s="91">
        <f>+H41-SUM(AD41:AF41)</f>
        <v>1766</v>
      </c>
      <c r="AH41" s="99">
        <v>2617</v>
      </c>
      <c r="AI41" s="99">
        <v>2502</v>
      </c>
      <c r="AJ41" s="99">
        <v>3348</v>
      </c>
      <c r="AK41" s="210">
        <f>+I41-SUM(AH41:AJ41)</f>
        <v>3656</v>
      </c>
      <c r="AL41" s="99">
        <v>4124</v>
      </c>
      <c r="AM41" s="216"/>
      <c r="AN41" s="99">
        <v>3849</v>
      </c>
      <c r="AO41" s="99">
        <v>5293</v>
      </c>
      <c r="AP41" s="210">
        <f>+K41-SUM(AL41:AO41)</f>
        <v>9084</v>
      </c>
      <c r="AQ41" s="99">
        <f>AQ44*39%</f>
        <v>7413.9000000000005</v>
      </c>
      <c r="AR41" s="99">
        <f>AR44*39%</f>
        <v>5656.17</v>
      </c>
      <c r="AS41" s="99">
        <v>6902.8</v>
      </c>
      <c r="AT41" s="210">
        <f>M41-SUM(AQ41:AS41)</f>
        <v>11310.130000000001</v>
      </c>
      <c r="AU41" s="99">
        <f>AU44*33%</f>
        <v>8532.48</v>
      </c>
      <c r="AV41" s="99">
        <f>AV44*38%</f>
        <v>8227.76</v>
      </c>
      <c r="AW41" s="99">
        <f>AW44*40%</f>
        <v>9668.4</v>
      </c>
      <c r="AX41" s="99">
        <f>AX44*38%</f>
        <v>9921.7999999999993</v>
      </c>
      <c r="AY41" s="99">
        <f>AY44*34%</f>
        <v>11084.34</v>
      </c>
      <c r="BA41" s="99">
        <f>BA44*39%</f>
        <v>7413.9000000000005</v>
      </c>
      <c r="BB41" s="99">
        <f>BB44*39%</f>
        <v>7638.54</v>
      </c>
      <c r="BC41" s="99">
        <f>BC44*40%</f>
        <v>9200.8000000000011</v>
      </c>
      <c r="BD41" s="99">
        <f>BD44*38%</f>
        <v>10462.92</v>
      </c>
      <c r="BE41" s="99">
        <f>BE44*33%</f>
        <v>11166.210000000001</v>
      </c>
    </row>
    <row r="42" spans="2:57">
      <c r="B42" s="11" t="s">
        <v>299</v>
      </c>
      <c r="C42" s="333"/>
      <c r="D42" s="145">
        <v>2241</v>
      </c>
      <c r="E42" s="145">
        <v>2808</v>
      </c>
      <c r="F42" s="145">
        <v>3756</v>
      </c>
      <c r="G42" s="145">
        <v>4694</v>
      </c>
      <c r="H42" s="145">
        <v>6028</v>
      </c>
      <c r="I42" s="145">
        <v>12895</v>
      </c>
      <c r="J42" s="145">
        <v>24104</v>
      </c>
      <c r="K42" s="145">
        <v>26890</v>
      </c>
      <c r="L42" s="145">
        <v>38841</v>
      </c>
      <c r="M42" s="145">
        <v>42298</v>
      </c>
      <c r="N42" s="294">
        <f t="shared" ref="N42:N43" si="108">SUM(BA42:BD42)</f>
        <v>47324.840000000004</v>
      </c>
      <c r="O42" s="294">
        <f t="shared" si="107"/>
        <v>53676.87</v>
      </c>
      <c r="P42" s="210">
        <f t="shared" si="107"/>
        <v>57397.86</v>
      </c>
      <c r="Q42" s="91"/>
      <c r="R42" s="99">
        <v>664</v>
      </c>
      <c r="S42" s="99">
        <v>643</v>
      </c>
      <c r="T42" s="99">
        <v>649</v>
      </c>
      <c r="U42" s="294">
        <f>+E42-SUM(R42:T42)</f>
        <v>852</v>
      </c>
      <c r="V42" s="99">
        <v>910</v>
      </c>
      <c r="W42" s="99">
        <v>897</v>
      </c>
      <c r="X42" s="99">
        <v>885</v>
      </c>
      <c r="Y42" s="295">
        <f>+F42-SUM(V42:X42)</f>
        <v>1064</v>
      </c>
      <c r="Z42" s="99">
        <v>1178</v>
      </c>
      <c r="AA42" s="99">
        <v>1143</v>
      </c>
      <c r="AB42" s="99">
        <v>1079</v>
      </c>
      <c r="AC42" s="91">
        <f>+G42-SUM(Z42:AB42)</f>
        <v>1294</v>
      </c>
      <c r="AD42" s="99">
        <v>1354</v>
      </c>
      <c r="AE42" s="99">
        <v>1332</v>
      </c>
      <c r="AF42" s="99">
        <v>1383</v>
      </c>
      <c r="AG42" s="91">
        <f>+H42-SUM(AD42:AF42)</f>
        <v>1959</v>
      </c>
      <c r="AH42" s="99">
        <v>2678</v>
      </c>
      <c r="AI42" s="99">
        <v>2819</v>
      </c>
      <c r="AJ42" s="99">
        <v>3164</v>
      </c>
      <c r="AK42" s="210">
        <f>+I42-SUM(AH42:AJ42)</f>
        <v>4234</v>
      </c>
      <c r="AL42" s="99">
        <v>5048</v>
      </c>
      <c r="AM42" s="216"/>
      <c r="AN42" s="99">
        <v>4634</v>
      </c>
      <c r="AO42" s="99">
        <v>5584</v>
      </c>
      <c r="AP42" s="210">
        <f>+K42-SUM(AL42:AO42)</f>
        <v>11624</v>
      </c>
      <c r="AQ42" s="99">
        <f>AQ44*54%</f>
        <v>10265.400000000001</v>
      </c>
      <c r="AR42" s="99">
        <f>AR44*52%</f>
        <v>7541.56</v>
      </c>
      <c r="AS42" s="99">
        <v>8801.07</v>
      </c>
      <c r="AT42" s="210">
        <f>M42-SUM(AQ42:AS42)</f>
        <v>15689.969999999998</v>
      </c>
      <c r="AU42" s="99">
        <f>AU44*60%</f>
        <v>15513.599999999999</v>
      </c>
      <c r="AV42" s="99">
        <f>AV44*53%</f>
        <v>11475.560000000001</v>
      </c>
      <c r="AW42" s="99">
        <f>AW44*51%</f>
        <v>12327.210000000001</v>
      </c>
      <c r="AX42" s="99">
        <f>AX44*55%</f>
        <v>14360.500000000002</v>
      </c>
      <c r="AY42" s="99">
        <f>AY44*59%</f>
        <v>19234.59</v>
      </c>
      <c r="BA42" s="99">
        <f>BA44*54%</f>
        <v>10265.400000000001</v>
      </c>
      <c r="BB42" s="99">
        <f>BB44*52%</f>
        <v>10184.720000000001</v>
      </c>
      <c r="BC42" s="99">
        <f>BC44*51%</f>
        <v>11731.02</v>
      </c>
      <c r="BD42" s="99">
        <f>BD44*55%</f>
        <v>15143.7</v>
      </c>
      <c r="BE42" s="99">
        <f>BE44*60%</f>
        <v>20302.2</v>
      </c>
    </row>
    <row r="43" spans="2:57">
      <c r="B43" s="11" t="s">
        <v>300</v>
      </c>
      <c r="C43" s="333"/>
      <c r="D43" s="145">
        <v>446</v>
      </c>
      <c r="E43" s="145">
        <v>489</v>
      </c>
      <c r="F43" s="145">
        <v>575</v>
      </c>
      <c r="G43" s="145">
        <v>557</v>
      </c>
      <c r="H43" s="145">
        <v>771</v>
      </c>
      <c r="I43" s="145">
        <v>1988</v>
      </c>
      <c r="J43" s="145">
        <v>3741</v>
      </c>
      <c r="K43" s="145">
        <v>4264</v>
      </c>
      <c r="L43" s="145">
        <v>6143</v>
      </c>
      <c r="M43" s="145">
        <v>6435</v>
      </c>
      <c r="N43" s="294">
        <f t="shared" si="108"/>
        <v>7091</v>
      </c>
      <c r="O43" s="294">
        <f t="shared" si="107"/>
        <v>7761.6900000000005</v>
      </c>
      <c r="P43" s="210">
        <f t="shared" si="107"/>
        <v>8233.84</v>
      </c>
      <c r="Q43" s="91"/>
      <c r="R43" s="99">
        <v>120</v>
      </c>
      <c r="S43" s="99">
        <v>111</v>
      </c>
      <c r="T43" s="99">
        <v>123</v>
      </c>
      <c r="U43" s="294">
        <f>+E43-SUM(R43:T43)</f>
        <v>135</v>
      </c>
      <c r="V43" s="99">
        <v>146</v>
      </c>
      <c r="W43" s="99">
        <v>130</v>
      </c>
      <c r="X43" s="99">
        <v>147</v>
      </c>
      <c r="Y43" s="295">
        <f>+F43-SUM(V43:X43)</f>
        <v>152</v>
      </c>
      <c r="Z43" s="99">
        <v>148</v>
      </c>
      <c r="AA43" s="99">
        <v>103</v>
      </c>
      <c r="AB43" s="99">
        <v>140</v>
      </c>
      <c r="AC43" s="91">
        <f>+G43-SUM(Z43:AB43)</f>
        <v>166</v>
      </c>
      <c r="AD43" s="99">
        <v>145</v>
      </c>
      <c r="AE43" s="99">
        <v>155</v>
      </c>
      <c r="AF43" s="99">
        <v>204</v>
      </c>
      <c r="AG43" s="91">
        <f>+H43-SUM(AD43:AF43)</f>
        <v>267</v>
      </c>
      <c r="AH43" s="99">
        <v>369</v>
      </c>
      <c r="AI43" s="99">
        <v>420</v>
      </c>
      <c r="AJ43" s="99">
        <v>566</v>
      </c>
      <c r="AK43" s="210">
        <f>+I43-SUM(AH43:AJ43)</f>
        <v>633</v>
      </c>
      <c r="AL43" s="99">
        <v>668</v>
      </c>
      <c r="AM43" s="216"/>
      <c r="AN43" s="99">
        <v>660</v>
      </c>
      <c r="AO43" s="99">
        <v>1005</v>
      </c>
      <c r="AP43" s="210">
        <f>+K43-SUM(AL43:AO43)</f>
        <v>1931</v>
      </c>
      <c r="AQ43" s="99">
        <f>AQ44*7%</f>
        <v>1330.7</v>
      </c>
      <c r="AR43" s="99">
        <f>AR44*9%</f>
        <v>1305.27</v>
      </c>
      <c r="AS43" s="99">
        <v>1553.1299999999999</v>
      </c>
      <c r="AT43" s="210">
        <f>M43-SUM(AQ43:AS43)</f>
        <v>2245.8999999999996</v>
      </c>
      <c r="AU43" s="99">
        <f>AU44*7%</f>
        <v>1809.92</v>
      </c>
      <c r="AV43" s="99">
        <f>AV44*9%</f>
        <v>1948.6799999999998</v>
      </c>
      <c r="AW43" s="99">
        <f>AW44*9%</f>
        <v>2175.39</v>
      </c>
      <c r="AX43" s="99">
        <f>AX44*7%</f>
        <v>1827.7000000000003</v>
      </c>
      <c r="AY43" s="99">
        <f>AY44*7%</f>
        <v>2282.0700000000002</v>
      </c>
      <c r="BA43" s="99">
        <f>BA44*7%</f>
        <v>1330.7</v>
      </c>
      <c r="BB43" s="99">
        <f>BB44*9%</f>
        <v>1762.74</v>
      </c>
      <c r="BC43" s="99">
        <f>BC44*9%</f>
        <v>2070.1799999999998</v>
      </c>
      <c r="BD43" s="99">
        <f>BD44*7%</f>
        <v>1927.38</v>
      </c>
      <c r="BE43" s="99">
        <f>BE44*7%</f>
        <v>2368.59</v>
      </c>
    </row>
    <row r="44" spans="2:57" s="7" customFormat="1">
      <c r="B44" s="7" t="s">
        <v>293</v>
      </c>
      <c r="C44" s="333"/>
      <c r="D44" s="146">
        <f t="shared" ref="D44:H44" si="109">+D41+D42+D43</f>
        <v>4737</v>
      </c>
      <c r="E44" s="146">
        <f t="shared" si="109"/>
        <v>5922</v>
      </c>
      <c r="F44" s="146">
        <f t="shared" si="109"/>
        <v>7726</v>
      </c>
      <c r="G44" s="146">
        <f t="shared" si="109"/>
        <v>9400</v>
      </c>
      <c r="H44" s="146">
        <f t="shared" si="109"/>
        <v>12123</v>
      </c>
      <c r="I44" s="146">
        <f t="shared" ref="I44:J44" si="110">+I41+I42+I43</f>
        <v>27006</v>
      </c>
      <c r="J44" s="146">
        <f t="shared" si="110"/>
        <v>49751</v>
      </c>
      <c r="K44" s="146">
        <f t="shared" ref="K44:L44" si="111">+K41+K42+K43</f>
        <v>53504</v>
      </c>
      <c r="L44" s="146">
        <f t="shared" si="111"/>
        <v>77247</v>
      </c>
      <c r="M44" s="146">
        <f t="shared" ref="M44:N44" si="112">+M41+M42+M43</f>
        <v>80016</v>
      </c>
      <c r="N44" s="146">
        <f t="shared" si="112"/>
        <v>89132</v>
      </c>
      <c r="O44" s="146">
        <f t="shared" ref="O44" si="113">+O41+O42+O43</f>
        <v>97789</v>
      </c>
      <c r="P44" s="336">
        <f t="shared" ref="P44" si="114">+P41+P42+P43</f>
        <v>104534</v>
      </c>
      <c r="Q44" s="146"/>
      <c r="R44" s="146">
        <f t="shared" ref="R44:AA44" si="115">+R41+R42+R43</f>
        <v>1402</v>
      </c>
      <c r="S44" s="146">
        <f t="shared" si="115"/>
        <v>1308</v>
      </c>
      <c r="T44" s="146">
        <f t="shared" si="115"/>
        <v>1432</v>
      </c>
      <c r="U44" s="146">
        <f t="shared" si="115"/>
        <v>1780</v>
      </c>
      <c r="V44" s="146">
        <f t="shared" si="115"/>
        <v>1930</v>
      </c>
      <c r="W44" s="146">
        <f t="shared" si="115"/>
        <v>1803</v>
      </c>
      <c r="X44" s="146">
        <f t="shared" si="115"/>
        <v>1877</v>
      </c>
      <c r="Y44" s="146">
        <f t="shared" si="115"/>
        <v>2116</v>
      </c>
      <c r="Z44" s="146">
        <f t="shared" si="115"/>
        <v>2376</v>
      </c>
      <c r="AA44" s="146">
        <f t="shared" si="115"/>
        <v>2145</v>
      </c>
      <c r="AB44" s="146">
        <f t="shared" ref="AB44:AE44" si="116">+AB41+AB42+AB43</f>
        <v>2229</v>
      </c>
      <c r="AC44" s="146">
        <f t="shared" si="116"/>
        <v>2650</v>
      </c>
      <c r="AD44" s="146">
        <f t="shared" si="116"/>
        <v>2690</v>
      </c>
      <c r="AE44" s="146">
        <f t="shared" si="116"/>
        <v>2542</v>
      </c>
      <c r="AF44" s="146">
        <f t="shared" ref="AF44:AI44" si="117">+AF41+AF42+AF43</f>
        <v>2899</v>
      </c>
      <c r="AG44" s="146">
        <f t="shared" si="117"/>
        <v>3992</v>
      </c>
      <c r="AH44" s="146">
        <f t="shared" si="117"/>
        <v>5664</v>
      </c>
      <c r="AI44" s="146">
        <f t="shared" si="117"/>
        <v>5741</v>
      </c>
      <c r="AJ44" s="146">
        <f t="shared" ref="AJ44:AN44" si="118">+AJ41+AJ42+AJ43</f>
        <v>7078</v>
      </c>
      <c r="AK44" s="146">
        <f t="shared" si="118"/>
        <v>8523</v>
      </c>
      <c r="AL44" s="146">
        <f t="shared" si="118"/>
        <v>9840</v>
      </c>
      <c r="AM44" s="218"/>
      <c r="AN44" s="146">
        <f t="shared" si="118"/>
        <v>9143</v>
      </c>
      <c r="AO44" s="146">
        <f t="shared" ref="AO44:AP44" si="119">+AO41+AO42+AO43</f>
        <v>11882</v>
      </c>
      <c r="AP44" s="146">
        <f t="shared" si="119"/>
        <v>22639</v>
      </c>
      <c r="AQ44" s="146">
        <v>19010</v>
      </c>
      <c r="AR44" s="146">
        <v>14503</v>
      </c>
      <c r="AS44" s="146">
        <f t="shared" ref="AS44:AT44" si="120">+AS41+AS42+AS43</f>
        <v>17257</v>
      </c>
      <c r="AT44" s="146">
        <f t="shared" si="120"/>
        <v>29246</v>
      </c>
      <c r="AU44" s="146">
        <v>25856</v>
      </c>
      <c r="AV44" s="146">
        <v>21652</v>
      </c>
      <c r="AW44" s="146">
        <v>24171</v>
      </c>
      <c r="AX44" s="146">
        <v>26110</v>
      </c>
      <c r="AY44" s="146">
        <v>32601</v>
      </c>
      <c r="BA44" s="146">
        <v>19010</v>
      </c>
      <c r="BB44" s="146">
        <v>19586</v>
      </c>
      <c r="BC44" s="146">
        <v>23002</v>
      </c>
      <c r="BD44" s="146">
        <v>27534</v>
      </c>
      <c r="BE44" s="146">
        <v>33837</v>
      </c>
    </row>
    <row r="45" spans="2:57" s="7" customFormat="1">
      <c r="P45" s="145"/>
      <c r="Q45" s="145"/>
      <c r="AM45" s="217"/>
    </row>
    <row r="46" spans="2:57">
      <c r="B46" s="7" t="s">
        <v>302</v>
      </c>
    </row>
    <row r="47" spans="2:57">
      <c r="B47" s="11" t="s">
        <v>298</v>
      </c>
      <c r="C47" s="334"/>
      <c r="D47" s="334"/>
      <c r="E47" s="139">
        <v>2.1999999999999999E-2</v>
      </c>
      <c r="F47" s="139">
        <v>-3.5999999999999997E-2</v>
      </c>
      <c r="G47" s="139">
        <v>-2E-3</v>
      </c>
      <c r="H47" s="139">
        <v>-3.5000000000000003E-2</v>
      </c>
      <c r="I47" s="239">
        <v>1E-3</v>
      </c>
      <c r="J47" s="239">
        <v>1E-3</v>
      </c>
      <c r="K47" s="239">
        <v>0.01</v>
      </c>
      <c r="L47" s="244"/>
      <c r="M47" s="244"/>
      <c r="N47" s="244"/>
      <c r="O47" s="244"/>
      <c r="P47" s="335"/>
      <c r="Q47" s="28"/>
      <c r="R47" s="239"/>
      <c r="S47" s="239">
        <v>5.0000000000000001E-3</v>
      </c>
      <c r="T47" s="239">
        <v>2.1999999999999999E-2</v>
      </c>
      <c r="U47" s="239">
        <v>2.1999999999999999E-2</v>
      </c>
      <c r="V47" s="239">
        <v>-2.5999999999999999E-2</v>
      </c>
      <c r="W47" s="239">
        <v>-3.7999999999999999E-2</v>
      </c>
      <c r="X47" s="239">
        <v>-3.1E-2</v>
      </c>
      <c r="Y47" s="239">
        <v>-3.5999999999999997E-2</v>
      </c>
      <c r="Z47" s="239">
        <v>1.4999999999999999E-2</v>
      </c>
      <c r="AA47" s="239">
        <v>3.4000000000000002E-2</v>
      </c>
      <c r="AB47" s="239">
        <v>3.0000000000000001E-3</v>
      </c>
      <c r="AC47" s="239">
        <v>-2E-3</v>
      </c>
      <c r="AD47" s="239">
        <v>-0.10299999999999999</v>
      </c>
      <c r="AE47" s="239">
        <v>-8.2000000000000003E-2</v>
      </c>
      <c r="AF47" s="239">
        <v>-5.0999999999999997E-2</v>
      </c>
      <c r="AG47" s="239">
        <v>-3.5000000000000003E-2</v>
      </c>
      <c r="AH47" s="239">
        <v>3.5999999999999997E-2</v>
      </c>
      <c r="AI47" s="239">
        <v>5.1999999999999998E-2</v>
      </c>
      <c r="AJ47" s="239">
        <v>-2.1999999999999999E-2</v>
      </c>
      <c r="AK47" s="239">
        <v>-5.3999999999999999E-2</v>
      </c>
      <c r="AL47" s="239">
        <v>-4.7E-2</v>
      </c>
      <c r="AM47" s="240"/>
      <c r="AN47" s="239">
        <f t="shared" ref="AN47:AQ50" si="121">AN35/AI35-1</f>
        <v>-2.7397260273972601E-2</v>
      </c>
      <c r="AO47" s="239">
        <f t="shared" si="121"/>
        <v>6.25E-2</v>
      </c>
      <c r="AP47" s="239">
        <f t="shared" si="121"/>
        <v>4.8192771084337283E-2</v>
      </c>
      <c r="AQ47" s="241">
        <f t="shared" si="121"/>
        <v>9.9879518072289342E-2</v>
      </c>
      <c r="AR47" s="241">
        <f>AR35/AN35-1</f>
        <v>1.9154929577464674E-2</v>
      </c>
      <c r="AS47" s="244"/>
      <c r="AT47" s="241">
        <f t="shared" ref="AT47:AU50" si="122">AT35/AP35-1</f>
        <v>1.4712643678160831E-2</v>
      </c>
      <c r="AU47" s="241">
        <f t="shared" si="122"/>
        <v>-5.9480775550443732E-2</v>
      </c>
      <c r="AV47" s="241">
        <f>AV35/BB35-1</f>
        <v>0.12645107794361521</v>
      </c>
      <c r="AW47" s="241">
        <f>AW35/BC35-1</f>
        <v>4.8797490414778766E-2</v>
      </c>
      <c r="AX47" s="241">
        <f>AX35/BD35-1</f>
        <v>1.106268856855519E-2</v>
      </c>
      <c r="AY47" s="241">
        <f>AY35/BE35-1</f>
        <v>2.5157232704402732E-2</v>
      </c>
      <c r="AZ47" s="242"/>
      <c r="BA47" s="241">
        <f>BA35/AL35-1</f>
        <v>9.9879518072289342E-2</v>
      </c>
      <c r="BB47" s="241">
        <f t="shared" ref="BB47:BD50" si="123">BB35/AN35-1</f>
        <v>1.9154929577464674E-2</v>
      </c>
      <c r="BC47" s="241">
        <f t="shared" si="123"/>
        <v>1.2588235294117567E-2</v>
      </c>
      <c r="BD47" s="241">
        <f t="shared" si="123"/>
        <v>2.8620689655172393E-2</v>
      </c>
      <c r="BE47" s="241">
        <f>BE35/BA35-1</f>
        <v>-5.9480775550443732E-2</v>
      </c>
    </row>
    <row r="48" spans="2:57">
      <c r="B48" s="11" t="s">
        <v>299</v>
      </c>
      <c r="C48" s="334"/>
      <c r="D48" s="334"/>
      <c r="E48" s="139">
        <v>7.9000000000000001E-2</v>
      </c>
      <c r="F48" s="139">
        <v>-3.2000000000000001E-2</v>
      </c>
      <c r="G48" s="139">
        <v>7.9000000000000001E-2</v>
      </c>
      <c r="H48" s="139">
        <v>2.4E-2</v>
      </c>
      <c r="I48" s="239">
        <v>2.1000000000000001E-2</v>
      </c>
      <c r="J48" s="239">
        <v>2.1000000000000001E-2</v>
      </c>
      <c r="K48" s="239">
        <v>1.0999999999999999E-2</v>
      </c>
      <c r="L48" s="240"/>
      <c r="M48" s="240"/>
      <c r="N48" s="240"/>
      <c r="O48" s="240"/>
      <c r="P48" s="335"/>
      <c r="Q48" s="28"/>
      <c r="R48" s="239"/>
      <c r="S48" s="239">
        <v>6.9000000000000006E-2</v>
      </c>
      <c r="T48" s="239">
        <v>8.7999999999999995E-2</v>
      </c>
      <c r="U48" s="239">
        <v>7.9000000000000001E-2</v>
      </c>
      <c r="V48" s="239">
        <v>-0.05</v>
      </c>
      <c r="W48" s="239">
        <v>-4.9000000000000002E-2</v>
      </c>
      <c r="X48" s="239">
        <v>-0.05</v>
      </c>
      <c r="Y48" s="239">
        <v>-3.2000000000000001E-2</v>
      </c>
      <c r="Z48" s="239">
        <v>9.7000000000000003E-2</v>
      </c>
      <c r="AA48" s="239">
        <v>0.1</v>
      </c>
      <c r="AB48" s="239">
        <v>9.5000000000000001E-2</v>
      </c>
      <c r="AC48" s="239">
        <v>7.9000000000000001E-2</v>
      </c>
      <c r="AD48" s="239">
        <v>-1.7000000000000001E-2</v>
      </c>
      <c r="AE48" s="239">
        <v>-7.0000000000000001E-3</v>
      </c>
      <c r="AF48" s="239">
        <v>7.0000000000000001E-3</v>
      </c>
      <c r="AG48" s="239">
        <v>2.4E-2</v>
      </c>
      <c r="AH48" s="239">
        <v>4.9000000000000002E-2</v>
      </c>
      <c r="AI48" s="239">
        <v>0.03</v>
      </c>
      <c r="AJ48" s="239">
        <v>-8.9999999999999993E-3</v>
      </c>
      <c r="AK48" s="239">
        <v>1.4E-2</v>
      </c>
      <c r="AL48" s="239">
        <v>2E-3</v>
      </c>
      <c r="AM48" s="240"/>
      <c r="AN48" s="239">
        <f t="shared" si="121"/>
        <v>-1.8867924528301883E-2</v>
      </c>
      <c r="AO48" s="239">
        <f t="shared" si="121"/>
        <v>7.8431372549019551E-2</v>
      </c>
      <c r="AP48" s="239">
        <f t="shared" si="121"/>
        <v>-1.6666666666666718E-2</v>
      </c>
      <c r="AQ48" s="241">
        <f t="shared" si="121"/>
        <v>0.2344827586206899</v>
      </c>
      <c r="AR48" s="241">
        <f>AR36/AN36-1</f>
        <v>-7.2307692307692406E-2</v>
      </c>
      <c r="AS48" s="244"/>
      <c r="AT48" s="241">
        <f t="shared" si="122"/>
        <v>-2.8305084745762987E-2</v>
      </c>
      <c r="AU48" s="241">
        <f t="shared" si="122"/>
        <v>-0.14022346368715088</v>
      </c>
      <c r="AV48" s="241">
        <f t="shared" ref="AV48:AW50" si="124">AV36/BB36-1</f>
        <v>-2.1766169154228687E-2</v>
      </c>
      <c r="AW48" s="241">
        <f t="shared" si="124"/>
        <v>-4.8163756773028421E-2</v>
      </c>
      <c r="AX48" s="241">
        <f t="shared" ref="AX48:AX50" si="125">AX36/BD36-1</f>
        <v>-6.3148316651501224E-2</v>
      </c>
      <c r="AY48" s="241">
        <f>AY36/BE36-1</f>
        <v>-2.0305393112410641E-2</v>
      </c>
      <c r="AZ48" s="242"/>
      <c r="BA48" s="241">
        <f t="shared" ref="BA48:BA50" si="126">BA36/AL36-1</f>
        <v>0.2344827586206899</v>
      </c>
      <c r="BB48" s="241">
        <f t="shared" si="123"/>
        <v>-7.2307692307692406E-2</v>
      </c>
      <c r="BC48" s="241">
        <f t="shared" si="123"/>
        <v>-9.3999999999999861E-2</v>
      </c>
      <c r="BD48" s="241">
        <f t="shared" si="123"/>
        <v>-6.8644067796610253E-2</v>
      </c>
      <c r="BE48" s="241">
        <f>BE36/BA36-1</f>
        <v>-0.14022346368715088</v>
      </c>
    </row>
    <row r="49" spans="2:57">
      <c r="B49" s="11" t="s">
        <v>300</v>
      </c>
      <c r="C49" s="334"/>
      <c r="D49" s="334"/>
      <c r="E49" s="139">
        <v>2.8000000000000001E-2</v>
      </c>
      <c r="F49" s="139">
        <v>-9.6000000000000002E-2</v>
      </c>
      <c r="G49" s="139">
        <v>-7.0999999999999994E-2</v>
      </c>
      <c r="H49" s="139">
        <v>5.0999999999999997E-2</v>
      </c>
      <c r="I49" s="239">
        <v>0.15</v>
      </c>
      <c r="J49" s="239">
        <v>0.15</v>
      </c>
      <c r="K49" s="239">
        <v>5.6000000000000001E-2</v>
      </c>
      <c r="L49" s="240"/>
      <c r="M49" s="240"/>
      <c r="N49" s="240"/>
      <c r="O49" s="240"/>
      <c r="P49" s="335"/>
      <c r="Q49" s="28"/>
      <c r="R49" s="239"/>
      <c r="S49" s="239">
        <v>3.2000000000000001E-2</v>
      </c>
      <c r="T49" s="239">
        <v>4.7E-2</v>
      </c>
      <c r="U49" s="239">
        <v>2.8000000000000001E-2</v>
      </c>
      <c r="V49" s="239">
        <v>-0.127</v>
      </c>
      <c r="W49" s="239">
        <v>-0.13</v>
      </c>
      <c r="X49" s="239">
        <v>-0.112</v>
      </c>
      <c r="Y49" s="239">
        <v>-9.6000000000000002E-2</v>
      </c>
      <c r="Z49" s="239">
        <v>1.4999999999999999E-2</v>
      </c>
      <c r="AA49" s="239">
        <v>-2.9000000000000001E-2</v>
      </c>
      <c r="AB49" s="239">
        <v>-4.7E-2</v>
      </c>
      <c r="AC49" s="239">
        <v>-7.0999999999999994E-2</v>
      </c>
      <c r="AD49" s="239">
        <v>-0.153</v>
      </c>
      <c r="AE49" s="239">
        <v>-5.3999999999999999E-2</v>
      </c>
      <c r="AF49" s="239">
        <v>-7.0000000000000001E-3</v>
      </c>
      <c r="AG49" s="239">
        <v>5.0999999999999997E-2</v>
      </c>
      <c r="AH49" s="239">
        <v>0.25700000000000001</v>
      </c>
      <c r="AI49" s="239">
        <v>0.23300000000000001</v>
      </c>
      <c r="AJ49" s="239">
        <v>0.14199999999999999</v>
      </c>
      <c r="AK49" s="239">
        <v>1.4999999999999999E-2</v>
      </c>
      <c r="AL49" s="239">
        <v>1.2E-2</v>
      </c>
      <c r="AM49" s="240"/>
      <c r="AN49" s="239">
        <f t="shared" si="121"/>
        <v>-8.333333333333337E-2</v>
      </c>
      <c r="AO49" s="239">
        <f t="shared" si="121"/>
        <v>0.15384615384615374</v>
      </c>
      <c r="AP49" s="239">
        <f t="shared" si="121"/>
        <v>0.15384615384615374</v>
      </c>
      <c r="AQ49" s="241">
        <f t="shared" si="121"/>
        <v>0.19333333333333336</v>
      </c>
      <c r="AR49" s="241">
        <f>AR37/AN37-1</f>
        <v>0.21818181818181825</v>
      </c>
      <c r="AS49" s="244"/>
      <c r="AT49" s="241">
        <f t="shared" si="122"/>
        <v>-0.1213333333333334</v>
      </c>
      <c r="AU49" s="241">
        <f t="shared" si="122"/>
        <v>1.8156424581005526E-2</v>
      </c>
      <c r="AV49" s="241">
        <f t="shared" si="124"/>
        <v>6.7164179104477695E-2</v>
      </c>
      <c r="AW49" s="241">
        <f t="shared" si="124"/>
        <v>1.3245033112582627E-2</v>
      </c>
      <c r="AX49" s="241">
        <f t="shared" si="125"/>
        <v>0.11783439490445846</v>
      </c>
      <c r="AY49" s="241">
        <f>AY37/BE37-1</f>
        <v>6.1728395061728669E-3</v>
      </c>
      <c r="AZ49" s="213"/>
      <c r="BA49" s="241">
        <f t="shared" si="126"/>
        <v>0.19333333333333336</v>
      </c>
      <c r="BB49" s="241">
        <f t="shared" si="123"/>
        <v>0.21818181818181825</v>
      </c>
      <c r="BC49" s="241">
        <f t="shared" si="123"/>
        <v>6.6666666666668206E-3</v>
      </c>
      <c r="BD49" s="241">
        <f t="shared" si="123"/>
        <v>-0.16266666666666663</v>
      </c>
      <c r="BE49" s="241">
        <f>BE37/BA37-1</f>
        <v>1.8156424581005526E-2</v>
      </c>
    </row>
    <row r="50" spans="2:57">
      <c r="B50" s="11" t="s">
        <v>303</v>
      </c>
      <c r="C50" s="334"/>
      <c r="D50" s="334"/>
      <c r="E50" s="139">
        <v>4.2999999999999997E-2</v>
      </c>
      <c r="F50" s="139">
        <v>-3.5000000000000003E-2</v>
      </c>
      <c r="G50" s="139">
        <v>1.7999999999999999E-2</v>
      </c>
      <c r="H50" s="139">
        <v>-4.0000000000000001E-3</v>
      </c>
      <c r="I50" s="239">
        <v>1.9E-2</v>
      </c>
      <c r="J50" s="239">
        <v>1.9E-2</v>
      </c>
      <c r="K50" s="239">
        <v>1.4E-2</v>
      </c>
      <c r="L50" s="240"/>
      <c r="M50" s="240"/>
      <c r="N50" s="240"/>
      <c r="O50" s="240"/>
      <c r="P50" s="335"/>
      <c r="Q50" s="28"/>
      <c r="R50" s="242"/>
      <c r="S50" s="239">
        <v>3.2000000000000001E-2</v>
      </c>
      <c r="T50" s="239">
        <v>4.8000000000000001E-2</v>
      </c>
      <c r="U50" s="239">
        <v>4.2999999999999997E-2</v>
      </c>
      <c r="V50" s="239">
        <v>-4.2000000000000003E-2</v>
      </c>
      <c r="W50" s="239">
        <v>-4.3999999999999997E-2</v>
      </c>
      <c r="X50" s="239">
        <v>-0.04</v>
      </c>
      <c r="Y50" s="239">
        <v>-3.5000000000000003E-2</v>
      </c>
      <c r="Z50" s="239">
        <v>3.7999999999999999E-2</v>
      </c>
      <c r="AA50" s="239">
        <v>5.1999999999999998E-2</v>
      </c>
      <c r="AB50" s="239">
        <v>3.1E-2</v>
      </c>
      <c r="AC50" s="239">
        <v>1.7999999999999999E-2</v>
      </c>
      <c r="AD50" s="239">
        <v>-6.7000000000000004E-2</v>
      </c>
      <c r="AE50" s="239">
        <v>-4.7E-2</v>
      </c>
      <c r="AF50" s="239">
        <v>-2.4E-2</v>
      </c>
      <c r="AG50" s="239">
        <v>-4.0000000000000001E-3</v>
      </c>
      <c r="AH50" s="239">
        <v>5.5E-2</v>
      </c>
      <c r="AI50" s="239">
        <v>5.7000000000000002E-2</v>
      </c>
      <c r="AJ50" s="239">
        <v>-4.0000000000000001E-3</v>
      </c>
      <c r="AK50" s="239">
        <v>-2.3E-2</v>
      </c>
      <c r="AL50" s="239">
        <v>-2.5000000000000001E-2</v>
      </c>
      <c r="AM50" s="240"/>
      <c r="AN50" s="239">
        <f t="shared" si="121"/>
        <v>-2.8985507246376829E-2</v>
      </c>
      <c r="AO50" s="239">
        <f t="shared" si="121"/>
        <v>7.638888888888884E-2</v>
      </c>
      <c r="AP50" s="239">
        <f t="shared" si="121"/>
        <v>3.2051282051282159E-2</v>
      </c>
      <c r="AQ50" s="241">
        <f t="shared" si="121"/>
        <v>0.16993464052287588</v>
      </c>
      <c r="AR50" s="241">
        <f>AR38/AN38-1</f>
        <v>0</v>
      </c>
      <c r="AS50" s="244"/>
      <c r="AT50" s="241">
        <f t="shared" si="122"/>
        <v>-1.3726708074534244E-2</v>
      </c>
      <c r="AU50" s="241">
        <f t="shared" si="122"/>
        <v>-9.4972067039106101E-2</v>
      </c>
      <c r="AV50" s="241">
        <f t="shared" si="124"/>
        <v>6.7164179104477695E-2</v>
      </c>
      <c r="AW50" s="241">
        <f t="shared" si="124"/>
        <v>1.3245033112582849E-2</v>
      </c>
      <c r="AX50" s="241">
        <f t="shared" si="125"/>
        <v>-6.3694267515923553E-3</v>
      </c>
      <c r="AY50" s="241">
        <f>AY38/BE38-1</f>
        <v>6.1728395061728669E-3</v>
      </c>
      <c r="AZ50" s="242"/>
      <c r="BA50" s="241">
        <f t="shared" si="126"/>
        <v>0.16993464052287588</v>
      </c>
      <c r="BB50" s="241">
        <f t="shared" si="123"/>
        <v>0</v>
      </c>
      <c r="BC50" s="241">
        <f t="shared" si="123"/>
        <v>-2.5806451612903181E-2</v>
      </c>
      <c r="BD50" s="241">
        <f t="shared" si="123"/>
        <v>-2.4844720496894457E-2</v>
      </c>
      <c r="BE50" s="241">
        <f>BE38/BA38-1</f>
        <v>-9.4972067039106101E-2</v>
      </c>
    </row>
    <row r="51" spans="2:57">
      <c r="C51" s="139"/>
      <c r="D51" s="139"/>
      <c r="E51" s="139"/>
      <c r="F51" s="139"/>
      <c r="G51" s="139"/>
      <c r="H51" s="139"/>
      <c r="I51" s="243"/>
      <c r="J51" s="243"/>
      <c r="K51" s="243"/>
      <c r="L51" s="243"/>
      <c r="M51" s="243"/>
      <c r="N51" s="243"/>
      <c r="O51" s="243"/>
      <c r="P51" s="243"/>
      <c r="Q51" s="243"/>
      <c r="R51" s="242"/>
      <c r="S51" s="242"/>
      <c r="T51" s="242"/>
      <c r="U51" s="242"/>
      <c r="V51" s="242"/>
      <c r="W51" s="242"/>
      <c r="X51" s="242"/>
      <c r="Y51" s="239"/>
      <c r="Z51" s="242"/>
      <c r="AA51" s="242"/>
      <c r="AB51" s="242"/>
      <c r="AC51" s="239"/>
      <c r="AD51" s="242"/>
      <c r="AE51" s="242"/>
      <c r="AF51" s="242"/>
      <c r="AG51" s="239"/>
      <c r="AH51" s="242"/>
      <c r="AI51" s="242"/>
      <c r="AJ51" s="242"/>
      <c r="AK51" s="242"/>
      <c r="AL51" s="242"/>
      <c r="AM51" s="244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</row>
    <row r="52" spans="2:57">
      <c r="B52" s="7" t="s">
        <v>304</v>
      </c>
      <c r="C52" s="139"/>
      <c r="D52" s="139"/>
      <c r="E52" s="139"/>
      <c r="F52" s="139"/>
      <c r="G52" s="139"/>
      <c r="H52" s="139"/>
      <c r="I52" s="239"/>
      <c r="J52" s="239"/>
      <c r="K52" s="239"/>
      <c r="L52" s="239"/>
      <c r="M52" s="239"/>
      <c r="N52" s="239"/>
      <c r="O52" s="239"/>
      <c r="P52" s="239"/>
      <c r="Q52" s="329"/>
      <c r="R52" s="242"/>
      <c r="S52" s="242"/>
      <c r="T52" s="242"/>
      <c r="U52" s="242"/>
      <c r="V52" s="242"/>
      <c r="W52" s="242"/>
      <c r="X52" s="242"/>
      <c r="Y52" s="239"/>
      <c r="Z52" s="242"/>
      <c r="AA52" s="242"/>
      <c r="AB52" s="242"/>
      <c r="AC52" s="239"/>
      <c r="AD52" s="242"/>
      <c r="AE52" s="242"/>
      <c r="AF52" s="242"/>
      <c r="AG52" s="239"/>
      <c r="AH52" s="242"/>
      <c r="AI52" s="242"/>
      <c r="AJ52" s="242"/>
      <c r="AK52" s="242"/>
      <c r="AL52" s="242"/>
      <c r="AM52" s="244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</row>
    <row r="53" spans="2:57">
      <c r="B53" s="11" t="s">
        <v>298</v>
      </c>
      <c r="C53" s="334"/>
      <c r="D53" s="334"/>
      <c r="E53" s="139">
        <v>0.20399999999999999</v>
      </c>
      <c r="F53" s="139">
        <v>0.248</v>
      </c>
      <c r="G53" s="139">
        <v>0.159</v>
      </c>
      <c r="H53" s="139">
        <v>0.217</v>
      </c>
      <c r="I53" s="239">
        <v>1.2769999999999999</v>
      </c>
      <c r="J53" s="239">
        <v>1.2769999999999999</v>
      </c>
      <c r="K53" s="239">
        <v>0.59399999999999997</v>
      </c>
      <c r="L53" s="244"/>
      <c r="M53" s="244"/>
      <c r="N53" s="244"/>
      <c r="O53" s="244"/>
      <c r="P53" s="335"/>
      <c r="Q53" s="28"/>
      <c r="R53" s="239"/>
      <c r="S53" s="239">
        <v>0.14099999999999999</v>
      </c>
      <c r="T53" s="239">
        <v>0.16700000000000001</v>
      </c>
      <c r="U53" s="239">
        <v>0.20399999999999999</v>
      </c>
      <c r="V53" s="239">
        <v>0.28299999999999997</v>
      </c>
      <c r="W53" s="239">
        <v>0.28000000000000003</v>
      </c>
      <c r="X53" s="239">
        <v>0.28899999999999998</v>
      </c>
      <c r="Y53" s="239">
        <v>0.248</v>
      </c>
      <c r="Z53" s="239">
        <v>0.20200000000000001</v>
      </c>
      <c r="AA53" s="239">
        <v>0.20399999999999999</v>
      </c>
      <c r="AB53" s="239">
        <v>0.28899999999999998</v>
      </c>
      <c r="AC53" s="239">
        <v>0.159</v>
      </c>
      <c r="AD53" s="239">
        <v>7.2999999999999995E-2</v>
      </c>
      <c r="AE53" s="239">
        <v>0.121</v>
      </c>
      <c r="AF53" s="239">
        <v>0.16600000000000001</v>
      </c>
      <c r="AG53" s="239">
        <v>0.217</v>
      </c>
      <c r="AH53" s="239">
        <v>1.1970000000000001</v>
      </c>
      <c r="AI53" s="239">
        <v>1.371</v>
      </c>
      <c r="AJ53" s="239">
        <v>1.5529999999999999</v>
      </c>
      <c r="AK53" s="239">
        <v>1.07</v>
      </c>
      <c r="AL53" s="239">
        <v>0.57599999999999996</v>
      </c>
      <c r="AM53" s="240"/>
      <c r="AN53" s="239">
        <f t="shared" ref="AN53:AQ56" si="127">AN41/AI41-1</f>
        <v>0.5383693045563549</v>
      </c>
      <c r="AO53" s="239">
        <f t="shared" si="127"/>
        <v>0.58094384707287938</v>
      </c>
      <c r="AP53" s="239">
        <f t="shared" si="127"/>
        <v>1.484682713347921</v>
      </c>
      <c r="AQ53" s="241">
        <f t="shared" si="127"/>
        <v>0.79774490785645025</v>
      </c>
      <c r="AR53" s="241">
        <f>AR41/AN41-1</f>
        <v>0.46951675759937639</v>
      </c>
      <c r="AS53" s="244"/>
      <c r="AT53" s="241">
        <f t="shared" ref="AT53:AU56" si="128">AT41/AP41-1</f>
        <v>0.24506054601497151</v>
      </c>
      <c r="AU53" s="241">
        <f t="shared" si="128"/>
        <v>0.15087605713592023</v>
      </c>
      <c r="AV53" s="241">
        <f>AV41/BB41-1</f>
        <v>7.7137777638135008E-2</v>
      </c>
      <c r="AW53" s="242">
        <f>AW41/BC41-1</f>
        <v>5.0821667681071103E-2</v>
      </c>
      <c r="AX53" s="242">
        <f>AX41/BD41-1</f>
        <v>-5.1717876080482394E-2</v>
      </c>
      <c r="AY53" s="241">
        <f>AY41/BE41-1</f>
        <v>-7.3319416346281363E-3</v>
      </c>
      <c r="AZ53" s="242"/>
      <c r="BA53" s="241">
        <f>BA41/AL41-1</f>
        <v>0.79774490785645025</v>
      </c>
      <c r="BB53" s="241">
        <f t="shared" ref="BB53:BD56" si="129">BB41/AN41-1</f>
        <v>0.98455183164458293</v>
      </c>
      <c r="BC53" s="241">
        <f t="shared" si="129"/>
        <v>0.73829586245985279</v>
      </c>
      <c r="BD53" s="241">
        <f t="shared" si="129"/>
        <v>0.15179656538969621</v>
      </c>
      <c r="BE53" s="241">
        <f>BE41/BA41-1</f>
        <v>0.50611823736494954</v>
      </c>
    </row>
    <row r="54" spans="2:57">
      <c r="B54" s="11" t="s">
        <v>299</v>
      </c>
      <c r="C54" s="334"/>
      <c r="D54" s="334"/>
      <c r="E54" s="139">
        <v>0.221</v>
      </c>
      <c r="F54" s="139">
        <v>0.20899999999999999</v>
      </c>
      <c r="G54" s="139">
        <v>0.26800000000000002</v>
      </c>
      <c r="H54" s="139">
        <v>0.27400000000000002</v>
      </c>
      <c r="I54" s="239">
        <v>1.139</v>
      </c>
      <c r="J54" s="239">
        <v>1.139</v>
      </c>
      <c r="K54" s="239">
        <v>0.71699999999999997</v>
      </c>
      <c r="L54" s="240"/>
      <c r="M54" s="240"/>
      <c r="N54" s="240"/>
      <c r="O54" s="240"/>
      <c r="P54" s="335"/>
      <c r="Q54" s="28"/>
      <c r="R54" s="239"/>
      <c r="S54" s="239">
        <v>0.187</v>
      </c>
      <c r="T54" s="239">
        <v>0.217</v>
      </c>
      <c r="U54" s="239">
        <v>0.221</v>
      </c>
      <c r="V54" s="239">
        <v>0.21</v>
      </c>
      <c r="W54" s="239">
        <v>0.218</v>
      </c>
      <c r="X54" s="239">
        <v>0.217</v>
      </c>
      <c r="Y54" s="239">
        <v>0.20899999999999999</v>
      </c>
      <c r="Z54" s="239">
        <v>0.27700000000000002</v>
      </c>
      <c r="AA54" s="239">
        <v>0.28100000000000003</v>
      </c>
      <c r="AB54" s="239">
        <v>0.27400000000000002</v>
      </c>
      <c r="AC54" s="239">
        <v>0.26800000000000002</v>
      </c>
      <c r="AD54" s="239">
        <v>0.20899999999999999</v>
      </c>
      <c r="AE54" s="239">
        <v>0.216</v>
      </c>
      <c r="AF54" s="239">
        <v>0.23</v>
      </c>
      <c r="AG54" s="239">
        <v>0.27400000000000002</v>
      </c>
      <c r="AH54" s="239">
        <v>0.97899999999999998</v>
      </c>
      <c r="AI54" s="239">
        <v>1.1160000000000001</v>
      </c>
      <c r="AJ54" s="239">
        <v>1.2869999999999999</v>
      </c>
      <c r="AK54" s="239">
        <v>1.161</v>
      </c>
      <c r="AL54" s="239">
        <v>0.88500000000000001</v>
      </c>
      <c r="AM54" s="240"/>
      <c r="AN54" s="239">
        <f t="shared" si="127"/>
        <v>0.64384533522525711</v>
      </c>
      <c r="AO54" s="239">
        <f t="shared" si="127"/>
        <v>0.76485461441213665</v>
      </c>
      <c r="AP54" s="239">
        <f t="shared" si="127"/>
        <v>1.7453944260746339</v>
      </c>
      <c r="AQ54" s="241">
        <f t="shared" si="127"/>
        <v>1.033557844690967</v>
      </c>
      <c r="AR54" s="241">
        <f>AR42/AN42-1</f>
        <v>0.62744065602071664</v>
      </c>
      <c r="AS54" s="244"/>
      <c r="AT54" s="241">
        <f t="shared" si="128"/>
        <v>0.34979094975911895</v>
      </c>
      <c r="AU54" s="241">
        <f t="shared" si="128"/>
        <v>0.51125138815827897</v>
      </c>
      <c r="AV54" s="241">
        <f t="shared" ref="AV54:AV56" si="130">AV42/BB42-1</f>
        <v>0.12674280687147021</v>
      </c>
      <c r="AW54" s="242">
        <f>AW42/BC42-1</f>
        <v>5.0821667681071325E-2</v>
      </c>
      <c r="AX54" s="242">
        <f t="shared" ref="AX54:AX56" si="131">AX42/BD42-1</f>
        <v>-5.1717876080482283E-2</v>
      </c>
      <c r="AY54" s="241">
        <f>AY42/BE42-1</f>
        <v>-5.2585926648343606E-2</v>
      </c>
      <c r="AZ54" s="242"/>
      <c r="BA54" s="241">
        <f t="shared" ref="BA54:BA56" si="132">BA42/AL42-1</f>
        <v>1.033557844690967</v>
      </c>
      <c r="BB54" s="241">
        <f t="shared" si="129"/>
        <v>1.1978247734138976</v>
      </c>
      <c r="BC54" s="241">
        <f t="shared" si="129"/>
        <v>1.1008273638968484</v>
      </c>
      <c r="BD54" s="241">
        <f t="shared" si="129"/>
        <v>0.30279593943565053</v>
      </c>
      <c r="BE54" s="241">
        <f>BE42/BA42-1</f>
        <v>0.97773101876205493</v>
      </c>
    </row>
    <row r="55" spans="2:57">
      <c r="B55" s="11" t="s">
        <v>300</v>
      </c>
      <c r="C55" s="334"/>
      <c r="D55" s="334"/>
      <c r="E55" s="139">
        <v>0.21099999999999999</v>
      </c>
      <c r="F55" s="139">
        <v>0.14799999999999999</v>
      </c>
      <c r="G55" s="139">
        <v>6.9000000000000006E-2</v>
      </c>
      <c r="H55" s="139">
        <v>0.36699999999999999</v>
      </c>
      <c r="I55" s="239">
        <v>1.58</v>
      </c>
      <c r="J55" s="239">
        <v>1.58</v>
      </c>
      <c r="K55" s="239">
        <v>0.745</v>
      </c>
      <c r="L55" s="240"/>
      <c r="M55" s="240"/>
      <c r="N55" s="240"/>
      <c r="O55" s="240"/>
      <c r="P55" s="335"/>
      <c r="Q55" s="28"/>
      <c r="R55" s="239"/>
      <c r="S55" s="239">
        <v>0.18</v>
      </c>
      <c r="T55" s="239">
        <v>0.19700000000000001</v>
      </c>
      <c r="U55" s="239">
        <v>0.21099999999999999</v>
      </c>
      <c r="V55" s="239">
        <v>0.16700000000000001</v>
      </c>
      <c r="W55" s="239">
        <v>0.17399999999999999</v>
      </c>
      <c r="X55" s="239">
        <v>0.17799999999999999</v>
      </c>
      <c r="Y55" s="239">
        <v>0.14799999999999999</v>
      </c>
      <c r="Z55" s="239">
        <v>0.114</v>
      </c>
      <c r="AA55" s="239">
        <v>6.5000000000000002E-2</v>
      </c>
      <c r="AB55" s="239">
        <v>6.0999999999999999E-2</v>
      </c>
      <c r="AC55" s="239">
        <v>6.9000000000000006E-2</v>
      </c>
      <c r="AD55" s="239">
        <v>0.108</v>
      </c>
      <c r="AE55" s="239">
        <v>0.22600000000000001</v>
      </c>
      <c r="AF55" s="239">
        <v>0.28399999999999997</v>
      </c>
      <c r="AG55" s="239">
        <v>0.36699999999999999</v>
      </c>
      <c r="AH55" s="239">
        <v>1.54</v>
      </c>
      <c r="AI55" s="239">
        <v>1.7090000000000001</v>
      </c>
      <c r="AJ55" s="239">
        <v>1.7689999999999999</v>
      </c>
      <c r="AK55" s="239">
        <v>1.381</v>
      </c>
      <c r="AL55" s="239">
        <v>0.81100000000000005</v>
      </c>
      <c r="AM55" s="240"/>
      <c r="AN55" s="239">
        <f t="shared" si="127"/>
        <v>0.5714285714285714</v>
      </c>
      <c r="AO55" s="239">
        <f t="shared" si="127"/>
        <v>0.77561837455830385</v>
      </c>
      <c r="AP55" s="239">
        <f t="shared" si="127"/>
        <v>2.0505529225908372</v>
      </c>
      <c r="AQ55" s="241">
        <f t="shared" si="127"/>
        <v>0.99206586826347309</v>
      </c>
      <c r="AR55" s="241">
        <f>AR43/AN43-1</f>
        <v>0.9776818181818181</v>
      </c>
      <c r="AS55" s="244"/>
      <c r="AT55" s="241">
        <f t="shared" si="128"/>
        <v>0.16307612635939917</v>
      </c>
      <c r="AU55" s="241">
        <f t="shared" si="128"/>
        <v>0.3601262493424513</v>
      </c>
      <c r="AV55" s="241">
        <f t="shared" si="130"/>
        <v>0.10548350862861211</v>
      </c>
      <c r="AW55" s="242">
        <f t="shared" ref="AW55:AW56" si="133">AW43/BC43-1</f>
        <v>5.0821667681071325E-2</v>
      </c>
      <c r="AX55" s="242">
        <f t="shared" si="131"/>
        <v>-5.1717876080482172E-2</v>
      </c>
      <c r="AY55" s="241">
        <f>AY43/BE43-1</f>
        <v>-3.6528060998315404E-2</v>
      </c>
      <c r="AZ55" s="242"/>
      <c r="BA55" s="241">
        <f t="shared" si="132"/>
        <v>0.99206586826347309</v>
      </c>
      <c r="BB55" s="241">
        <f t="shared" si="129"/>
        <v>1.670818181818182</v>
      </c>
      <c r="BC55" s="241">
        <f t="shared" si="129"/>
        <v>1.0598805970149252</v>
      </c>
      <c r="BD55" s="241">
        <f t="shared" si="129"/>
        <v>-1.8746763335059091E-3</v>
      </c>
      <c r="BE55" s="241">
        <f>BE43/BA43-1</f>
        <v>0.7799579168858497</v>
      </c>
    </row>
    <row r="56" spans="2:57">
      <c r="B56" s="11" t="s">
        <v>303</v>
      </c>
      <c r="C56" s="334"/>
      <c r="D56" s="334"/>
      <c r="E56" s="139">
        <v>0.218</v>
      </c>
      <c r="F56" s="139">
        <v>0.20499999999999999</v>
      </c>
      <c r="G56" s="139">
        <v>0.19600000000000001</v>
      </c>
      <c r="H56" s="139">
        <v>0.26500000000000001</v>
      </c>
      <c r="I56" s="239">
        <v>1.228</v>
      </c>
      <c r="J56" s="239">
        <v>1.228</v>
      </c>
      <c r="K56" s="239">
        <v>0.66400000000000003</v>
      </c>
      <c r="L56" s="240"/>
      <c r="M56" s="240"/>
      <c r="N56" s="240"/>
      <c r="O56" s="240"/>
      <c r="P56" s="335"/>
      <c r="Q56" s="28"/>
      <c r="R56" s="242"/>
      <c r="S56" s="239">
        <v>0.16700000000000001</v>
      </c>
      <c r="T56" s="239">
        <v>0.19</v>
      </c>
      <c r="U56" s="239">
        <v>0.218</v>
      </c>
      <c r="V56" s="239">
        <v>0.22</v>
      </c>
      <c r="W56" s="239">
        <v>0.223</v>
      </c>
      <c r="X56" s="239">
        <v>0.22700000000000001</v>
      </c>
      <c r="Y56" s="239">
        <v>0.20499999999999999</v>
      </c>
      <c r="Z56" s="239">
        <v>0.222</v>
      </c>
      <c r="AA56" s="239">
        <v>0.222</v>
      </c>
      <c r="AB56" s="239">
        <v>0.2</v>
      </c>
      <c r="AC56" s="239">
        <v>0.19600000000000001</v>
      </c>
      <c r="AD56" s="239">
        <v>0.16900000000000001</v>
      </c>
      <c r="AE56" s="239">
        <v>0.192</v>
      </c>
      <c r="AF56" s="239">
        <v>0.219</v>
      </c>
      <c r="AG56" s="239">
        <v>0.26500000000000001</v>
      </c>
      <c r="AH56" s="239">
        <v>1.1060000000000001</v>
      </c>
      <c r="AI56" s="239">
        <v>1.258</v>
      </c>
      <c r="AJ56" s="239">
        <v>1.4410000000000001</v>
      </c>
      <c r="AK56" s="239">
        <v>1.135</v>
      </c>
      <c r="AL56" s="239">
        <v>0.73699999999999999</v>
      </c>
      <c r="AM56" s="240"/>
      <c r="AN56" s="239">
        <f t="shared" si="127"/>
        <v>0.59257968994948618</v>
      </c>
      <c r="AO56" s="239">
        <f t="shared" si="127"/>
        <v>0.67872280305170962</v>
      </c>
      <c r="AP56" s="239">
        <f t="shared" si="127"/>
        <v>1.6562243341546403</v>
      </c>
      <c r="AQ56" s="241">
        <f t="shared" si="127"/>
        <v>0.93191056910569103</v>
      </c>
      <c r="AR56" s="241">
        <f>AR44/AN44-1</f>
        <v>0.58624083998687526</v>
      </c>
      <c r="AS56" s="244"/>
      <c r="AT56" s="241">
        <f t="shared" si="128"/>
        <v>0.29184151243429479</v>
      </c>
      <c r="AU56" s="241">
        <f t="shared" si="128"/>
        <v>0.3601262493424513</v>
      </c>
      <c r="AV56" s="241">
        <f t="shared" si="130"/>
        <v>0.10548350862861233</v>
      </c>
      <c r="AW56" s="242">
        <f t="shared" si="133"/>
        <v>5.0821667681071103E-2</v>
      </c>
      <c r="AX56" s="242">
        <f t="shared" si="131"/>
        <v>-5.1717876080482283E-2</v>
      </c>
      <c r="AY56" s="241">
        <f>AY44/BE44-1</f>
        <v>-3.6528060998315404E-2</v>
      </c>
      <c r="AZ56" s="242"/>
      <c r="BA56" s="241">
        <f t="shared" si="132"/>
        <v>0.93191056910569103</v>
      </c>
      <c r="BB56" s="241">
        <f t="shared" si="129"/>
        <v>1.1421852783550257</v>
      </c>
      <c r="BC56" s="241">
        <f t="shared" si="129"/>
        <v>0.93586938225887906</v>
      </c>
      <c r="BD56" s="241">
        <f t="shared" si="129"/>
        <v>0.21621979769424438</v>
      </c>
      <c r="BE56" s="241">
        <f>BE44/BA44-1</f>
        <v>0.77995791688584948</v>
      </c>
    </row>
    <row r="57" spans="2:57">
      <c r="I57" s="145"/>
      <c r="J57" s="145"/>
      <c r="K57" s="145"/>
      <c r="L57" s="145"/>
      <c r="M57" s="145"/>
      <c r="N57" s="145"/>
      <c r="O57" s="145"/>
      <c r="AH57" s="94"/>
      <c r="AI57" s="94"/>
      <c r="AL57" s="94"/>
      <c r="AM57" s="94"/>
      <c r="AN57" s="94"/>
      <c r="AQ57" s="94"/>
      <c r="AR57" s="94"/>
      <c r="AU57" s="94"/>
      <c r="AV57" s="94"/>
      <c r="AY57" s="94"/>
      <c r="BA57" s="94"/>
      <c r="BB57" s="94"/>
      <c r="BC57" s="94"/>
      <c r="BD57" s="94"/>
      <c r="BE57" s="94"/>
    </row>
  </sheetData>
  <pageMargins left="0.7" right="0.7" top="0.75" bottom="0.75" header="0.3" footer="0.3"/>
  <pageSetup orientation="portrait" horizontalDpi="90" verticalDpi="9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acheModel xmlns:xsi="http://www.w3.org/2001/XMLSchema-instance" xmlns:xsd="http://www.w3.org/2001/XMLSchema" xmlns="TagniFiModelState">
  <SerializedJson>[]</SerializedJson>
</CacheModel>
</file>

<file path=customXml/itemProps1.xml><?xml version="1.0" encoding="utf-8"?>
<ds:datastoreItem xmlns:ds="http://schemas.openxmlformats.org/officeDocument/2006/customXml" ds:itemID="{1990E0C5-1A0E-4080-A326-9BF00AA3466A}"/>
</file>

<file path=customXml/itemProps2.xml><?xml version="1.0" encoding="utf-8"?>
<ds:datastoreItem xmlns:ds="http://schemas.openxmlformats.org/officeDocument/2006/customXml" ds:itemID="{5792C833-8C18-472F-8C5E-387A720DAAE8}"/>
</file>

<file path=customXml/itemProps3.xml><?xml version="1.0" encoding="utf-8"?>
<ds:datastoreItem xmlns:ds="http://schemas.openxmlformats.org/officeDocument/2006/customXml" ds:itemID="{6F89F687-8C23-4441-9291-1DEFB9359599}"/>
</file>

<file path=customXml/itemProps4.xml><?xml version="1.0" encoding="utf-8"?>
<ds:datastoreItem xmlns:ds="http://schemas.openxmlformats.org/officeDocument/2006/customXml" ds:itemID="{F28BF78C-F629-4730-BA89-2B081A2E7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Roshni Arunkumar</dc:creator>
  <cp:keywords/>
  <dc:description/>
  <cp:lastModifiedBy/>
  <cp:revision/>
  <dcterms:created xsi:type="dcterms:W3CDTF">2020-06-15T19:23:50Z</dcterms:created>
  <dcterms:modified xsi:type="dcterms:W3CDTF">2026-10-27T15:21:47Z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badfc9f4-d031-4617-9a28-7ef87ac4ef02</vt:lpwstr>
  </property>
  <property fmtid="{D5CDD505-2E9C-101B-9397-08002B2CF9AE}" pid="3" name="{A44787D4-0540-4523-9961-78E4036D8C6D}">
    <vt:lpwstr>{CCA8E023-19EF-4ACA-AEDA-C1B8ED168445}</vt:lpwstr>
  </property>
  <property fmtid="{D5CDD505-2E9C-101B-9397-08002B2CF9AE}" pid="4" name="MSIP_Label_8c63c790-1b4f-473b-b88f-a693ca173b52_Enabled">
    <vt:lpwstr>true</vt:lpwstr>
  </property>
  <property fmtid="{D5CDD505-2E9C-101B-9397-08002B2CF9AE}" pid="5" name="MSIP_Label_8c63c790-1b4f-473b-b88f-a693ca173b52_SetDate">
    <vt:lpwstr>2021-11-25T06:36:10Z</vt:lpwstr>
  </property>
  <property fmtid="{D5CDD505-2E9C-101B-9397-08002B2CF9AE}" pid="6" name="MSIP_Label_8c63c790-1b4f-473b-b88f-a693ca173b52_Method">
    <vt:lpwstr>Privileged</vt:lpwstr>
  </property>
  <property fmtid="{D5CDD505-2E9C-101B-9397-08002B2CF9AE}" pid="7" name="MSIP_Label_8c63c790-1b4f-473b-b88f-a693ca173b52_Name">
    <vt:lpwstr>Internal</vt:lpwstr>
  </property>
  <property fmtid="{D5CDD505-2E9C-101B-9397-08002B2CF9AE}" pid="8" name="MSIP_Label_8c63c790-1b4f-473b-b88f-a693ca173b52_SiteId">
    <vt:lpwstr>4d8b04bf-7a7c-48a0-b6e3-38da5008297e</vt:lpwstr>
  </property>
  <property fmtid="{D5CDD505-2E9C-101B-9397-08002B2CF9AE}" pid="9" name="MSIP_Label_8c63c790-1b4f-473b-b88f-a693ca173b52_ActionId">
    <vt:lpwstr>152c018e-67aa-4e48-a377-675962262fd2</vt:lpwstr>
  </property>
  <property fmtid="{D5CDD505-2E9C-101B-9397-08002B2CF9AE}" pid="10" name="MSIP_Label_8c63c790-1b4f-473b-b88f-a693ca173b52_ContentBits">
    <vt:lpwstr>0</vt:lpwstr>
  </property>
  <property fmtid="{D5CDD505-2E9C-101B-9397-08002B2CF9AE}" pid="11" name="ContentTypeId">
    <vt:lpwstr>0x0101003A00EECCAA3DB94895FACE15614ECBE0</vt:lpwstr>
  </property>
</Properties>
</file>