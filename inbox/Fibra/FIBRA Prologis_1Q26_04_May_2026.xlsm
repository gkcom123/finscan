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10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risil-my.sharepoint.com/personal/lokeshk_ad_crisil_com/Documents/1_Team_Fixed Income (Credit)/Bara Model Work/Bara - Model Update/WIP/May 2026 - FIBRA Prologis/1Q26/"/>
    </mc:Choice>
  </mc:AlternateContent>
  <xr:revisionPtr revIDLastSave="0" documentId="8_{D910BD4F-7F42-4F23-8C48-CA919C88CDEF}" xr6:coauthVersionLast="47" xr6:coauthVersionMax="47" xr10:uidLastSave="{00000000-0000-0000-0000-000000000000}"/>
  <bookViews>
    <workbookView xWindow="-120" yWindow="-120" windowWidth="29040" windowHeight="15720" tabRatio="801" activeTab="1" xr2:uid="{00000000-000D-0000-FFFF-FFFF00000000}"/>
  </bookViews>
  <sheets>
    <sheet name="Capitalisation" sheetId="8" r:id="rId1"/>
    <sheet name="Model" sheetId="6" r:id="rId2"/>
    <sheet name="KPI" sheetId="12" r:id="rId3"/>
    <sheet name="EBITDA" sheetId="13" r:id="rId4"/>
  </sheets>
  <functionGroups builtInGroupCount="19"/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\A" localSheetId="3">#REF!</definedName>
    <definedName name="\A" localSheetId="2">#REF!</definedName>
    <definedName name="\A" localSheetId="1">#REF!</definedName>
    <definedName name="\A">#REF!</definedName>
    <definedName name="\B" localSheetId="3">#REF!</definedName>
    <definedName name="\B" localSheetId="2">#REF!</definedName>
    <definedName name="\B" localSheetId="1">#REF!</definedName>
    <definedName name="\B">#REF!</definedName>
    <definedName name="\C" localSheetId="3">#REF!</definedName>
    <definedName name="\C" localSheetId="2">#REF!</definedName>
    <definedName name="\C" localSheetId="1">#REF!</definedName>
    <definedName name="\C">#REF!</definedName>
    <definedName name="\L">#REF!</definedName>
    <definedName name="\M">#REF!</definedName>
    <definedName name="\P">#REF!</definedName>
    <definedName name="\Y">#REF!</definedName>
    <definedName name="__FDS_HYPERLINK_TOGGLE_STATE__" hidden="1">"ON"</definedName>
    <definedName name="_01_30_04" localSheetId="3">MonthlyOpStats</definedName>
    <definedName name="_01_30_04" localSheetId="2">MonthlyOpStats</definedName>
    <definedName name="_01_30_04" localSheetId="1">MonthlyOpStats</definedName>
    <definedName name="_01_30_04">MonthlyOpStats</definedName>
    <definedName name="_1_30_01" localSheetId="3">MonthlyOpStats</definedName>
    <definedName name="_1_30_01" localSheetId="2">MonthlyOpStats</definedName>
    <definedName name="_1_30_01" localSheetId="1">MonthlyOpStats</definedName>
    <definedName name="_1_30_01">MonthlyOpStats</definedName>
    <definedName name="_1_30_02" localSheetId="3">MonthlyOpStats</definedName>
    <definedName name="_1_30_02" localSheetId="2">MonthlyOpStats</definedName>
    <definedName name="_1_30_02" localSheetId="1">MonthlyOpStats</definedName>
    <definedName name="_1_30_02">MonthlyOpStats</definedName>
    <definedName name="_1_31_01" localSheetId="3">MonthlyOpStats</definedName>
    <definedName name="_1_31_01" localSheetId="2">MonthlyOpStats</definedName>
    <definedName name="_1_31_01" localSheetId="1">MonthlyOpStats</definedName>
    <definedName name="_1_31_01">MonthlyOpStats</definedName>
    <definedName name="_1_31_02" localSheetId="3">MonthlyOpStats</definedName>
    <definedName name="_1_31_02" localSheetId="2">MonthlyOpStats</definedName>
    <definedName name="_1_31_02" localSheetId="1">MonthlyOpStats</definedName>
    <definedName name="_1_31_02">MonthlyOpStats</definedName>
    <definedName name="_12_31_05" localSheetId="3">MonthlyOpStats</definedName>
    <definedName name="_12_31_05" localSheetId="2">MonthlyOpStats</definedName>
    <definedName name="_12_31_05" localSheetId="1">MonthlyOpStats</definedName>
    <definedName name="_12_31_05">MonthlyOpStats</definedName>
    <definedName name="_A" localSheetId="3">#REF!</definedName>
    <definedName name="_A" localSheetId="2">#REF!</definedName>
    <definedName name="_A" localSheetId="1">#REF!</definedName>
    <definedName name="_A">#REF!</definedName>
    <definedName name="_A___0" localSheetId="3">#REF!</definedName>
    <definedName name="_A___0" localSheetId="2">#REF!</definedName>
    <definedName name="_A___0" localSheetId="1">#REF!</definedName>
    <definedName name="_A___0">#REF!</definedName>
    <definedName name="_B" localSheetId="3">#REF!</definedName>
    <definedName name="_B" localSheetId="2">#REF!</definedName>
    <definedName name="_B" localSheetId="1">#REF!</definedName>
    <definedName name="_B">#REF!</definedName>
    <definedName name="_B___0">#REF!</definedName>
    <definedName name="_C">#REF!</definedName>
    <definedName name="_C___0">#REF!</definedName>
    <definedName name="_Common_Size_Income_Statement" function="1" xlm="1">[1]Model!#REF!</definedName>
    <definedName name="_ent1">[2]Inputs!$J$17</definedName>
    <definedName name="_ent10">[2]Inputs!$J$476</definedName>
    <definedName name="_ent11">[2]Inputs!$J$527</definedName>
    <definedName name="_ent12">[2]Inputs!$J$578</definedName>
    <definedName name="_ent13">[2]Inputs!$J$629</definedName>
    <definedName name="_ent14">[2]Inputs!$J$680</definedName>
    <definedName name="_ent15">[2]Inputs!$J$731</definedName>
    <definedName name="_ent2">[2]Inputs!$J$68</definedName>
    <definedName name="_ent3">[2]Inputs!$J$119</definedName>
    <definedName name="_ent4">[2]Inputs!$J$170</definedName>
    <definedName name="_ent5">[2]Inputs!$J$221</definedName>
    <definedName name="_ent6">[2]Inputs!$J$272</definedName>
    <definedName name="_ent7">[2]Inputs!$J$323</definedName>
    <definedName name="_ent8">[2]Inputs!$J$374</definedName>
    <definedName name="_ent9">[2]Inputs!$J$425</definedName>
    <definedName name="_eps1">[2]Inputs!$P$42</definedName>
    <definedName name="_eps10">[2]Inputs!$P$501</definedName>
    <definedName name="_eps11">[2]Inputs!$P$552</definedName>
    <definedName name="_eps12">[2]Inputs!$P$603</definedName>
    <definedName name="_eps13">[2]Inputs!$P$654</definedName>
    <definedName name="_eps14">[2]Inputs!$P$705</definedName>
    <definedName name="_eps15">[2]Inputs!$P$756</definedName>
    <definedName name="_eps2">[2]Inputs!$P$93</definedName>
    <definedName name="_eps3">[2]Inputs!$P$144</definedName>
    <definedName name="_eps4">[2]Inputs!$P$195</definedName>
    <definedName name="_eps5">[2]Inputs!$P$246</definedName>
    <definedName name="_eps6">[2]Inputs!$P$297</definedName>
    <definedName name="_eps7">[2]Inputs!$P$348</definedName>
    <definedName name="_eps8">[2]Inputs!$P$399</definedName>
    <definedName name="_eps9">[2]Inputs!$P$450</definedName>
    <definedName name="_Fill" localSheetId="3" hidden="1">[3]FxdChg!#REF!</definedName>
    <definedName name="_Fill" localSheetId="2" hidden="1">[3]FxdChg!#REF!</definedName>
    <definedName name="_Fill" localSheetId="1" hidden="1">[3]FxdChg!#REF!</definedName>
    <definedName name="_Fill" hidden="1">[3]FxdChg!#REF!</definedName>
    <definedName name="_fye1">[2]Inputs!$E$12</definedName>
    <definedName name="_fye10">[2]Inputs!$E$471</definedName>
    <definedName name="_fye11">[2]Inputs!$E$522</definedName>
    <definedName name="_fye12">[2]Inputs!$E$573</definedName>
    <definedName name="_fye13">[2]Inputs!$E$624</definedName>
    <definedName name="_fye14">[2]Inputs!$E$675</definedName>
    <definedName name="_fye15">[2]Inputs!$E$726</definedName>
    <definedName name="_fye2">[2]Inputs!$E$63</definedName>
    <definedName name="_fye3">[2]Inputs!$E$114</definedName>
    <definedName name="_fye4">[2]Inputs!$E$165</definedName>
    <definedName name="_fye5">[2]Inputs!$E$216</definedName>
    <definedName name="_fye6">[2]Inputs!$E$267</definedName>
    <definedName name="_fye7">[2]Inputs!$E$318</definedName>
    <definedName name="_fye8">[2]Inputs!$E$369</definedName>
    <definedName name="_fye9">[2]Inputs!$E$420</definedName>
    <definedName name="_GEI_Returns" localSheetId="3">[1]Model!#REF!</definedName>
    <definedName name="_GEI_Returns" localSheetId="2">[1]Model!#REF!</definedName>
    <definedName name="_GEI_Returns" localSheetId="1">[1]Model!#REF!</definedName>
    <definedName name="_GEI_Returns">[1]Model!#REF!</definedName>
    <definedName name="_L" localSheetId="3">#REF!</definedName>
    <definedName name="_L" localSheetId="2">#REF!</definedName>
    <definedName name="_L" localSheetId="1">#REF!</definedName>
    <definedName name="_L">#REF!</definedName>
    <definedName name="_L___0" localSheetId="3">#REF!</definedName>
    <definedName name="_L___0" localSheetId="2">#REF!</definedName>
    <definedName name="_L___0" localSheetId="1">#REF!</definedName>
    <definedName name="_L___0">#REF!</definedName>
    <definedName name="_mv1">[2]Inputs!$J$16</definedName>
    <definedName name="_mv10">[2]Inputs!$J$475</definedName>
    <definedName name="_mv11">[2]Inputs!$J$526</definedName>
    <definedName name="_mv12">[2]Inputs!$J$577</definedName>
    <definedName name="_mv13">[2]Inputs!$J$628</definedName>
    <definedName name="_mv14">[2]Inputs!$J$679</definedName>
    <definedName name="_mv15">[2]Inputs!$J$730</definedName>
    <definedName name="_mv2">[2]Inputs!$J$67</definedName>
    <definedName name="_mv3">[2]Inputs!$J$118</definedName>
    <definedName name="_mv4">[2]Inputs!$J$169</definedName>
    <definedName name="_mv5">[2]Inputs!$J$220</definedName>
    <definedName name="_mv6">[2]Inputs!$J$271</definedName>
    <definedName name="_mv7">[2]Inputs!$J$322</definedName>
    <definedName name="_mv8">[2]Inputs!$J$373</definedName>
    <definedName name="_mv9">[2]Inputs!$J$424</definedName>
    <definedName name="_Order1" hidden="1">0</definedName>
    <definedName name="_Order2" hidden="1">0</definedName>
    <definedName name="_P">#REF!</definedName>
    <definedName name="_P___0">#REF!</definedName>
    <definedName name="_Returns" function="1" xlm="1">[1]Model!#REF!</definedName>
    <definedName name="_Table2_Out" localSheetId="3" hidden="1">#REF!</definedName>
    <definedName name="_Table2_Out" localSheetId="2" hidden="1">#REF!</definedName>
    <definedName name="_Table2_Out" localSheetId="1" hidden="1">#REF!</definedName>
    <definedName name="_Table2_Out" hidden="1">#REF!</definedName>
    <definedName name="_xleta.AND" hidden="1" xlm="1">#NAME?</definedName>
    <definedName name="_xleta.AVERAGE" hidden="1" xlm="1">#NAME?</definedName>
    <definedName name="_xleta.PROPER" hidden="1" xlm="1">#NAME?</definedName>
    <definedName name="_xleta.SUM" hidden="1" xlm="1">#NAME?</definedName>
    <definedName name="_xleta.T" hidden="1" xlm="1">#NAME?</definedName>
    <definedName name="_Y" localSheetId="3">#REF!</definedName>
    <definedName name="_Y" localSheetId="2">#REF!</definedName>
    <definedName name="_Y" localSheetId="1">#REF!</definedName>
    <definedName name="_Y">#REF!</definedName>
    <definedName name="_Y___0" localSheetId="3">#REF!</definedName>
    <definedName name="_Y___0" localSheetId="2">#REF!</definedName>
    <definedName name="_Y___0" localSheetId="1">#REF!</definedName>
    <definedName name="_Y___0">#REF!</definedName>
    <definedName name="Aa_Recovery" localSheetId="3">#REF!</definedName>
    <definedName name="Aa_Recovery" localSheetId="2">#REF!</definedName>
    <definedName name="Aa_Recovery" localSheetId="1">#REF!</definedName>
    <definedName name="Aa_Recovery">#REF!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ccrued_Comp_Sales" localSheetId="3">'[4]Tanning Assumptions'!#REF!</definedName>
    <definedName name="Accrued_Comp_Sales" localSheetId="2">'[4]Tanning Assumptions'!#REF!</definedName>
    <definedName name="Accrued_Comp_Sales" localSheetId="1">'[4]Tanning Assumptions'!#REF!</definedName>
    <definedName name="Accrued_Comp_Sales">'[4]Tanning Assumptions'!#REF!</definedName>
    <definedName name="acq" localSheetId="3">#REF!</definedName>
    <definedName name="acq" localSheetId="2">#REF!</definedName>
    <definedName name="acq" localSheetId="1">#REF!</definedName>
    <definedName name="acq">#REF!</definedName>
    <definedName name="acquiror" localSheetId="3">#REF!</definedName>
    <definedName name="acquiror" localSheetId="2">#REF!</definedName>
    <definedName name="acquiror" localSheetId="1">#REF!</definedName>
    <definedName name="acquiror">#REF!</definedName>
    <definedName name="AdSalesCash" localSheetId="3">#REF!</definedName>
    <definedName name="AdSalesCash" localSheetId="2">#REF!</definedName>
    <definedName name="AdSalesCash" localSheetId="1">#REF!</definedName>
    <definedName name="AdSalesCash">#REF!</definedName>
    <definedName name="AdSalesTrade">#REF!</definedName>
    <definedName name="AdSalesWebsite">#REF!</definedName>
    <definedName name="AICORR">#REF!</definedName>
    <definedName name="AllBH">#REF!</definedName>
    <definedName name="allProjects">#REF!</definedName>
    <definedName name="amort" localSheetId="3">[5]Inputs!#REF!</definedName>
    <definedName name="amort" localSheetId="2">[5]Inputs!#REF!</definedName>
    <definedName name="amort" localSheetId="1">[5]Inputs!#REF!</definedName>
    <definedName name="amort">[5]Inputs!#REF!</definedName>
    <definedName name="AP_Sales" localSheetId="3">'[4]Tanning Assumptions'!#REF!</definedName>
    <definedName name="AP_Sales" localSheetId="2">'[4]Tanning Assumptions'!#REF!</definedName>
    <definedName name="AP_Sales" localSheetId="1">'[4]Tanning Assumptions'!#REF!</definedName>
    <definedName name="AP_Sales">'[4]Tanning Assumptions'!#REF!</definedName>
    <definedName name="AR_Other_Sales" localSheetId="3">'[4]Tanning Assumptions'!#REF!</definedName>
    <definedName name="AR_Other_Sales" localSheetId="2">'[4]Tanning Assumptions'!#REF!</definedName>
    <definedName name="AR_Other_Sales" localSheetId="1">'[4]Tanning Assumptions'!#REF!</definedName>
    <definedName name="AR_Other_Sales">'[4]Tanning Assumptions'!#REF!</definedName>
    <definedName name="AR_Trade_Sales" localSheetId="3">'[4]Tanning Assumptions'!#REF!</definedName>
    <definedName name="AR_Trade_Sales" localSheetId="2">'[4]Tanning Assumptions'!#REF!</definedName>
    <definedName name="AR_Trade_Sales" localSheetId="1">'[4]Tanning Assumptions'!#REF!</definedName>
    <definedName name="AR_Trade_Sales">'[4]Tanning Assumptions'!#REF!</definedName>
    <definedName name="As_Of_Date">[6]Selections!$C$2</definedName>
    <definedName name="asdfa" localSheetId="3">#REF!</definedName>
    <definedName name="asdfa" localSheetId="2">#REF!</definedName>
    <definedName name="asdfa" localSheetId="1">#REF!</definedName>
    <definedName name="asdfa">#REF!</definedName>
    <definedName name="AsOfDate">'[7]AUM YTD 2000'!$W$1</definedName>
    <definedName name="AssetPur" function="1" xlm="1">[1]Model!#REF!</definedName>
    <definedName name="ASSUMPTIONS" localSheetId="3">#REF!</definedName>
    <definedName name="ASSUMPTIONS" localSheetId="2">#REF!</definedName>
    <definedName name="ASSUMPTIONS" localSheetId="1">#REF!</definedName>
    <definedName name="ASSUMPTIONS">#REF!</definedName>
    <definedName name="B_S" localSheetId="3">#REF!</definedName>
    <definedName name="B_S" localSheetId="2">#REF!</definedName>
    <definedName name="B_S" localSheetId="1">#REF!</definedName>
    <definedName name="B_S">#REF!</definedName>
    <definedName name="Baa_Recovery" localSheetId="3">#REF!</definedName>
    <definedName name="Baa_Recovery" localSheetId="2">#REF!</definedName>
    <definedName name="Baa_Recovery" localSheetId="1">#REF!</definedName>
    <definedName name="Baa_Recovery">#REF!</definedName>
    <definedName name="bal">#REF!</definedName>
    <definedName name="banner2">[8]CONTROL!$D$10</definedName>
    <definedName name="banner2___0">[8]CONTROL!$D$10</definedName>
    <definedName name="Base_Case" localSheetId="3">#REF!</definedName>
    <definedName name="Base_Case" localSheetId="2">#REF!</definedName>
    <definedName name="Base_Case" localSheetId="1">#REF!</definedName>
    <definedName name="Base_Case">#REF!</definedName>
    <definedName name="Billable" localSheetId="3">#REF!</definedName>
    <definedName name="Billable" localSheetId="2">#REF!</definedName>
    <definedName name="Billable" localSheetId="1">#REF!</definedName>
    <definedName name="Billable">#REF!</definedName>
    <definedName name="BillableHeadcount" localSheetId="3">#REF!</definedName>
    <definedName name="BillableHeadcount" localSheetId="2">#REF!</definedName>
    <definedName name="BillableHeadcount" localSheetId="1">#REF!</definedName>
    <definedName name="BillableHeadcount">#REF!</definedName>
    <definedName name="body">#REF!</definedName>
    <definedName name="BREAK_EVEN">#REF!</definedName>
    <definedName name="BREAK_EVEN___0">#REF!</definedName>
    <definedName name="Broadwing__Inc__Cincinnati_Bell">#REF!</definedName>
    <definedName name="brob">#REF!</definedName>
    <definedName name="bs">[5]Inputs!#REF!</definedName>
    <definedName name="case" localSheetId="3">#REF!</definedName>
    <definedName name="case" localSheetId="2">#REF!</definedName>
    <definedName name="case" localSheetId="1">#REF!</definedName>
    <definedName name="case">#REF!</definedName>
    <definedName name="case1">[9]CONTROL!$A$12</definedName>
    <definedName name="case2">[9]CONTROL!$A$13</definedName>
    <definedName name="case3">[9]CONTROL!$A$14</definedName>
    <definedName name="CASH_FLOW" localSheetId="3">#REF!</definedName>
    <definedName name="CASH_FLOW" localSheetId="2">#REF!</definedName>
    <definedName name="CASH_FLOW" localSheetId="1">#REF!</definedName>
    <definedName name="CASH_FLOW">#REF!</definedName>
    <definedName name="Cash_Sales" localSheetId="3">'[4]Tanning Assumptions'!#REF!</definedName>
    <definedName name="Cash_Sales" localSheetId="2">'[4]Tanning Assumptions'!#REF!</definedName>
    <definedName name="Cash_Sales" localSheetId="1">'[4]Tanning Assumptions'!#REF!</definedName>
    <definedName name="Cash_Sales">'[4]Tanning Assumptions'!#REF!</definedName>
    <definedName name="CASHBUDGET" localSheetId="3">#REF!</definedName>
    <definedName name="CASHBUDGET" localSheetId="2">#REF!</definedName>
    <definedName name="CASHBUDGET" localSheetId="1">#REF!</definedName>
    <definedName name="CASHBUDGET">#REF!</definedName>
    <definedName name="CASHBUDGET___0" localSheetId="3">#REF!</definedName>
    <definedName name="CASHBUDGET___0" localSheetId="2">#REF!</definedName>
    <definedName name="CASHBUDGET___0" localSheetId="1">#REF!</definedName>
    <definedName name="CASHBUDGET___0">#REF!</definedName>
    <definedName name="CASHFLOWS_MONTH" localSheetId="3">#REF!</definedName>
    <definedName name="CASHFLOWS_MONTH" localSheetId="2">#REF!</definedName>
    <definedName name="CASHFLOWS_MONTH" localSheetId="1">#REF!</definedName>
    <definedName name="CASHFLOWS_MONTH">#REF!</definedName>
    <definedName name="CASHFLOWS_MONTH___0">#REF!</definedName>
    <definedName name="CASHFLOWS_YEARS">#REF!</definedName>
    <definedName name="CASHFLOWS_YEARS___0">#REF!</definedName>
    <definedName name="cashint">#REF!</definedName>
    <definedName name="cashint___0">#REF!</definedName>
    <definedName name="CBHC">#REF!</definedName>
    <definedName name="cfl">#REF!</definedName>
    <definedName name="ChartDataRange">#REF!</definedName>
    <definedName name="CINC">#REF!</definedName>
    <definedName name="CIQWBGuid" localSheetId="3" hidden="1">"29fc81c4-de8e-4627-9c24-1799dc1c32f9"</definedName>
    <definedName name="CIQWBGuid" localSheetId="2" hidden="1">"29fc81c4-de8e-4627-9c24-1799dc1c32f9"</definedName>
    <definedName name="CIQWBGuid" localSheetId="1" hidden="1">"29fc81c4-de8e-4627-9c24-1799dc1c32f9"</definedName>
    <definedName name="CIQWBGuid" hidden="1">"fe0dfdb4-206b-4e5b-a01c-c2e94030ead8"</definedName>
    <definedName name="CIQWBInfo" hidden="1">"{ ""CIQVersion"":""9.45.614.5792"" }"</definedName>
    <definedName name="circ" localSheetId="3">[5]Inputs!#REF!</definedName>
    <definedName name="circ" localSheetId="2">[5]Inputs!#REF!</definedName>
    <definedName name="circ" localSheetId="1">[5]Inputs!#REF!</definedName>
    <definedName name="circ">[5]Inputs!#REF!</definedName>
    <definedName name="CircRev" localSheetId="3">#REF!</definedName>
    <definedName name="CircRev" localSheetId="2">#REF!</definedName>
    <definedName name="CircRev" localSheetId="1">#REF!</definedName>
    <definedName name="CircRev">#REF!</definedName>
    <definedName name="Class_3_Agg_Cash" localSheetId="3">[10]Revolver!#REF!</definedName>
    <definedName name="Class_3_Agg_Cash" localSheetId="2">[10]Revolver!#REF!</definedName>
    <definedName name="Class_3_Agg_Cash" localSheetId="1">[10]Revolver!#REF!</definedName>
    <definedName name="Class_3_Agg_Cash">[10]Revolver!#REF!</definedName>
    <definedName name="Class_3_Amt_BET" localSheetId="3">[10]Revolver!#REF!</definedName>
    <definedName name="Class_3_Amt_BET" localSheetId="2">[10]Revolver!#REF!</definedName>
    <definedName name="Class_3_Amt_BET" localSheetId="1">[10]Revolver!#REF!</definedName>
    <definedName name="Class_3_Amt_BET">[10]Revolver!#REF!</definedName>
    <definedName name="Class_A_Interest" localSheetId="3">#REF!</definedName>
    <definedName name="Class_A_Interest" localSheetId="2">#REF!</definedName>
    <definedName name="Class_A_Interest" localSheetId="1">#REF!</definedName>
    <definedName name="Class_A_Interest">#REF!</definedName>
    <definedName name="Class_A_Principal" localSheetId="3">#REF!</definedName>
    <definedName name="Class_A_Principal" localSheetId="2">#REF!</definedName>
    <definedName name="Class_A_Principal" localSheetId="1">#REF!</definedName>
    <definedName name="Class_A_Principal">#REF!</definedName>
    <definedName name="Class_B_Interest" localSheetId="3">#REF!</definedName>
    <definedName name="Class_B_Interest" localSheetId="2">#REF!</definedName>
    <definedName name="Class_B_Interest" localSheetId="1">#REF!</definedName>
    <definedName name="Class_B_Interest">#REF!</definedName>
    <definedName name="Class_B_Principal">#REF!</definedName>
    <definedName name="Class_C_Payment">#REF!</definedName>
    <definedName name="ClassABC">'[6]Debt Structure'!$AN$7</definedName>
    <definedName name="ClassABCD">'[6]Debt Structure'!$AN$8</definedName>
    <definedName name="ClassABCDE">'[6]Debt Structure'!$AN$9</definedName>
    <definedName name="Clients" localSheetId="3">#REF!</definedName>
    <definedName name="Clients" localSheetId="2">#REF!</definedName>
    <definedName name="Clients" localSheetId="1">#REF!</definedName>
    <definedName name="Clients">#REF!</definedName>
    <definedName name="closing_date" localSheetId="3">#REF!</definedName>
    <definedName name="closing_date" localSheetId="2">#REF!</definedName>
    <definedName name="closing_date" localSheetId="1">#REF!</definedName>
    <definedName name="closing_date">#REF!</definedName>
    <definedName name="closingttmrevenue" localSheetId="3">#REF!</definedName>
    <definedName name="closingttmrevenue" localSheetId="2">#REF!</definedName>
    <definedName name="closingttmrevenue" localSheetId="1">#REF!</definedName>
    <definedName name="closingttmrevenue">#REF!</definedName>
    <definedName name="CMBSIG">#REF!</definedName>
    <definedName name="Column_Lookup">'[11]MASTER DRIVER'!$C$5:$D$29</definedName>
    <definedName name="COMBINED_J_W__3_111403_JUP_IND_PROFORMA_List" localSheetId="3">#REF!</definedName>
    <definedName name="COMBINED_J_W__3_111403_JUP_IND_PROFORMA_List" localSheetId="2">#REF!</definedName>
    <definedName name="COMBINED_J_W__3_111403_JUP_IND_PROFORMA_List" localSheetId="1">#REF!</definedName>
    <definedName name="COMBINED_J_W__3_111403_JUP_IND_PROFORMA_List">#REF!</definedName>
    <definedName name="company">[12]CONTROL!$D$7</definedName>
    <definedName name="company___0">[8]CONTROL!$D$7</definedName>
    <definedName name="cons" localSheetId="3">#REF!</definedName>
    <definedName name="cons" localSheetId="2">#REF!</definedName>
    <definedName name="cons" localSheetId="1">#REF!</definedName>
    <definedName name="cons">#REF!</definedName>
    <definedName name="consultants" localSheetId="3">#REF!</definedName>
    <definedName name="consultants" localSheetId="2">#REF!</definedName>
    <definedName name="consultants" localSheetId="1">#REF!</definedName>
    <definedName name="consultants">#REF!</definedName>
    <definedName name="contrib2" localSheetId="3" hidden="1">{"page1",#N/A,FALSE,"Temp";"page2",#N/A,FALSE,"Temp";"page3",#N/A,FALSE,"Temp";"page4",#N/A,FALSE,"Temp";"page5",#N/A,FALSE,"Temp";"page6",#N/A,FALSE,"Temp"}</definedName>
    <definedName name="contrib2" localSheetId="2" hidden="1">{"page1",#N/A,FALSE,"Temp";"page2",#N/A,FALSE,"Temp";"page3",#N/A,FALSE,"Temp";"page4",#N/A,FALSE,"Temp";"page5",#N/A,FALSE,"Temp";"page6",#N/A,FALSE,"Temp"}</definedName>
    <definedName name="contrib2" localSheetId="1" hidden="1">{"page1",#N/A,FALSE,"Temp";"page2",#N/A,FALSE,"Temp";"page3",#N/A,FALSE,"Temp";"page4",#N/A,FALSE,"Temp";"page5",#N/A,FALSE,"Temp";"page6",#N/A,FALSE,"Temp"}</definedName>
    <definedName name="contrib2" hidden="1">{"page1",#N/A,FALSE,"Temp";"page2",#N/A,FALSE,"Temp";"page3",#N/A,FALSE,"Temp";"page4",#N/A,FALSE,"Temp";"page5",#N/A,FALSE,"Temp";"page6",#N/A,FALSE,"Temp"}</definedName>
    <definedName name="contrib3" localSheetId="3" hidden="1">{"page1",#N/A,FALSE,"Temp";"page2",#N/A,FALSE,"Temp";"page3",#N/A,FALSE,"Temp";"page4",#N/A,FALSE,"Temp";"page5",#N/A,FALSE,"Temp";"page6",#N/A,FALSE,"Temp"}</definedName>
    <definedName name="contrib3" localSheetId="2" hidden="1">{"page1",#N/A,FALSE,"Temp";"page2",#N/A,FALSE,"Temp";"page3",#N/A,FALSE,"Temp";"page4",#N/A,FALSE,"Temp";"page5",#N/A,FALSE,"Temp";"page6",#N/A,FALSE,"Temp"}</definedName>
    <definedName name="contrib3" localSheetId="1" hidden="1">{"page1",#N/A,FALSE,"Temp";"page2",#N/A,FALSE,"Temp";"page3",#N/A,FALSE,"Temp";"page4",#N/A,FALSE,"Temp";"page5",#N/A,FALSE,"Temp";"page6",#N/A,FALSE,"Temp"}</definedName>
    <definedName name="contrib3" hidden="1">{"page1",#N/A,FALSE,"Temp";"page2",#N/A,FALSE,"Temp";"page3",#N/A,FALSE,"Temp";"page4",#N/A,FALSE,"Temp";"page5",#N/A,FALSE,"Temp";"page6",#N/A,FALSE,"Temp"}</definedName>
    <definedName name="convertamt">#REF!</definedName>
    <definedName name="convertamt___0">#REF!</definedName>
    <definedName name="convertper">#REF!</definedName>
    <definedName name="convertper___0">#REF!</definedName>
    <definedName name="CorpName">'[13]MASTER DRIVERS'!$A$1</definedName>
    <definedName name="COSTREPORT" localSheetId="3">#REF!</definedName>
    <definedName name="COSTREPORT" localSheetId="2">#REF!</definedName>
    <definedName name="COSTREPORT" localSheetId="1">#REF!</definedName>
    <definedName name="COSTREPORT">#REF!</definedName>
    <definedName name="COSTREPORT___0" localSheetId="3">#REF!</definedName>
    <definedName name="COSTREPORT___0" localSheetId="2">#REF!</definedName>
    <definedName name="COSTREPORT___0" localSheetId="1">#REF!</definedName>
    <definedName name="COSTREPORT___0">#REF!</definedName>
    <definedName name="counter" localSheetId="3">'[14]Portfolio Input'!#REF!</definedName>
    <definedName name="counter" localSheetId="2">'[14]Portfolio Input'!#REF!</definedName>
    <definedName name="counter" localSheetId="1">'[14]Portfolio Input'!#REF!</definedName>
    <definedName name="counter">'[14]Portfolio Input'!#REF!</definedName>
    <definedName name="counter2" localSheetId="3">'[14]Portfolio Input'!#REF!</definedName>
    <definedName name="counter2" localSheetId="2">'[14]Portfolio Input'!#REF!</definedName>
    <definedName name="counter2" localSheetId="1">'[14]Portfolio Input'!#REF!</definedName>
    <definedName name="counter2">'[14]Portfolio Input'!#REF!</definedName>
    <definedName name="Coupon">[15]Inputs!$J$30</definedName>
    <definedName name="CSEnd" localSheetId="3">#REF!</definedName>
    <definedName name="CSEnd" localSheetId="2">#REF!</definedName>
    <definedName name="CSEnd" localSheetId="1">#REF!</definedName>
    <definedName name="CSEnd">#REF!</definedName>
    <definedName name="CSHO" localSheetId="3">#REF!</definedName>
    <definedName name="CSHO" localSheetId="2">#REF!</definedName>
    <definedName name="CSHO" localSheetId="1">#REF!</definedName>
    <definedName name="CSHO">#REF!</definedName>
    <definedName name="CSHPRI" localSheetId="3">#REF!</definedName>
    <definedName name="CSHPRI" localSheetId="2">#REF!</definedName>
    <definedName name="CSHPRI" localSheetId="1">#REF!</definedName>
    <definedName name="CSHPRI">#REF!</definedName>
    <definedName name="current1">[2]Inputs!$E$21</definedName>
    <definedName name="current10">[2]Inputs!$E$480</definedName>
    <definedName name="current11">[2]Inputs!$E$531</definedName>
    <definedName name="current12">[2]Inputs!$E$582</definedName>
    <definedName name="current13">[2]Inputs!$E$633</definedName>
    <definedName name="current14">[2]Inputs!$E$684</definedName>
    <definedName name="current15">[2]Inputs!$E$735</definedName>
    <definedName name="current2">[2]Inputs!$E$72</definedName>
    <definedName name="current3">[2]Inputs!$E$123</definedName>
    <definedName name="current4">[2]Inputs!$E$174</definedName>
    <definedName name="current5">[2]Inputs!$E$225</definedName>
    <definedName name="current6">[2]Inputs!$E$276</definedName>
    <definedName name="current7">[2]Inputs!$E$327</definedName>
    <definedName name="current8">[2]Inputs!$E$378</definedName>
    <definedName name="current9">[2]Inputs!$E$429</definedName>
    <definedName name="CustomPubSales" localSheetId="3">#REF!</definedName>
    <definedName name="CustomPubSales" localSheetId="2">#REF!</definedName>
    <definedName name="CustomPubSales" localSheetId="1">#REF!</definedName>
    <definedName name="CustomPubSales">#REF!</definedName>
    <definedName name="Date" localSheetId="3">[16]Comps!#REF!</definedName>
    <definedName name="Date" localSheetId="2">[16]Comps!#REF!</definedName>
    <definedName name="Date" localSheetId="1">[16]Comps!#REF!</definedName>
    <definedName name="Date">[16]Comps!#REF!</definedName>
    <definedName name="Date_OC1">OFFSET([6]OCTrends!$B$2,0,0,COUNTA([6]OCTrends!$B$1:$B$65536)-1)</definedName>
    <definedName name="Date_OC2">OFFSET([6]OCTrends!$G$2,0,0,COUNTA([6]OCTrends!$G$1:$G$65536)-1)</definedName>
    <definedName name="Date_OC3">OFFSET([6]OCTrends!$L$2,0,0,COUNTA([6]OCTrends!$L$1:$L$65536)-1)</definedName>
    <definedName name="debtsched" localSheetId="3">[5]Inputs!#REF!</definedName>
    <definedName name="debtsched" localSheetId="2">[5]Inputs!#REF!</definedName>
    <definedName name="debtsched" localSheetId="1">[5]Inputs!#REF!</definedName>
    <definedName name="debtsched">[5]Inputs!#REF!</definedName>
    <definedName name="decconsultants" localSheetId="3">#REF!</definedName>
    <definedName name="decconsultants" localSheetId="2">#REF!</definedName>
    <definedName name="decconsultants" localSheetId="1">#REF!</definedName>
    <definedName name="decconsultants">#REF!</definedName>
    <definedName name="decemberemployees" localSheetId="3">#REF!</definedName>
    <definedName name="decemberemployees" localSheetId="2">#REF!</definedName>
    <definedName name="decemberemployees" localSheetId="1">#REF!</definedName>
    <definedName name="decemberemployees">#REF!</definedName>
    <definedName name="decemployees" localSheetId="3">#REF!</definedName>
    <definedName name="decemployees" localSheetId="2">#REF!</definedName>
    <definedName name="decemployees" localSheetId="1">#REF!</definedName>
    <definedName name="decemployees">#REF!</definedName>
    <definedName name="default">#REF!</definedName>
    <definedName name="Default_Scenario">#REF!</definedName>
    <definedName name="Default_Table">#REF!</definedName>
    <definedName name="Default_Timing">#REF!</definedName>
    <definedName name="depsched">[5]Inputs!#REF!</definedName>
    <definedName name="DivActual">OFFSET([6]DivTrends!$C$2,0,0,COUNTA([6]DivTrends!$C$1:$C$65536)-1)</definedName>
    <definedName name="DivCovenant">OFFSET([6]DivTrends!$D$2,0,0,COUNTA([6]DivTrends!$D$1:$D$65536)-1)</definedName>
    <definedName name="DivDate">OFFSET([6]DivTrends!$B$2,0,0,COUNTA([6]DivTrends!$B$1:$B$65536)-1)</definedName>
    <definedName name="Diversity">'[7]Actual vs Covenant'!$P$41:$Q$48</definedName>
    <definedName name="DiversityScore" localSheetId="3">#REF!</definedName>
    <definedName name="DiversityScore" localSheetId="2">#REF!</definedName>
    <definedName name="DiversityScore" localSheetId="1">#REF!</definedName>
    <definedName name="DiversityScore">#REF!</definedName>
    <definedName name="earnout" localSheetId="3">#REF!</definedName>
    <definedName name="earnout" localSheetId="2">#REF!</definedName>
    <definedName name="earnout" localSheetId="1">#REF!</definedName>
    <definedName name="earnout">#REF!</definedName>
    <definedName name="earnout___0" localSheetId="3">#REF!</definedName>
    <definedName name="earnout___0" localSheetId="2">#REF!</definedName>
    <definedName name="earnout___0" localSheetId="1">#REF!</definedName>
    <definedName name="earnout___0">#REF!</definedName>
    <definedName name="EBIT" localSheetId="3">#REF!</definedName>
    <definedName name="EBIT" localSheetId="2">#REF!</definedName>
    <definedName name="EBIT" localSheetId="1">#REF!</definedName>
    <definedName name="EBIT">#REF!</definedName>
    <definedName name="EBITDA" localSheetId="3">#REF!</definedName>
    <definedName name="EBITDA" localSheetId="2">#REF!</definedName>
    <definedName name="EBITDA" localSheetId="1">#REF!</definedName>
    <definedName name="EBITDA">#REF!</definedName>
    <definedName name="ebitda1">[2]Inputs!$P$46</definedName>
    <definedName name="ebitda10">[2]Inputs!$P$505</definedName>
    <definedName name="ebitda11">[2]Inputs!$P$556</definedName>
    <definedName name="ebitda12">[2]Inputs!$P$607</definedName>
    <definedName name="ebitda13">[2]Inputs!$P$658</definedName>
    <definedName name="ebitda14">[2]Inputs!$P$709</definedName>
    <definedName name="ebitda15">[2]Inputs!$P$760</definedName>
    <definedName name="ebitda2">[2]Inputs!$P$97</definedName>
    <definedName name="ebitda3">[2]Inputs!$P$148</definedName>
    <definedName name="ebitda4">[2]Inputs!$P$199</definedName>
    <definedName name="ebitda5">[2]Inputs!$P$250</definedName>
    <definedName name="ebitda6">[2]Inputs!$P$301</definedName>
    <definedName name="ebitda7">[2]Inputs!$P$352</definedName>
    <definedName name="ebitda8">[2]Inputs!$P$403</definedName>
    <definedName name="ebitda9">[2]Inputs!$P$454</definedName>
    <definedName name="effective_date" localSheetId="3">#REF!</definedName>
    <definedName name="effective_date" localSheetId="2">#REF!</definedName>
    <definedName name="effective_date" localSheetId="1">#REF!</definedName>
    <definedName name="effective_date">#REF!</definedName>
    <definedName name="ELC1_Top3">[7]TOP10!$D$3</definedName>
    <definedName name="ELC1_Top4">[7]TOP10!$D$8</definedName>
    <definedName name="ELC1FitchRatingChartData">[7]ELC1!$G$2:$H$11</definedName>
    <definedName name="ELC1FitchRatingChartSerial1">[7]ELC1!$H$2:$H$11</definedName>
    <definedName name="ELC1FitchRatingChartXScale">[7]ELC1!$G$2:$G$11</definedName>
    <definedName name="ELC1MoodyRatingChartData">[7]ELC1!$A$2:$B$14</definedName>
    <definedName name="ELC1MoodyRatingChartSerial1">[7]ELC1!$B$2:$B$14</definedName>
    <definedName name="ELC1MoodyRatingChartXScale">[7]ELC1!$A$2:$A$14</definedName>
    <definedName name="ELC1SPRatingChartData">[7]ELC1!$D$2:$E$14</definedName>
    <definedName name="ELC1SPRatingChartSerial1">[7]ELC1!$E$2:$E$14</definedName>
    <definedName name="ELC1SPRatingChartXScale">[7]ELC1!$D$2:$D$14</definedName>
    <definedName name="ELC2_Top3">[7]TOP10!$G$3</definedName>
    <definedName name="ELC2_Top4">[7]TOP10!$G$8</definedName>
    <definedName name="ELC2FitchRatingChartData">[7]ELC2!$G$2:$H$12</definedName>
    <definedName name="ELC2FitchRatingChartSerial1">[7]ELC2!$H$2:$H$12</definedName>
    <definedName name="ELC2FitchRatingChartXScale">[7]ELC2!$G$2:$G$12</definedName>
    <definedName name="ELC2MoodyRatingChartData">[7]ELC2!$A$2:$B$15</definedName>
    <definedName name="ELC2MoodyRatingChartSerial1">[7]ELC2!$B$2:$B$15</definedName>
    <definedName name="ELC2MoodyRatingChartXScale">[7]ELC2!$A$2:$A$15</definedName>
    <definedName name="ELC2SPRatingChartData">[7]ELC2!$D$2:$E$15</definedName>
    <definedName name="ELC2SPRatingChartSerial1">[7]ELC2!$E$2:$E$15</definedName>
    <definedName name="ELC2SPRatingChartXScale">[7]ELC2!$D$2:$D$15</definedName>
    <definedName name="ELC3_Top3">[7]TOP10!$J$3</definedName>
    <definedName name="ELC3_Top4">[7]TOP10!$J$8</definedName>
    <definedName name="ELC3FitchRatingChartData">[7]ELC3!$G$2:$H$14</definedName>
    <definedName name="ELC3FitchRatingChartSerial1">[7]ELC3!$H$2:$H$14</definedName>
    <definedName name="ELC3FitchRatingChartXScale">[7]ELC3!$G$2:$G$14</definedName>
    <definedName name="ELC3MoodyRatingChartData">[7]ELC3!$A$2:$B$15</definedName>
    <definedName name="ELC3MoodyRatingChartSerial1">[7]ELC3!$B$2:$B$15</definedName>
    <definedName name="ELC3MoodyRatingChartXScale">[7]ELC3!$A$2:$A$15</definedName>
    <definedName name="ELC3SPRatingChartData">[7]ELC3!$D$2:$E$16</definedName>
    <definedName name="ELC3SPRatingChartSerial1">[7]ELC3!$E$2:$E$16</definedName>
    <definedName name="ELC3SPRatingChartXScale">[7]ELC3!$D$2:$D$16</definedName>
    <definedName name="ELC4_Top3">[7]TOP10!$M$3</definedName>
    <definedName name="ELC4_Top4">[7]TOP10!$M$8</definedName>
    <definedName name="ELC4FitchRatingChartData">[7]ELC4!$G$2:$H$8</definedName>
    <definedName name="ELC4FitchRatingChartSerial1">[7]ELC4!$H$2:$H$8</definedName>
    <definedName name="ELC4FitchRatingChartXScale">[7]ELC4!$G$2:$G$8</definedName>
    <definedName name="ELC4MoodyRatingChartData">[7]ELC4!$A$2:$B$13</definedName>
    <definedName name="ELC4MoodyRatingChartSerial1">[7]ELC4!$B$2:$B$13</definedName>
    <definedName name="ELC4MoodyRatingChartXScale">[7]ELC4!$A$2:$A$13</definedName>
    <definedName name="ELC4SPRatingChartData">[7]ELC4!$D$2:$E$14</definedName>
    <definedName name="ELC4SPRatingChartSerial1">[7]ELC4!$E$2:$E$14</definedName>
    <definedName name="ELC4SPRatingChartXScale">[7]ELC4!$D$2:$D$14</definedName>
    <definedName name="ELC5_Top3">[7]TOP10!$P$3</definedName>
    <definedName name="ELC5_Top4">[7]TOP10!$P$8</definedName>
    <definedName name="ELC5FitchRatingChartData">[7]ELC5!$G$2:$H$9</definedName>
    <definedName name="ELC5FitchRatingChartSerial1">[7]ELC5!$H$2:$H$9</definedName>
    <definedName name="ELC5FitchRatingChartXScale">[7]ELC5!$G$2:$G$9</definedName>
    <definedName name="ELC5MoodyRatingChartData">[7]ELC5!$A$2:$B$14</definedName>
    <definedName name="ELC5MoodyRatingChartSerial1">[7]ELC5!$B$2:$B$14</definedName>
    <definedName name="ELC5MoodyRatingChartXScale">[7]ELC5!$A$2:$A$14</definedName>
    <definedName name="ELC5SPRatingChartData">[7]ELC5!$D$2:$E$14</definedName>
    <definedName name="ELC5SPRatingChartSerial1">[7]ELC5!$E$2:$E$14</definedName>
    <definedName name="ELC5SPRatingChartXScale">[7]ELC5!$D$2:$D$14</definedName>
    <definedName name="employees" localSheetId="3">#REF!</definedName>
    <definedName name="employees" localSheetId="2">#REF!</definedName>
    <definedName name="employees" localSheetId="1">#REF!</definedName>
    <definedName name="employees">#REF!</definedName>
    <definedName name="EndDay">[6]Selections!$R$3</definedName>
    <definedName name="EndMonth">[6]Selections!$R$2</definedName>
    <definedName name="EndYear">[6]Selections!$R$1</definedName>
    <definedName name="ePrint" localSheetId="3">[17]Consolidated!#REF!</definedName>
    <definedName name="ePrint" localSheetId="2">[17]Consolidated!#REF!</definedName>
    <definedName name="ePrint" localSheetId="1">[17]Consolidated!#REF!</definedName>
    <definedName name="ePrint">[17]Consolidated!#REF!</definedName>
    <definedName name="EQUITY">'[9]S&amp;U'!$E$12</definedName>
    <definedName name="equityamt" localSheetId="3">#REF!</definedName>
    <definedName name="equityamt" localSheetId="2">#REF!</definedName>
    <definedName name="equityamt" localSheetId="1">#REF!</definedName>
    <definedName name="equityamt">#REF!</definedName>
    <definedName name="equityamt___0" localSheetId="3">#REF!</definedName>
    <definedName name="equityamt___0" localSheetId="2">#REF!</definedName>
    <definedName name="equityamt___0" localSheetId="1">#REF!</definedName>
    <definedName name="equityamt___0">#REF!</definedName>
    <definedName name="equityper" localSheetId="3">#REF!</definedName>
    <definedName name="equityper" localSheetId="2">#REF!</definedName>
    <definedName name="equityper" localSheetId="1">#REF!</definedName>
    <definedName name="equityper">#REF!</definedName>
    <definedName name="equityper___0">#REF!</definedName>
    <definedName name="ev.Calculation" hidden="1">-4105</definedName>
    <definedName name="ev.Initialized" hidden="1">FALSE</definedName>
    <definedName name="exe">#REF!</definedName>
    <definedName name="fianal">[18]Preliminary!$A$1:$D$65</definedName>
    <definedName name="filename">[6]Selections!$U$2</definedName>
    <definedName name="Final_Number" localSheetId="3">#REF!</definedName>
    <definedName name="Final_Number" localSheetId="2">#REF!</definedName>
    <definedName name="Final_Number" localSheetId="1">#REF!</definedName>
    <definedName name="Final_Number">#REF!</definedName>
    <definedName name="FinanceRev" localSheetId="3">#REF!</definedName>
    <definedName name="FinanceRev" localSheetId="2">#REF!</definedName>
    <definedName name="FinanceRev" localSheetId="1">#REF!</definedName>
    <definedName name="FinanceRev">#REF!</definedName>
    <definedName name="FinanceRev2" localSheetId="3">#REF!</definedName>
    <definedName name="FinanceRev2" localSheetId="2">#REF!</definedName>
    <definedName name="FinanceRev2" localSheetId="1">#REF!</definedName>
    <definedName name="FinanceRev2">#REF!</definedName>
    <definedName name="firstHourDate">#REF!</definedName>
    <definedName name="firstProject">#REF!</definedName>
    <definedName name="Flat_Swap">#REF!</definedName>
    <definedName name="FSoPacific" localSheetId="3" hidden="1">{"BS",#N/A,FALSE,"USA"}</definedName>
    <definedName name="FSoPacific" localSheetId="2" hidden="1">{"BS",#N/A,FALSE,"USA"}</definedName>
    <definedName name="FSoPacific" localSheetId="1" hidden="1">{"BS",#N/A,FALSE,"USA"}</definedName>
    <definedName name="FSoPacific" hidden="1">{"BS",#N/A,FALSE,"USA"}</definedName>
    <definedName name="Fund">[6]Selections!$A$1</definedName>
    <definedName name="Fwd_Curve" localSheetId="3">#REF!</definedName>
    <definedName name="Fwd_Curve" localSheetId="2">#REF!</definedName>
    <definedName name="Fwd_Curve" localSheetId="1">#REF!</definedName>
    <definedName name="Fwd_Curve">#REF!</definedName>
    <definedName name="FYEMarker" localSheetId="3">#REF!</definedName>
    <definedName name="FYEMarker" localSheetId="2">#REF!</definedName>
    <definedName name="FYEMarker" localSheetId="1">#REF!</definedName>
    <definedName name="FYEMarker">#REF!</definedName>
    <definedName name="FYEMonth" localSheetId="3">#REF!</definedName>
    <definedName name="FYEMonth" localSheetId="2">#REF!</definedName>
    <definedName name="FYEMonth" localSheetId="1">#REF!</definedName>
    <definedName name="FYEMonth">#REF!</definedName>
    <definedName name="G_A_SUMMARY">#REF!</definedName>
    <definedName name="group_quarterly">#REF!</definedName>
    <definedName name="Header1">[19]_01_05_v_Wicks_xls__01_05_v_Wic!$N$1</definedName>
    <definedName name="high1">[2]Inputs!$E$23</definedName>
    <definedName name="high10">[2]Inputs!$E$482</definedName>
    <definedName name="high11">[2]Inputs!$E$533</definedName>
    <definedName name="high12">[2]Inputs!$E$584</definedName>
    <definedName name="high13">[2]Inputs!$E$635</definedName>
    <definedName name="high14">[2]Inputs!$E$686</definedName>
    <definedName name="high15">[2]Inputs!$E$737</definedName>
    <definedName name="high2">[2]Inputs!$E$74</definedName>
    <definedName name="high3">[2]Inputs!$E$125</definedName>
    <definedName name="high4">[2]Inputs!$E$176</definedName>
    <definedName name="high5">[2]Inputs!$E$227</definedName>
    <definedName name="high6">[2]Inputs!$E$278</definedName>
    <definedName name="high7">[2]Inputs!$E$329</definedName>
    <definedName name="high8">[2]Inputs!$E$380</definedName>
    <definedName name="high9">[2]Inputs!$E$431</definedName>
    <definedName name="hl" localSheetId="3">'[20]LBO Summary'!#REF!</definedName>
    <definedName name="hl" localSheetId="2">'[20]LBO Summary'!#REF!</definedName>
    <definedName name="hl" localSheetId="1">'[20]LBO Summary'!#REF!</definedName>
    <definedName name="hl">'[20]LBO Summary'!#REF!</definedName>
    <definedName name="hn.ExtDb" hidden="1">FALSE</definedName>
    <definedName name="hn.ModelType" hidden="1">"DEAL"</definedName>
    <definedName name="hn.ModelVersion" hidden="1">1</definedName>
    <definedName name="hn.NoUpload" hidden="1">0</definedName>
    <definedName name="IC1Actual">OFFSET([6]ICTrends!$C$2,0,0,COUNTA([6]ICTrends!$C$1:$C$65536)-1)</definedName>
    <definedName name="IC1ChartTitle">[6]ICTrends!$W$1</definedName>
    <definedName name="IC1Covenant">OFFSET([6]ICTrends!$D$2,0,0,COUNTA([6]ICTrends!$D$1:$D$65536)-1)</definedName>
    <definedName name="IC1Date">OFFSET([6]ICTrends!$B$2,0,0,COUNTA([6]ICTrends!$B$1:$B$65536)-1)</definedName>
    <definedName name="IC2Actual">OFFSET([6]ICTrends!$H$2,0,0,COUNTA([6]ICTrends!$H$1:$H$65536)-1)</definedName>
    <definedName name="IC2Covenant">OFFSET([6]ICTrends!$I$2,0,0,COUNTA([6]ICTrends!$I$1:$I$65536)-1)</definedName>
    <definedName name="IC2Date">OFFSET([6]ICTrends!$G$2,0,0,COUNTA([6]ICTrends!$G$1:$G$65536)-1)</definedName>
    <definedName name="IC3Actual">OFFSET([6]ICTrends!$M$2,0,0,COUNTA([6]ICTrends!$M$1:$M$65536)-1)</definedName>
    <definedName name="IC3Covenant">OFFSET([6]ICTrends!$N$2,0,0,COUNTA([6]ICTrends!$N$1:$N$65536)-1)</definedName>
    <definedName name="IC3Date">OFFSET([6]ICTrends!$L$2,0,0,COUNTA([6]ICTrends!$L$1:$L$65536)-1)</definedName>
    <definedName name="IC4Actual">OFFSET([6]ICTrends!$R$2,0,0,COUNTA([6]ICTrends!$R$1:$R$65536)-1)</definedName>
    <definedName name="IC4Covenant">OFFSET([6]ICTrends!$S$2,0,0,COUNTA([6]ICTrends!$S$1:$S$65536)-1)</definedName>
    <definedName name="IC4Date">OFFSET([6]ICTrends!$Q$2,0,0,COUNTA([6]ICTrends!$Q$1:$Q$65536)-1)</definedName>
    <definedName name="inc" localSheetId="3">#REF!</definedName>
    <definedName name="inc" localSheetId="2">#REF!</definedName>
    <definedName name="inc" localSheetId="1">#REF!</definedName>
    <definedName name="inc">#REF!</definedName>
    <definedName name="incsyntog">#REF!</definedName>
    <definedName name="incsyntog___0">#REF!</definedName>
    <definedName name="inputs">#REF!</definedName>
    <definedName name="IQ_AE_BR" hidden="1">"c10"</definedName>
    <definedName name="IQ_AP_BR" hidden="1">"c34"</definedName>
    <definedName name="IQ_AR_BR" hidden="1">"c41"</definedName>
    <definedName name="IQ_ASSET_WRITEDOWN_BR" hidden="1">"c50"</definedName>
    <definedName name="IQ_ASSET_WRITEDOWN_CF_BR" hidden="1">"c53"</definedName>
    <definedName name="IQ_AVG_PRICE_TARGET" hidden="1">"c82"</definedName>
    <definedName name="IQ_BONDRATING_FITCH" hidden="1">"IQ_BONDRATING_FITCH"</definedName>
    <definedName name="IQ_BONDRATING_SP" hidden="1">"IQ_BONDRATING_SP"</definedName>
    <definedName name="IQ_BOOK_VALUE" hidden="1">"IQ_BOOK_VALUE"</definedName>
    <definedName name="IQ_CAPEX_BR" hidden="1">"c111"</definedName>
    <definedName name="IQ_CH">110000</definedName>
    <definedName name="IQ_CHANGE_AP_BR" hidden="1">"c135"</definedName>
    <definedName name="IQ_CHANGE_AR_BR" hidden="1">"c142"</definedName>
    <definedName name="IQ_CHANGE_OTHER_NET_OPER_ASSETS_BR" hidden="1">"c3595"</definedName>
    <definedName name="IQ_CHANGE_OTHER_WORK_CAP_BR" hidden="1">"c154"</definedName>
    <definedName name="IQ_COMMERCIAL_DOM" hidden="1">"c177"</definedName>
    <definedName name="IQ_COMMERCIAL_MORT" hidden="1">"c179"</definedName>
    <definedName name="IQ_COMMON_APIC_BR" hidden="1">"c185"</definedName>
    <definedName name="IQ_COMMON_ISSUED_BR" hidden="1">"c199"</definedName>
    <definedName name="IQ_COMMON_REP_BR" hidden="1">"c208"</definedName>
    <definedName name="IQ_CONV_RATE" hidden="1">"c2192"</definedName>
    <definedName name="IQ_CQ">5000</definedName>
    <definedName name="IQ_CURRENCY_GAIN_BR" hidden="1">"c236"</definedName>
    <definedName name="IQ_CURRENT_PORT_DEBT_BR" hidden="1">"c1567"</definedName>
    <definedName name="IQ_CY">10000</definedName>
    <definedName name="IQ_DA_BR" hidden="1">"c248"</definedName>
    <definedName name="IQ_DA_CF_BR" hidden="1">"c251"</definedName>
    <definedName name="IQ_DA_SUPPL_BR" hidden="1">"c260"</definedName>
    <definedName name="IQ_DA_SUPPL_CF_BR" hidden="1">"c263"</definedName>
    <definedName name="IQ_DAILY">500000</definedName>
    <definedName name="IQ_DEF_AMORT_BR" hidden="1">"c278"</definedName>
    <definedName name="IQ_DEF_CHARGES_BR" hidden="1">"c288"</definedName>
    <definedName name="IQ_DEF_CHARGES_LT_BR" hidden="1">"c294"</definedName>
    <definedName name="IQ_DEF_TAX_ASSET_LT_BR" hidden="1">"c304"</definedName>
    <definedName name="IQ_DEF_TAX_LIAB_LT_BR" hidden="1">"c315"</definedName>
    <definedName name="IQ_DNTM" hidden="1">700000</definedName>
    <definedName name="IQ_EBIT_10K" hidden="1">"IQ_EBIT_10K"</definedName>
    <definedName name="IQ_EBIT_10Q" hidden="1">"IQ_EBIT_10Q"</definedName>
    <definedName name="IQ_EBIT_10Q1" hidden="1">"IQ_EBIT_10Q1"</definedName>
    <definedName name="IQ_EBIT_GROWTH_1" hidden="1">"IQ_EBIT_GROWTH_1"</definedName>
    <definedName name="IQ_EBIT_GROWTH_2" hidden="1">"IQ_EBIT_GROWTH_2"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GROWTH_1" hidden="1">"IQ_EBITDA_GROWTH_1"</definedName>
    <definedName name="IQ_EBITDA_GROWTH_2" hidden="1">"IQ_EBITDA_GROWTH_2"</definedName>
    <definedName name="IQ_EBT_BR" hidden="1">"c378"</definedName>
    <definedName name="IQ_EBT_EXCL_BR" hidden="1">"c381"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EST_1" hidden="1">"IQ_EPS_EST_1"</definedName>
    <definedName name="IQ_EST_EPS_SURPRISE" hidden="1">"c1635"</definedName>
    <definedName name="IQ_EV_OVER_REVENUE_EST" hidden="1">"IQ_EV_OVER_REVENUE_EST"</definedName>
    <definedName name="IQ_EV_OVER_REVENUE_EST_1" hidden="1">"IQ_EV_OVER_REVENUE_EST_1"</definedName>
    <definedName name="IQ_EXTRA_ACC_ITEMS_BR" hidden="1">"c412"</definedName>
    <definedName name="IQ_FH">100000</definedName>
    <definedName name="IQ_FQ">500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1" hidden="1">"LTM"</definedName>
    <definedName name="IQ_FY">1000</definedName>
    <definedName name="IQ_FY_DATE" hidden="1">"IQ_FY_DATE"</definedName>
    <definedName name="IQ_GAIN_ASSETS_BR" hidden="1">"c454"</definedName>
    <definedName name="IQ_GAIN_ASSETS_CF_BR" hidden="1">"c457"</definedName>
    <definedName name="IQ_GAIN_ASSETS_REV_BR" hidden="1">"c474"</definedName>
    <definedName name="IQ_GAIN_INVEST_BR" hidden="1">"c1464"</definedName>
    <definedName name="IQ_GAIN_INVEST_CF_BR" hidden="1">"c482"</definedName>
    <definedName name="IQ_GAIN_INVEST_REV_BR" hidden="1">"c496"</definedName>
    <definedName name="IQ_GW_AMORT_BR" hidden="1">"c532"</definedName>
    <definedName name="IQ_GW_INTAN_AMORT_BR" hidden="1">"c1470"</definedName>
    <definedName name="IQ_GW_INTAN_AMORT_CF_BR" hidden="1">"c1473"</definedName>
    <definedName name="IQ_INC_EQUITY_BR" hidden="1">"c550"</definedName>
    <definedName name="IQ_INS_SETTLE_BR" hidden="1">"c572"</definedName>
    <definedName name="IQ_INT_EXP_BR" hidden="1">"c586"</definedName>
    <definedName name="IQ_INT_INC_BR" hidden="1">"c593"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VEST_LOANS_CF_BR" hidden="1">"c630"</definedName>
    <definedName name="IQ_INVEST_SECURITY_CF_BR" hidden="1">"c639"</definedName>
    <definedName name="IQ_LAST_EBIT_MARGIN" hidden="1">"IQ_LAST_EBIT_MARGIN"</definedName>
    <definedName name="IQ_LAST_EBITDA_MARGIN" hidden="1">"IQ_LAST_EBITDA_MARGIN"</definedName>
    <definedName name="IQ_LAST_GROSS_MARGIN" hidden="1">"IQ_LAST_GROSS_MARGIN"</definedName>
    <definedName name="IQ_LAST_NET_INC_MARGIN" hidden="1">"IQ_LAST_NET_INC_MARGIN"</definedName>
    <definedName name="IQ_LATEST" hidden="1">"1"</definedName>
    <definedName name="IQ_LATESTK" hidden="1">1000</definedName>
    <definedName name="IQ_LATESTKFR" hidden="1">"50"</definedName>
    <definedName name="IQ_LATESTQ" hidden="1">500</definedName>
    <definedName name="IQ_LATESTQFR" hidden="1">"100"</definedName>
    <definedName name="IQ_LEGAL_SETTLE_BR" hidden="1">"c649"</definedName>
    <definedName name="IQ_LOANS_CF_BR" hidden="1">"c661"</definedName>
    <definedName name="IQ_LT_DEBT_BR" hidden="1">"c676"</definedName>
    <definedName name="IQ_LT_DEBT_ISSUED_BR" hidden="1">"c683"</definedName>
    <definedName name="IQ_LT_DEBT_REPAID_BR" hidden="1">"c691"</definedName>
    <definedName name="IQ_LT_INVEST_BR" hidden="1">"c698"</definedName>
    <definedName name="IQ_LTM">2000</definedName>
    <definedName name="IQ_LTM_DATE" hidden="1">"IQ_LTM_DATE"</definedName>
    <definedName name="IQ_LTMMONTH" hidden="1">120000</definedName>
    <definedName name="IQ_MERGER_BR" hidden="1">"c715"</definedName>
    <definedName name="IQ_MERGER_RESTRUCTURE_BR" hidden="1">"c721"</definedName>
    <definedName name="IQ_MINORITY_INTEREST_BR" hidden="1">"c729"</definedName>
    <definedName name="IQ_MONTH">15000</definedName>
    <definedName name="IQ_MTD" hidden="1">800000</definedName>
    <definedName name="IQ_NAMES_REVISION_DATE_" localSheetId="3" hidden="1">44297.3725</definedName>
    <definedName name="IQ_NAMES_REVISION_DATE_" localSheetId="2" hidden="1">44297.3725</definedName>
    <definedName name="IQ_NAMES_REVISION_DATE_" localSheetId="1" hidden="1">44297.3725</definedName>
    <definedName name="IQ_NAMES_REVISION_DATE_" hidden="1">44229.1709606481</definedName>
    <definedName name="IQ_NET_DEBT_ISSUED_BR" hidden="1">"c753"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GROWTH_1" hidden="1">"IQ_NET_INC_GROWTH_1"</definedName>
    <definedName name="IQ_NET_INC_GROWTH_2" hidden="1">"IQ_NET_INC_GROWTH_2"</definedName>
    <definedName name="IQ_NET_INT_INC_BR" hidden="1">"c765"</definedName>
    <definedName name="IQ_NTM">6000</definedName>
    <definedName name="IQ_OG_TOTAL_OIL_PRODUCTON" hidden="1">"c2059"</definedName>
    <definedName name="IQ_OPER_INC_BR" hidden="1">"c850"</definedName>
    <definedName name="IQ_OTHER_ASSETS_BR" hidden="1">"c862"</definedName>
    <definedName name="IQ_OTHER_CA_SUPPL_BR" hidden="1">"c871"</definedName>
    <definedName name="IQ_OTHER_CL_SUPPL_BR" hidden="1">"c880"</definedName>
    <definedName name="IQ_OTHER_EQUITY_BR" hidden="1">"c888"</definedName>
    <definedName name="IQ_OTHER_FINANCE_ACT_BR" hidden="1">"c895"</definedName>
    <definedName name="IQ_OTHER_FINANCE_ACT_SUPPL_BR" hidden="1">"c901"</definedName>
    <definedName name="IQ_OTHER_INTAN_BR" hidden="1">"c909"</definedName>
    <definedName name="IQ_OTHER_INVEST_ACT_BR" hidden="1">"c918"</definedName>
    <definedName name="IQ_OTHER_INVEST_ACT_SUPPL_BR" hidden="1">"c924"</definedName>
    <definedName name="IQ_OTHER_LIAB_BR" hidden="1">"c932"</definedName>
    <definedName name="IQ_OTHER_LIAB_LT_BR" hidden="1">"c937"</definedName>
    <definedName name="IQ_OTHER_LT_ASSETS_BR" hidden="1">"c948"</definedName>
    <definedName name="IQ_OTHER_NON_OPER_EXP_BR" hidden="1">"c957"</definedName>
    <definedName name="IQ_OTHER_NON_OPER_EXP_SUPPL_BR" hidden="1">"c962"</definedName>
    <definedName name="IQ_OTHER_OPER_ACT_BR" hidden="1">"c985"</definedName>
    <definedName name="IQ_OTHER_OPER_BR" hidden="1">"c990"</definedName>
    <definedName name="IQ_OTHER_OPER_SUPPL_BR" hidden="1">"c994"</definedName>
    <definedName name="IQ_OTHER_OPER_TOT_BR" hidden="1">"c1000"</definedName>
    <definedName name="IQ_OTHER_REV_BR" hidden="1">"c1011"</definedName>
    <definedName name="IQ_OTHER_REV_SUPPL_BR" hidden="1">"c1016"</definedName>
    <definedName name="IQ_OTHER_UNUSUAL_BR" hidden="1">"c1561"</definedName>
    <definedName name="IQ_OTHER_UNUSUAL_SUPPL_BR" hidden="1">"c1496"</definedName>
    <definedName name="IQ_PC_WRITTEN" hidden="1">"c1027"</definedName>
    <definedName name="IQ_PERCENT_CHANGE_EST_FFO_12MONTHS" hidden="1">"c1828"</definedName>
    <definedName name="IQ_PERCENT_CHANGE_EST_FFO_18MONTHS" hidden="1">"c1829"</definedName>
    <definedName name="IQ_PERCENT_CHANGE_EST_FFO_3MONTHS" hidden="1">"c1825"</definedName>
    <definedName name="IQ_PERCENT_CHANGE_EST_FFO_6MONTHS" hidden="1">"c1826"</definedName>
    <definedName name="IQ_PERCENT_CHANGE_EST_FFO_9MONTHS" hidden="1">"c1827"</definedName>
    <definedName name="IQ_PERCENT_CHANGE_EST_FFO_DAY" hidden="1">"c1822"</definedName>
    <definedName name="IQ_PERCENT_CHANGE_EST_FFO_MONTH" hidden="1">"c1824"</definedName>
    <definedName name="IQ_PERCENT_CHANGE_EST_FFO_WEEK" hidden="1">"c1823"</definedName>
    <definedName name="IQ_PREF_ISSUED_BR" hidden="1">"c1047"</definedName>
    <definedName name="IQ_PREF_OTHER_BR" hidden="1">"c1055"</definedName>
    <definedName name="IQ_PREF_REP_BR" hidden="1">"c1062"</definedName>
    <definedName name="IQ_PRETAX_INC" hidden="1">"IQ_PRETAX_INC"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EPS_EST" hidden="1">"IQ_PRICE_OVER_EPS_EST"</definedName>
    <definedName name="IQ_PRICE_OVER_EPS_EST_1" hidden="1">"IQ_PRICE_OVER_EPS_EST_1"</definedName>
    <definedName name="IQ_PRICEDATETIME" hidden="1">"IQ_PRICEDATETIME"</definedName>
    <definedName name="IQ_QTD" hidden="1">750000</definedName>
    <definedName name="IQ_RESIDENTIAL_LOANS" hidden="1">"c1102"</definedName>
    <definedName name="IQ_RESTRUCTURE_BR" hidden="1">"c1106"</definedName>
    <definedName name="IQ_RETURN_ASSETS_BROK" hidden="1">"c1115"</definedName>
    <definedName name="IQ_RETURN_EQUITY_BROK" hidden="1">"c1120"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"IQ_REVENUE_EST_1"</definedName>
    <definedName name="IQ_REVENUE_GROWTH_1" hidden="1">"IQ_REVENUE_GROWTH_1"</definedName>
    <definedName name="IQ_REVENUE_GROWTH_2" hidden="1">"IQ_REVENUE_GROWTH_2"</definedName>
    <definedName name="IQ_SALE_INTAN_CF_BR" hidden="1">"c1133"</definedName>
    <definedName name="IQ_SALE_PPE_CF_BR" hidden="1">"c1139"</definedName>
    <definedName name="IQ_SALE_REAL_ESTATE_CF_BR" hidden="1">"c1145"</definedName>
    <definedName name="IQ_SHAREOUTSTANDING" hidden="1">"c1347"</definedName>
    <definedName name="IQ_SPECIAL_DIV_CF_BR" hidden="1">"c1171"</definedName>
    <definedName name="IQ_ST_DEBT_BR" hidden="1">"c1178"</definedName>
    <definedName name="IQ_ST_DEBT_ISSUED_BR" hidden="1">"c1183"</definedName>
    <definedName name="IQ_ST_DEBT_REPAID_BR" hidden="1">"c1191"</definedName>
    <definedName name="IQ_TODAY" hidden="1">0</definedName>
    <definedName name="IQ_TOTAL_AR_BR" hidden="1">"c1231"</definedName>
    <definedName name="IQ_TOTAL_DEBT_ISSUED_BR" hidden="1">"c1253"</definedName>
    <definedName name="IQ_TOTAL_DEBT_REPAID_BR" hidden="1">"c1260"</definedName>
    <definedName name="IQ_TOTAL_LIAB_BR" hidden="1">"c1278"</definedName>
    <definedName name="IQ_TOTAL_OPER_EXP_BR" hidden="1">"c1284"</definedName>
    <definedName name="IQ_TOTAL_PENSION_OBLIGATION" hidden="1">"c1292"</definedName>
    <definedName name="IQ_TOTAL_REV_BR" hidden="1">"c1303"</definedName>
    <definedName name="IQ_TREASURY_OTHER_EQUITY_BR" hidden="1">"c1314"</definedName>
    <definedName name="IQ_UNEARN_REV_CURRENT_BR" hidden="1">"c1324"</definedName>
    <definedName name="IQ_WEEK">50000</definedName>
    <definedName name="IQ_YTD">3000</definedName>
    <definedName name="IQ_YTDMONTH" hidden="1">130000</definedName>
    <definedName name="IsColHidden" hidden="1">FALSE</definedName>
    <definedName name="IsLTMColHidden" hidden="1">FALSE</definedName>
    <definedName name="Item">#REF!</definedName>
    <definedName name="K2_WBEVMODE" hidden="1">-1</definedName>
    <definedName name="lastCol">#REF!</definedName>
    <definedName name="latest1">[2]Inputs!$E$13</definedName>
    <definedName name="latest10">[2]Inputs!$E$472</definedName>
    <definedName name="latest11">[2]Inputs!$E$523</definedName>
    <definedName name="latest12">[2]Inputs!$E$574</definedName>
    <definedName name="latest13">[2]Inputs!$E$625</definedName>
    <definedName name="latest14">[2]Inputs!$E$676</definedName>
    <definedName name="latest15">[2]Inputs!$E$727</definedName>
    <definedName name="latest2">[2]Inputs!$E$64</definedName>
    <definedName name="latest3">[2]Inputs!$E$115</definedName>
    <definedName name="latest4">[2]Inputs!$E$166</definedName>
    <definedName name="latest5">[2]Inputs!$E$217</definedName>
    <definedName name="latest6">[2]Inputs!$E$268</definedName>
    <definedName name="latest7">[2]Inputs!$E$319</definedName>
    <definedName name="latest8">[2]Inputs!$E$370</definedName>
    <definedName name="latest9">[2]Inputs!$E$421</definedName>
    <definedName name="LBO" localSheetId="3">'[9]S&amp;U'!#REF!</definedName>
    <definedName name="LBO" localSheetId="2">'[9]S&amp;U'!#REF!</definedName>
    <definedName name="LBO" localSheetId="1">'[9]S&amp;U'!#REF!</definedName>
    <definedName name="LBO">'[9]S&amp;U'!#REF!</definedName>
    <definedName name="left" localSheetId="3">#REF!</definedName>
    <definedName name="left" localSheetId="2">#REF!</definedName>
    <definedName name="left" localSheetId="1">#REF!</definedName>
    <definedName name="left">#REF!</definedName>
    <definedName name="lett" localSheetId="3">#REF!</definedName>
    <definedName name="lett" localSheetId="2">#REF!</definedName>
    <definedName name="lett" localSheetId="1">#REF!</definedName>
    <definedName name="lett">#REF!</definedName>
    <definedName name="LIBOR">[21]Portfolio!$E$2</definedName>
    <definedName name="Libor_Assumptions" localSheetId="3">#REF!</definedName>
    <definedName name="Libor_Assumptions" localSheetId="2">#REF!</definedName>
    <definedName name="Libor_Assumptions" localSheetId="1">#REF!</definedName>
    <definedName name="Libor_Assumptions">#REF!</definedName>
    <definedName name="Libor_Curve" localSheetId="3">#REF!</definedName>
    <definedName name="Libor_Curve" localSheetId="2">#REF!</definedName>
    <definedName name="Libor_Curve" localSheetId="1">#REF!</definedName>
    <definedName name="Libor_Curve">#REF!</definedName>
    <definedName name="Libor_Down" localSheetId="3">#REF!</definedName>
    <definedName name="Libor_Down" localSheetId="2">#REF!</definedName>
    <definedName name="Libor_Down" localSheetId="1">#REF!</definedName>
    <definedName name="Libor_Down">#REF!</definedName>
    <definedName name="Libor_Down_Up">#REF!</definedName>
    <definedName name="LIBOR_Minus_1SD">[10]Revolver!#REF!</definedName>
    <definedName name="Libor_Minus_2SD">[10]Revolver!#REF!</definedName>
    <definedName name="Libor_Plus_0SD">[10]Revolver!#REF!</definedName>
    <definedName name="Libor_Plus_1SD">[10]Revolver!#REF!</definedName>
    <definedName name="Libor_Plus_2SD">[10]Revolver!#REF!</definedName>
    <definedName name="Libor_Scenario" localSheetId="3">#REF!</definedName>
    <definedName name="Libor_Scenario" localSheetId="2">#REF!</definedName>
    <definedName name="Libor_Scenario" localSheetId="1">#REF!</definedName>
    <definedName name="Libor_Scenario">#REF!</definedName>
    <definedName name="Libor_Up" localSheetId="3">#REF!</definedName>
    <definedName name="Libor_Up" localSheetId="2">#REF!</definedName>
    <definedName name="Libor_Up" localSheetId="1">#REF!</definedName>
    <definedName name="Libor_Up">#REF!</definedName>
    <definedName name="longterm" localSheetId="3">[5]Inputs!#REF!</definedName>
    <definedName name="longterm" localSheetId="2">[5]Inputs!#REF!</definedName>
    <definedName name="longterm" localSheetId="1">[5]Inputs!#REF!</definedName>
    <definedName name="longterm">[5]Inputs!#REF!</definedName>
    <definedName name="LTM_DATE" localSheetId="3">#REF!</definedName>
    <definedName name="LTM_DATE" localSheetId="2">#REF!</definedName>
    <definedName name="LTM_DATE" localSheetId="1">#REF!</definedName>
    <definedName name="LTM_DATE">#REF!</definedName>
    <definedName name="Marketable_securities" localSheetId="3">'[22]Fly-by-night - problem 5'!#REF!</definedName>
    <definedName name="Marketable_securities" localSheetId="2">'[22]Fly-by-night - problem 5'!#REF!</definedName>
    <definedName name="Marketable_securities" localSheetId="1">'[22]Fly-by-night - problem 5'!#REF!</definedName>
    <definedName name="Marketable_securities">'[22]Fly-by-night - problem 5'!#REF!</definedName>
    <definedName name="MaxMarkDate">[7]SaleData!$M$3</definedName>
    <definedName name="mcs03g.ReqArray" localSheetId="3">{"Price","ICTG","TS131","D","0","0","H"}</definedName>
    <definedName name="mcs03g.ReqArray" localSheetId="2">{"Price","ICTG","TS131","D","0","0","H"}</definedName>
    <definedName name="mcs03g.ReqArray" localSheetId="1">{"Price","ICTG","TS131","D","0","0","H"}</definedName>
    <definedName name="mcs03g.ReqArray">{"Price","ICTG","TS131","D","0","0","H"}</definedName>
    <definedName name="mcs03g.ReqArray___0">#N/A</definedName>
    <definedName name="mcs03g.ReqArray___12">#N/A</definedName>
    <definedName name="mcs03g.ReqArray___2">#N/A</definedName>
    <definedName name="MKVALM" localSheetId="3">#REF!</definedName>
    <definedName name="MKVALM" localSheetId="2">#REF!</definedName>
    <definedName name="MKVALM" localSheetId="1">#REF!</definedName>
    <definedName name="MKVALM">#REF!</definedName>
    <definedName name="MONTHLYSALES" localSheetId="3">#REF!</definedName>
    <definedName name="MONTHLYSALES" localSheetId="2">#REF!</definedName>
    <definedName name="MONTHLYSALES" localSheetId="1">#REF!</definedName>
    <definedName name="MONTHLYSALES">#REF!</definedName>
    <definedName name="MONTHLYSALES___0" localSheetId="3">#REF!</definedName>
    <definedName name="MONTHLYSALES___0" localSheetId="2">#REF!</definedName>
    <definedName name="MONTHLYSALES___0" localSheetId="1">#REF!</definedName>
    <definedName name="MONTHLYSALES___0">#REF!</definedName>
    <definedName name="moodys">#REF!</definedName>
    <definedName name="mu">'[23]LBO Summary'!$G$130</definedName>
    <definedName name="Name">[5]Info!$C$8</definedName>
    <definedName name="name1">[2]Inputs!$E$10</definedName>
    <definedName name="name10">[2]Inputs!$E$469</definedName>
    <definedName name="name11">[2]Inputs!$E$520</definedName>
    <definedName name="name12">[2]Inputs!$E$571</definedName>
    <definedName name="name13">[2]Inputs!$E$622</definedName>
    <definedName name="name14">[2]Inputs!$E$673</definedName>
    <definedName name="name15">[2]Inputs!$E$724</definedName>
    <definedName name="name2">[2]Inputs!$E$61</definedName>
    <definedName name="name3">[2]Inputs!$E$112</definedName>
    <definedName name="name4">[2]Inputs!$E$163</definedName>
    <definedName name="name5">[2]Inputs!$E$214</definedName>
    <definedName name="name6">[2]Inputs!$E$265</definedName>
    <definedName name="name7">[2]Inputs!$E$316</definedName>
    <definedName name="name8">[2]Inputs!$E$367</definedName>
    <definedName name="name9">[2]Inputs!$E$418</definedName>
    <definedName name="NDY" localSheetId="3">#REF!</definedName>
    <definedName name="NDY" localSheetId="2">#REF!</definedName>
    <definedName name="NDY" localSheetId="1">#REF!</definedName>
    <definedName name="NDY">#REF!</definedName>
    <definedName name="NDYWGT" localSheetId="3">#REF!</definedName>
    <definedName name="NDYWGT" localSheetId="2">#REF!</definedName>
    <definedName name="NDYWGT" localSheetId="1">#REF!</definedName>
    <definedName name="NDYWGT">#REF!</definedName>
    <definedName name="OC1Actual">OFFSET([6]OCTrends!$C$2,0,0,COUNTA([6]OCTrends!$C$1:$C$65536)-1)</definedName>
    <definedName name="OC1ChartTitle">[6]OCTrends!$W$1</definedName>
    <definedName name="OC1Covenant">OFFSET([6]OCTrends!$D$2,0,0,COUNTA([6]OCTrends!$D$1:$D$65536)-1)</definedName>
    <definedName name="OC1Date">OFFSET([6]OCTrends!$B$2,0,0,COUNTA([6]OCTrends!$B$1:$B$65536)-1)</definedName>
    <definedName name="OC2Actual">OFFSET([6]OCTrends!$H$2,0,0,COUNTA([6]OCTrends!$H$1:$H$65536)-1)</definedName>
    <definedName name="OC2Covenant">OFFSET([6]OCTrends!$I$2,0,0,COUNTA([6]OCTrends!$I$1:$I$65536)-1)</definedName>
    <definedName name="OC2Date">OFFSET([6]OCTrends!$G$2,0,0,COUNTA([6]OCTrends!$G$1:$G$65536)-1)</definedName>
    <definedName name="OC3Actual">OFFSET([6]OCTrends!$M$2,0,0,COUNTA([6]OCTrends!$M$1:$M$65536)-1)</definedName>
    <definedName name="OC3Covenant">OFFSET([6]OCTrends!$N$2,0,0,COUNTA([6]OCTrends!$N$1:$N$65536)-1)</definedName>
    <definedName name="OC3Date">OFFSET([6]OCTrends!$L$2,0,0,COUNTA([6]OCTrends!$L$1:$L$65536)-1)</definedName>
    <definedName name="OC4Actual">OFFSET([6]OCTrends!$R$2,0,0,COUNTA([6]OCTrends!$R$1:$R$65536)-1)</definedName>
    <definedName name="OC4Covenant">OFFSET([6]OCTrends!$S$2,0,0,COUNTA([6]OCTrends!$S$1:$S$65536)-1)</definedName>
    <definedName name="OC4Date">OFFSET([6]OCTrends!$Q$2,0,0,COUNTA([6]OCTrends!$Q$1:$Q$65536)-1)</definedName>
    <definedName name="Order" localSheetId="3">#REF!</definedName>
    <definedName name="Order" localSheetId="2">#REF!</definedName>
    <definedName name="Order" localSheetId="1">#REF!</definedName>
    <definedName name="Order">#REF!</definedName>
    <definedName name="Other_assets" localSheetId="3">'[22]Fly-by-night - problem 5'!#REF!</definedName>
    <definedName name="Other_assets" localSheetId="2">'[22]Fly-by-night - problem 5'!#REF!</definedName>
    <definedName name="Other_assets" localSheetId="1">'[22]Fly-by-night - problem 5'!#REF!</definedName>
    <definedName name="Other_assets">'[22]Fly-by-night - problem 5'!#REF!</definedName>
    <definedName name="Other_current_liabilities_Sales" localSheetId="3">'[4]Tanning Assumptions'!#REF!</definedName>
    <definedName name="Other_current_liabilities_Sales" localSheetId="2">'[4]Tanning Assumptions'!#REF!</definedName>
    <definedName name="Other_current_liabilities_Sales" localSheetId="1">'[4]Tanning Assumptions'!#REF!</definedName>
    <definedName name="Other_current_liabilities_Sales">'[4]Tanning Assumptions'!#REF!</definedName>
    <definedName name="Other_long_term_liabilities" localSheetId="3">'[4]Tanning Assumptions'!#REF!</definedName>
    <definedName name="Other_long_term_liabilities" localSheetId="2">'[4]Tanning Assumptions'!#REF!</definedName>
    <definedName name="Other_long_term_liabilities" localSheetId="1">'[4]Tanning Assumptions'!#REF!</definedName>
    <definedName name="Other_long_term_liabilities">'[4]Tanning Assumptions'!#REF!</definedName>
    <definedName name="OtherRev" localSheetId="3">#REF!</definedName>
    <definedName name="OtherRev" localSheetId="2">#REF!</definedName>
    <definedName name="OtherRev" localSheetId="1">#REF!</definedName>
    <definedName name="OtherRev">#REF!</definedName>
    <definedName name="P_L" localSheetId="3">#REF!</definedName>
    <definedName name="P_L" localSheetId="2">#REF!</definedName>
    <definedName name="P_L" localSheetId="1">#REF!</definedName>
    <definedName name="P_L">#REF!</definedName>
    <definedName name="PCV">[6]Calcs!$B$1</definedName>
    <definedName name="Percentage" localSheetId="3">#REF!</definedName>
    <definedName name="Percentage" localSheetId="2">#REF!</definedName>
    <definedName name="Percentage" localSheetId="1">#REF!</definedName>
    <definedName name="Percentage">#REF!</definedName>
    <definedName name="Period" localSheetId="3">#REF!</definedName>
    <definedName name="Period" localSheetId="2">#REF!</definedName>
    <definedName name="Period" localSheetId="1">#REF!</definedName>
    <definedName name="Period">#REF!</definedName>
    <definedName name="Period1" localSheetId="3">#REF!</definedName>
    <definedName name="Period1" localSheetId="2">#REF!</definedName>
    <definedName name="Period1" localSheetId="1">#REF!</definedName>
    <definedName name="Period1">#REF!</definedName>
    <definedName name="Period2">#REF!</definedName>
    <definedName name="Period3">#REF!</definedName>
    <definedName name="Period4">#REF!</definedName>
    <definedName name="Period5">#REF!</definedName>
    <definedName name="Period6">#REF!</definedName>
    <definedName name="Period7">#REF!</definedName>
    <definedName name="Period8">#REF!</definedName>
    <definedName name="PERSONAL_FINANCIAL">#REF!</definedName>
    <definedName name="PERSONAL_FINANCIAL___0">#REF!</definedName>
    <definedName name="PFLTM">'[24]VeCTOR Import'!#REF!</definedName>
    <definedName name="pik">'[9]S&amp;U'!#REF!</definedName>
    <definedName name="portion1">[2]Inputs!$E$14</definedName>
    <definedName name="portion10">[2]Inputs!$E$473</definedName>
    <definedName name="portion11">[2]Inputs!$E$524</definedName>
    <definedName name="portion12">[2]Inputs!$E$575</definedName>
    <definedName name="portion13">[2]Inputs!$E$626</definedName>
    <definedName name="portion14">[2]Inputs!$E$677</definedName>
    <definedName name="portion15">[2]Inputs!$E$728</definedName>
    <definedName name="portion2">[2]Inputs!$E$65</definedName>
    <definedName name="portion3">[2]Inputs!$E$116</definedName>
    <definedName name="portion4">[2]Inputs!$E$167</definedName>
    <definedName name="portion5">[2]Inputs!$E$218</definedName>
    <definedName name="portion6">[2]Inputs!$E$269</definedName>
    <definedName name="portion7">[2]Inputs!$E$320</definedName>
    <definedName name="portion8">[2]Inputs!$E$371</definedName>
    <definedName name="portion9">[2]Inputs!$E$422</definedName>
    <definedName name="PP_E_Sales" localSheetId="3">'[4]Tanning Assumptions'!#REF!</definedName>
    <definedName name="PP_E_Sales" localSheetId="2">'[4]Tanning Assumptions'!#REF!</definedName>
    <definedName name="PP_E_Sales" localSheetId="1">'[4]Tanning Assumptions'!#REF!</definedName>
    <definedName name="PP_E_Sales">'[4]Tanning Assumptions'!#REF!</definedName>
    <definedName name="prefbamt" localSheetId="3">#REF!</definedName>
    <definedName name="prefbamt" localSheetId="2">#REF!</definedName>
    <definedName name="prefbamt" localSheetId="1">#REF!</definedName>
    <definedName name="prefbamt">#REF!</definedName>
    <definedName name="prefbamt___0" localSheetId="3">#REF!</definedName>
    <definedName name="prefbamt___0" localSheetId="2">#REF!</definedName>
    <definedName name="prefbamt___0" localSheetId="1">#REF!</definedName>
    <definedName name="prefbamt___0">#REF!</definedName>
    <definedName name="prefbper" localSheetId="3">#REF!</definedName>
    <definedName name="prefbper" localSheetId="2">#REF!</definedName>
    <definedName name="prefbper" localSheetId="1">#REF!</definedName>
    <definedName name="prefbper">#REF!</definedName>
    <definedName name="prefbper___0">#REF!</definedName>
    <definedName name="Preliminary">#REF!</definedName>
    <definedName name="Prepaids_Sales">'[4]Tanning Assumptions'!#REF!</definedName>
    <definedName name="PRICES" localSheetId="3">#REF!</definedName>
    <definedName name="PRICES" localSheetId="2">#REF!</definedName>
    <definedName name="PRICES" localSheetId="1">#REF!</definedName>
    <definedName name="PRICES">#REF!</definedName>
    <definedName name="PRICES___0" localSheetId="3">#REF!</definedName>
    <definedName name="PRICES___0" localSheetId="2">#REF!</definedName>
    <definedName name="PRICES___0" localSheetId="1">#REF!</definedName>
    <definedName name="PRICES___0">#REF!</definedName>
    <definedName name="_xlnm.Print_Area" localSheetId="3">#REF!</definedName>
    <definedName name="_xlnm.Print_Area" localSheetId="2">#REF!</definedName>
    <definedName name="_xlnm.Print_Area" localSheetId="1">#REF!</definedName>
    <definedName name="_xlnm.Print_Area">#REF!</definedName>
    <definedName name="_xlnm.Print_Titles" localSheetId="3">#REF!</definedName>
    <definedName name="_xlnm.Print_Titles" localSheetId="2">#REF!</definedName>
    <definedName name="_xlnm.Print_Titles" localSheetId="1">#REF!</definedName>
    <definedName name="_xlnm.Print_Titles">#REF!</definedName>
    <definedName name="project">[12]CONTROL!$D$8</definedName>
    <definedName name="project___0">[8]CONTROL!$D$8</definedName>
    <definedName name="ProjList" localSheetId="3">#REF!</definedName>
    <definedName name="ProjList" localSheetId="2">#REF!</definedName>
    <definedName name="ProjList" localSheetId="1">#REF!</definedName>
    <definedName name="ProjList">#REF!</definedName>
    <definedName name="PublicCompany" localSheetId="3">#REF!</definedName>
    <definedName name="PublicCompany" localSheetId="2">#REF!</definedName>
    <definedName name="PublicCompany" localSheetId="1">#REF!</definedName>
    <definedName name="PublicCompany">#REF!</definedName>
    <definedName name="purchase">[25]TRANSACTION!$Q$2</definedName>
    <definedName name="PURCHASE_PRICE">[26]Sheet5:D!$A$1:$H$23</definedName>
    <definedName name="qryWSO_Positions_ByFunds_CrossTab" localSheetId="3">#REF!</definedName>
    <definedName name="qryWSO_Positions_ByFunds_CrossTab" localSheetId="2">#REF!</definedName>
    <definedName name="qryWSO_Positions_ByFunds_CrossTab" localSheetId="1">#REF!</definedName>
    <definedName name="qryWSO_Positions_ByFunds_CrossTab">#REF!</definedName>
    <definedName name="quarterly" localSheetId="3">#REF!</definedName>
    <definedName name="quarterly" localSheetId="2">#REF!</definedName>
    <definedName name="quarterly" localSheetId="1">#REF!</definedName>
    <definedName name="quarterly">#REF!</definedName>
    <definedName name="rate" localSheetId="3">#REF!</definedName>
    <definedName name="rate" localSheetId="2">#REF!</definedName>
    <definedName name="rate" localSheetId="1">#REF!</definedName>
    <definedName name="rate">#REF!</definedName>
    <definedName name="RateTable" localSheetId="3">[27]MASTER!#REF!</definedName>
    <definedName name="RateTable" localSheetId="2">[27]MASTER!#REF!</definedName>
    <definedName name="RateTable" localSheetId="1">[27]MASTER!#REF!</definedName>
    <definedName name="RateTable">[27]MASTER!#REF!</definedName>
    <definedName name="Rating">'[7]Actual vs Covenant'!$P$11:$Q$18</definedName>
    <definedName name="RatingFactors" localSheetId="3">#REF!</definedName>
    <definedName name="RatingFactors" localSheetId="2">#REF!</definedName>
    <definedName name="RatingFactors" localSheetId="1">#REF!</definedName>
    <definedName name="RatingFactors">#REF!</definedName>
    <definedName name="RATIOS" localSheetId="3">#REF!</definedName>
    <definedName name="RATIOS" localSheetId="2">#REF!</definedName>
    <definedName name="RATIOS" localSheetId="1">#REF!</definedName>
    <definedName name="RATIOS">#REF!</definedName>
    <definedName name="RATIOS___0" localSheetId="3">#REF!</definedName>
    <definedName name="RATIOS___0" localSheetId="2">#REF!</definedName>
    <definedName name="RATIOS___0" localSheetId="1">#REF!</definedName>
    <definedName name="RATIOS___0">#REF!</definedName>
    <definedName name="recovery">#REF!</definedName>
    <definedName name="refi">'[28]OBS - REFI'!$AP$5</definedName>
    <definedName name="REPORT" localSheetId="3">#REF!</definedName>
    <definedName name="REPORT" localSheetId="2">#REF!</definedName>
    <definedName name="REPORT" localSheetId="1">#REF!</definedName>
    <definedName name="REPORT">#REF!</definedName>
    <definedName name="REPORT___0" localSheetId="3">#REF!</definedName>
    <definedName name="REPORT___0" localSheetId="2">#REF!</definedName>
    <definedName name="REPORT___0" localSheetId="1">#REF!</definedName>
    <definedName name="REPORT___0">#REF!</definedName>
    <definedName name="ReprintRev" localSheetId="3">#REF!</definedName>
    <definedName name="ReprintRev" localSheetId="2">#REF!</definedName>
    <definedName name="ReprintRev" localSheetId="1">#REF!</definedName>
    <definedName name="ReprintRev">#REF!</definedName>
    <definedName name="ret">#REF!</definedName>
    <definedName name="rhl">'[20]LBO Summary'!#REF!</definedName>
    <definedName name="RoyaltyRev" localSheetId="3">#REF!</definedName>
    <definedName name="RoyaltyRev" localSheetId="2">#REF!</definedName>
    <definedName name="RoyaltyRev" localSheetId="1">#REF!</definedName>
    <definedName name="RoyaltyRev">#REF!</definedName>
    <definedName name="rptData" localSheetId="3">#REF!</definedName>
    <definedName name="rptData" localSheetId="2">#REF!</definedName>
    <definedName name="rptData" localSheetId="1">#REF!</definedName>
    <definedName name="rptData">#REF!</definedName>
    <definedName name="rr" localSheetId="3">'[20]LBO Summary'!#REF!</definedName>
    <definedName name="rr" localSheetId="2">'[20]LBO Summary'!#REF!</definedName>
    <definedName name="rr" localSheetId="1">'[20]LBO Summary'!#REF!</definedName>
    <definedName name="rr">'[20]LBO Summary'!#REF!</definedName>
    <definedName name="s" localSheetId="3">#REF!</definedName>
    <definedName name="s" localSheetId="2">#REF!</definedName>
    <definedName name="s" localSheetId="1">#REF!</definedName>
    <definedName name="s">#REF!</definedName>
    <definedName name="s.outstand" localSheetId="3">[5]Inputs!#REF!</definedName>
    <definedName name="s.outstand" localSheetId="2">[5]Inputs!#REF!</definedName>
    <definedName name="s.outstand" localSheetId="1">[5]Inputs!#REF!</definedName>
    <definedName name="s.outstand">[5]Inputs!#REF!</definedName>
    <definedName name="SALES" localSheetId="3">#REF!</definedName>
    <definedName name="SALES" localSheetId="2">#REF!</definedName>
    <definedName name="SALES" localSheetId="1">#REF!</definedName>
    <definedName name="SALES">#REF!</definedName>
    <definedName name="SALES___0" localSheetId="3">#REF!</definedName>
    <definedName name="SALES___0" localSheetId="2">#REF!</definedName>
    <definedName name="SALES___0" localSheetId="1">#REF!</definedName>
    <definedName name="SALES___0">#REF!</definedName>
    <definedName name="sales1">[2]Inputs!$P$29</definedName>
    <definedName name="sales10">[2]Inputs!$P$488</definedName>
    <definedName name="sales11">[2]Inputs!$P$539</definedName>
    <definedName name="sales12">[2]Inputs!$P$590</definedName>
    <definedName name="sales13">[2]Inputs!$P$641</definedName>
    <definedName name="sales14">[2]Inputs!$P$692</definedName>
    <definedName name="sales15">[2]Inputs!$P$743</definedName>
    <definedName name="sales2">[2]Inputs!$P$80</definedName>
    <definedName name="sales3">[2]Inputs!$P$131</definedName>
    <definedName name="sales4">[2]Inputs!$P$182</definedName>
    <definedName name="sales5">[2]Inputs!$P$233</definedName>
    <definedName name="sales6">[2]Inputs!$P$284</definedName>
    <definedName name="sales7">[2]Inputs!$P$335</definedName>
    <definedName name="sales8">[2]Inputs!$P$386</definedName>
    <definedName name="sales9">[2]Inputs!$P$437</definedName>
    <definedName name="scen" localSheetId="3">#REF!</definedName>
    <definedName name="scen" localSheetId="2">#REF!</definedName>
    <definedName name="scen" localSheetId="1">#REF!</definedName>
    <definedName name="scen">#REF!</definedName>
    <definedName name="Scenario_11" localSheetId="3">#REF!</definedName>
    <definedName name="Scenario_11" localSheetId="2">#REF!</definedName>
    <definedName name="Scenario_11" localSheetId="1">#REF!</definedName>
    <definedName name="Scenario_11">#REF!</definedName>
    <definedName name="Scenario_12" localSheetId="3">#REF!</definedName>
    <definedName name="Scenario_12" localSheetId="2">#REF!</definedName>
    <definedName name="Scenario_12" localSheetId="1">#REF!</definedName>
    <definedName name="Scenario_12">#REF!</definedName>
    <definedName name="Scenario_13">#REF!</definedName>
    <definedName name="Scenario_14">#REF!</definedName>
    <definedName name="Scenario_15">#REF!</definedName>
    <definedName name="Scenario_16">#REF!</definedName>
    <definedName name="Scenario_17">#REF!</definedName>
    <definedName name="Scenario_18">#REF!</definedName>
    <definedName name="Scenario_19">#REF!</definedName>
    <definedName name="Scenario_20">#REF!</definedName>
    <definedName name="Scenario_21">#REF!</definedName>
    <definedName name="Scenario_22">#REF!</definedName>
    <definedName name="Scenario_23">#REF!</definedName>
    <definedName name="Scenario_24">#REF!</definedName>
    <definedName name="Scenario_25">#REF!</definedName>
    <definedName name="Scenario_26">#REF!</definedName>
    <definedName name="Scenario_27">#REF!</definedName>
    <definedName name="Scenario_28">#REF!</definedName>
    <definedName name="Scenario_31">#REF!</definedName>
    <definedName name="Scenario_32">#REF!</definedName>
    <definedName name="Scenario_33">#REF!</definedName>
    <definedName name="Scenario_34">#REF!</definedName>
    <definedName name="Scenario_35">#REF!</definedName>
    <definedName name="Scenario_36">#REF!</definedName>
    <definedName name="Scenario_37">#REF!</definedName>
    <definedName name="Scenario_38">#REF!</definedName>
    <definedName name="Scenario_39">#REF!</definedName>
    <definedName name="Scenario_41">#REF!</definedName>
    <definedName name="Scenario_42">#REF!</definedName>
    <definedName name="Scenario_43">#REF!</definedName>
    <definedName name="Scenario_44">#REF!</definedName>
    <definedName name="Scenario_51">#REF!</definedName>
    <definedName name="Scenario_52">#REF!</definedName>
    <definedName name="Scenario_53">#REF!</definedName>
    <definedName name="Section">#REF!</definedName>
    <definedName name="SENSITIVITY">#REF!</definedName>
    <definedName name="SENSITIVITY___0">#REF!</definedName>
    <definedName name="sh.equity">[5]Inputs!#REF!</definedName>
    <definedName name="sl">'[20]LBO Summary'!#REF!</definedName>
    <definedName name="snapshotdate" localSheetId="3">#REF!</definedName>
    <definedName name="snapshotdate" localSheetId="2">#REF!</definedName>
    <definedName name="snapshotdate" localSheetId="1">#REF!</definedName>
    <definedName name="snapshotdate">#REF!</definedName>
    <definedName name="sort_range" localSheetId="3">#REF!</definedName>
    <definedName name="sort_range" localSheetId="2">#REF!</definedName>
    <definedName name="sort_range" localSheetId="1">#REF!</definedName>
    <definedName name="sort_range">#REF!</definedName>
    <definedName name="sponsor">'[9]S&amp;U'!$J$21</definedName>
    <definedName name="Start" localSheetId="3">#REF!</definedName>
    <definedName name="Start" localSheetId="2">#REF!</definedName>
    <definedName name="Start" localSheetId="1">#REF!</definedName>
    <definedName name="Start">#REF!</definedName>
    <definedName name="Start_Date">[6]Selections!$C$1</definedName>
    <definedName name="StartDay">[6]Selections!$P$3</definedName>
    <definedName name="StartMonth">[6]Selections!$P$2</definedName>
    <definedName name="StartRefresh" localSheetId="3">'[14]Portfolio Input'!#REF!</definedName>
    <definedName name="StartRefresh" localSheetId="2">'[14]Portfolio Input'!#REF!</definedName>
    <definedName name="StartRefresh" localSheetId="1">'[14]Portfolio Input'!#REF!</definedName>
    <definedName name="StartRefresh">'[14]Portfolio Input'!#REF!</definedName>
    <definedName name="StartYear">[6]Selections!$P$1</definedName>
    <definedName name="Strip_Amount" localSheetId="3">#REF!</definedName>
    <definedName name="Strip_Amount" localSheetId="2">#REF!</definedName>
    <definedName name="Strip_Amount" localSheetId="1">#REF!</definedName>
    <definedName name="Strip_Amount">#REF!</definedName>
    <definedName name="Strip_PV" localSheetId="3">#REF!</definedName>
    <definedName name="Strip_PV" localSheetId="2">#REF!</definedName>
    <definedName name="Strip_PV" localSheetId="1">#REF!</definedName>
    <definedName name="Strip_PV">#REF!</definedName>
    <definedName name="stub" localSheetId="3">#REF!</definedName>
    <definedName name="stub" localSheetId="2">#REF!</definedName>
    <definedName name="stub" localSheetId="1">#REF!</definedName>
    <definedName name="stub">#REF!</definedName>
    <definedName name="stubmonths">'[29]D&amp;A'!$C$5</definedName>
    <definedName name="sub" localSheetId="3">'[20]LBO Summary'!#REF!</definedName>
    <definedName name="sub" localSheetId="2">'[20]LBO Summary'!#REF!</definedName>
    <definedName name="sub" localSheetId="1">'[20]LBO Summary'!#REF!</definedName>
    <definedName name="sub">'[20]LBO Summary'!#REF!</definedName>
    <definedName name="subdebtamount">[15]Inputs!$J$26</definedName>
    <definedName name="subdebtdate">[15]Inputs!$J$28</definedName>
    <definedName name="Subhead1">[19]_01_05_v_Wicks_xls__01_05_v_Wic!$N$2</definedName>
    <definedName name="subHeading" localSheetId="3">#REF!</definedName>
    <definedName name="subHeading" localSheetId="2">#REF!</definedName>
    <definedName name="subHeading" localSheetId="1">#REF!</definedName>
    <definedName name="subHeading">#REF!</definedName>
    <definedName name="summary" localSheetId="3">#REF!</definedName>
    <definedName name="summary" localSheetId="2">#REF!</definedName>
    <definedName name="summary" localSheetId="1">#REF!</definedName>
    <definedName name="summary">#REF!</definedName>
    <definedName name="support" localSheetId="3">#REF!</definedName>
    <definedName name="support" localSheetId="2">#REF!</definedName>
    <definedName name="support" localSheetId="1">#REF!</definedName>
    <definedName name="support">#REF!</definedName>
    <definedName name="sweep___9" localSheetId="3">[30]COVS_ACTUAL!#REF!</definedName>
    <definedName name="sweep___9" localSheetId="2">[30]COVS_ACTUAL!#REF!</definedName>
    <definedName name="sweep___9" localSheetId="1">[30]COVS_ACTUAL!#REF!</definedName>
    <definedName name="sweep___9">[30]COVS_ACTUAL!#REF!</definedName>
    <definedName name="target" localSheetId="3">#REF!</definedName>
    <definedName name="target" localSheetId="2">#REF!</definedName>
    <definedName name="target" localSheetId="1">#REF!</definedName>
    <definedName name="target">#REF!</definedName>
    <definedName name="tax" localSheetId="3">[31]ISCF!#REF!</definedName>
    <definedName name="tax" localSheetId="2">[31]ISCF!#REF!</definedName>
    <definedName name="tax" localSheetId="1">[31]ISCF!#REF!</definedName>
    <definedName name="tax">[31]ISCF!#REF!</definedName>
    <definedName name="Taxes_Receivable_Sales" localSheetId="3">'[4]Tanning Assumptions'!#REF!</definedName>
    <definedName name="Taxes_Receivable_Sales" localSheetId="2">'[4]Tanning Assumptions'!#REF!</definedName>
    <definedName name="Taxes_Receivable_Sales" localSheetId="1">'[4]Tanning Assumptions'!#REF!</definedName>
    <definedName name="Taxes_Receivable_Sales">'[4]Tanning Assumptions'!#REF!</definedName>
    <definedName name="Test" localSheetId="3">#REF!</definedName>
    <definedName name="Test" localSheetId="2">#REF!</definedName>
    <definedName name="Test" localSheetId="1">#REF!</definedName>
    <definedName name="Test">#REF!</definedName>
    <definedName name="tgt" localSheetId="3">#REF!</definedName>
    <definedName name="tgt" localSheetId="2">#REF!</definedName>
    <definedName name="tgt" localSheetId="1">#REF!</definedName>
    <definedName name="tgt">#REF!</definedName>
    <definedName name="ticker1">[2]Inputs!$E$11</definedName>
    <definedName name="ticker10">[2]Inputs!$E$470</definedName>
    <definedName name="ticker11">[2]Inputs!$E$521</definedName>
    <definedName name="ticker12">[2]Inputs!$E$572</definedName>
    <definedName name="ticker13">[2]Inputs!$E$623</definedName>
    <definedName name="ticker14">[2]Inputs!$E$674</definedName>
    <definedName name="ticker15">[2]Inputs!$E$725</definedName>
    <definedName name="ticker2">[2]Inputs!$E$62</definedName>
    <definedName name="ticker3">[2]Inputs!$E$113</definedName>
    <definedName name="ticker4">[2]Inputs!$E$164</definedName>
    <definedName name="ticker5">[2]Inputs!$E$215</definedName>
    <definedName name="ticker6">[2]Inputs!$E$266</definedName>
    <definedName name="ticker7">[2]Inputs!$E$317</definedName>
    <definedName name="ticker8">[2]Inputs!$E$368</definedName>
    <definedName name="ticker9">[2]Inputs!$E$419</definedName>
    <definedName name="TimeEnd">[6]Selections!$L$3</definedName>
    <definedName name="TimeStart">[6]Selections!$L$2</definedName>
    <definedName name="title">[28]SUM!$A$2</definedName>
    <definedName name="today" localSheetId="3">#REF!</definedName>
    <definedName name="today" localSheetId="2">#REF!</definedName>
    <definedName name="today" localSheetId="1">#REF!</definedName>
    <definedName name="today">#REF!</definedName>
    <definedName name="top" localSheetId="3">#REF!</definedName>
    <definedName name="top" localSheetId="2">#REF!</definedName>
    <definedName name="top" localSheetId="1">#REF!</definedName>
    <definedName name="top">#REF!</definedName>
    <definedName name="TopIC">'[7]Actual vs Covenant'!$P$31:$Q$38</definedName>
    <definedName name="TopOC">'[7]Actual vs Covenant'!$P$21:$Q$28</definedName>
    <definedName name="TOTAL" localSheetId="3">#REF!</definedName>
    <definedName name="TOTAL" localSheetId="2">#REF!</definedName>
    <definedName name="TOTAL" localSheetId="1">#REF!</definedName>
    <definedName name="TOTAL">#REF!</definedName>
    <definedName name="TOTAL___0" localSheetId="3">#REF!</definedName>
    <definedName name="TOTAL___0" localSheetId="2">#REF!</definedName>
    <definedName name="TOTAL___0" localSheetId="1">#REF!</definedName>
    <definedName name="TOTAL___0">#REF!</definedName>
    <definedName name="Total_Europe" localSheetId="3">#REF!</definedName>
    <definedName name="Total_Europe" localSheetId="2">#REF!</definedName>
    <definedName name="Total_Europe" localSheetId="1">#REF!</definedName>
    <definedName name="Total_Europe">#REF!</definedName>
    <definedName name="TotalRev">#REF!</definedName>
    <definedName name="TradedCash">[6]Principal!$G$5</definedName>
    <definedName name="trigger">[8]OBS!$U$5</definedName>
    <definedName name="TRYN_Top3">[7]TOP10!$S$3</definedName>
    <definedName name="TRYN_Top4">[7]TOP10!$S$8</definedName>
    <definedName name="TryonFitchRatingChartData">[7]TRYN!$G$2:$H$9</definedName>
    <definedName name="TryonFitchRatingChartSerial1">[7]TRYN!$H$2:$H$9</definedName>
    <definedName name="TryonFitchRatingChartXScale">[7]TRYN!$G$2:$G$9</definedName>
    <definedName name="TryonMoodyRatingChartData">[7]TRYN!$A$2:$B$15</definedName>
    <definedName name="TryonMoodyRatingChartSerial1">[7]TRYN!$B$2:$B$15</definedName>
    <definedName name="TryonMoodyRatingChartXScale">[7]TRYN!$A$2:$A$15</definedName>
    <definedName name="TryonSPRatingChartData">[7]TRYN!$D$2:$E$15</definedName>
    <definedName name="TryonSPRatingChartSerial1">[7]TRYN!$E$2:$E$15</definedName>
    <definedName name="TryonSPRatingChartXScale">[7]TRYN!$D$2:$D$15</definedName>
    <definedName name="units">'[9]S&amp;U'!$K$2</definedName>
    <definedName name="version">[28]SUM!$AE$2</definedName>
    <definedName name="version___0">[8]CONTROL!$D$9</definedName>
    <definedName name="WACActual">OFFSET([6]WACTrends!$C$2,0,0,COUNTA([6]WACTrends!$C$1:$C$65536)-1)</definedName>
    <definedName name="WACCovenant">OFFSET([6]WACTrends!$D$2,0,0,COUNTA([6]WACTrends!$D$1:$D$65536)-1)</definedName>
    <definedName name="WACDate">OFFSET([6]WACTrends!$B$2,0,0,COUNTA([6]WACTrends!$B$1:$B$65536)-1)</definedName>
    <definedName name="WALActual">OFFSET([6]WALTrends!$C$2,0,0,COUNTA([6]WALTrends!$C$1:$C$65536)-1)</definedName>
    <definedName name="WALCovenant">OFFSET([6]WALTrends!$D$2,0,0,COUNTA([6]WALTrends!$D$1:$D$65536)-1)</definedName>
    <definedName name="WALDate">OFFSET([6]WALTrends!$B$2,0,0,COUNTA([6]WALTrends!$B$1:$B$65536)-1)</definedName>
    <definedName name="WARFActual">OFFSET([6]WARFTrends!$C$2,0,0,COUNTA([6]WARFTrends!$C$1:$C$65536)-1)</definedName>
    <definedName name="WARFCovenant">OFFSET([6]WARFTrends!$D$2,0,0,COUNTA([6]WARFTrends!$D$1:$D$65536)-1)</definedName>
    <definedName name="WARFDate">OFFSET([6]WARFTrends!$B$2,0,0,COUNTA([6]WARFTrends!$B$1:$B$65536)-1)</definedName>
    <definedName name="WARFFitchActual">OFFSET([6]WARFFitchTrends!$C$2,0,0,COUNTA([6]WARFFitchTrends!$C$1:$C$65536)-1)</definedName>
    <definedName name="WARFFitchCovenant">OFFSET([6]WARFFitchTrends!$D$2,0,0,COUNTA([6]WARFFitchTrends!$D$1:$D$65536)-1)</definedName>
    <definedName name="WARFFitchDate">OFFSET([6]WARFFitchTrends!$B$2,0,0,COUNTA([6]WARFFitchTrends!$B$1:$B$65536)-1)</definedName>
    <definedName name="warrants">[15]Inputs!$O$13</definedName>
    <definedName name="WASActual">OFFSET([6]WASTrends!$C$2,0,0,COUNTA([6]WASTrends!$C$1:$C$65536)-1)</definedName>
    <definedName name="WASCovenant">OFFSET([6]WASTrends!$D$2,0,0,COUNTA([6]WASTrends!$D$1:$D$65536)-1)</definedName>
    <definedName name="WASDate">OFFSET([6]WASTrends!$B$2,0,0,COUNTA([6]WASTrends!$B$1:$B$65536)-1)</definedName>
    <definedName name="WBMIN" localSheetId="3">'[14]Portfolio Input'!#REF!</definedName>
    <definedName name="WBMIN" localSheetId="2">'[14]Portfolio Input'!#REF!</definedName>
    <definedName name="WBMIN" localSheetId="1">'[14]Portfolio Input'!#REF!</definedName>
    <definedName name="WBMIN">'[14]Portfolio Input'!#REF!</definedName>
    <definedName name="WHAT_IF" localSheetId="3">#REF!</definedName>
    <definedName name="WHAT_IF" localSheetId="2">#REF!</definedName>
    <definedName name="WHAT_IF" localSheetId="1">#REF!</definedName>
    <definedName name="WHAT_IF">#REF!</definedName>
    <definedName name="WHAT_IF___0" localSheetId="3">#REF!</definedName>
    <definedName name="WHAT_IF___0" localSheetId="2">#REF!</definedName>
    <definedName name="WHAT_IF___0" localSheetId="1">#REF!</definedName>
    <definedName name="WHAT_IF___0">#REF!</definedName>
    <definedName name="whec">[28]WHEC!$AX$2</definedName>
    <definedName name="wicksequity">[15]Inputs!$E$35</definedName>
    <definedName name="WORKING_CAPITAL" localSheetId="3">#REF!</definedName>
    <definedName name="WORKING_CAPITAL" localSheetId="2">#REF!</definedName>
    <definedName name="WORKING_CAPITAL" localSheetId="1">#REF!</definedName>
    <definedName name="WORKING_CAPITAL">#REF!</definedName>
    <definedName name="WORKING_CAPITAL___0" localSheetId="3">#REF!</definedName>
    <definedName name="WORKING_CAPITAL___0" localSheetId="2">#REF!</definedName>
    <definedName name="WORKING_CAPITAL___0" localSheetId="1">#REF!</definedName>
    <definedName name="WORKING_CAPITAL___0">#REF!</definedName>
    <definedName name="wrn.Alloutput." localSheetId="3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" localSheetId="2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" localSheetId="1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Alloutput." hidden="1">{#N/A,#N/A,TRUE,"Deal Summary";#N/A,#N/A,TRUE,"CGIC &amp;PLICO Results";#N/A,#N/A,TRUE,"Consolidated Results";#N/A,#N/A,TRUE,"Consolidated Sources_Uses";#N/A,#N/A,TRUE,"BS";#N/A,#N/A,TRUE,"Income Statement";#N/A,#N/A,TRUE,"Accretion_Dilution";#N/A,#N/A,TRUE,"Matrix";#N/A,#N/A,TRUE,"Purchase_sensitivity";#N/A,#N/A,TRUE,"TEMPLATE";#N/A,#N/A,TRUE,"NII Reconc";#N/A,#N/A,TRUE,"CG Rollup";#N/A,#N/A,TRUE,"PYR Rollup";#N/A,#N/A,TRUE,"CG New MS";#N/A,#N/A,TRUE,"CG &amp; PYR Stat Info ----&gt;";#N/A,#N/A,TRUE,"CG Med Sup";#N/A,#N/A,TRUE,"CG DI";#N/A,#N/A,TRUE,"CG A&amp;H";#N/A,#N/A,TRUE,"CG LT Care";#N/A,#N/A,TRUE,"CG Universal";#N/A,#N/A,TRUE,"CG Annuities";#N/A,#N/A,TRUE,"PYR MED SUP";#N/A,#N/A,TRUE,"PYR MED SEL";#N/A,#N/A,TRUE,"PYR LT Care";#N/A,#N/A,TRUE,"PYR Universal";#N/A,#N/A,TRUE,"PYR Universal";#N/A,#N/A,TRUE,"PYR Other A&amp;H";#N/A,#N/A,TRUE,"PYR Annuities";#N/A,#N/A,TRUE,"PYR Other Life";#N/A,#N/A,TRUE,"UHCO Statutory Info ----&gt;";#N/A,#N/A,TRUE,"UHCO Source_Use";#N/A,#N/A,TRUE,"UHCO_Debt Paydown";#N/A,#N/A,TRUE,"Union Bankers";#N/A,#N/A,TRUE,"Penn Life";#N/A,#N/A,TRUE,"Constitution"}</definedName>
    <definedName name="wrn.CGIC._.PLICO._.Statutory._.Results." localSheetId="3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" localSheetId="2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" localSheetId="1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GIC._.PLICO._.Statutory._.Results." hidden="1">{#N/A,#N/A,FALSE,"TEMPLATE";#N/A,#N/A,FALSE,"CG Rollup";#N/A,#N/A,FALSE,"PYR Rollup";#N/A,#N/A,FALSE,"CG New MS";#N/A,#N/A,FALSE,"CG &amp; PYR Stat Info ----&gt;";#N/A,#N/A,FALSE,"CG Med Sup";#N/A,#N/A,FALSE,"CG DI";#N/A,#N/A,FALSE,"CG A&amp;H";#N/A,#N/A,FALSE,"CG LT Care";#N/A,#N/A,FALSE,"CG Universal";#N/A,#N/A,FALSE,"CG Universal";#N/A,#N/A,FALSE,"CG Annuities";#N/A,#N/A,FALSE,"PYR MED SUP";#N/A,#N/A,FALSE,"PYR MED SEL";#N/A,#N/A,FALSE,"PYR LT Care";#N/A,#N/A,FALSE,"PYR Universal";#N/A,#N/A,FALSE,"PYR Other A&amp;H";#N/A,#N/A,FALSE,"PYR Annuities";#N/A,#N/A,FALSE,"PYR Other Life"}</definedName>
    <definedName name="wrn.CIS." localSheetId="3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" localSheetId="2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" localSheetId="1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IS." hidden="1">{"bsheet",#N/A,FALSE,"Present";"income",#N/A,FALSE,"Present";"ratios1",#N/A,FALSE,"Present";"expenses",#N/A,FALSE,"Present";"ratios2",#N/A,FALSE,"Present";"cashflow",#N/A,FALSE,"Present";"GAAP",#N/A,FALSE,"Present";"dividends",#N/A,FALSE,"Present";"invest1",#N/A,FALSE,"Present";"earned",#N/A,FALSE,"Present";"reserves1",#N/A,FALSE,"Present";"reserves2",#N/A,FALSE,"Present"}</definedName>
    <definedName name="wrn.crossroads." localSheetId="3" hidden="1">{#N/A,#N/A,FALSE,"RENT ROLL";#N/A,#N/A,FALSE,"CAM";#N/A,#N/A,FALSE,"TAXES";#N/A,#N/A,FALSE,"INSURANCE";#N/A,#N/A,FALSE,"HVAC";#N/A,#N/A,FALSE,"MARKETING"}</definedName>
    <definedName name="wrn.crossroads." localSheetId="2" hidden="1">{#N/A,#N/A,FALSE,"RENT ROLL";#N/A,#N/A,FALSE,"CAM";#N/A,#N/A,FALSE,"TAXES";#N/A,#N/A,FALSE,"INSURANCE";#N/A,#N/A,FALSE,"HVAC";#N/A,#N/A,FALSE,"MARKETING"}</definedName>
    <definedName name="wrn.crossroads." localSheetId="1" hidden="1">{#N/A,#N/A,FALSE,"RENT ROLL";#N/A,#N/A,FALSE,"CAM";#N/A,#N/A,FALSE,"TAXES";#N/A,#N/A,FALSE,"INSURANCE";#N/A,#N/A,FALSE,"HVAC";#N/A,#N/A,FALSE,"MARKETING"}</definedName>
    <definedName name="wrn.crossroads." hidden="1">{#N/A,#N/A,FALSE,"RENT ROLL";#N/A,#N/A,FALSE,"CAM";#N/A,#N/A,FALSE,"TAXES";#N/A,#N/A,FALSE,"INSURANCE";#N/A,#N/A,FALSE,"HVAC";#N/A,#N/A,FALSE,"MARKETING"}</definedName>
    <definedName name="wrn.crossroads2" localSheetId="3" hidden="1">{#N/A,#N/A,FALSE,"RENT ROLL";#N/A,#N/A,FALSE,"CAM";#N/A,#N/A,FALSE,"TAXES";#N/A,#N/A,FALSE,"INSURANCE";#N/A,#N/A,FALSE,"HVAC";#N/A,#N/A,FALSE,"MARKETING"}</definedName>
    <definedName name="wrn.crossroads2" localSheetId="2" hidden="1">{#N/A,#N/A,FALSE,"RENT ROLL";#N/A,#N/A,FALSE,"CAM";#N/A,#N/A,FALSE,"TAXES";#N/A,#N/A,FALSE,"INSURANCE";#N/A,#N/A,FALSE,"HVAC";#N/A,#N/A,FALSE,"MARKETING"}</definedName>
    <definedName name="wrn.crossroads2" localSheetId="1" hidden="1">{#N/A,#N/A,FALSE,"RENT ROLL";#N/A,#N/A,FALSE,"CAM";#N/A,#N/A,FALSE,"TAXES";#N/A,#N/A,FALSE,"INSURANCE";#N/A,#N/A,FALSE,"HVAC";#N/A,#N/A,FALSE,"MARKETING"}</definedName>
    <definedName name="wrn.crossroads2" hidden="1">{#N/A,#N/A,FALSE,"RENT ROLL";#N/A,#N/A,FALSE,"CAM";#N/A,#N/A,FALSE,"TAXES";#N/A,#N/A,FALSE,"INSURANCE";#N/A,#N/A,FALSE,"HVAC";#N/A,#N/A,FALSE,"MARKETING"}</definedName>
    <definedName name="wrn.dcf." localSheetId="3" hidden="1">{"mgmt forecast",#N/A,FALSE,"Mgmt Forecast";"dcf table",#N/A,FALSE,"Mgmt Forecast";"sensitivity",#N/A,FALSE,"Mgmt Forecast";"table inputs",#N/A,FALSE,"Mgmt Forecast";"calculations",#N/A,FALSE,"Mgmt Forecast"}</definedName>
    <definedName name="wrn.dcf." localSheetId="2" hidden="1">{"mgmt forecast",#N/A,FALSE,"Mgmt Forecast";"dcf table",#N/A,FALSE,"Mgmt Forecast";"sensitivity",#N/A,FALSE,"Mgmt Forecast";"table inputs",#N/A,FALSE,"Mgmt Forecast";"calculations",#N/A,FALSE,"Mgmt Forecast"}</definedName>
    <definedName name="wrn.dcf." localSheetId="1" hidden="1">{"mgmt forecast",#N/A,FALSE,"Mgmt Forecast";"dcf table",#N/A,FALSE,"Mgmt Forecast";"sensitivity",#N/A,FALSE,"Mgmt Forecast";"table inputs",#N/A,FALSE,"Mgmt Forecast";"calculations",#N/A,FALSE,"Mgmt Forecast"}</definedName>
    <definedName name="wrn.dcf." hidden="1">{"mgmt forecast",#N/A,FALSE,"Mgmt Forecast";"dcf table",#N/A,FALSE,"Mgmt Forecast";"sensitivity",#N/A,FALSE,"Mgmt Forecast";"table inputs",#N/A,FALSE,"Mgmt Forecast";"calculations",#N/A,FALSE,"Mgmt Forecast"}</definedName>
    <definedName name="wrn.print._.graphs." localSheetId="3" hidden="1">{"cap_structure",#N/A,FALSE,"Graph-Mkt Cap";"price",#N/A,FALSE,"Graph-Price";"ebit",#N/A,FALSE,"Graph-EBITDA";"ebitda",#N/A,FALSE,"Graph-EBITDA"}</definedName>
    <definedName name="wrn.print._.graphs." localSheetId="2" hidden="1">{"cap_structure",#N/A,FALSE,"Graph-Mkt Cap";"price",#N/A,FALSE,"Graph-Price";"ebit",#N/A,FALSE,"Graph-EBITDA";"ebitda",#N/A,FALSE,"Graph-EBITDA"}</definedName>
    <definedName name="wrn.print._.graphs." localSheetId="1" hidden="1">{"cap_structure",#N/A,FALSE,"Graph-Mkt Cap";"price",#N/A,FALSE,"Graph-Price";"ebit",#N/A,FALSE,"Graph-EBITDA";"ebitda",#N/A,FALSE,"Graph-EBITDA"}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localSheetId="3" hidden="1">{"inputs raw data",#N/A,TRUE,"INPUT"}</definedName>
    <definedName name="wrn.print._.raw._.data._.entry." localSheetId="2" hidden="1">{"inputs raw data",#N/A,TRUE,"INPUT"}</definedName>
    <definedName name="wrn.print._.raw._.data._.entry." localSheetId="1" hidden="1">{"inputs raw data",#N/A,TRUE,"INPUT"}</definedName>
    <definedName name="wrn.print._.raw._.data._.entry." hidden="1">{"inputs raw data",#N/A,TRUE,"INPUT"}</definedName>
    <definedName name="wrn.print._.summary._.sheets." localSheetId="3" hidden="1">{"summary1",#N/A,TRUE,"Comps";"summary2",#N/A,TRUE,"Comps";"summary3",#N/A,TRUE,"Comps"}</definedName>
    <definedName name="wrn.print._.summary._.sheets." localSheetId="2" hidden="1">{"summary1",#N/A,TRUE,"Comps";"summary2",#N/A,TRUE,"Comps";"summary3",#N/A,TRUE,"Comps"}</definedName>
    <definedName name="wrn.print._.summary._.sheets." localSheetId="1" hidden="1">{"summary1",#N/A,TRUE,"Comps";"summary2",#N/A,TRUE,"Comps";"summary3",#N/A,TRUE,"Comps"}</definedName>
    <definedName name="wrn.print._.summary._.sheets." hidden="1">{"summary1",#N/A,TRUE,"Comps";"summary2",#N/A,TRUE,"Comps";"summary3",#N/A,TRUE,"Comps"}</definedName>
    <definedName name="wrn.quick." localSheetId="3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" localSheetId="2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" localSheetId="1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quick." hidden="1">{"bsheet",#N/A,FALSE,"TEMPLATE";"income",#N/A,FALSE,"TEMPLATE";"ratios1",#N/A,FALSE,"TEMPLATE";"ratios2",#N/A,FALSE,"TEMPLATE";"cashflow",#N/A,FALSE,"TEMPLATE";"taxes",#N/A,FALSE,"TEMPLATE";"earned",#N/A,FALSE,"TEMPLATE";"GAAP",#N/A,FALSE,"TEMPLATE";"dividends",#N/A,FALSE,"TEMPLATE";"invest1",#N/A,FALSE,"TEMPLATE";"bonds1",#N/A,FALSE,"TEMPLATE";"bonds2",#N/A,FALSE,"TEMPLATE";"reserves1",#N/A,FALSE,"TEMPLATE";"reserves2",#N/A,FALSE,"TEMPLATE";"reserves3",#N/A,FALSE,"TEMPLATE"}</definedName>
    <definedName name="wrn.Sales._.Activity." localSheetId="3" hidden="1">{#N/A,#N/A,FALSE,"Integration Systems"}</definedName>
    <definedName name="wrn.Sales._.Activity." localSheetId="2" hidden="1">{#N/A,#N/A,FALSE,"Integration Systems"}</definedName>
    <definedName name="wrn.Sales._.Activity." localSheetId="1" hidden="1">{#N/A,#N/A,FALSE,"Integration Systems"}</definedName>
    <definedName name="wrn.Sales._.Activity." hidden="1">{#N/A,#N/A,FALSE,"Integration Systems"}</definedName>
    <definedName name="wrn.Summary." localSheetId="3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Summary." localSheetId="2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Summary." localSheetId="1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Summary." hidden="1">{#N/A,#N/A,FALSE,"Deal Summary";#N/A,#N/A,FALSE,"CGIC &amp;PLICO Results";#N/A,#N/A,FALSE,"Consolidated Results";#N/A,#N/A,FALSE,"Consolidated Source_Uses&amp;Debt ";#N/A,#N/A,FALSE,"Bal_Sht";#N/A,#N/A,FALSE,"Income Statement";#N/A,#N/A,FALSE,"Accretion_Dilution";#N/A,#N/A,FALSE,"Matrix";#N/A,#N/A,FALSE,"Purchase_sensitivity"}</definedName>
    <definedName name="wrn.UHCO._.Statutory._.Results." localSheetId="3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" localSheetId="2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" localSheetId="1" hidden="1">{#N/A,#N/A,FALSE,"UHCO Statutory Info ----&gt;";#N/A,#N/A,FALSE,"UHCO Source_Use";#N/A,#N/A,FALSE,"UHCO_Debt Paydown";#N/A,#N/A,FALSE,"Union Bankers";#N/A,#N/A,FALSE,"Penn Life";#N/A,#N/A,FALSE,"Constitution"}</definedName>
    <definedName name="wrn.UHCO._.Statutory._.Results." hidden="1">{#N/A,#N/A,FALSE,"UHCO Statutory Info ----&gt;";#N/A,#N/A,FALSE,"UHCO Source_Use";#N/A,#N/A,FALSE,"UHCO_Debt Paydown";#N/A,#N/A,FALSE,"Union Bankers";#N/A,#N/A,FALSE,"Penn Life";#N/A,#N/A,FALSE,"Constitution"}</definedName>
    <definedName name="wrn.Weekly._.Inventory._.Report." localSheetId="3" hidden="1">{#N/A,#N/A,FALSE,"Combo"}</definedName>
    <definedName name="wrn.Weekly._.Inventory._.Report." localSheetId="2" hidden="1">{#N/A,#N/A,FALSE,"Combo"}</definedName>
    <definedName name="wrn.Weekly._.Inventory._.Report." localSheetId="1" hidden="1">{#N/A,#N/A,FALSE,"Combo"}</definedName>
    <definedName name="wrn.Weekly._.Inventory._.Report." hidden="1">{#N/A,#N/A,FALSE,"Combo"}</definedName>
    <definedName name="wvu.inputs._.raw._.data." localSheetId="3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localSheetId="2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localSheetId="1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localSheetId="3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localSheetId="2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localSheetId="1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localSheetId="3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localSheetId="2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localSheetId="1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localSheetId="3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localSheetId="2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localSheetId="1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zip" localSheetId="3">#REF!</definedName>
    <definedName name="zip" localSheetId="2">#REF!</definedName>
    <definedName name="zip" localSheetId="1">#REF!</definedName>
    <definedName name="zip">#REF!</definedName>
  </definedNames>
  <calcPr calcId="191028"/>
  <customWorkbookViews>
    <customWorkbookView name="Crisil GR&amp;A - Personal View" guid="{46EB06C9-2753-4B8D-B228-9BDD8DF82F27}" mergeInterval="0" personalView="1" maximized="1" xWindow="-8" yWindow="-8" windowWidth="1296" windowHeight="1000" activeSheetId="1"/>
  </customWorkbookView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2" i="8" l="1"/>
  <c r="H71" i="8"/>
  <c r="H70" i="8"/>
  <c r="H69" i="8"/>
  <c r="H68" i="8"/>
  <c r="H67" i="8"/>
  <c r="H66" i="8"/>
  <c r="G73" i="8"/>
  <c r="F73" i="8"/>
  <c r="E73" i="8"/>
  <c r="D73" i="8"/>
  <c r="C73" i="8"/>
  <c r="Q156" i="6"/>
  <c r="G156" i="6" s="1"/>
  <c r="Q153" i="6"/>
  <c r="G153" i="6" s="1"/>
  <c r="Q152" i="6"/>
  <c r="Q148" i="6"/>
  <c r="Q147" i="6"/>
  <c r="G147" i="6" s="1"/>
  <c r="Q140" i="6"/>
  <c r="G140" i="6" s="1"/>
  <c r="Q139" i="6"/>
  <c r="Q134" i="6"/>
  <c r="Q131" i="6"/>
  <c r="G131" i="6" s="1"/>
  <c r="Q121" i="6"/>
  <c r="G121" i="6" s="1"/>
  <c r="Q120" i="6"/>
  <c r="G120" i="6" s="1"/>
  <c r="Q119" i="6"/>
  <c r="Q118" i="6"/>
  <c r="G118" i="6" s="1"/>
  <c r="C28" i="8"/>
  <c r="C26" i="8"/>
  <c r="D9" i="8"/>
  <c r="J11" i="8"/>
  <c r="J4" i="8"/>
  <c r="J3" i="8"/>
  <c r="G22" i="13"/>
  <c r="G21" i="13"/>
  <c r="G20" i="13"/>
  <c r="G19" i="13"/>
  <c r="G18" i="13"/>
  <c r="G17" i="13"/>
  <c r="G16" i="13"/>
  <c r="G15" i="13"/>
  <c r="G14" i="13"/>
  <c r="G13" i="13"/>
  <c r="G12" i="13"/>
  <c r="G11" i="13"/>
  <c r="G10" i="13"/>
  <c r="G9" i="13"/>
  <c r="G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8" i="13"/>
  <c r="Q23" i="13" s="1"/>
  <c r="Q24" i="13" s="1"/>
  <c r="S23" i="13"/>
  <c r="S24" i="13" s="1"/>
  <c r="G3" i="13"/>
  <c r="Q136" i="12"/>
  <c r="Q134" i="12"/>
  <c r="Q133" i="12"/>
  <c r="Q130" i="12"/>
  <c r="Q128" i="12"/>
  <c r="Q127" i="12"/>
  <c r="Q122" i="12"/>
  <c r="G122" i="12"/>
  <c r="S124" i="12"/>
  <c r="G107" i="12"/>
  <c r="G106" i="12"/>
  <c r="G105" i="12"/>
  <c r="G104" i="12"/>
  <c r="G103" i="12"/>
  <c r="G102" i="12"/>
  <c r="G101" i="12"/>
  <c r="G100" i="12"/>
  <c r="Q107" i="12"/>
  <c r="Q106" i="12"/>
  <c r="Q105" i="12"/>
  <c r="Q104" i="12"/>
  <c r="Q103" i="12"/>
  <c r="Q102" i="12"/>
  <c r="Q101" i="12"/>
  <c r="Q100" i="12"/>
  <c r="S108" i="12"/>
  <c r="S109" i="12" s="1"/>
  <c r="S99" i="12"/>
  <c r="G75" i="12"/>
  <c r="G74" i="12"/>
  <c r="G73" i="12"/>
  <c r="G72" i="12"/>
  <c r="G71" i="12"/>
  <c r="G70" i="12"/>
  <c r="G69" i="12"/>
  <c r="G67" i="12"/>
  <c r="G66" i="12"/>
  <c r="G65" i="12"/>
  <c r="G64" i="12"/>
  <c r="G63" i="12"/>
  <c r="G62" i="12"/>
  <c r="G61" i="12"/>
  <c r="Q75" i="12"/>
  <c r="Q74" i="12"/>
  <c r="Q73" i="12"/>
  <c r="Q72" i="12"/>
  <c r="Q71" i="12"/>
  <c r="Q70" i="12"/>
  <c r="Q69" i="12"/>
  <c r="Q68" i="12" s="1"/>
  <c r="Q76" i="12" s="1"/>
  <c r="Q67" i="12"/>
  <c r="Q66" i="12"/>
  <c r="Q65" i="12"/>
  <c r="Q64" i="12"/>
  <c r="Q63" i="12"/>
  <c r="Q62" i="12"/>
  <c r="Q61" i="12"/>
  <c r="Q60" i="12" s="1"/>
  <c r="G95" i="12"/>
  <c r="G94" i="12"/>
  <c r="G93" i="12"/>
  <c r="G92" i="12"/>
  <c r="G91" i="12"/>
  <c r="G90" i="12"/>
  <c r="G89" i="12"/>
  <c r="Q95" i="12"/>
  <c r="Q94" i="12"/>
  <c r="Q93" i="12"/>
  <c r="Q92" i="12"/>
  <c r="Q91" i="12"/>
  <c r="Q90" i="12"/>
  <c r="Q89" i="12"/>
  <c r="Q96" i="12" s="1"/>
  <c r="S96" i="12"/>
  <c r="S86" i="12"/>
  <c r="S68" i="12"/>
  <c r="S60" i="12"/>
  <c r="S76" i="12" s="1"/>
  <c r="G55" i="12"/>
  <c r="G54" i="12"/>
  <c r="G53" i="12"/>
  <c r="G52" i="12"/>
  <c r="G51" i="12"/>
  <c r="G50" i="12"/>
  <c r="G49" i="12"/>
  <c r="Q55" i="12"/>
  <c r="Q54" i="12"/>
  <c r="Q53" i="12"/>
  <c r="Q52" i="12"/>
  <c r="Q51" i="12"/>
  <c r="Q50" i="12"/>
  <c r="Q49" i="12"/>
  <c r="S56" i="12"/>
  <c r="S57" i="12" s="1"/>
  <c r="Q34" i="12"/>
  <c r="G34" i="12" s="1"/>
  <c r="Q33" i="12"/>
  <c r="G33" i="12" s="1"/>
  <c r="Q32" i="12"/>
  <c r="G32" i="12" s="1"/>
  <c r="Q31" i="12"/>
  <c r="G31" i="12" s="1"/>
  <c r="Q30" i="12"/>
  <c r="G30" i="12" s="1"/>
  <c r="Q29" i="12"/>
  <c r="G29" i="12" s="1"/>
  <c r="Q28" i="12"/>
  <c r="S35" i="12"/>
  <c r="G11" i="12"/>
  <c r="G10" i="12"/>
  <c r="G9" i="12"/>
  <c r="Q11" i="12"/>
  <c r="Q10" i="12"/>
  <c r="Q9" i="12"/>
  <c r="Q22" i="12" s="1"/>
  <c r="P22" i="12"/>
  <c r="P23" i="12"/>
  <c r="P24" i="12"/>
  <c r="P25" i="12"/>
  <c r="S16" i="12"/>
  <c r="S17" i="12"/>
  <c r="S18" i="12"/>
  <c r="S19" i="12"/>
  <c r="S13" i="12"/>
  <c r="S12" i="12"/>
  <c r="G3" i="12"/>
  <c r="Q99" i="12"/>
  <c r="Q108" i="12" s="1"/>
  <c r="Q86" i="12"/>
  <c r="Q56" i="12"/>
  <c r="Q57" i="12" s="1"/>
  <c r="Q24" i="12"/>
  <c r="Q23" i="12"/>
  <c r="Q12" i="12"/>
  <c r="G100" i="6"/>
  <c r="Q100" i="6"/>
  <c r="Q315" i="6"/>
  <c r="E240" i="6"/>
  <c r="E239" i="6"/>
  <c r="G240" i="6"/>
  <c r="G239" i="6"/>
  <c r="Q219" i="6"/>
  <c r="S149" i="6"/>
  <c r="S141" i="6"/>
  <c r="S133" i="6"/>
  <c r="S145" i="6" s="1"/>
  <c r="S130" i="6"/>
  <c r="S118" i="6"/>
  <c r="Q103" i="6"/>
  <c r="Q98" i="6"/>
  <c r="Q215" i="6" s="1"/>
  <c r="Q97" i="6"/>
  <c r="Q95" i="6"/>
  <c r="Q94" i="6"/>
  <c r="Q93" i="6"/>
  <c r="Q210" i="6" s="1"/>
  <c r="Q92" i="6"/>
  <c r="Q209" i="6" s="1"/>
  <c r="Q91" i="6"/>
  <c r="Q208" i="6" s="1"/>
  <c r="Q89" i="6"/>
  <c r="Q206" i="6" s="1"/>
  <c r="Q88" i="6"/>
  <c r="Q205" i="6" s="1"/>
  <c r="Q87" i="6"/>
  <c r="Q204" i="6" s="1"/>
  <c r="Q85" i="6"/>
  <c r="Q84" i="6"/>
  <c r="Q83" i="6"/>
  <c r="S103" i="6"/>
  <c r="S100" i="6"/>
  <c r="S97" i="6"/>
  <c r="S95" i="6"/>
  <c r="S94" i="6"/>
  <c r="S87" i="6"/>
  <c r="S83" i="6"/>
  <c r="Q74" i="6"/>
  <c r="Q68" i="6"/>
  <c r="Q10" i="6"/>
  <c r="Q9" i="6"/>
  <c r="Q8" i="6"/>
  <c r="Q7" i="6" s="1"/>
  <c r="S122" i="6"/>
  <c r="S116" i="6"/>
  <c r="S105" i="6"/>
  <c r="S81" i="6"/>
  <c r="S82" i="6"/>
  <c r="S66" i="6"/>
  <c r="S45" i="6"/>
  <c r="S7" i="6"/>
  <c r="Q212" i="6"/>
  <c r="Q211" i="6"/>
  <c r="Q200" i="6"/>
  <c r="Q239" i="6"/>
  <c r="Q240" i="6"/>
  <c r="G3" i="6"/>
  <c r="Q258" i="6"/>
  <c r="Q244" i="6"/>
  <c r="Q202" i="6"/>
  <c r="Q201" i="6"/>
  <c r="Q189" i="6"/>
  <c r="Q182" i="6"/>
  <c r="Q175" i="6"/>
  <c r="Q158" i="6"/>
  <c r="Q130" i="6"/>
  <c r="Q116" i="6"/>
  <c r="Q107" i="6"/>
  <c r="Q105" i="6"/>
  <c r="Q81" i="6"/>
  <c r="Q66" i="6"/>
  <c r="C154" i="8"/>
  <c r="P239" i="6"/>
  <c r="P240" i="6"/>
  <c r="F240" i="6" s="1"/>
  <c r="E132" i="8"/>
  <c r="D132" i="8"/>
  <c r="E129" i="8"/>
  <c r="D129" i="8"/>
  <c r="E125" i="8"/>
  <c r="E133" i="8" s="1"/>
  <c r="D125" i="8"/>
  <c r="E118" i="8"/>
  <c r="D118" i="8"/>
  <c r="C93" i="8"/>
  <c r="C112" i="8"/>
  <c r="C96" i="8"/>
  <c r="C88" i="8"/>
  <c r="J87" i="8"/>
  <c r="C85" i="8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F23" i="13"/>
  <c r="F24" i="13" s="1"/>
  <c r="P107" i="12"/>
  <c r="P106" i="12"/>
  <c r="P105" i="12"/>
  <c r="P104" i="12"/>
  <c r="P103" i="12"/>
  <c r="P102" i="12"/>
  <c r="P101" i="12"/>
  <c r="P100" i="12"/>
  <c r="P95" i="12"/>
  <c r="P94" i="12"/>
  <c r="P93" i="12"/>
  <c r="P92" i="12"/>
  <c r="P91" i="12"/>
  <c r="P90" i="12"/>
  <c r="P89" i="12"/>
  <c r="P85" i="12"/>
  <c r="P84" i="12"/>
  <c r="P83" i="12"/>
  <c r="P82" i="12"/>
  <c r="G82" i="12" s="1"/>
  <c r="P81" i="12"/>
  <c r="P80" i="12"/>
  <c r="G80" i="12" s="1"/>
  <c r="P79" i="12"/>
  <c r="P86" i="12" s="1"/>
  <c r="G85" i="12"/>
  <c r="G84" i="12"/>
  <c r="G83" i="12"/>
  <c r="G81" i="12"/>
  <c r="P75" i="12"/>
  <c r="P74" i="12"/>
  <c r="P73" i="12"/>
  <c r="P72" i="12"/>
  <c r="P71" i="12"/>
  <c r="P70" i="12"/>
  <c r="P69" i="12"/>
  <c r="P67" i="12"/>
  <c r="P66" i="12"/>
  <c r="P65" i="12"/>
  <c r="P64" i="12"/>
  <c r="P63" i="12"/>
  <c r="P62" i="12"/>
  <c r="P61" i="12"/>
  <c r="P55" i="12"/>
  <c r="P54" i="12"/>
  <c r="P53" i="12"/>
  <c r="P52" i="12"/>
  <c r="P51" i="12"/>
  <c r="P50" i="12"/>
  <c r="P49" i="12"/>
  <c r="P29" i="12"/>
  <c r="P30" i="12"/>
  <c r="P31" i="12"/>
  <c r="P32" i="12"/>
  <c r="P33" i="12"/>
  <c r="P34" i="12"/>
  <c r="P28" i="12"/>
  <c r="P11" i="12"/>
  <c r="P10" i="12"/>
  <c r="P9" i="12"/>
  <c r="P60" i="12"/>
  <c r="F124" i="12"/>
  <c r="F99" i="12"/>
  <c r="F108" i="12" s="1"/>
  <c r="F96" i="12"/>
  <c r="F86" i="12"/>
  <c r="F68" i="12"/>
  <c r="F60" i="12"/>
  <c r="F56" i="12"/>
  <c r="F35" i="12"/>
  <c r="F40" i="12" s="1"/>
  <c r="F24" i="12"/>
  <c r="F23" i="12"/>
  <c r="F22" i="12"/>
  <c r="F12" i="12"/>
  <c r="F18" i="12" s="1"/>
  <c r="P156" i="6"/>
  <c r="P153" i="6"/>
  <c r="P152" i="6"/>
  <c r="P148" i="6"/>
  <c r="P147" i="6"/>
  <c r="P140" i="6"/>
  <c r="P139" i="6"/>
  <c r="P134" i="6"/>
  <c r="P131" i="6"/>
  <c r="P121" i="6"/>
  <c r="P120" i="6"/>
  <c r="P119" i="6"/>
  <c r="F118" i="6"/>
  <c r="P118" i="6" s="1"/>
  <c r="F95" i="6"/>
  <c r="F93" i="6"/>
  <c r="F94" i="6"/>
  <c r="F91" i="6"/>
  <c r="F87" i="6"/>
  <c r="F83" i="6"/>
  <c r="P74" i="6"/>
  <c r="G74" i="6" s="1"/>
  <c r="P68" i="6"/>
  <c r="G68" i="6" s="1"/>
  <c r="P44" i="6"/>
  <c r="P43" i="6"/>
  <c r="P39" i="6"/>
  <c r="P38" i="6"/>
  <c r="P37" i="6"/>
  <c r="P36" i="6"/>
  <c r="P35" i="6"/>
  <c r="P34" i="6"/>
  <c r="P33" i="6"/>
  <c r="P32" i="6"/>
  <c r="P31" i="6"/>
  <c r="P30" i="6"/>
  <c r="P29" i="6"/>
  <c r="P28" i="6"/>
  <c r="P26" i="6"/>
  <c r="P25" i="6"/>
  <c r="P24" i="6"/>
  <c r="P23" i="6"/>
  <c r="P22" i="6"/>
  <c r="P21" i="6"/>
  <c r="P20" i="6"/>
  <c r="P17" i="6"/>
  <c r="P16" i="6"/>
  <c r="P15" i="6"/>
  <c r="P14" i="6"/>
  <c r="P13" i="6"/>
  <c r="P10" i="6"/>
  <c r="P9" i="6"/>
  <c r="P8" i="6"/>
  <c r="H73" i="8" l="1"/>
  <c r="C34" i="8"/>
  <c r="C20" i="8"/>
  <c r="C16" i="8"/>
  <c r="C15" i="8" s="1"/>
  <c r="C11" i="8"/>
  <c r="C33" i="8"/>
  <c r="C21" i="8"/>
  <c r="C19" i="8"/>
  <c r="C13" i="8"/>
  <c r="C12" i="8"/>
  <c r="C10" i="8"/>
  <c r="C9" i="8" s="1"/>
  <c r="C17" i="8" s="1"/>
  <c r="C23" i="8" s="1"/>
  <c r="C35" i="8"/>
  <c r="Q167" i="6"/>
  <c r="Q231" i="6" s="1"/>
  <c r="G152" i="6"/>
  <c r="G167" i="6" s="1"/>
  <c r="G231" i="6" s="1"/>
  <c r="Q222" i="6"/>
  <c r="G148" i="6"/>
  <c r="Q149" i="6"/>
  <c r="C24" i="8" s="1"/>
  <c r="G139" i="6"/>
  <c r="Q141" i="6"/>
  <c r="G134" i="6"/>
  <c r="Q133" i="6"/>
  <c r="Q122" i="6"/>
  <c r="G119" i="6"/>
  <c r="P23" i="13"/>
  <c r="Q109" i="12"/>
  <c r="Q35" i="12"/>
  <c r="G28" i="12"/>
  <c r="S36" i="12"/>
  <c r="S45" i="12"/>
  <c r="S43" i="12"/>
  <c r="S42" i="12"/>
  <c r="S40" i="12"/>
  <c r="S39" i="12"/>
  <c r="S44" i="12"/>
  <c r="S41" i="12"/>
  <c r="Q44" i="12"/>
  <c r="Q43" i="12"/>
  <c r="Q40" i="12"/>
  <c r="Q41" i="12"/>
  <c r="Q36" i="12"/>
  <c r="Q45" i="12"/>
  <c r="Q42" i="12"/>
  <c r="Q39" i="12"/>
  <c r="Q18" i="12"/>
  <c r="Q13" i="12"/>
  <c r="Q16" i="12"/>
  <c r="Q17" i="12"/>
  <c r="G35" i="12"/>
  <c r="P35" i="12"/>
  <c r="P36" i="12" s="1"/>
  <c r="Q145" i="6"/>
  <c r="S144" i="6"/>
  <c r="S146" i="6" s="1"/>
  <c r="S136" i="6"/>
  <c r="S86" i="6"/>
  <c r="S90" i="6" s="1"/>
  <c r="S96" i="6" s="1"/>
  <c r="Q44" i="6"/>
  <c r="G44" i="6" s="1"/>
  <c r="Q43" i="6"/>
  <c r="Q39" i="6"/>
  <c r="Q38" i="6"/>
  <c r="G38" i="6" s="1"/>
  <c r="Q37" i="6"/>
  <c r="Q36" i="6"/>
  <c r="G36" i="6" s="1"/>
  <c r="Q35" i="6"/>
  <c r="Q34" i="6"/>
  <c r="G34" i="6" s="1"/>
  <c r="Q33" i="6"/>
  <c r="Q32" i="6"/>
  <c r="G32" i="6" s="1"/>
  <c r="Q31" i="6"/>
  <c r="Q30" i="6"/>
  <c r="G30" i="6" s="1"/>
  <c r="Q29" i="6"/>
  <c r="Q28" i="6"/>
  <c r="G28" i="6" s="1"/>
  <c r="Q27" i="6"/>
  <c r="Q26" i="6"/>
  <c r="Q25" i="6"/>
  <c r="Q24" i="6"/>
  <c r="Q23" i="6"/>
  <c r="Q22" i="6"/>
  <c r="Q21" i="6"/>
  <c r="Q20" i="6"/>
  <c r="Q17" i="6"/>
  <c r="Q16" i="6"/>
  <c r="Q15" i="6"/>
  <c r="Q14" i="6"/>
  <c r="Q13" i="6"/>
  <c r="Q49" i="6" s="1"/>
  <c r="Q82" i="6"/>
  <c r="Q75" i="6"/>
  <c r="Q196" i="6" s="1"/>
  <c r="G23" i="6"/>
  <c r="G21" i="6"/>
  <c r="G37" i="6"/>
  <c r="G39" i="6"/>
  <c r="G35" i="6"/>
  <c r="G33" i="6"/>
  <c r="G31" i="6"/>
  <c r="G29" i="6"/>
  <c r="G26" i="6"/>
  <c r="G24" i="6"/>
  <c r="G22" i="6"/>
  <c r="G20" i="6"/>
  <c r="Q18" i="6"/>
  <c r="G17" i="6"/>
  <c r="G16" i="6"/>
  <c r="G15" i="6"/>
  <c r="G14" i="6"/>
  <c r="G13" i="6"/>
  <c r="G10" i="6"/>
  <c r="G9" i="6"/>
  <c r="G8" i="6"/>
  <c r="Q195" i="6"/>
  <c r="C103" i="8"/>
  <c r="S61" i="6"/>
  <c r="S57" i="6"/>
  <c r="S54" i="6"/>
  <c r="S79" i="6"/>
  <c r="S63" i="6"/>
  <c r="S56" i="6"/>
  <c r="S53" i="6"/>
  <c r="S49" i="6"/>
  <c r="S60" i="6"/>
  <c r="S51" i="6"/>
  <c r="S78" i="6"/>
  <c r="S64" i="6"/>
  <c r="S55" i="6"/>
  <c r="S52" i="6"/>
  <c r="S50" i="6"/>
  <c r="S18" i="6"/>
  <c r="S76" i="6"/>
  <c r="Q251" i="6"/>
  <c r="Q144" i="6"/>
  <c r="Q136" i="6"/>
  <c r="P24" i="13"/>
  <c r="Q86" i="6"/>
  <c r="Q199" i="6"/>
  <c r="Q299" i="6"/>
  <c r="Q292" i="6"/>
  <c r="Q301" i="6"/>
  <c r="Q242" i="6"/>
  <c r="Q293" i="6"/>
  <c r="Q268" i="6"/>
  <c r="Q284" i="6"/>
  <c r="Q280" i="6"/>
  <c r="Q275" i="6"/>
  <c r="Q271" i="6"/>
  <c r="Q279" i="6"/>
  <c r="Q277" i="6"/>
  <c r="Q270" i="6"/>
  <c r="Q281" i="6"/>
  <c r="Q264" i="6"/>
  <c r="Q269" i="6"/>
  <c r="Q273" i="6"/>
  <c r="Q274" i="6"/>
  <c r="Q278" i="6"/>
  <c r="Q288" i="6"/>
  <c r="Q58" i="6"/>
  <c r="Q60" i="6"/>
  <c r="Q79" i="6"/>
  <c r="Q78" i="6"/>
  <c r="Q76" i="6"/>
  <c r="Q197" i="6" s="1"/>
  <c r="Q64" i="6"/>
  <c r="Q63" i="6"/>
  <c r="Q61" i="6"/>
  <c r="Q57" i="6"/>
  <c r="Q56" i="6"/>
  <c r="Q55" i="6"/>
  <c r="Q54" i="6"/>
  <c r="Q51" i="6"/>
  <c r="Q261" i="6"/>
  <c r="Q50" i="6"/>
  <c r="Q52" i="6"/>
  <c r="Q53" i="6"/>
  <c r="Q192" i="6"/>
  <c r="Q110" i="6"/>
  <c r="D133" i="8"/>
  <c r="D134" i="8" s="1"/>
  <c r="D138" i="8" s="1"/>
  <c r="E134" i="8"/>
  <c r="E138" i="8" s="1"/>
  <c r="C168" i="8"/>
  <c r="C98" i="8"/>
  <c r="C90" i="8"/>
  <c r="P99" i="12"/>
  <c r="P108" i="12" s="1"/>
  <c r="P96" i="12"/>
  <c r="G79" i="12"/>
  <c r="P68" i="12"/>
  <c r="F76" i="12"/>
  <c r="G68" i="12"/>
  <c r="P76" i="12"/>
  <c r="P56" i="12"/>
  <c r="G56" i="12"/>
  <c r="F41" i="12"/>
  <c r="F43" i="12"/>
  <c r="F17" i="12"/>
  <c r="P12" i="12"/>
  <c r="F39" i="12"/>
  <c r="F42" i="12"/>
  <c r="F44" i="12"/>
  <c r="F16" i="12"/>
  <c r="F19" i="12" s="1"/>
  <c r="F45" i="12"/>
  <c r="F36" i="12"/>
  <c r="J79" i="8"/>
  <c r="D26" i="8" s="1"/>
  <c r="D24" i="8" l="1"/>
  <c r="C36" i="8"/>
  <c r="C25" i="8"/>
  <c r="E23" i="8"/>
  <c r="C29" i="8"/>
  <c r="Q146" i="6"/>
  <c r="E25" i="8"/>
  <c r="C27" i="8"/>
  <c r="D27" i="8" s="1"/>
  <c r="D15" i="8"/>
  <c r="S46" i="12"/>
  <c r="Q46" i="12"/>
  <c r="Q19" i="12"/>
  <c r="S150" i="6"/>
  <c r="S154" i="6"/>
  <c r="G43" i="6"/>
  <c r="Q45" i="6"/>
  <c r="Q127" i="6"/>
  <c r="Q59" i="6"/>
  <c r="G25" i="6"/>
  <c r="Q67" i="6"/>
  <c r="Q69" i="6" s="1"/>
  <c r="Q40" i="6"/>
  <c r="S67" i="6"/>
  <c r="S69" i="6" s="1"/>
  <c r="S40" i="6"/>
  <c r="Q272" i="6"/>
  <c r="Q203" i="6"/>
  <c r="Q90" i="6"/>
  <c r="Q266" i="6"/>
  <c r="Q71" i="6"/>
  <c r="Q73" i="6"/>
  <c r="Q177" i="6"/>
  <c r="Q166" i="6"/>
  <c r="Q230" i="6" s="1"/>
  <c r="Q294" i="6"/>
  <c r="Q161" i="6"/>
  <c r="Q164" i="6"/>
  <c r="Q228" i="6" s="1"/>
  <c r="D97" i="8"/>
  <c r="D96" i="8" s="1"/>
  <c r="D146" i="8"/>
  <c r="D154" i="8" s="1"/>
  <c r="D89" i="8"/>
  <c r="D88" i="8" s="1"/>
  <c r="D94" i="8"/>
  <c r="D111" i="8"/>
  <c r="D87" i="8"/>
  <c r="D86" i="8"/>
  <c r="D103" i="8"/>
  <c r="D110" i="8"/>
  <c r="D95" i="8"/>
  <c r="C100" i="8"/>
  <c r="F46" i="12"/>
  <c r="P16" i="12"/>
  <c r="P17" i="12"/>
  <c r="P18" i="12"/>
  <c r="P258" i="6"/>
  <c r="P244" i="6"/>
  <c r="P242" i="6"/>
  <c r="P219" i="6"/>
  <c r="P189" i="6"/>
  <c r="P182" i="6"/>
  <c r="P251" i="6" s="1"/>
  <c r="P175" i="6"/>
  <c r="P158" i="6"/>
  <c r="P299" i="6"/>
  <c r="P149" i="6"/>
  <c r="C101" i="8" s="1"/>
  <c r="P141" i="6"/>
  <c r="P293" i="6"/>
  <c r="P292" i="6"/>
  <c r="P294" i="6" s="1"/>
  <c r="P127" i="6"/>
  <c r="P122" i="6"/>
  <c r="P116" i="6"/>
  <c r="P110" i="6"/>
  <c r="P107" i="6"/>
  <c r="P105" i="6"/>
  <c r="P82" i="6"/>
  <c r="P199" i="6" s="1"/>
  <c r="P81" i="6"/>
  <c r="P264" i="6"/>
  <c r="P66" i="6"/>
  <c r="P45" i="6"/>
  <c r="P7" i="6"/>
  <c r="F258" i="6"/>
  <c r="F244" i="6"/>
  <c r="F292" i="6"/>
  <c r="F222" i="6"/>
  <c r="F219" i="6"/>
  <c r="F215" i="6"/>
  <c r="F210" i="6"/>
  <c r="F205" i="6"/>
  <c r="F202" i="6"/>
  <c r="F201" i="6"/>
  <c r="F195" i="6"/>
  <c r="F189" i="6"/>
  <c r="F182" i="6"/>
  <c r="F175" i="6"/>
  <c r="F167" i="6"/>
  <c r="F231" i="6" s="1"/>
  <c r="F158" i="6"/>
  <c r="F149" i="6"/>
  <c r="F58" i="6" s="1"/>
  <c r="F141" i="6"/>
  <c r="F133" i="6"/>
  <c r="F145" i="6" s="1"/>
  <c r="F130" i="6"/>
  <c r="F144" i="6" s="1"/>
  <c r="F127" i="6"/>
  <c r="F122" i="6"/>
  <c r="F116" i="6"/>
  <c r="F111" i="6"/>
  <c r="F179" i="6" s="1"/>
  <c r="F110" i="6"/>
  <c r="F166" i="6" s="1"/>
  <c r="F230" i="6" s="1"/>
  <c r="F107" i="6"/>
  <c r="F105" i="6"/>
  <c r="F209" i="6"/>
  <c r="F208" i="6"/>
  <c r="F206" i="6"/>
  <c r="F82" i="6"/>
  <c r="F81" i="6"/>
  <c r="F75" i="6"/>
  <c r="F196" i="6" s="1"/>
  <c r="F66" i="6"/>
  <c r="F45" i="6"/>
  <c r="F7" i="6"/>
  <c r="C206" i="8"/>
  <c r="C207" i="8" s="1"/>
  <c r="Q183" i="6" l="1"/>
  <c r="Q150" i="6"/>
  <c r="Q218" i="6"/>
  <c r="Q287" i="6"/>
  <c r="Q289" i="6" s="1"/>
  <c r="Q154" i="6"/>
  <c r="D93" i="8"/>
  <c r="D98" i="8" s="1"/>
  <c r="D35" i="8"/>
  <c r="D36" i="8" s="1"/>
  <c r="D17" i="8"/>
  <c r="D23" i="8" s="1"/>
  <c r="D29" i="8" s="1"/>
  <c r="S99" i="6"/>
  <c r="S102" i="6" s="1"/>
  <c r="Q46" i="6"/>
  <c r="Q41" i="6"/>
  <c r="Q297" i="6"/>
  <c r="Q184" i="6"/>
  <c r="Q253" i="6" s="1"/>
  <c r="Q252" i="6"/>
  <c r="Q220" i="6"/>
  <c r="Q160" i="6"/>
  <c r="Q276" i="6"/>
  <c r="S73" i="6"/>
  <c r="S71" i="6"/>
  <c r="S46" i="6"/>
  <c r="S41" i="6"/>
  <c r="Q207" i="6"/>
  <c r="Q96" i="6"/>
  <c r="P13" i="12"/>
  <c r="Q318" i="6"/>
  <c r="Q296" i="6"/>
  <c r="Q225" i="6"/>
  <c r="Q185" i="6"/>
  <c r="C102" i="8"/>
  <c r="D101" i="8"/>
  <c r="C113" i="8"/>
  <c r="P177" i="6"/>
  <c r="C105" i="8"/>
  <c r="F51" i="6"/>
  <c r="F13" i="12"/>
  <c r="D85" i="8"/>
  <c r="D90" i="8" s="1"/>
  <c r="E139" i="8"/>
  <c r="C169" i="8"/>
  <c r="P19" i="12"/>
  <c r="P268" i="6"/>
  <c r="F199" i="6"/>
  <c r="P54" i="6"/>
  <c r="P53" i="6"/>
  <c r="P60" i="6"/>
  <c r="F61" i="6"/>
  <c r="F18" i="6"/>
  <c r="F53" i="6"/>
  <c r="F55" i="6"/>
  <c r="F192" i="6"/>
  <c r="F49" i="6"/>
  <c r="F52" i="6"/>
  <c r="F60" i="6"/>
  <c r="P58" i="6"/>
  <c r="P288" i="6"/>
  <c r="P56" i="6"/>
  <c r="P61" i="6"/>
  <c r="P261" i="6"/>
  <c r="P18" i="6"/>
  <c r="P51" i="6"/>
  <c r="P50" i="6"/>
  <c r="P49" i="6"/>
  <c r="P52" i="6"/>
  <c r="P57" i="6"/>
  <c r="P192" i="6"/>
  <c r="F54" i="6"/>
  <c r="F293" i="6"/>
  <c r="F294" i="6" s="1"/>
  <c r="P195" i="6"/>
  <c r="F57" i="6"/>
  <c r="F79" i="6"/>
  <c r="F106" i="6"/>
  <c r="F126" i="6" s="1"/>
  <c r="F177" i="6"/>
  <c r="P55" i="6"/>
  <c r="P76" i="6"/>
  <c r="P197" i="6" s="1"/>
  <c r="F146" i="6"/>
  <c r="F251" i="6"/>
  <c r="F86" i="6"/>
  <c r="F136" i="6"/>
  <c r="F170" i="6"/>
  <c r="F234" i="6" s="1"/>
  <c r="F211" i="6"/>
  <c r="F63" i="6"/>
  <c r="F204" i="6"/>
  <c r="F212" i="6"/>
  <c r="F64" i="6"/>
  <c r="F76" i="6"/>
  <c r="F197" i="6" s="1"/>
  <c r="F56" i="6"/>
  <c r="F78" i="6"/>
  <c r="F299" i="6"/>
  <c r="F288" i="6"/>
  <c r="F200" i="6"/>
  <c r="F301" i="6"/>
  <c r="F50" i="6"/>
  <c r="F113" i="6"/>
  <c r="F242" i="6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8" i="13"/>
  <c r="O23" i="13"/>
  <c r="N23" i="13"/>
  <c r="M23" i="13"/>
  <c r="K23" i="13"/>
  <c r="J23" i="13"/>
  <c r="I23" i="13"/>
  <c r="C23" i="13"/>
  <c r="D23" i="13"/>
  <c r="E23" i="13"/>
  <c r="J181" i="8"/>
  <c r="C197" i="8"/>
  <c r="C253" i="8"/>
  <c r="C241" i="8"/>
  <c r="E222" i="8"/>
  <c r="E226" i="8" s="1"/>
  <c r="D222" i="8"/>
  <c r="D226" i="8" s="1"/>
  <c r="C190" i="8"/>
  <c r="C192" i="8" s="1"/>
  <c r="C182" i="8"/>
  <c r="C179" i="8"/>
  <c r="I35" i="12"/>
  <c r="H36" i="12"/>
  <c r="O24" i="12"/>
  <c r="N24" i="12"/>
  <c r="O23" i="12"/>
  <c r="N23" i="12"/>
  <c r="O22" i="12"/>
  <c r="N22" i="12"/>
  <c r="M24" i="12"/>
  <c r="M23" i="12"/>
  <c r="M22" i="12"/>
  <c r="D23" i="12"/>
  <c r="E23" i="12"/>
  <c r="D24" i="12"/>
  <c r="E24" i="12"/>
  <c r="E22" i="12"/>
  <c r="D22" i="12"/>
  <c r="I124" i="12"/>
  <c r="E124" i="12"/>
  <c r="D124" i="12"/>
  <c r="C124" i="12"/>
  <c r="J123" i="12"/>
  <c r="K123" i="12" s="1"/>
  <c r="L123" i="12" s="1"/>
  <c r="N122" i="12"/>
  <c r="O122" i="12" s="1"/>
  <c r="P122" i="12" s="1"/>
  <c r="P124" i="12" s="1"/>
  <c r="J122" i="12"/>
  <c r="K122" i="12" s="1"/>
  <c r="L122" i="12" s="1"/>
  <c r="C119" i="12"/>
  <c r="L107" i="12"/>
  <c r="L106" i="12"/>
  <c r="L105" i="12"/>
  <c r="L104" i="12"/>
  <c r="L103" i="12"/>
  <c r="L102" i="12"/>
  <c r="L101" i="12"/>
  <c r="L100" i="12"/>
  <c r="O99" i="12"/>
  <c r="O108" i="12" s="1"/>
  <c r="N99" i="12"/>
  <c r="N108" i="12" s="1"/>
  <c r="M99" i="12"/>
  <c r="M108" i="12" s="1"/>
  <c r="K99" i="12"/>
  <c r="K108" i="12" s="1"/>
  <c r="J99" i="12"/>
  <c r="J108" i="12" s="1"/>
  <c r="I99" i="12"/>
  <c r="I108" i="12" s="1"/>
  <c r="E99" i="12"/>
  <c r="E108" i="12" s="1"/>
  <c r="D99" i="12"/>
  <c r="D108" i="12" s="1"/>
  <c r="C99" i="12"/>
  <c r="C108" i="12" s="1"/>
  <c r="O96" i="12"/>
  <c r="N96" i="12"/>
  <c r="M96" i="12"/>
  <c r="E96" i="12"/>
  <c r="D96" i="12"/>
  <c r="L95" i="12"/>
  <c r="L94" i="12"/>
  <c r="L93" i="12"/>
  <c r="L92" i="12"/>
  <c r="L91" i="12"/>
  <c r="L90" i="12"/>
  <c r="L89" i="12"/>
  <c r="O86" i="12"/>
  <c r="N86" i="12"/>
  <c r="M86" i="12"/>
  <c r="K86" i="12"/>
  <c r="J86" i="12"/>
  <c r="I86" i="12"/>
  <c r="E86" i="12"/>
  <c r="D86" i="12"/>
  <c r="C86" i="12"/>
  <c r="L85" i="12"/>
  <c r="L84" i="12"/>
  <c r="L83" i="12"/>
  <c r="L82" i="12"/>
  <c r="L81" i="12"/>
  <c r="L80" i="12"/>
  <c r="L79" i="12"/>
  <c r="L75" i="12"/>
  <c r="L74" i="12"/>
  <c r="L73" i="12"/>
  <c r="L72" i="12"/>
  <c r="L71" i="12"/>
  <c r="L70" i="12"/>
  <c r="L69" i="12"/>
  <c r="O68" i="12"/>
  <c r="N68" i="12"/>
  <c r="M68" i="12"/>
  <c r="K68" i="12"/>
  <c r="J68" i="12"/>
  <c r="I68" i="12"/>
  <c r="E68" i="12"/>
  <c r="D68" i="12"/>
  <c r="C68" i="12"/>
  <c r="L67" i="12"/>
  <c r="L66" i="12"/>
  <c r="L65" i="12"/>
  <c r="L64" i="12"/>
  <c r="L63" i="12"/>
  <c r="L62" i="12"/>
  <c r="L61" i="12"/>
  <c r="O60" i="12"/>
  <c r="N60" i="12"/>
  <c r="M60" i="12"/>
  <c r="K60" i="12"/>
  <c r="J60" i="12"/>
  <c r="I60" i="12"/>
  <c r="E60" i="12"/>
  <c r="D60" i="12"/>
  <c r="C60" i="12"/>
  <c r="O56" i="12"/>
  <c r="N56" i="12"/>
  <c r="M56" i="12"/>
  <c r="K56" i="12"/>
  <c r="J56" i="12"/>
  <c r="I56" i="12"/>
  <c r="E56" i="12"/>
  <c r="D56" i="12"/>
  <c r="C56" i="12"/>
  <c r="L55" i="12"/>
  <c r="L54" i="12"/>
  <c r="L53" i="12"/>
  <c r="L52" i="12"/>
  <c r="L51" i="12"/>
  <c r="L50" i="12"/>
  <c r="L49" i="12"/>
  <c r="O35" i="12"/>
  <c r="O39" i="12" s="1"/>
  <c r="N35" i="12"/>
  <c r="N39" i="12" s="1"/>
  <c r="M35" i="12"/>
  <c r="M40" i="12" s="1"/>
  <c r="K35" i="12"/>
  <c r="K39" i="12" s="1"/>
  <c r="J35" i="12"/>
  <c r="J41" i="12" s="1"/>
  <c r="E35" i="12"/>
  <c r="E41" i="12" s="1"/>
  <c r="D35" i="12"/>
  <c r="D45" i="12" s="1"/>
  <c r="C35" i="12"/>
  <c r="C41" i="12" s="1"/>
  <c r="L34" i="12"/>
  <c r="L33" i="12"/>
  <c r="L32" i="12"/>
  <c r="L31" i="12"/>
  <c r="L30" i="12"/>
  <c r="L29" i="12"/>
  <c r="L28" i="12"/>
  <c r="O12" i="12"/>
  <c r="O18" i="12" s="1"/>
  <c r="N12" i="12"/>
  <c r="N18" i="12" s="1"/>
  <c r="M12" i="12"/>
  <c r="K12" i="12"/>
  <c r="K16" i="12" s="1"/>
  <c r="J12" i="12"/>
  <c r="J16" i="12" s="1"/>
  <c r="I12" i="12"/>
  <c r="I18" i="12" s="1"/>
  <c r="E12" i="12"/>
  <c r="D12" i="12"/>
  <c r="D17" i="12" s="1"/>
  <c r="C12" i="12"/>
  <c r="C18" i="12" s="1"/>
  <c r="L11" i="12"/>
  <c r="L10" i="12"/>
  <c r="L9" i="12"/>
  <c r="Q172" i="6" l="1"/>
  <c r="Q236" i="6" s="1"/>
  <c r="Q163" i="6"/>
  <c r="Q227" i="6" s="1"/>
  <c r="Q186" i="6"/>
  <c r="Q224" i="6"/>
  <c r="D25" i="8"/>
  <c r="E76" i="12"/>
  <c r="M17" i="12"/>
  <c r="Q25" i="12"/>
  <c r="J90" i="8"/>
  <c r="C104" i="8"/>
  <c r="D104" i="8" s="1"/>
  <c r="Q213" i="6"/>
  <c r="Q282" i="6"/>
  <c r="E102" i="8"/>
  <c r="E100" i="8"/>
  <c r="F287" i="6"/>
  <c r="F150" i="6"/>
  <c r="F164" i="6"/>
  <c r="F228" i="6" s="1"/>
  <c r="P266" i="6"/>
  <c r="F67" i="6"/>
  <c r="F69" i="6" s="1"/>
  <c r="F73" i="6" s="1"/>
  <c r="F57" i="12"/>
  <c r="P67" i="6"/>
  <c r="P69" i="6" s="1"/>
  <c r="P57" i="12"/>
  <c r="F59" i="6"/>
  <c r="F109" i="12"/>
  <c r="C255" i="8"/>
  <c r="G23" i="13"/>
  <c r="I39" i="12"/>
  <c r="E16" i="12"/>
  <c r="F25" i="12"/>
  <c r="F154" i="6"/>
  <c r="F123" i="6"/>
  <c r="F40" i="6"/>
  <c r="F46" i="6" s="1"/>
  <c r="F108" i="6"/>
  <c r="F218" i="6"/>
  <c r="F176" i="6"/>
  <c r="F161" i="6"/>
  <c r="F185" i="6" s="1"/>
  <c r="F183" i="6"/>
  <c r="F184" i="6" s="1"/>
  <c r="F253" i="6" s="1"/>
  <c r="P40" i="6"/>
  <c r="F180" i="6"/>
  <c r="F169" i="6"/>
  <c r="F233" i="6" s="1"/>
  <c r="F90" i="6"/>
  <c r="F203" i="6"/>
  <c r="L23" i="13"/>
  <c r="C184" i="8"/>
  <c r="K36" i="12"/>
  <c r="M36" i="12"/>
  <c r="O36" i="12"/>
  <c r="N36" i="12"/>
  <c r="J36" i="12"/>
  <c r="N44" i="12"/>
  <c r="L35" i="12"/>
  <c r="G41" i="12" s="1"/>
  <c r="I36" i="12"/>
  <c r="C36" i="12"/>
  <c r="D36" i="12"/>
  <c r="E36" i="12"/>
  <c r="C42" i="12"/>
  <c r="D42" i="12"/>
  <c r="D39" i="12"/>
  <c r="E44" i="12"/>
  <c r="D44" i="12"/>
  <c r="O42" i="12"/>
  <c r="J42" i="12"/>
  <c r="D41" i="12"/>
  <c r="O41" i="12"/>
  <c r="N41" i="12"/>
  <c r="C43" i="12"/>
  <c r="O45" i="12"/>
  <c r="O40" i="12"/>
  <c r="C44" i="12"/>
  <c r="N45" i="12"/>
  <c r="N40" i="12"/>
  <c r="C45" i="12"/>
  <c r="O44" i="12"/>
  <c r="I40" i="12"/>
  <c r="J43" i="12"/>
  <c r="E43" i="12"/>
  <c r="M45" i="12"/>
  <c r="K40" i="12"/>
  <c r="D16" i="12"/>
  <c r="C39" i="12"/>
  <c r="D43" i="12"/>
  <c r="E40" i="12"/>
  <c r="I42" i="12"/>
  <c r="J44" i="12"/>
  <c r="N42" i="12"/>
  <c r="J40" i="12"/>
  <c r="J39" i="12"/>
  <c r="I41" i="12"/>
  <c r="K44" i="12"/>
  <c r="M41" i="12"/>
  <c r="C40" i="12"/>
  <c r="E45" i="12"/>
  <c r="D40" i="12"/>
  <c r="I43" i="12"/>
  <c r="K45" i="12"/>
  <c r="O43" i="12"/>
  <c r="M42" i="12"/>
  <c r="K41" i="12"/>
  <c r="E42" i="12"/>
  <c r="I44" i="12"/>
  <c r="J45" i="12"/>
  <c r="N43" i="12"/>
  <c r="E39" i="12"/>
  <c r="I45" i="12"/>
  <c r="M43" i="12"/>
  <c r="K42" i="12"/>
  <c r="M39" i="12"/>
  <c r="M44" i="12"/>
  <c r="K43" i="12"/>
  <c r="M18" i="12"/>
  <c r="K17" i="12"/>
  <c r="O76" i="12"/>
  <c r="J76" i="12"/>
  <c r="E25" i="12"/>
  <c r="N25" i="12"/>
  <c r="N76" i="12"/>
  <c r="D25" i="12"/>
  <c r="M25" i="12"/>
  <c r="O25" i="12"/>
  <c r="K76" i="12"/>
  <c r="E18" i="12"/>
  <c r="I16" i="12"/>
  <c r="J17" i="12"/>
  <c r="M76" i="12"/>
  <c r="G96" i="12"/>
  <c r="D18" i="12"/>
  <c r="I17" i="12"/>
  <c r="K18" i="12"/>
  <c r="O16" i="12"/>
  <c r="J18" i="12"/>
  <c r="N16" i="12"/>
  <c r="C16" i="12"/>
  <c r="E17" i="12"/>
  <c r="O17" i="12"/>
  <c r="M16" i="12"/>
  <c r="C17" i="12"/>
  <c r="N17" i="12"/>
  <c r="L124" i="12"/>
  <c r="C76" i="12"/>
  <c r="D76" i="12"/>
  <c r="G86" i="12"/>
  <c r="L96" i="12"/>
  <c r="J124" i="12"/>
  <c r="L60" i="12"/>
  <c r="L68" i="12"/>
  <c r="L86" i="12"/>
  <c r="G99" i="12"/>
  <c r="G108" i="12" s="1"/>
  <c r="I76" i="12"/>
  <c r="L12" i="12"/>
  <c r="L99" i="12"/>
  <c r="L108" i="12" s="1"/>
  <c r="G12" i="12"/>
  <c r="G60" i="12"/>
  <c r="G76" i="12" s="1"/>
  <c r="L56" i="12"/>
  <c r="K124" i="12"/>
  <c r="J14" i="8" l="1"/>
  <c r="F289" i="6"/>
  <c r="F297" i="6"/>
  <c r="F163" i="6"/>
  <c r="F227" i="6" s="1"/>
  <c r="F172" i="6"/>
  <c r="F236" i="6" s="1"/>
  <c r="F160" i="6"/>
  <c r="F220" i="6"/>
  <c r="Q214" i="6"/>
  <c r="Q283" i="6"/>
  <c r="P71" i="6"/>
  <c r="P73" i="6"/>
  <c r="Q99" i="6"/>
  <c r="F109" i="6"/>
  <c r="F71" i="6"/>
  <c r="P45" i="12"/>
  <c r="P43" i="12"/>
  <c r="P39" i="12"/>
  <c r="P44" i="12"/>
  <c r="P40" i="12"/>
  <c r="P42" i="12"/>
  <c r="P41" i="12"/>
  <c r="F41" i="6"/>
  <c r="F112" i="6"/>
  <c r="P41" i="6"/>
  <c r="P46" i="6"/>
  <c r="F252" i="6"/>
  <c r="F225" i="6"/>
  <c r="F178" i="6"/>
  <c r="F207" i="6"/>
  <c r="F114" i="6"/>
  <c r="F181" i="6" s="1"/>
  <c r="F96" i="6"/>
  <c r="F97" i="6" s="1"/>
  <c r="F318" i="6"/>
  <c r="F296" i="6"/>
  <c r="F186" i="6"/>
  <c r="F224" i="6"/>
  <c r="C194" i="8"/>
  <c r="L40" i="12"/>
  <c r="L36" i="12"/>
  <c r="G36" i="12"/>
  <c r="D19" i="12"/>
  <c r="G18" i="12"/>
  <c r="L16" i="12"/>
  <c r="L41" i="12"/>
  <c r="O46" i="12"/>
  <c r="D46" i="12"/>
  <c r="N46" i="12"/>
  <c r="J19" i="12"/>
  <c r="I46" i="12"/>
  <c r="L43" i="12"/>
  <c r="L39" i="12"/>
  <c r="L42" i="12"/>
  <c r="G42" i="12"/>
  <c r="M46" i="12"/>
  <c r="M19" i="12"/>
  <c r="E46" i="12"/>
  <c r="L44" i="12"/>
  <c r="L45" i="12"/>
  <c r="C46" i="12"/>
  <c r="G45" i="12"/>
  <c r="G44" i="12"/>
  <c r="G43" i="12"/>
  <c r="C19" i="12"/>
  <c r="J46" i="12"/>
  <c r="K46" i="12"/>
  <c r="G40" i="12"/>
  <c r="G39" i="12"/>
  <c r="L17" i="12"/>
  <c r="L18" i="12"/>
  <c r="E19" i="12"/>
  <c r="L76" i="12"/>
  <c r="K19" i="12"/>
  <c r="N19" i="12"/>
  <c r="I19" i="12"/>
  <c r="G17" i="12"/>
  <c r="O19" i="12"/>
  <c r="G16" i="12"/>
  <c r="Q285" i="6" l="1"/>
  <c r="Q216" i="6"/>
  <c r="F103" i="6"/>
  <c r="P46" i="12"/>
  <c r="F213" i="6"/>
  <c r="E227" i="8"/>
  <c r="C256" i="8"/>
  <c r="C196" i="8"/>
  <c r="L46" i="12"/>
  <c r="L19" i="12"/>
  <c r="G46" i="12"/>
  <c r="G19" i="12"/>
  <c r="F214" i="6" l="1"/>
  <c r="F99" i="6"/>
  <c r="C198" i="8"/>
  <c r="F216" i="6" l="1"/>
  <c r="B313" i="6"/>
  <c r="O239" i="6"/>
  <c r="O240" i="6"/>
  <c r="O242" i="6" s="1"/>
  <c r="N239" i="6"/>
  <c r="Q241" i="6" s="1"/>
  <c r="N240" i="6"/>
  <c r="N242" i="6" s="1"/>
  <c r="M239" i="6"/>
  <c r="M240" i="6"/>
  <c r="M242" i="6" s="1"/>
  <c r="K241" i="6"/>
  <c r="J241" i="6"/>
  <c r="I241" i="6"/>
  <c r="L239" i="6"/>
  <c r="L240" i="6"/>
  <c r="L242" i="6" s="1"/>
  <c r="K239" i="6"/>
  <c r="K240" i="6"/>
  <c r="K242" i="6" s="1"/>
  <c r="J239" i="6"/>
  <c r="J240" i="6"/>
  <c r="J242" i="6" s="1"/>
  <c r="I239" i="6"/>
  <c r="I240" i="6"/>
  <c r="I242" i="6" s="1"/>
  <c r="E242" i="6"/>
  <c r="D239" i="6"/>
  <c r="D240" i="6"/>
  <c r="D242" i="6" s="1"/>
  <c r="C239" i="6"/>
  <c r="C240" i="6"/>
  <c r="C242" i="6" s="1"/>
  <c r="B231" i="6"/>
  <c r="O131" i="6"/>
  <c r="M167" i="6"/>
  <c r="M231" i="6" s="1"/>
  <c r="N167" i="6"/>
  <c r="N231" i="6" s="1"/>
  <c r="O167" i="6"/>
  <c r="O231" i="6" s="1"/>
  <c r="L156" i="6"/>
  <c r="L152" i="6"/>
  <c r="I134" i="6"/>
  <c r="P133" i="6" s="1"/>
  <c r="P145" i="6" s="1"/>
  <c r="I131" i="6"/>
  <c r="P130" i="6" s="1"/>
  <c r="Q246" i="6" l="1"/>
  <c r="Q304" i="6"/>
  <c r="Q313" i="6" s="1"/>
  <c r="P241" i="6"/>
  <c r="G304" i="6"/>
  <c r="F239" i="6"/>
  <c r="P136" i="6"/>
  <c r="P144" i="6"/>
  <c r="P146" i="6" s="1"/>
  <c r="E304" i="6"/>
  <c r="L167" i="6"/>
  <c r="L231" i="6" s="1"/>
  <c r="E167" i="6"/>
  <c r="E231" i="6" s="1"/>
  <c r="P304" i="6" l="1"/>
  <c r="P246" i="6"/>
  <c r="Q255" i="6"/>
  <c r="Q254" i="6"/>
  <c r="F285" i="6"/>
  <c r="F283" i="6"/>
  <c r="F282" i="6"/>
  <c r="F250" i="6"/>
  <c r="F276" i="6"/>
  <c r="F245" i="6"/>
  <c r="F272" i="6"/>
  <c r="F249" i="6"/>
  <c r="F264" i="6"/>
  <c r="F270" i="6"/>
  <c r="F261" i="6"/>
  <c r="F248" i="6"/>
  <c r="F246" i="6"/>
  <c r="F241" i="6"/>
  <c r="F278" i="6"/>
  <c r="F277" i="6"/>
  <c r="F269" i="6"/>
  <c r="F284" i="6"/>
  <c r="F275" i="6"/>
  <c r="F280" i="6"/>
  <c r="F268" i="6"/>
  <c r="F273" i="6"/>
  <c r="F271" i="6"/>
  <c r="F281" i="6"/>
  <c r="F304" i="6"/>
  <c r="F313" i="6" s="1"/>
  <c r="F274" i="6"/>
  <c r="F279" i="6"/>
  <c r="P59" i="6"/>
  <c r="P109" i="12"/>
  <c r="P150" i="6"/>
  <c r="P183" i="6"/>
  <c r="P161" i="6"/>
  <c r="P154" i="6"/>
  <c r="P218" i="6"/>
  <c r="P164" i="6"/>
  <c r="P228" i="6" s="1"/>
  <c r="P287" i="6"/>
  <c r="E127" i="6"/>
  <c r="D127" i="6"/>
  <c r="C127" i="6"/>
  <c r="O127" i="6"/>
  <c r="N127" i="6"/>
  <c r="M127" i="6"/>
  <c r="I118" i="6"/>
  <c r="J118" i="6"/>
  <c r="K118" i="6"/>
  <c r="M118" i="6"/>
  <c r="N118" i="6"/>
  <c r="O118" i="6"/>
  <c r="C118" i="6"/>
  <c r="D118" i="6"/>
  <c r="E118" i="6"/>
  <c r="N98" i="6"/>
  <c r="N93" i="6"/>
  <c r="N89" i="6"/>
  <c r="N85" i="6"/>
  <c r="N92" i="6"/>
  <c r="N88" i="6"/>
  <c r="N84" i="6"/>
  <c r="M94" i="6"/>
  <c r="M95" i="6"/>
  <c r="E95" i="6"/>
  <c r="E92" i="6"/>
  <c r="M87" i="6"/>
  <c r="M91" i="6"/>
  <c r="M83" i="6"/>
  <c r="J98" i="6"/>
  <c r="K98" i="6" s="1"/>
  <c r="J95" i="6"/>
  <c r="K95" i="6" s="1"/>
  <c r="J93" i="6"/>
  <c r="K93" i="6" s="1"/>
  <c r="J91" i="6"/>
  <c r="K91" i="6" s="1"/>
  <c r="J85" i="6"/>
  <c r="K85" i="6" s="1"/>
  <c r="J89" i="6"/>
  <c r="K89" i="6" s="1"/>
  <c r="J88" i="6"/>
  <c r="K88" i="6" s="1"/>
  <c r="J84" i="6"/>
  <c r="K84" i="6" s="1"/>
  <c r="I94" i="6"/>
  <c r="I92" i="6"/>
  <c r="I87" i="6"/>
  <c r="I83" i="6"/>
  <c r="E94" i="6"/>
  <c r="E91" i="6"/>
  <c r="E89" i="6"/>
  <c r="E87" i="6"/>
  <c r="E83" i="6"/>
  <c r="D95" i="6"/>
  <c r="D94" i="6"/>
  <c r="D87" i="6"/>
  <c r="D83" i="6"/>
  <c r="C95" i="6"/>
  <c r="C94" i="6"/>
  <c r="C92" i="6"/>
  <c r="C87" i="6"/>
  <c r="C83" i="6"/>
  <c r="L44" i="6"/>
  <c r="L43" i="6"/>
  <c r="L39" i="6"/>
  <c r="L38" i="6"/>
  <c r="L37" i="6"/>
  <c r="L36" i="6"/>
  <c r="L35" i="6"/>
  <c r="L34" i="6"/>
  <c r="L33" i="6"/>
  <c r="L32" i="6"/>
  <c r="L31" i="6"/>
  <c r="L30" i="6"/>
  <c r="L29" i="6"/>
  <c r="L28" i="6"/>
  <c r="L26" i="6"/>
  <c r="L25" i="6"/>
  <c r="L24" i="6"/>
  <c r="L23" i="6"/>
  <c r="L22" i="6"/>
  <c r="L21" i="6"/>
  <c r="L20" i="6"/>
  <c r="L17" i="6"/>
  <c r="L16" i="6"/>
  <c r="L15" i="6"/>
  <c r="L14" i="6"/>
  <c r="L13" i="6"/>
  <c r="F247" i="6" l="1"/>
  <c r="F266" i="6"/>
  <c r="F303" i="6"/>
  <c r="F254" i="6"/>
  <c r="F255" i="6"/>
  <c r="O92" i="6"/>
  <c r="P92" i="6" s="1"/>
  <c r="N83" i="6"/>
  <c r="O84" i="6"/>
  <c r="P289" i="6"/>
  <c r="P297" i="6"/>
  <c r="N91" i="6"/>
  <c r="J92" i="6"/>
  <c r="K92" i="6" s="1"/>
  <c r="O88" i="6"/>
  <c r="N87" i="6"/>
  <c r="O85" i="6"/>
  <c r="O89" i="6"/>
  <c r="P185" i="6"/>
  <c r="P225" i="6"/>
  <c r="J83" i="6"/>
  <c r="K83" i="6" s="1"/>
  <c r="O93" i="6"/>
  <c r="P184" i="6"/>
  <c r="P253" i="6" s="1"/>
  <c r="P255" i="6" s="1"/>
  <c r="P252" i="6"/>
  <c r="P254" i="6" s="1"/>
  <c r="J87" i="6"/>
  <c r="K87" i="6" s="1"/>
  <c r="N95" i="6"/>
  <c r="O98" i="6"/>
  <c r="P163" i="6"/>
  <c r="P227" i="6" s="1"/>
  <c r="P172" i="6"/>
  <c r="P236" i="6" s="1"/>
  <c r="P160" i="6"/>
  <c r="P220" i="6"/>
  <c r="J94" i="6"/>
  <c r="K94" i="6" s="1"/>
  <c r="N94" i="6"/>
  <c r="G45" i="6"/>
  <c r="I45" i="6"/>
  <c r="J45" i="6"/>
  <c r="O45" i="6"/>
  <c r="N45" i="6"/>
  <c r="M45" i="6"/>
  <c r="L45" i="6"/>
  <c r="K45" i="6"/>
  <c r="G92" i="6" l="1"/>
  <c r="O83" i="6"/>
  <c r="P83" i="6" s="1"/>
  <c r="F316" i="6"/>
  <c r="F309" i="6"/>
  <c r="F310" i="6"/>
  <c r="F306" i="6"/>
  <c r="F312" i="6"/>
  <c r="F315" i="6"/>
  <c r="F307" i="6"/>
  <c r="P84" i="6"/>
  <c r="G84" i="6" s="1"/>
  <c r="O91" i="6"/>
  <c r="P88" i="6"/>
  <c r="G88" i="6" s="1"/>
  <c r="O87" i="6"/>
  <c r="P85" i="6"/>
  <c r="G85" i="6" s="1"/>
  <c r="P89" i="6"/>
  <c r="G89" i="6" s="1"/>
  <c r="P93" i="6"/>
  <c r="O95" i="6"/>
  <c r="P95" i="6" s="1"/>
  <c r="P98" i="6"/>
  <c r="G98" i="6" s="1"/>
  <c r="O94" i="6"/>
  <c r="P224" i="6"/>
  <c r="P186" i="6"/>
  <c r="P318" i="6"/>
  <c r="P296" i="6"/>
  <c r="P209" i="6"/>
  <c r="P278" i="6"/>
  <c r="D45" i="6"/>
  <c r="E45" i="6"/>
  <c r="P63" i="6" l="1"/>
  <c r="P200" i="6"/>
  <c r="P79" i="6"/>
  <c r="P269" i="6"/>
  <c r="G83" i="6"/>
  <c r="G95" i="6"/>
  <c r="P91" i="6"/>
  <c r="G91" i="6"/>
  <c r="P279" i="6"/>
  <c r="G93" i="6"/>
  <c r="P94" i="6"/>
  <c r="G94" i="6"/>
  <c r="P201" i="6"/>
  <c r="P270" i="6"/>
  <c r="P86" i="6"/>
  <c r="P208" i="6"/>
  <c r="P277" i="6"/>
  <c r="P274" i="6"/>
  <c r="P205" i="6"/>
  <c r="P202" i="6"/>
  <c r="P271" i="6"/>
  <c r="P206" i="6"/>
  <c r="P275" i="6"/>
  <c r="P210" i="6"/>
  <c r="P87" i="6"/>
  <c r="P111" i="6"/>
  <c r="Q111" i="6"/>
  <c r="P281" i="6"/>
  <c r="P212" i="6"/>
  <c r="P215" i="6"/>
  <c r="P284" i="6"/>
  <c r="L10" i="6"/>
  <c r="L9" i="6"/>
  <c r="L8" i="6"/>
  <c r="O7" i="6"/>
  <c r="O13" i="12" s="1"/>
  <c r="N7" i="6"/>
  <c r="M7" i="6"/>
  <c r="Q11" i="6" s="1"/>
  <c r="K7" i="6"/>
  <c r="K13" i="12" s="1"/>
  <c r="J7" i="6"/>
  <c r="J13" i="12" s="1"/>
  <c r="I7" i="6"/>
  <c r="I13" i="12" s="1"/>
  <c r="D7" i="6"/>
  <c r="C7" i="6"/>
  <c r="C13" i="12" s="1"/>
  <c r="E7" i="6"/>
  <c r="J24" i="13"/>
  <c r="K24" i="13"/>
  <c r="M24" i="13"/>
  <c r="N24" i="13"/>
  <c r="O24" i="13"/>
  <c r="I24" i="13"/>
  <c r="C24" i="13"/>
  <c r="D24" i="13"/>
  <c r="E24" i="13"/>
  <c r="J173" i="8"/>
  <c r="M133" i="6"/>
  <c r="M130" i="6"/>
  <c r="L153" i="6"/>
  <c r="L148" i="6"/>
  <c r="L147" i="6"/>
  <c r="L140" i="6"/>
  <c r="L139" i="6"/>
  <c r="L134" i="6"/>
  <c r="L131" i="6"/>
  <c r="K130" i="6"/>
  <c r="L121" i="6"/>
  <c r="L127" i="6" s="1"/>
  <c r="L120" i="6"/>
  <c r="L119" i="6"/>
  <c r="O141" i="6"/>
  <c r="N141" i="6"/>
  <c r="M141" i="6"/>
  <c r="K141" i="6"/>
  <c r="J141" i="6"/>
  <c r="I141" i="6"/>
  <c r="O133" i="6"/>
  <c r="N133" i="6"/>
  <c r="K133" i="6"/>
  <c r="J133" i="6"/>
  <c r="I133" i="6"/>
  <c r="O130" i="6"/>
  <c r="N130" i="6"/>
  <c r="J130" i="6"/>
  <c r="I130" i="6"/>
  <c r="G127" i="6"/>
  <c r="L95" i="6"/>
  <c r="L85" i="6"/>
  <c r="L91" i="6"/>
  <c r="L89" i="6"/>
  <c r="L74" i="6"/>
  <c r="E133" i="6"/>
  <c r="E145" i="6" s="1"/>
  <c r="D133" i="6"/>
  <c r="D145" i="6" s="1"/>
  <c r="C133" i="6"/>
  <c r="E130" i="6"/>
  <c r="E144" i="6" s="1"/>
  <c r="D130" i="6"/>
  <c r="C130" i="6"/>
  <c r="L118" i="6"/>
  <c r="D212" i="6"/>
  <c r="D211" i="6"/>
  <c r="D200" i="6"/>
  <c r="E258" i="6"/>
  <c r="E244" i="6"/>
  <c r="E219" i="6"/>
  <c r="E215" i="6"/>
  <c r="E210" i="6"/>
  <c r="E206" i="6"/>
  <c r="E205" i="6"/>
  <c r="E202" i="6"/>
  <c r="E201" i="6"/>
  <c r="E195" i="6"/>
  <c r="E189" i="6"/>
  <c r="E182" i="6"/>
  <c r="E175" i="6"/>
  <c r="E158" i="6"/>
  <c r="E149" i="6"/>
  <c r="E58" i="6" s="1"/>
  <c r="E141" i="6"/>
  <c r="E122" i="6"/>
  <c r="E116" i="6"/>
  <c r="E111" i="6"/>
  <c r="E179" i="6" s="1"/>
  <c r="E110" i="6"/>
  <c r="E105" i="6"/>
  <c r="E212" i="6"/>
  <c r="E208" i="6"/>
  <c r="E82" i="6"/>
  <c r="E81" i="6"/>
  <c r="E75" i="6"/>
  <c r="E196" i="6" s="1"/>
  <c r="E66" i="6"/>
  <c r="D258" i="6"/>
  <c r="D244" i="6"/>
  <c r="D219" i="6"/>
  <c r="D215" i="6"/>
  <c r="D210" i="6"/>
  <c r="D206" i="6"/>
  <c r="D205" i="6"/>
  <c r="D202" i="6"/>
  <c r="D201" i="6"/>
  <c r="D195" i="6"/>
  <c r="D189" i="6"/>
  <c r="D182" i="6"/>
  <c r="D175" i="6"/>
  <c r="D158" i="6"/>
  <c r="D149" i="6"/>
  <c r="D58" i="6" s="1"/>
  <c r="D141" i="6"/>
  <c r="D122" i="6"/>
  <c r="D116" i="6"/>
  <c r="D111" i="6"/>
  <c r="D179" i="6" s="1"/>
  <c r="D110" i="6"/>
  <c r="D105" i="6"/>
  <c r="D209" i="6"/>
  <c r="D82" i="6"/>
  <c r="D81" i="6"/>
  <c r="D75" i="6"/>
  <c r="D196" i="6" s="1"/>
  <c r="D66" i="6"/>
  <c r="P280" i="6" l="1"/>
  <c r="P211" i="6"/>
  <c r="P272" i="6"/>
  <c r="P203" i="6"/>
  <c r="P90" i="6"/>
  <c r="G87" i="6"/>
  <c r="P113" i="6"/>
  <c r="P204" i="6"/>
  <c r="P64" i="6"/>
  <c r="P273" i="6"/>
  <c r="P78" i="6"/>
  <c r="Q113" i="6"/>
  <c r="P170" i="6"/>
  <c r="P234" i="6" s="1"/>
  <c r="P179" i="6"/>
  <c r="P248" i="6" s="1"/>
  <c r="Q170" i="6"/>
  <c r="Q234" i="6" s="1"/>
  <c r="Q179" i="6"/>
  <c r="Q248" i="6" s="1"/>
  <c r="N13" i="12"/>
  <c r="Q106" i="6"/>
  <c r="G24" i="13"/>
  <c r="P75" i="6"/>
  <c r="D162" i="8"/>
  <c r="D161" i="8"/>
  <c r="D112" i="8"/>
  <c r="D163" i="8"/>
  <c r="D158" i="8"/>
  <c r="M13" i="12"/>
  <c r="P106" i="6"/>
  <c r="P276" i="6"/>
  <c r="P207" i="6"/>
  <c r="P96" i="6"/>
  <c r="D195" i="8"/>
  <c r="D205" i="8"/>
  <c r="D204" i="8"/>
  <c r="D180" i="8"/>
  <c r="D189" i="8"/>
  <c r="D191" i="8"/>
  <c r="D190" i="8" s="1"/>
  <c r="D234" i="8"/>
  <c r="D239" i="8"/>
  <c r="D245" i="8"/>
  <c r="D240" i="8"/>
  <c r="D249" i="8"/>
  <c r="D236" i="8"/>
  <c r="D238" i="8"/>
  <c r="D250" i="8"/>
  <c r="D235" i="8"/>
  <c r="D247" i="8"/>
  <c r="D251" i="8"/>
  <c r="D183" i="8"/>
  <c r="D182" i="8" s="1"/>
  <c r="D248" i="8"/>
  <c r="D246" i="8"/>
  <c r="D233" i="8"/>
  <c r="D244" i="8"/>
  <c r="D252" i="8"/>
  <c r="D197" i="8"/>
  <c r="D188" i="8"/>
  <c r="D181" i="8"/>
  <c r="D237" i="8"/>
  <c r="D198" i="8"/>
  <c r="F11" i="6"/>
  <c r="E13" i="12"/>
  <c r="D192" i="6"/>
  <c r="D13" i="12"/>
  <c r="G242" i="6"/>
  <c r="L98" i="6"/>
  <c r="J52" i="6"/>
  <c r="J55" i="6"/>
  <c r="J50" i="6"/>
  <c r="J54" i="6"/>
  <c r="J60" i="6"/>
  <c r="J49" i="6"/>
  <c r="J53" i="6"/>
  <c r="J57" i="6"/>
  <c r="J56" i="6"/>
  <c r="J61" i="6"/>
  <c r="J51" i="6"/>
  <c r="K51" i="6"/>
  <c r="K55" i="6"/>
  <c r="K61" i="6"/>
  <c r="K60" i="6"/>
  <c r="K49" i="6"/>
  <c r="K57" i="6"/>
  <c r="K50" i="6"/>
  <c r="K54" i="6"/>
  <c r="K53" i="6"/>
  <c r="K52" i="6"/>
  <c r="K56" i="6"/>
  <c r="I56" i="6"/>
  <c r="I52" i="6"/>
  <c r="I51" i="6"/>
  <c r="I49" i="6"/>
  <c r="I55" i="6"/>
  <c r="I54" i="6"/>
  <c r="I53" i="6"/>
  <c r="I61" i="6"/>
  <c r="I60" i="6"/>
  <c r="I50" i="6"/>
  <c r="I57" i="6"/>
  <c r="N50" i="6"/>
  <c r="N54" i="6"/>
  <c r="N60" i="6"/>
  <c r="N52" i="6"/>
  <c r="N56" i="6"/>
  <c r="N57" i="6"/>
  <c r="N51" i="6"/>
  <c r="N55" i="6"/>
  <c r="N61" i="6"/>
  <c r="N49" i="6"/>
  <c r="N53" i="6"/>
  <c r="M52" i="6"/>
  <c r="M56" i="6"/>
  <c r="M51" i="6"/>
  <c r="M55" i="6"/>
  <c r="M61" i="6"/>
  <c r="M54" i="6"/>
  <c r="M50" i="6"/>
  <c r="M60" i="6"/>
  <c r="M49" i="6"/>
  <c r="M53" i="6"/>
  <c r="M57" i="6"/>
  <c r="E54" i="6"/>
  <c r="E49" i="6"/>
  <c r="E57" i="6"/>
  <c r="E52" i="6"/>
  <c r="E60" i="6"/>
  <c r="E55" i="6"/>
  <c r="E50" i="6"/>
  <c r="E51" i="6"/>
  <c r="E53" i="6"/>
  <c r="E61" i="6"/>
  <c r="E56" i="6"/>
  <c r="O49" i="6"/>
  <c r="O53" i="6"/>
  <c r="O57" i="6"/>
  <c r="O52" i="6"/>
  <c r="O56" i="6"/>
  <c r="O51" i="6"/>
  <c r="O55" i="6"/>
  <c r="O61" i="6"/>
  <c r="O50" i="6"/>
  <c r="O54" i="6"/>
  <c r="O60" i="6"/>
  <c r="C60" i="6"/>
  <c r="C51" i="6"/>
  <c r="C57" i="6"/>
  <c r="C55" i="6"/>
  <c r="C61" i="6"/>
  <c r="C52" i="6"/>
  <c r="C53" i="6"/>
  <c r="C49" i="6"/>
  <c r="C56" i="6"/>
  <c r="C50" i="6"/>
  <c r="C54" i="6"/>
  <c r="D49" i="6"/>
  <c r="D57" i="6"/>
  <c r="D55" i="6"/>
  <c r="D53" i="6"/>
  <c r="D56" i="6"/>
  <c r="D52" i="6"/>
  <c r="D60" i="6"/>
  <c r="D50" i="6"/>
  <c r="D61" i="6"/>
  <c r="D54" i="6"/>
  <c r="D51" i="6"/>
  <c r="M18" i="6"/>
  <c r="N18" i="6"/>
  <c r="C18" i="6"/>
  <c r="K18" i="6"/>
  <c r="E18" i="6"/>
  <c r="D18" i="6"/>
  <c r="J18" i="6"/>
  <c r="O18" i="6"/>
  <c r="I18" i="6"/>
  <c r="E11" i="6"/>
  <c r="G7" i="6"/>
  <c r="G13" i="12" s="1"/>
  <c r="D78" i="6"/>
  <c r="D106" i="6"/>
  <c r="D176" i="6" s="1"/>
  <c r="L7" i="6"/>
  <c r="D76" i="6"/>
  <c r="D197" i="6" s="1"/>
  <c r="M64" i="6"/>
  <c r="D11" i="6"/>
  <c r="E79" i="6"/>
  <c r="E192" i="6"/>
  <c r="E106" i="6"/>
  <c r="E176" i="6" s="1"/>
  <c r="E76" i="6"/>
  <c r="E197" i="6" s="1"/>
  <c r="G149" i="6"/>
  <c r="G58" i="6" s="1"/>
  <c r="I64" i="6"/>
  <c r="L130" i="6"/>
  <c r="E288" i="6"/>
  <c r="I63" i="6"/>
  <c r="L84" i="6"/>
  <c r="N136" i="6"/>
  <c r="J174" i="8"/>
  <c r="L87" i="6"/>
  <c r="L141" i="6"/>
  <c r="I136" i="6"/>
  <c r="I109" i="12" s="1"/>
  <c r="L83" i="6"/>
  <c r="L92" i="6"/>
  <c r="O136" i="6"/>
  <c r="L68" i="6"/>
  <c r="L88" i="6"/>
  <c r="L93" i="6"/>
  <c r="L24" i="13"/>
  <c r="L133" i="6"/>
  <c r="M136" i="6"/>
  <c r="K136" i="6"/>
  <c r="K109" i="12" s="1"/>
  <c r="J136" i="6"/>
  <c r="J109" i="12" s="1"/>
  <c r="M63" i="6"/>
  <c r="E63" i="6"/>
  <c r="D170" i="6"/>
  <c r="D234" i="6" s="1"/>
  <c r="E204" i="6"/>
  <c r="E64" i="6"/>
  <c r="E78" i="6"/>
  <c r="E146" i="6"/>
  <c r="E218" i="6" s="1"/>
  <c r="E170" i="6"/>
  <c r="E234" i="6" s="1"/>
  <c r="E200" i="6"/>
  <c r="D64" i="6"/>
  <c r="D107" i="6"/>
  <c r="D136" i="6"/>
  <c r="E113" i="6"/>
  <c r="E180" i="6" s="1"/>
  <c r="E177" i="6"/>
  <c r="E199" i="6"/>
  <c r="E107" i="6"/>
  <c r="E166" i="6"/>
  <c r="E230" i="6" s="1"/>
  <c r="E209" i="6"/>
  <c r="E86" i="6"/>
  <c r="D204" i="6"/>
  <c r="D144" i="6"/>
  <c r="D146" i="6" s="1"/>
  <c r="D161" i="6" s="1"/>
  <c r="E136" i="6"/>
  <c r="E211" i="6"/>
  <c r="E222" i="6"/>
  <c r="D79" i="6"/>
  <c r="D113" i="6"/>
  <c r="D180" i="6" s="1"/>
  <c r="D177" i="6"/>
  <c r="D199" i="6"/>
  <c r="D63" i="6"/>
  <c r="D86" i="6"/>
  <c r="D208" i="6"/>
  <c r="O149" i="6"/>
  <c r="O58" i="6" s="1"/>
  <c r="N149" i="6"/>
  <c r="N58" i="6" s="1"/>
  <c r="M149" i="6"/>
  <c r="M58" i="6" s="1"/>
  <c r="K149" i="6"/>
  <c r="J149" i="6"/>
  <c r="I149" i="6"/>
  <c r="C149" i="6"/>
  <c r="C58" i="6" s="1"/>
  <c r="N63" i="6"/>
  <c r="G130" i="6"/>
  <c r="Q108" i="6" l="1"/>
  <c r="L13" i="12"/>
  <c r="P11" i="6"/>
  <c r="P169" i="6"/>
  <c r="P233" i="6" s="1"/>
  <c r="P180" i="6"/>
  <c r="P249" i="6" s="1"/>
  <c r="Q180" i="6"/>
  <c r="Q249" i="6" s="1"/>
  <c r="Q169" i="6"/>
  <c r="Q233" i="6" s="1"/>
  <c r="Q123" i="6"/>
  <c r="Q176" i="6"/>
  <c r="Q126" i="6"/>
  <c r="D100" i="8"/>
  <c r="D166" i="8"/>
  <c r="D187" i="8"/>
  <c r="D192" i="8" s="1"/>
  <c r="D206" i="8"/>
  <c r="P282" i="6"/>
  <c r="P213" i="6"/>
  <c r="P108" i="6"/>
  <c r="P176" i="6"/>
  <c r="P123" i="6"/>
  <c r="P126" i="6"/>
  <c r="O59" i="6"/>
  <c r="O109" i="12"/>
  <c r="N40" i="6"/>
  <c r="N57" i="12"/>
  <c r="E59" i="6"/>
  <c r="E109" i="12"/>
  <c r="M59" i="6"/>
  <c r="M109" i="12"/>
  <c r="I40" i="6"/>
  <c r="I46" i="6" s="1"/>
  <c r="I57" i="12"/>
  <c r="M40" i="6"/>
  <c r="M57" i="12"/>
  <c r="D253" i="8"/>
  <c r="E193" i="6"/>
  <c r="F193" i="6"/>
  <c r="C40" i="6"/>
  <c r="C57" i="12"/>
  <c r="D241" i="8"/>
  <c r="O40" i="6"/>
  <c r="O46" i="6" s="1"/>
  <c r="O57" i="12"/>
  <c r="D59" i="6"/>
  <c r="D109" i="12"/>
  <c r="D40" i="6"/>
  <c r="D46" i="6" s="1"/>
  <c r="D57" i="12"/>
  <c r="E40" i="6"/>
  <c r="E46" i="6" s="1"/>
  <c r="E57" i="12"/>
  <c r="D179" i="8"/>
  <c r="D184" i="8" s="1"/>
  <c r="J40" i="6"/>
  <c r="J46" i="6" s="1"/>
  <c r="J57" i="12"/>
  <c r="N59" i="6"/>
  <c r="N109" i="12"/>
  <c r="K40" i="6"/>
  <c r="K46" i="6" s="1"/>
  <c r="K57" i="12"/>
  <c r="G52" i="6"/>
  <c r="G50" i="6"/>
  <c r="G53" i="6"/>
  <c r="G56" i="6"/>
  <c r="G54" i="6"/>
  <c r="G55" i="6"/>
  <c r="G61" i="6"/>
  <c r="G49" i="6"/>
  <c r="G57" i="6"/>
  <c r="G51" i="6"/>
  <c r="G60" i="6"/>
  <c r="L53" i="6"/>
  <c r="L54" i="6"/>
  <c r="L52" i="6"/>
  <c r="L56" i="6"/>
  <c r="L49" i="6"/>
  <c r="L50" i="6"/>
  <c r="L57" i="6"/>
  <c r="L60" i="6"/>
  <c r="L61" i="6"/>
  <c r="L55" i="6"/>
  <c r="L51" i="6"/>
  <c r="D67" i="6"/>
  <c r="D69" i="6" s="1"/>
  <c r="D71" i="6" s="1"/>
  <c r="G18" i="6"/>
  <c r="L18" i="6"/>
  <c r="D126" i="6"/>
  <c r="D123" i="6"/>
  <c r="L136" i="6"/>
  <c r="D108" i="6"/>
  <c r="E126" i="6"/>
  <c r="E123" i="6"/>
  <c r="L94" i="6"/>
  <c r="K63" i="6"/>
  <c r="J63" i="6"/>
  <c r="L149" i="6"/>
  <c r="D150" i="6"/>
  <c r="D164" i="6"/>
  <c r="D228" i="6" s="1"/>
  <c r="D218" i="6"/>
  <c r="O288" i="6"/>
  <c r="D287" i="6"/>
  <c r="D169" i="6"/>
  <c r="D233" i="6" s="1"/>
  <c r="N288" i="6"/>
  <c r="E150" i="6"/>
  <c r="E160" i="6" s="1"/>
  <c r="E154" i="6"/>
  <c r="E183" i="6"/>
  <c r="E184" i="6" s="1"/>
  <c r="I288" i="6"/>
  <c r="E277" i="6"/>
  <c r="E164" i="6"/>
  <c r="E228" i="6" s="1"/>
  <c r="C63" i="6"/>
  <c r="C64" i="6"/>
  <c r="D154" i="6"/>
  <c r="E161" i="6"/>
  <c r="E185" i="6" s="1"/>
  <c r="E169" i="6"/>
  <c r="E233" i="6" s="1"/>
  <c r="C288" i="6"/>
  <c r="D183" i="6"/>
  <c r="D252" i="6" s="1"/>
  <c r="D273" i="6"/>
  <c r="E67" i="6"/>
  <c r="E108" i="6"/>
  <c r="M288" i="6"/>
  <c r="E178" i="6"/>
  <c r="E90" i="6"/>
  <c r="E203" i="6"/>
  <c r="J288" i="6"/>
  <c r="K288" i="6"/>
  <c r="D185" i="6"/>
  <c r="D225" i="6"/>
  <c r="D203" i="6"/>
  <c r="D90" i="6"/>
  <c r="D293" i="6"/>
  <c r="D292" i="6"/>
  <c r="D299" i="6"/>
  <c r="D251" i="6"/>
  <c r="D178" i="6"/>
  <c r="D288" i="6"/>
  <c r="C241" i="6"/>
  <c r="L144" i="6"/>
  <c r="L241" i="6"/>
  <c r="L304" i="6" s="1"/>
  <c r="J64" i="6"/>
  <c r="N64" i="6"/>
  <c r="O63" i="6"/>
  <c r="G144" i="6"/>
  <c r="C145" i="6"/>
  <c r="M145" i="6"/>
  <c r="O145" i="6"/>
  <c r="N145" i="6"/>
  <c r="O241" i="6"/>
  <c r="O304" i="6" s="1"/>
  <c r="N241" i="6"/>
  <c r="N304" i="6" s="1"/>
  <c r="G141" i="6"/>
  <c r="J144" i="6"/>
  <c r="I145" i="6"/>
  <c r="O144" i="6"/>
  <c r="G133" i="6"/>
  <c r="K144" i="6"/>
  <c r="J145" i="6"/>
  <c r="I144" i="6"/>
  <c r="K145" i="6"/>
  <c r="Q178" i="6" l="1"/>
  <c r="Q245" i="6"/>
  <c r="Q247" i="6" s="1"/>
  <c r="N46" i="6"/>
  <c r="Q112" i="6"/>
  <c r="D194" i="8"/>
  <c r="D196" i="8" s="1"/>
  <c r="D168" i="8"/>
  <c r="D102" i="8"/>
  <c r="M46" i="6"/>
  <c r="P112" i="6"/>
  <c r="P245" i="6"/>
  <c r="P247" i="6" s="1"/>
  <c r="P178" i="6"/>
  <c r="L59" i="6"/>
  <c r="L109" i="12"/>
  <c r="L40" i="6"/>
  <c r="L46" i="6" s="1"/>
  <c r="L57" i="12"/>
  <c r="D255" i="8"/>
  <c r="G40" i="6"/>
  <c r="G57" i="12"/>
  <c r="D172" i="6"/>
  <c r="D236" i="6" s="1"/>
  <c r="D152" i="6"/>
  <c r="L288" i="6"/>
  <c r="L58" i="6"/>
  <c r="D109" i="6"/>
  <c r="D73" i="6"/>
  <c r="D112" i="6"/>
  <c r="D294" i="6"/>
  <c r="D297" i="6" s="1"/>
  <c r="J146" i="6"/>
  <c r="J154" i="6" s="1"/>
  <c r="E69" i="6"/>
  <c r="O146" i="6"/>
  <c r="O150" i="6" s="1"/>
  <c r="I146" i="6"/>
  <c r="I154" i="6" s="1"/>
  <c r="K146" i="6"/>
  <c r="K154" i="6" s="1"/>
  <c r="E224" i="6"/>
  <c r="D220" i="6"/>
  <c r="D160" i="6"/>
  <c r="D186" i="6" s="1"/>
  <c r="D163" i="6"/>
  <c r="D227" i="6" s="1"/>
  <c r="D281" i="6"/>
  <c r="E225" i="6"/>
  <c r="D270" i="6"/>
  <c r="D249" i="6"/>
  <c r="E163" i="6"/>
  <c r="E227" i="6" s="1"/>
  <c r="D268" i="6"/>
  <c r="E272" i="6"/>
  <c r="E172" i="6"/>
  <c r="E236" i="6" s="1"/>
  <c r="E220" i="6"/>
  <c r="E275" i="6"/>
  <c r="E264" i="6"/>
  <c r="E284" i="6"/>
  <c r="E248" i="6"/>
  <c r="D269" i="6"/>
  <c r="E268" i="6"/>
  <c r="E246" i="6"/>
  <c r="E270" i="6"/>
  <c r="D279" i="6"/>
  <c r="D264" i="6"/>
  <c r="E278" i="6"/>
  <c r="E245" i="6"/>
  <c r="E249" i="6"/>
  <c r="D278" i="6"/>
  <c r="E280" i="6"/>
  <c r="E281" i="6"/>
  <c r="E269" i="6"/>
  <c r="E271" i="6"/>
  <c r="D289" i="6"/>
  <c r="D274" i="6"/>
  <c r="D272" i="6"/>
  <c r="E273" i="6"/>
  <c r="E279" i="6"/>
  <c r="E274" i="6"/>
  <c r="D248" i="6"/>
  <c r="E241" i="6"/>
  <c r="E261" i="6"/>
  <c r="F262" i="6" s="1"/>
  <c r="D184" i="6"/>
  <c r="D253" i="6" s="1"/>
  <c r="O64" i="6"/>
  <c r="D261" i="6"/>
  <c r="D275" i="6"/>
  <c r="D277" i="6"/>
  <c r="D271" i="6"/>
  <c r="D284" i="6"/>
  <c r="D245" i="6"/>
  <c r="D246" i="6"/>
  <c r="D280" i="6"/>
  <c r="D241" i="6"/>
  <c r="E299" i="6"/>
  <c r="E293" i="6"/>
  <c r="E292" i="6"/>
  <c r="E251" i="6"/>
  <c r="E301" i="6"/>
  <c r="E313" i="6" s="1"/>
  <c r="E287" i="6"/>
  <c r="E114" i="6"/>
  <c r="E181" i="6" s="1"/>
  <c r="E250" i="6" s="1"/>
  <c r="E276" i="6"/>
  <c r="E96" i="6"/>
  <c r="E97" i="6" s="1"/>
  <c r="E103" i="6" s="1"/>
  <c r="E207" i="6"/>
  <c r="E252" i="6"/>
  <c r="E253" i="6"/>
  <c r="D96" i="6"/>
  <c r="D97" i="6" s="1"/>
  <c r="D103" i="6" s="1"/>
  <c r="D114" i="6"/>
  <c r="D181" i="6" s="1"/>
  <c r="D250" i="6" s="1"/>
  <c r="D276" i="6"/>
  <c r="D207" i="6"/>
  <c r="D41" i="6"/>
  <c r="G288" i="6"/>
  <c r="L145" i="6"/>
  <c r="L146" i="6" s="1"/>
  <c r="L154" i="6" s="1"/>
  <c r="G136" i="6"/>
  <c r="N144" i="6"/>
  <c r="N146" i="6" s="1"/>
  <c r="G145" i="6"/>
  <c r="G146" i="6" s="1"/>
  <c r="G154" i="6" s="1"/>
  <c r="M144" i="6"/>
  <c r="M146" i="6" s="1"/>
  <c r="C144" i="6"/>
  <c r="C136" i="6"/>
  <c r="O299" i="6"/>
  <c r="N299" i="6"/>
  <c r="M299" i="6"/>
  <c r="K299" i="6"/>
  <c r="J299" i="6"/>
  <c r="I299" i="6"/>
  <c r="O293" i="6"/>
  <c r="N293" i="6"/>
  <c r="M293" i="6"/>
  <c r="K293" i="6"/>
  <c r="J293" i="6"/>
  <c r="I293" i="6"/>
  <c r="O292" i="6"/>
  <c r="N292" i="6"/>
  <c r="M292" i="6"/>
  <c r="K292" i="6"/>
  <c r="J292" i="6"/>
  <c r="I292" i="6"/>
  <c r="G241" i="6"/>
  <c r="J80" i="8" s="1"/>
  <c r="L299" i="6"/>
  <c r="L293" i="6"/>
  <c r="L292" i="6"/>
  <c r="D105" i="8" l="1"/>
  <c r="F100" i="8" s="1"/>
  <c r="D28" i="8"/>
  <c r="J15" i="8" s="1"/>
  <c r="G46" i="6"/>
  <c r="G41" i="6"/>
  <c r="F102" i="8"/>
  <c r="G59" i="6"/>
  <c r="G109" i="12"/>
  <c r="E303" i="6"/>
  <c r="F265" i="6"/>
  <c r="E70" i="6"/>
  <c r="F70" i="6"/>
  <c r="L41" i="6"/>
  <c r="C59" i="6"/>
  <c r="C109" i="12"/>
  <c r="D222" i="6"/>
  <c r="D166" i="6"/>
  <c r="D230" i="6" s="1"/>
  <c r="D301" i="6"/>
  <c r="D296" i="6"/>
  <c r="J150" i="6"/>
  <c r="J152" i="6" s="1"/>
  <c r="E109" i="6"/>
  <c r="E73" i="6"/>
  <c r="E71" i="6"/>
  <c r="O154" i="6"/>
  <c r="L150" i="6"/>
  <c r="K150" i="6"/>
  <c r="K301" i="6" s="1"/>
  <c r="I150" i="6"/>
  <c r="I152" i="6" s="1"/>
  <c r="N154" i="6"/>
  <c r="N150" i="6"/>
  <c r="M150" i="6"/>
  <c r="M154" i="6"/>
  <c r="K64" i="6"/>
  <c r="E294" i="6"/>
  <c r="E297" i="6" s="1"/>
  <c r="D224" i="6"/>
  <c r="E255" i="6"/>
  <c r="E186" i="6"/>
  <c r="E265" i="6"/>
  <c r="D303" i="6"/>
  <c r="E266" i="6"/>
  <c r="E247" i="6"/>
  <c r="D318" i="6"/>
  <c r="E254" i="6"/>
  <c r="E262" i="6"/>
  <c r="D247" i="6"/>
  <c r="D266" i="6"/>
  <c r="D254" i="6"/>
  <c r="D255" i="6"/>
  <c r="E289" i="6"/>
  <c r="E213" i="6"/>
  <c r="E282" i="6"/>
  <c r="E112" i="6"/>
  <c r="E41" i="6"/>
  <c r="D282" i="6"/>
  <c r="D213" i="6"/>
  <c r="G150" i="6"/>
  <c r="L294" i="6"/>
  <c r="M294" i="6"/>
  <c r="N294" i="6"/>
  <c r="O294" i="6"/>
  <c r="I294" i="6"/>
  <c r="J294" i="6"/>
  <c r="K294" i="6"/>
  <c r="M11" i="6"/>
  <c r="O258" i="6"/>
  <c r="N258" i="6"/>
  <c r="M258" i="6"/>
  <c r="O244" i="6"/>
  <c r="N244" i="6"/>
  <c r="M244" i="6"/>
  <c r="M281" i="6"/>
  <c r="O219" i="6"/>
  <c r="N219" i="6"/>
  <c r="M219" i="6"/>
  <c r="M215" i="6"/>
  <c r="M212" i="6"/>
  <c r="M210" i="6"/>
  <c r="N209" i="6"/>
  <c r="M209" i="6"/>
  <c r="M206" i="6"/>
  <c r="M205" i="6"/>
  <c r="M202" i="6"/>
  <c r="M201" i="6"/>
  <c r="M192" i="6"/>
  <c r="Q193" i="6" s="1"/>
  <c r="O189" i="6"/>
  <c r="N189" i="6"/>
  <c r="M189" i="6"/>
  <c r="O182" i="6"/>
  <c r="N182" i="6"/>
  <c r="N251" i="6" s="1"/>
  <c r="M182" i="6"/>
  <c r="O175" i="6"/>
  <c r="N175" i="6"/>
  <c r="M175" i="6"/>
  <c r="O158" i="6"/>
  <c r="N158" i="6"/>
  <c r="M158" i="6"/>
  <c r="O122" i="6"/>
  <c r="N122" i="6"/>
  <c r="M122" i="6"/>
  <c r="O116" i="6"/>
  <c r="N116" i="6"/>
  <c r="M116" i="6"/>
  <c r="O105" i="6"/>
  <c r="N105" i="6"/>
  <c r="M105" i="6"/>
  <c r="N212" i="6"/>
  <c r="M78" i="6"/>
  <c r="M200" i="6"/>
  <c r="O81" i="6"/>
  <c r="N81" i="6"/>
  <c r="M81" i="6"/>
  <c r="O66" i="6"/>
  <c r="N66" i="6"/>
  <c r="M66" i="6"/>
  <c r="L258" i="6"/>
  <c r="K258" i="6"/>
  <c r="J258" i="6"/>
  <c r="I258" i="6"/>
  <c r="L244" i="6"/>
  <c r="K244" i="6"/>
  <c r="J244" i="6"/>
  <c r="I244" i="6"/>
  <c r="J284" i="6"/>
  <c r="I279" i="6"/>
  <c r="K219" i="6"/>
  <c r="J219" i="6"/>
  <c r="I219" i="6"/>
  <c r="I215" i="6"/>
  <c r="I212" i="6"/>
  <c r="I210" i="6"/>
  <c r="I209" i="6"/>
  <c r="I206" i="6"/>
  <c r="I205" i="6"/>
  <c r="I202" i="6"/>
  <c r="I201" i="6"/>
  <c r="I192" i="6"/>
  <c r="L189" i="6"/>
  <c r="K189" i="6"/>
  <c r="J189" i="6"/>
  <c r="I189" i="6"/>
  <c r="K182" i="6"/>
  <c r="J182" i="6"/>
  <c r="I182" i="6"/>
  <c r="L175" i="6"/>
  <c r="K175" i="6"/>
  <c r="J175" i="6"/>
  <c r="I175" i="6"/>
  <c r="L158" i="6"/>
  <c r="K158" i="6"/>
  <c r="J158" i="6"/>
  <c r="I158" i="6"/>
  <c r="L219" i="6"/>
  <c r="K122" i="6"/>
  <c r="J122" i="6"/>
  <c r="I122" i="6"/>
  <c r="L116" i="6"/>
  <c r="K116" i="6"/>
  <c r="J116" i="6"/>
  <c r="I116" i="6"/>
  <c r="L105" i="6"/>
  <c r="K105" i="6"/>
  <c r="J105" i="6"/>
  <c r="I105" i="6"/>
  <c r="J212" i="6"/>
  <c r="J206" i="6"/>
  <c r="I204" i="6"/>
  <c r="K200" i="6"/>
  <c r="I200" i="6"/>
  <c r="L81" i="6"/>
  <c r="K81" i="6"/>
  <c r="J81" i="6"/>
  <c r="I81" i="6"/>
  <c r="I79" i="6"/>
  <c r="L66" i="6"/>
  <c r="K66" i="6"/>
  <c r="J66" i="6"/>
  <c r="I66" i="6"/>
  <c r="B310" i="6"/>
  <c r="B309" i="6"/>
  <c r="B228" i="6"/>
  <c r="B227" i="6"/>
  <c r="F23" i="8" l="1"/>
  <c r="F25" i="8"/>
  <c r="I222" i="6"/>
  <c r="I301" i="6"/>
  <c r="E312" i="6"/>
  <c r="E307" i="6"/>
  <c r="E316" i="6"/>
  <c r="E315" i="6"/>
  <c r="E310" i="6"/>
  <c r="J222" i="6"/>
  <c r="J301" i="6"/>
  <c r="P166" i="6"/>
  <c r="P230" i="6" s="1"/>
  <c r="P301" i="6"/>
  <c r="P222" i="6"/>
  <c r="P167" i="6"/>
  <c r="P231" i="6" s="1"/>
  <c r="D312" i="6"/>
  <c r="D315" i="6"/>
  <c r="D316" i="6"/>
  <c r="D309" i="6"/>
  <c r="D310" i="6"/>
  <c r="D307" i="6"/>
  <c r="D306" i="6"/>
  <c r="L64" i="6"/>
  <c r="G64" i="6"/>
  <c r="L63" i="6"/>
  <c r="G63" i="6"/>
  <c r="E318" i="6"/>
  <c r="E296" i="6"/>
  <c r="E309" i="6" s="1"/>
  <c r="E306" i="6"/>
  <c r="E214" i="6"/>
  <c r="E283" i="6"/>
  <c r="E99" i="6"/>
  <c r="D283" i="6"/>
  <c r="D214" i="6"/>
  <c r="D99" i="6"/>
  <c r="O301" i="6"/>
  <c r="O313" i="6" s="1"/>
  <c r="K222" i="6"/>
  <c r="N208" i="6"/>
  <c r="J192" i="6"/>
  <c r="I280" i="6"/>
  <c r="N11" i="6"/>
  <c r="K251" i="6"/>
  <c r="M193" i="6"/>
  <c r="N278" i="6"/>
  <c r="O251" i="6"/>
  <c r="I251" i="6"/>
  <c r="N270" i="6"/>
  <c r="J274" i="6"/>
  <c r="O212" i="6"/>
  <c r="I277" i="6"/>
  <c r="M261" i="6"/>
  <c r="Q262" i="6" s="1"/>
  <c r="O278" i="6"/>
  <c r="M271" i="6"/>
  <c r="M279" i="6"/>
  <c r="M251" i="6"/>
  <c r="M79" i="6"/>
  <c r="M269" i="6"/>
  <c r="M211" i="6"/>
  <c r="I275" i="6"/>
  <c r="I281" i="6"/>
  <c r="M273" i="6"/>
  <c r="O271" i="6"/>
  <c r="M277" i="6"/>
  <c r="O274" i="6"/>
  <c r="O205" i="6"/>
  <c r="I78" i="6"/>
  <c r="J251" i="6"/>
  <c r="M284" i="6"/>
  <c r="M278" i="6"/>
  <c r="M274" i="6"/>
  <c r="M270" i="6"/>
  <c r="M241" i="6"/>
  <c r="M304" i="6" s="1"/>
  <c r="K274" i="6"/>
  <c r="L182" i="6"/>
  <c r="L251" i="6" s="1"/>
  <c r="M67" i="6"/>
  <c r="M69" i="6" s="1"/>
  <c r="Q70" i="6" s="1"/>
  <c r="O202" i="6"/>
  <c r="M275" i="6"/>
  <c r="I211" i="6"/>
  <c r="N210" i="6"/>
  <c r="N279" i="6"/>
  <c r="N274" i="6"/>
  <c r="N205" i="6"/>
  <c r="N200" i="6"/>
  <c r="N79" i="6"/>
  <c r="N269" i="6"/>
  <c r="N280" i="6"/>
  <c r="N211" i="6"/>
  <c r="O111" i="6"/>
  <c r="O179" i="6" s="1"/>
  <c r="O248" i="6" s="1"/>
  <c r="O200" i="6"/>
  <c r="O269" i="6"/>
  <c r="N201" i="6"/>
  <c r="N215" i="6"/>
  <c r="N261" i="6"/>
  <c r="N271" i="6"/>
  <c r="N275" i="6"/>
  <c r="N281" i="6"/>
  <c r="M204" i="6"/>
  <c r="M208" i="6"/>
  <c r="M280" i="6"/>
  <c r="N192" i="6"/>
  <c r="N202" i="6"/>
  <c r="N206" i="6"/>
  <c r="N284" i="6"/>
  <c r="K269" i="6"/>
  <c r="J210" i="6"/>
  <c r="J279" i="6"/>
  <c r="J270" i="6"/>
  <c r="J201" i="6"/>
  <c r="L122" i="6"/>
  <c r="J78" i="6"/>
  <c r="I269" i="6"/>
  <c r="J202" i="6"/>
  <c r="J271" i="6"/>
  <c r="J211" i="6"/>
  <c r="I261" i="6"/>
  <c r="I284" i="6"/>
  <c r="I278" i="6"/>
  <c r="I274" i="6"/>
  <c r="I270" i="6"/>
  <c r="J204" i="6"/>
  <c r="J273" i="6"/>
  <c r="J278" i="6"/>
  <c r="J209" i="6"/>
  <c r="I208" i="6"/>
  <c r="I273" i="6"/>
  <c r="J200" i="6"/>
  <c r="J79" i="6"/>
  <c r="J269" i="6"/>
  <c r="I271" i="6"/>
  <c r="J205" i="6"/>
  <c r="J215" i="6"/>
  <c r="J261" i="6"/>
  <c r="J275" i="6"/>
  <c r="J281" i="6"/>
  <c r="C258" i="6"/>
  <c r="C244" i="6"/>
  <c r="C219" i="6"/>
  <c r="C215" i="6"/>
  <c r="C210" i="6"/>
  <c r="C209" i="6"/>
  <c r="C206" i="6"/>
  <c r="C201" i="6"/>
  <c r="C189" i="6"/>
  <c r="C182" i="6"/>
  <c r="C175" i="6"/>
  <c r="C158" i="6"/>
  <c r="C122" i="6"/>
  <c r="C116" i="6"/>
  <c r="C107" i="6"/>
  <c r="C105" i="6"/>
  <c r="C81" i="6"/>
  <c r="C66" i="6"/>
  <c r="C192" i="6"/>
  <c r="D193" i="6" s="1"/>
  <c r="P313" i="6" l="1"/>
  <c r="M264" i="6"/>
  <c r="Q265" i="6" s="1"/>
  <c r="E216" i="6"/>
  <c r="E285" i="6"/>
  <c r="D285" i="6"/>
  <c r="D216" i="6"/>
  <c r="O222" i="6"/>
  <c r="M301" i="6"/>
  <c r="M313" i="6" s="1"/>
  <c r="N301" i="6"/>
  <c r="N313" i="6" s="1"/>
  <c r="N222" i="6"/>
  <c r="L301" i="6"/>
  <c r="L313" i="6" s="1"/>
  <c r="L222" i="6"/>
  <c r="M76" i="6"/>
  <c r="M197" i="6" s="1"/>
  <c r="M82" i="6"/>
  <c r="M195" i="6"/>
  <c r="N193" i="6"/>
  <c r="K287" i="6"/>
  <c r="K220" i="6"/>
  <c r="K218" i="6"/>
  <c r="K183" i="6"/>
  <c r="K184" i="6" s="1"/>
  <c r="K253" i="6" s="1"/>
  <c r="C212" i="6"/>
  <c r="C202" i="6"/>
  <c r="O79" i="6"/>
  <c r="C204" i="6"/>
  <c r="C211" i="6"/>
  <c r="O273" i="6"/>
  <c r="N273" i="6"/>
  <c r="N78" i="6"/>
  <c r="N204" i="6"/>
  <c r="O204" i="6"/>
  <c r="O281" i="6"/>
  <c r="O11" i="6"/>
  <c r="N262" i="6"/>
  <c r="I67" i="6"/>
  <c r="I69" i="6" s="1"/>
  <c r="K205" i="6"/>
  <c r="K79" i="6"/>
  <c r="N277" i="6"/>
  <c r="O209" i="6"/>
  <c r="O78" i="6"/>
  <c r="O261" i="6"/>
  <c r="L274" i="6"/>
  <c r="O270" i="6"/>
  <c r="O201" i="6"/>
  <c r="O192" i="6"/>
  <c r="K261" i="6"/>
  <c r="K202" i="6"/>
  <c r="N111" i="6"/>
  <c r="N179" i="6" s="1"/>
  <c r="N248" i="6" s="1"/>
  <c r="K271" i="6"/>
  <c r="N287" i="6"/>
  <c r="N218" i="6"/>
  <c r="N183" i="6"/>
  <c r="M111" i="6"/>
  <c r="O287" i="6"/>
  <c r="O183" i="6"/>
  <c r="O218" i="6"/>
  <c r="M262" i="6"/>
  <c r="O280" i="6"/>
  <c r="O211" i="6"/>
  <c r="O210" i="6"/>
  <c r="O279" i="6"/>
  <c r="O284" i="6"/>
  <c r="O215" i="6"/>
  <c r="K192" i="6"/>
  <c r="K212" i="6"/>
  <c r="K281" i="6"/>
  <c r="K280" i="6"/>
  <c r="K211" i="6"/>
  <c r="J280" i="6"/>
  <c r="O206" i="6"/>
  <c r="O275" i="6"/>
  <c r="M287" i="6"/>
  <c r="M183" i="6"/>
  <c r="M218" i="6"/>
  <c r="M71" i="6"/>
  <c r="M73" i="6"/>
  <c r="L271" i="6"/>
  <c r="L202" i="6"/>
  <c r="L111" i="6"/>
  <c r="L179" i="6" s="1"/>
  <c r="L248" i="6" s="1"/>
  <c r="I287" i="6"/>
  <c r="I218" i="6"/>
  <c r="I183" i="6"/>
  <c r="K279" i="6"/>
  <c r="K210" i="6"/>
  <c r="L269" i="6"/>
  <c r="L200" i="6"/>
  <c r="L209" i="6"/>
  <c r="L278" i="6"/>
  <c r="K78" i="6"/>
  <c r="K273" i="6"/>
  <c r="K204" i="6"/>
  <c r="K201" i="6"/>
  <c r="K270" i="6"/>
  <c r="K215" i="6"/>
  <c r="K284" i="6"/>
  <c r="L210" i="6"/>
  <c r="L279" i="6"/>
  <c r="K275" i="6"/>
  <c r="K206" i="6"/>
  <c r="K209" i="6"/>
  <c r="K278" i="6"/>
  <c r="J208" i="6"/>
  <c r="J277" i="6"/>
  <c r="C111" i="6"/>
  <c r="C179" i="6" s="1"/>
  <c r="C78" i="6"/>
  <c r="C79" i="6"/>
  <c r="C200" i="6"/>
  <c r="C141" i="6"/>
  <c r="C113" i="6"/>
  <c r="C180" i="6" s="1"/>
  <c r="C205" i="6"/>
  <c r="C208" i="6"/>
  <c r="C106" i="6"/>
  <c r="C126" i="6" s="1"/>
  <c r="M266" i="6" l="1"/>
  <c r="M222" i="6"/>
  <c r="I71" i="6"/>
  <c r="I73" i="6"/>
  <c r="M268" i="6"/>
  <c r="M199" i="6"/>
  <c r="M86" i="6"/>
  <c r="N107" i="6"/>
  <c r="L261" i="6"/>
  <c r="P262" i="6" s="1"/>
  <c r="M297" i="6"/>
  <c r="K289" i="6"/>
  <c r="K297" i="6"/>
  <c r="I297" i="6"/>
  <c r="N297" i="6"/>
  <c r="O297" i="6"/>
  <c r="K172" i="6"/>
  <c r="K236" i="6" s="1"/>
  <c r="K252" i="6"/>
  <c r="M41" i="6"/>
  <c r="L205" i="6"/>
  <c r="M70" i="6"/>
  <c r="N67" i="6"/>
  <c r="N69" i="6" s="1"/>
  <c r="J67" i="6"/>
  <c r="J69" i="6" s="1"/>
  <c r="L106" i="6"/>
  <c r="L126" i="6" s="1"/>
  <c r="L79" i="6"/>
  <c r="M106" i="6"/>
  <c r="M176" i="6" s="1"/>
  <c r="L192" i="6"/>
  <c r="P193" i="6" s="1"/>
  <c r="N106" i="6"/>
  <c r="N123" i="6" s="1"/>
  <c r="O193" i="6"/>
  <c r="O262" i="6"/>
  <c r="O208" i="6"/>
  <c r="O277" i="6"/>
  <c r="N289" i="6"/>
  <c r="O289" i="6"/>
  <c r="M172" i="6"/>
  <c r="M236" i="6" s="1"/>
  <c r="M220" i="6"/>
  <c r="N252" i="6"/>
  <c r="N184" i="6"/>
  <c r="N253" i="6" s="1"/>
  <c r="O106" i="6"/>
  <c r="M179" i="6"/>
  <c r="M248" i="6" s="1"/>
  <c r="O252" i="6"/>
  <c r="O184" i="6"/>
  <c r="O253" i="6" s="1"/>
  <c r="N172" i="6"/>
  <c r="N236" i="6" s="1"/>
  <c r="N220" i="6"/>
  <c r="L281" i="6"/>
  <c r="L212" i="6"/>
  <c r="M252" i="6"/>
  <c r="M184" i="6"/>
  <c r="M253" i="6" s="1"/>
  <c r="O107" i="6"/>
  <c r="M107" i="6"/>
  <c r="M289" i="6"/>
  <c r="O172" i="6"/>
  <c r="O236" i="6" s="1"/>
  <c r="O220" i="6"/>
  <c r="L107" i="6"/>
  <c r="J287" i="6"/>
  <c r="J218" i="6"/>
  <c r="J183" i="6"/>
  <c r="I252" i="6"/>
  <c r="I184" i="6"/>
  <c r="I253" i="6" s="1"/>
  <c r="L275" i="6"/>
  <c r="L206" i="6"/>
  <c r="K277" i="6"/>
  <c r="K208" i="6"/>
  <c r="I172" i="6"/>
  <c r="I236" i="6" s="1"/>
  <c r="I220" i="6"/>
  <c r="I289" i="6"/>
  <c r="L270" i="6"/>
  <c r="L201" i="6"/>
  <c r="L215" i="6"/>
  <c r="L284" i="6"/>
  <c r="C146" i="6"/>
  <c r="C150" i="6" s="1"/>
  <c r="C152" i="6" s="1"/>
  <c r="C176" i="6"/>
  <c r="C123" i="6"/>
  <c r="C108" i="6"/>
  <c r="C67" i="6"/>
  <c r="C69" i="6" s="1"/>
  <c r="D70" i="6" l="1"/>
  <c r="C71" i="6"/>
  <c r="J195" i="6"/>
  <c r="J76" i="6"/>
  <c r="J197" i="6" s="1"/>
  <c r="J82" i="6"/>
  <c r="J264" i="6"/>
  <c r="J266" i="6" s="1"/>
  <c r="M90" i="6"/>
  <c r="M203" i="6"/>
  <c r="M272" i="6"/>
  <c r="I195" i="6"/>
  <c r="I76" i="6"/>
  <c r="I197" i="6" s="1"/>
  <c r="I82" i="6"/>
  <c r="I264" i="6"/>
  <c r="M75" i="6"/>
  <c r="M196" i="6" s="1"/>
  <c r="C195" i="6"/>
  <c r="C110" i="6"/>
  <c r="C161" i="6" s="1"/>
  <c r="C225" i="6" s="1"/>
  <c r="C82" i="6"/>
  <c r="C268" i="6" s="1"/>
  <c r="C76" i="6"/>
  <c r="C197" i="6" s="1"/>
  <c r="N73" i="6"/>
  <c r="J297" i="6"/>
  <c r="M318" i="6"/>
  <c r="M296" i="6"/>
  <c r="N296" i="6"/>
  <c r="N318" i="6"/>
  <c r="O296" i="6"/>
  <c r="O318" i="6"/>
  <c r="I296" i="6"/>
  <c r="I318" i="6"/>
  <c r="K318" i="6"/>
  <c r="K296" i="6"/>
  <c r="J41" i="6"/>
  <c r="N41" i="6"/>
  <c r="I41" i="6"/>
  <c r="N70" i="6"/>
  <c r="N71" i="6"/>
  <c r="O67" i="6"/>
  <c r="O69" i="6" s="1"/>
  <c r="J73" i="6"/>
  <c r="J71" i="6"/>
  <c r="K67" i="6"/>
  <c r="K69" i="6" s="1"/>
  <c r="M126" i="6"/>
  <c r="M123" i="6"/>
  <c r="N126" i="6"/>
  <c r="N176" i="6"/>
  <c r="N245" i="6" s="1"/>
  <c r="L176" i="6"/>
  <c r="L123" i="6"/>
  <c r="O176" i="6"/>
  <c r="O126" i="6"/>
  <c r="O123" i="6"/>
  <c r="O113" i="6"/>
  <c r="N113" i="6"/>
  <c r="M113" i="6"/>
  <c r="M245" i="6"/>
  <c r="J172" i="6"/>
  <c r="J236" i="6" s="1"/>
  <c r="J220" i="6"/>
  <c r="L208" i="6"/>
  <c r="L277" i="6"/>
  <c r="J252" i="6"/>
  <c r="J184" i="6"/>
  <c r="J253" i="6" s="1"/>
  <c r="L280" i="6"/>
  <c r="L211" i="6"/>
  <c r="L273" i="6"/>
  <c r="L204" i="6"/>
  <c r="L78" i="6"/>
  <c r="L113" i="6"/>
  <c r="J289" i="6"/>
  <c r="C154" i="6"/>
  <c r="C218" i="6"/>
  <c r="C183" i="6"/>
  <c r="C184" i="6" s="1"/>
  <c r="C253" i="6" s="1"/>
  <c r="C245" i="6"/>
  <c r="C112" i="6"/>
  <c r="C109" i="6"/>
  <c r="C73" i="6"/>
  <c r="C278" i="6"/>
  <c r="C270" i="6"/>
  <c r="C248" i="6"/>
  <c r="C281" i="6"/>
  <c r="C280" i="6"/>
  <c r="C284" i="6"/>
  <c r="C264" i="6"/>
  <c r="D265" i="6" s="1"/>
  <c r="C275" i="6"/>
  <c r="C273" i="6"/>
  <c r="C279" i="6"/>
  <c r="C271" i="6"/>
  <c r="C249" i="6"/>
  <c r="C274" i="6"/>
  <c r="C277" i="6"/>
  <c r="C261" i="6"/>
  <c r="D262" i="6" s="1"/>
  <c r="C269" i="6"/>
  <c r="C299" i="6"/>
  <c r="C292" i="6"/>
  <c r="C293" i="6"/>
  <c r="C251" i="6"/>
  <c r="C287" i="6"/>
  <c r="B261" i="6"/>
  <c r="B192" i="6"/>
  <c r="P109" i="6" l="1"/>
  <c r="Q109" i="6"/>
  <c r="C294" i="6"/>
  <c r="C297" i="6" s="1"/>
  <c r="C163" i="6"/>
  <c r="C227" i="6" s="1"/>
  <c r="C164" i="6"/>
  <c r="C228" i="6" s="1"/>
  <c r="C172" i="6"/>
  <c r="C236" i="6" s="1"/>
  <c r="C166" i="6"/>
  <c r="C230" i="6" s="1"/>
  <c r="C199" i="6"/>
  <c r="C86" i="6"/>
  <c r="M96" i="6"/>
  <c r="M97" i="6" s="1"/>
  <c r="M276" i="6"/>
  <c r="M207" i="6"/>
  <c r="O195" i="6"/>
  <c r="O82" i="6"/>
  <c r="O75" i="6"/>
  <c r="O196" i="6" s="1"/>
  <c r="O264" i="6"/>
  <c r="O76" i="6"/>
  <c r="O197" i="6" s="1"/>
  <c r="C177" i="6"/>
  <c r="C170" i="6"/>
  <c r="C234" i="6" s="1"/>
  <c r="C169" i="6"/>
  <c r="C233" i="6" s="1"/>
  <c r="I266" i="6"/>
  <c r="M265" i="6"/>
  <c r="J86" i="6"/>
  <c r="J199" i="6"/>
  <c r="J268" i="6"/>
  <c r="I268" i="6"/>
  <c r="I199" i="6"/>
  <c r="I86" i="6"/>
  <c r="K82" i="6"/>
  <c r="K195" i="6"/>
  <c r="K264" i="6"/>
  <c r="K76" i="6"/>
  <c r="K197" i="6" s="1"/>
  <c r="N76" i="6"/>
  <c r="N197" i="6" s="1"/>
  <c r="N82" i="6"/>
  <c r="N195" i="6"/>
  <c r="N264" i="6"/>
  <c r="N75" i="6"/>
  <c r="N196" i="6" s="1"/>
  <c r="L108" i="6"/>
  <c r="L67" i="6"/>
  <c r="L69" i="6" s="1"/>
  <c r="P70" i="6" s="1"/>
  <c r="M108" i="6"/>
  <c r="N108" i="6"/>
  <c r="O108" i="6"/>
  <c r="J318" i="6"/>
  <c r="J296" i="6"/>
  <c r="K73" i="6"/>
  <c r="O73" i="6"/>
  <c r="O70" i="6"/>
  <c r="K41" i="6"/>
  <c r="O41" i="6"/>
  <c r="O71" i="6"/>
  <c r="K71" i="6"/>
  <c r="L245" i="6"/>
  <c r="O245" i="6"/>
  <c r="N180" i="6"/>
  <c r="N249" i="6" s="1"/>
  <c r="M180" i="6"/>
  <c r="M249" i="6" s="1"/>
  <c r="O180" i="6"/>
  <c r="O249" i="6" s="1"/>
  <c r="N112" i="6"/>
  <c r="L180" i="6"/>
  <c r="L249" i="6" s="1"/>
  <c r="C160" i="6"/>
  <c r="C186" i="6" s="1"/>
  <c r="C252" i="6"/>
  <c r="C185" i="6"/>
  <c r="C220" i="6"/>
  <c r="C41" i="6"/>
  <c r="C303" i="6"/>
  <c r="C266" i="6"/>
  <c r="C289" i="6"/>
  <c r="Q303" i="6" l="1"/>
  <c r="M103" i="6"/>
  <c r="Q306" i="6"/>
  <c r="Q310" i="6"/>
  <c r="Q307" i="6"/>
  <c r="Q312" i="6"/>
  <c r="P303" i="6"/>
  <c r="L109" i="6"/>
  <c r="C307" i="6"/>
  <c r="C306" i="6"/>
  <c r="C310" i="6"/>
  <c r="C222" i="6"/>
  <c r="C301" i="6"/>
  <c r="C312" i="6" s="1"/>
  <c r="O199" i="6"/>
  <c r="O86" i="6"/>
  <c r="O268" i="6"/>
  <c r="J203" i="6"/>
  <c r="J272" i="6"/>
  <c r="J90" i="6"/>
  <c r="C246" i="6"/>
  <c r="C254" i="6" s="1"/>
  <c r="C178" i="6"/>
  <c r="N265" i="6"/>
  <c r="N266" i="6"/>
  <c r="K268" i="6"/>
  <c r="K199" i="6"/>
  <c r="K86" i="6"/>
  <c r="I272" i="6"/>
  <c r="I203" i="6"/>
  <c r="I90" i="6"/>
  <c r="M282" i="6"/>
  <c r="M213" i="6"/>
  <c r="C203" i="6"/>
  <c r="C90" i="6"/>
  <c r="C272" i="6"/>
  <c r="N268" i="6"/>
  <c r="N86" i="6"/>
  <c r="N199" i="6"/>
  <c r="K266" i="6"/>
  <c r="O266" i="6"/>
  <c r="O265" i="6"/>
  <c r="M109" i="6"/>
  <c r="L71" i="6"/>
  <c r="N109" i="6"/>
  <c r="O109" i="6"/>
  <c r="O112" i="6"/>
  <c r="L112" i="6"/>
  <c r="M112" i="6"/>
  <c r="C296" i="6"/>
  <c r="C309" i="6" s="1"/>
  <c r="C224" i="6"/>
  <c r="C316" i="6"/>
  <c r="C315" i="6"/>
  <c r="C318" i="6"/>
  <c r="B189" i="6"/>
  <c r="Q316" i="6" l="1"/>
  <c r="Q309" i="6"/>
  <c r="P316" i="6"/>
  <c r="P315" i="6"/>
  <c r="P307" i="6"/>
  <c r="P306" i="6"/>
  <c r="P310" i="6"/>
  <c r="P309" i="6"/>
  <c r="P312" i="6"/>
  <c r="M99" i="6"/>
  <c r="M285" i="6" s="1"/>
  <c r="I96" i="6"/>
  <c r="I97" i="6" s="1"/>
  <c r="I207" i="6"/>
  <c r="I276" i="6"/>
  <c r="O90" i="6"/>
  <c r="O203" i="6"/>
  <c r="O272" i="6"/>
  <c r="C114" i="6"/>
  <c r="C181" i="6" s="1"/>
  <c r="C250" i="6" s="1"/>
  <c r="C276" i="6"/>
  <c r="C207" i="6"/>
  <c r="C96" i="6"/>
  <c r="C97" i="6" s="1"/>
  <c r="C103" i="6" s="1"/>
  <c r="K272" i="6"/>
  <c r="K203" i="6"/>
  <c r="K90" i="6"/>
  <c r="J207" i="6"/>
  <c r="J96" i="6"/>
  <c r="J276" i="6"/>
  <c r="N272" i="6"/>
  <c r="N203" i="6"/>
  <c r="N90" i="6"/>
  <c r="M214" i="6"/>
  <c r="M283" i="6"/>
  <c r="C247" i="6"/>
  <c r="C255" i="6"/>
  <c r="B107" i="6"/>
  <c r="B106" i="6"/>
  <c r="Q114" i="6" l="1"/>
  <c r="Q181" i="6" s="1"/>
  <c r="Q250" i="6" s="1"/>
  <c r="I103" i="6"/>
  <c r="P114" i="6"/>
  <c r="P181" i="6" s="1"/>
  <c r="P250" i="6" s="1"/>
  <c r="J97" i="6"/>
  <c r="J103" i="6" s="1"/>
  <c r="M216" i="6"/>
  <c r="O96" i="6"/>
  <c r="O276" i="6"/>
  <c r="O207" i="6"/>
  <c r="K207" i="6"/>
  <c r="K276" i="6"/>
  <c r="K96" i="6"/>
  <c r="J282" i="6"/>
  <c r="J213" i="6"/>
  <c r="N276" i="6"/>
  <c r="N207" i="6"/>
  <c r="N96" i="6"/>
  <c r="N97" i="6" s="1"/>
  <c r="C213" i="6"/>
  <c r="C282" i="6"/>
  <c r="I213" i="6"/>
  <c r="I282" i="6"/>
  <c r="N103" i="6" l="1"/>
  <c r="O97" i="6"/>
  <c r="K97" i="6"/>
  <c r="K103" i="6" s="1"/>
  <c r="I283" i="6"/>
  <c r="I214" i="6"/>
  <c r="C283" i="6"/>
  <c r="C214" i="6"/>
  <c r="I99" i="6"/>
  <c r="N213" i="6"/>
  <c r="N282" i="6"/>
  <c r="C99" i="6"/>
  <c r="C100" i="6" s="1"/>
  <c r="O213" i="6"/>
  <c r="O282" i="6"/>
  <c r="K282" i="6"/>
  <c r="K213" i="6"/>
  <c r="C262" i="6"/>
  <c r="P97" i="6" l="1"/>
  <c r="G97" i="6" s="1"/>
  <c r="O103" i="6"/>
  <c r="L97" i="6"/>
  <c r="K99" i="6"/>
  <c r="K216" i="6" s="1"/>
  <c r="N99" i="6"/>
  <c r="N285" i="6" s="1"/>
  <c r="I285" i="6"/>
  <c r="I216" i="6"/>
  <c r="C216" i="6"/>
  <c r="C285" i="6"/>
  <c r="J283" i="6"/>
  <c r="J214" i="6"/>
  <c r="J99" i="6"/>
  <c r="N214" i="6"/>
  <c r="N283" i="6"/>
  <c r="K283" i="6"/>
  <c r="K214" i="6"/>
  <c r="G293" i="6"/>
  <c r="G292" i="6"/>
  <c r="G299" i="6"/>
  <c r="P283" i="6" l="1"/>
  <c r="P214" i="6"/>
  <c r="P99" i="6"/>
  <c r="K285" i="6"/>
  <c r="G294" i="6"/>
  <c r="O283" i="6"/>
  <c r="N216" i="6"/>
  <c r="O214" i="6"/>
  <c r="O99" i="6"/>
  <c r="O216" i="6" s="1"/>
  <c r="J216" i="6"/>
  <c r="J285" i="6"/>
  <c r="G78" i="6"/>
  <c r="G182" i="6"/>
  <c r="P216" i="6" l="1"/>
  <c r="P285" i="6"/>
  <c r="O285" i="6"/>
  <c r="G106" i="6"/>
  <c r="G126" i="6" s="1"/>
  <c r="G261" i="6"/>
  <c r="G192" i="6"/>
  <c r="C196" i="6" l="1"/>
  <c r="C265" i="6" l="1"/>
  <c r="N110" i="6"/>
  <c r="L82" i="6"/>
  <c r="O110" i="6"/>
  <c r="C199" i="8" s="1"/>
  <c r="L76" i="6"/>
  <c r="L197" i="6" s="1"/>
  <c r="L264" i="6"/>
  <c r="L195" i="6"/>
  <c r="M110" i="6"/>
  <c r="L110" i="6"/>
  <c r="L73" i="6"/>
  <c r="B181" i="6"/>
  <c r="B180" i="6"/>
  <c r="B179" i="6"/>
  <c r="B318" i="6"/>
  <c r="B316" i="6"/>
  <c r="B315" i="6"/>
  <c r="B312" i="6"/>
  <c r="B307" i="6"/>
  <c r="B306" i="6"/>
  <c r="B301" i="6"/>
  <c r="B289" i="6"/>
  <c r="B288" i="6"/>
  <c r="B287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6" i="6"/>
  <c r="B265" i="6"/>
  <c r="B264" i="6"/>
  <c r="G258" i="6"/>
  <c r="G244" i="6"/>
  <c r="B236" i="6"/>
  <c r="B234" i="6"/>
  <c r="B233" i="6"/>
  <c r="B230" i="6"/>
  <c r="B225" i="6"/>
  <c r="B224" i="6"/>
  <c r="B222" i="6"/>
  <c r="B220" i="6"/>
  <c r="B219" i="6"/>
  <c r="B218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7" i="6"/>
  <c r="B196" i="6"/>
  <c r="B195" i="6"/>
  <c r="G189" i="6"/>
  <c r="G175" i="6"/>
  <c r="G158" i="6"/>
  <c r="G116" i="6"/>
  <c r="G105" i="6"/>
  <c r="G81" i="6"/>
  <c r="G66" i="6"/>
  <c r="G107" i="6"/>
  <c r="D199" i="8" l="1"/>
  <c r="E194" i="8"/>
  <c r="E196" i="8"/>
  <c r="N164" i="6"/>
  <c r="N228" i="6" s="1"/>
  <c r="N163" i="6"/>
  <c r="N227" i="6" s="1"/>
  <c r="M164" i="6"/>
  <c r="M228" i="6" s="1"/>
  <c r="M163" i="6"/>
  <c r="M227" i="6" s="1"/>
  <c r="O164" i="6"/>
  <c r="O228" i="6" s="1"/>
  <c r="O163" i="6"/>
  <c r="O227" i="6" s="1"/>
  <c r="M160" i="6"/>
  <c r="M177" i="6"/>
  <c r="M170" i="6"/>
  <c r="M234" i="6" s="1"/>
  <c r="M161" i="6"/>
  <c r="M166" i="6"/>
  <c r="M230" i="6" s="1"/>
  <c r="M169" i="6"/>
  <c r="M233" i="6" s="1"/>
  <c r="L177" i="6"/>
  <c r="L166" i="6"/>
  <c r="L230" i="6" s="1"/>
  <c r="L170" i="6"/>
  <c r="L234" i="6" s="1"/>
  <c r="L169" i="6"/>
  <c r="L233" i="6" s="1"/>
  <c r="O303" i="6"/>
  <c r="L266" i="6"/>
  <c r="L303" i="6"/>
  <c r="N303" i="6"/>
  <c r="M303" i="6"/>
  <c r="O160" i="6"/>
  <c r="O170" i="6"/>
  <c r="O234" i="6" s="1"/>
  <c r="O161" i="6"/>
  <c r="O166" i="6"/>
  <c r="O230" i="6" s="1"/>
  <c r="O177" i="6"/>
  <c r="O169" i="6"/>
  <c r="O233" i="6" s="1"/>
  <c r="L86" i="6"/>
  <c r="L199" i="6"/>
  <c r="L268" i="6"/>
  <c r="N166" i="6"/>
  <c r="N230" i="6" s="1"/>
  <c r="N177" i="6"/>
  <c r="N161" i="6"/>
  <c r="N170" i="6"/>
  <c r="N234" i="6" s="1"/>
  <c r="N160" i="6"/>
  <c r="N169" i="6"/>
  <c r="N233" i="6" s="1"/>
  <c r="G176" i="6"/>
  <c r="G245" i="6" s="1"/>
  <c r="G219" i="6"/>
  <c r="G122" i="6"/>
  <c r="F194" i="8" l="1"/>
  <c r="F196" i="8"/>
  <c r="O310" i="6"/>
  <c r="O306" i="6"/>
  <c r="O315" i="6"/>
  <c r="O316" i="6"/>
  <c r="O309" i="6"/>
  <c r="O312" i="6"/>
  <c r="O307" i="6"/>
  <c r="O224" i="6"/>
  <c r="O186" i="6"/>
  <c r="O185" i="6"/>
  <c r="O225" i="6"/>
  <c r="M185" i="6"/>
  <c r="M225" i="6"/>
  <c r="O246" i="6"/>
  <c r="O178" i="6"/>
  <c r="M310" i="6"/>
  <c r="M306" i="6"/>
  <c r="M312" i="6"/>
  <c r="M307" i="6"/>
  <c r="M315" i="6"/>
  <c r="M309" i="6"/>
  <c r="M316" i="6"/>
  <c r="N224" i="6"/>
  <c r="N186" i="6"/>
  <c r="L272" i="6"/>
  <c r="L203" i="6"/>
  <c r="L90" i="6"/>
  <c r="N225" i="6"/>
  <c r="N185" i="6"/>
  <c r="N310" i="6"/>
  <c r="N312" i="6"/>
  <c r="N307" i="6"/>
  <c r="N315" i="6"/>
  <c r="N316" i="6"/>
  <c r="N309" i="6"/>
  <c r="N306" i="6"/>
  <c r="N246" i="6"/>
  <c r="N178" i="6"/>
  <c r="L316" i="6"/>
  <c r="L312" i="6"/>
  <c r="L315" i="6"/>
  <c r="M246" i="6"/>
  <c r="M178" i="6"/>
  <c r="L246" i="6"/>
  <c r="L247" i="6" s="1"/>
  <c r="L178" i="6"/>
  <c r="M186" i="6"/>
  <c r="M224" i="6"/>
  <c r="L164" i="6"/>
  <c r="L228" i="6" s="1"/>
  <c r="G79" i="6"/>
  <c r="G123" i="6"/>
  <c r="G251" i="6"/>
  <c r="O114" i="6" l="1"/>
  <c r="O181" i="6" s="1"/>
  <c r="O250" i="6" s="1"/>
  <c r="L207" i="6"/>
  <c r="L276" i="6"/>
  <c r="L96" i="6"/>
  <c r="M114" i="6"/>
  <c r="M181" i="6" s="1"/>
  <c r="M250" i="6" s="1"/>
  <c r="L114" i="6"/>
  <c r="L181" i="6" s="1"/>
  <c r="L250" i="6" s="1"/>
  <c r="N114" i="6"/>
  <c r="N181" i="6" s="1"/>
  <c r="N250" i="6" s="1"/>
  <c r="O254" i="6"/>
  <c r="O255" i="6"/>
  <c r="O247" i="6"/>
  <c r="N254" i="6"/>
  <c r="N255" i="6"/>
  <c r="N247" i="6"/>
  <c r="M255" i="6"/>
  <c r="M247" i="6"/>
  <c r="M254" i="6"/>
  <c r="L163" i="6"/>
  <c r="L227" i="6" s="1"/>
  <c r="L287" i="6"/>
  <c r="L218" i="6"/>
  <c r="L183" i="6"/>
  <c r="L161" i="6"/>
  <c r="G76" i="6"/>
  <c r="G183" i="6"/>
  <c r="G280" i="6"/>
  <c r="G281" i="6"/>
  <c r="G271" i="6"/>
  <c r="G202" i="6"/>
  <c r="G111" i="6"/>
  <c r="G287" i="6"/>
  <c r="G297" i="6" s="1"/>
  <c r="G218" i="6"/>
  <c r="G284" i="6"/>
  <c r="G215" i="6"/>
  <c r="G278" i="6"/>
  <c r="G209" i="6"/>
  <c r="G274" i="6"/>
  <c r="G205" i="6"/>
  <c r="L282" i="6" l="1"/>
  <c r="L213" i="6"/>
  <c r="L307" i="6"/>
  <c r="L297" i="6"/>
  <c r="L310" i="6" s="1"/>
  <c r="L289" i="6"/>
  <c r="L172" i="6"/>
  <c r="L236" i="6" s="1"/>
  <c r="L220" i="6"/>
  <c r="L160" i="6"/>
  <c r="L225" i="6"/>
  <c r="L185" i="6"/>
  <c r="L252" i="6"/>
  <c r="L254" i="6" s="1"/>
  <c r="L184" i="6"/>
  <c r="L253" i="6" s="1"/>
  <c r="L255" i="6" s="1"/>
  <c r="G200" i="6"/>
  <c r="G211" i="6"/>
  <c r="G212" i="6"/>
  <c r="G195" i="6"/>
  <c r="G197" i="6"/>
  <c r="G110" i="6"/>
  <c r="G164" i="6" s="1"/>
  <c r="G82" i="6"/>
  <c r="G86" i="6" s="1"/>
  <c r="G264" i="6"/>
  <c r="G179" i="6"/>
  <c r="G248" i="6" s="1"/>
  <c r="G269" i="6"/>
  <c r="G220" i="6"/>
  <c r="G172" i="6"/>
  <c r="G236" i="6" s="1"/>
  <c r="G275" i="6"/>
  <c r="G206" i="6"/>
  <c r="G252" i="6"/>
  <c r="G184" i="6"/>
  <c r="G253" i="6" s="1"/>
  <c r="G270" i="6"/>
  <c r="G201" i="6"/>
  <c r="G289" i="6"/>
  <c r="G296" i="6" s="1"/>
  <c r="G279" i="6"/>
  <c r="G210" i="6"/>
  <c r="G273" i="6"/>
  <c r="G204" i="6"/>
  <c r="G113" i="6"/>
  <c r="G277" i="6"/>
  <c r="G208" i="6"/>
  <c r="G163" i="6" l="1"/>
  <c r="G227" i="6" s="1"/>
  <c r="L318" i="6"/>
  <c r="L306" i="6"/>
  <c r="L296" i="6"/>
  <c r="L309" i="6" s="1"/>
  <c r="G112" i="6"/>
  <c r="L224" i="6"/>
  <c r="L186" i="6"/>
  <c r="G170" i="6"/>
  <c r="G234" i="6" s="1"/>
  <c r="G166" i="6"/>
  <c r="G230" i="6" s="1"/>
  <c r="G228" i="6"/>
  <c r="G266" i="6"/>
  <c r="G303" i="6"/>
  <c r="G310" i="6" s="1"/>
  <c r="G318" i="6"/>
  <c r="G160" i="6"/>
  <c r="G224" i="6" s="1"/>
  <c r="G177" i="6"/>
  <c r="G161" i="6"/>
  <c r="G199" i="6"/>
  <c r="G268" i="6"/>
  <c r="G169" i="6"/>
  <c r="G233" i="6" s="1"/>
  <c r="G180" i="6"/>
  <c r="G249" i="6" s="1"/>
  <c r="G67" i="6"/>
  <c r="G69" i="6" s="1"/>
  <c r="G71" i="6" s="1"/>
  <c r="G108" i="6"/>
  <c r="G272" i="6"/>
  <c r="G203" i="6"/>
  <c r="G90" i="6"/>
  <c r="G301" i="6"/>
  <c r="G313" i="6" s="1"/>
  <c r="G222" i="6"/>
  <c r="G309" i="6" l="1"/>
  <c r="G306" i="6"/>
  <c r="G312" i="6"/>
  <c r="G316" i="6"/>
  <c r="G315" i="6"/>
  <c r="G307" i="6"/>
  <c r="G186" i="6"/>
  <c r="G225" i="6"/>
  <c r="G185" i="6"/>
  <c r="G246" i="6"/>
  <c r="G178" i="6"/>
  <c r="G73" i="6"/>
  <c r="G109" i="6"/>
  <c r="G276" i="6"/>
  <c r="G207" i="6"/>
  <c r="G114" i="6"/>
  <c r="G181" i="6" s="1"/>
  <c r="G250" i="6" s="1"/>
  <c r="G96" i="6"/>
  <c r="G99" i="6" s="1"/>
  <c r="L283" i="6" l="1"/>
  <c r="L99" i="6"/>
  <c r="L285" i="6" s="1"/>
  <c r="L214" i="6"/>
  <c r="G247" i="6"/>
  <c r="G254" i="6"/>
  <c r="G255" i="6"/>
  <c r="G282" i="6"/>
  <c r="G213" i="6"/>
  <c r="L216" i="6" l="1"/>
  <c r="C102" i="6" l="1"/>
  <c r="D100" i="6"/>
  <c r="I100" i="6" s="1"/>
  <c r="J100" i="6" l="1"/>
  <c r="I102" i="6"/>
  <c r="D102" i="6"/>
  <c r="E100" i="6"/>
  <c r="E102" i="6" l="1"/>
  <c r="F100" i="6"/>
  <c r="F102" i="6" s="1"/>
  <c r="K100" i="6"/>
  <c r="J102" i="6"/>
  <c r="L100" i="6" l="1"/>
  <c r="K102" i="6"/>
  <c r="M100" i="6" l="1"/>
  <c r="L102" i="6"/>
  <c r="N100" i="6" l="1"/>
  <c r="M102" i="6"/>
  <c r="O100" i="6" l="1"/>
  <c r="N102" i="6"/>
  <c r="O102" i="6" l="1"/>
  <c r="P100" i="6"/>
  <c r="G214" i="6"/>
  <c r="G283" i="6"/>
  <c r="P102" i="6" l="1"/>
  <c r="Q102" i="6"/>
  <c r="G285" i="6"/>
  <c r="G216" i="6"/>
  <c r="G102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CRISIL</author>
  </authors>
  <commentList>
    <comment ref="B6" authorId="0" shapeId="0" xr:uid="{F2994BB0-C4C5-47F1-B25F-9CD5B85E8BF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 pdf (24/59)</t>
        </r>
      </text>
    </comment>
    <comment ref="I6" authorId="0" shapeId="0" xr:uid="{C73B7571-3823-4477-9555-E4DF75DD66E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3Q25 Report - Pg 60/63</t>
        </r>
      </text>
    </comment>
    <comment ref="B32" authorId="0" shapeId="0" xr:uid="{2A6DAC62-80D2-4B6E-B781-A2637CF9F42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 pdf</t>
        </r>
      </text>
    </comment>
    <comment ref="B39" authorId="0" shapeId="0" xr:uid="{CB791EB1-0BD4-4DC2-810B-D5F6A57EDCD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 pdf</t>
        </r>
      </text>
    </comment>
    <comment ref="B65" authorId="0" shapeId="0" xr:uid="{6AB2E87E-5E24-4230-B68C-6015E93C2AD4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 pdf</t>
        </r>
      </text>
    </comment>
    <comment ref="B82" authorId="0" shapeId="0" xr:uid="{1910E8AD-CA15-4C01-AE05-443B0933436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 pdf</t>
        </r>
      </text>
    </comment>
    <comment ref="I82" authorId="0" shapeId="0" xr:uid="{A155F3B6-FD4A-45B1-B65A-32134CC6339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3Q25 Report - Pg 60/63</t>
        </r>
      </text>
    </comment>
    <comment ref="B109" authorId="0" shapeId="0" xr:uid="{B316A6C8-BB45-44C0-B8E0-C15BD7B854A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 pdf</t>
        </r>
      </text>
    </comment>
    <comment ref="B116" authorId="0" shapeId="0" xr:uid="{06893B20-9CB1-4297-B73A-2C0C769CE71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 pdf</t>
        </r>
      </text>
    </comment>
    <comment ref="B142" authorId="0" shapeId="0" xr:uid="{402F595E-2F9A-499F-9ADA-4B48EC15B7A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 pdf</t>
        </r>
      </text>
    </comment>
    <comment ref="J173" authorId="0" shapeId="0" xr:uid="{57E2A256-D0C0-4454-A011-328DAC72DFD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3Q25 Report - Pg 23/63</t>
        </r>
      </text>
    </comment>
    <comment ref="I176" authorId="0" shapeId="0" xr:uid="{F2F10EAA-6761-4728-BABC-9A7E394CD25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3Q25 Report - Pg 60/63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CRISIL</author>
  </authors>
  <commentList>
    <comment ref="Q7" authorId="0" shapeId="0" xr:uid="{32E38E7B-5E72-4B7F-8E42-F8BEFE35EA5B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converted using exchange rate</t>
        </r>
      </text>
    </comment>
    <comment ref="S7" authorId="0" shapeId="0" xr:uid="{A39BC1EB-AEB4-4F3B-97B4-F47C9EC02F3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  <comment ref="B73" authorId="0" shapeId="0" xr:uid="{38918600-3FFB-4AEC-B53A-7E3F3661063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Reconciiliation provided in EBITDA tab</t>
        </r>
      </text>
    </comment>
    <comment ref="B83" authorId="0" shapeId="0" xr:uid="{CBEF9122-1888-4F08-9F82-D5A557B18B3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As per company reported, we considered:
* Trade receivables 
* Value added tax and other receivables
* Prepaid expenses
* Other assets
* Accounts payable and accrued expenses
* Due to related parties
* Security deposits
* Deferred income</t>
        </r>
      </text>
    </comment>
    <comment ref="B87" authorId="0" shapeId="0" xr:uid="{7A499C80-D7B1-442D-BAD3-CE46D9BB188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*Acquisition of investment properties
* Capital expenditures on investment properties</t>
        </r>
      </text>
    </comment>
    <comment ref="E89" authorId="0" shapeId="0" xr:uid="{18F79369-0C5F-448B-B46C-9537FD2BABB9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Cash paid in TERRA’s acquisition, net of cash acquired</t>
        </r>
      </text>
    </comment>
    <comment ref="K89" authorId="0" shapeId="0" xr:uid="{500F88C9-45B5-46C9-9529-2CA0A3FDE01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Cash paid in TERRA’s acquisition </t>
        </r>
      </text>
    </comment>
    <comment ref="M89" authorId="0" shapeId="0" xr:uid="{BE49E221-13D8-4A13-B085-92EF23A006A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Acquisition of noncontrolling interests without a change in contro</t>
        </r>
      </text>
    </comment>
    <comment ref="N89" authorId="0" shapeId="0" xr:uid="{29180A92-B691-431A-B063-53635FD4885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6M: Acquisition of noncontrolling interests without a change in contro</t>
        </r>
      </text>
    </comment>
    <comment ref="C91" authorId="0" shapeId="0" xr:uid="{5B33DF90-9257-4FDA-8E23-D231ACF2155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Interest income</t>
        </r>
      </text>
    </comment>
    <comment ref="D91" authorId="0" shapeId="0" xr:uid="{F76A843B-DA56-41CD-814D-AABBD98761A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Interest income</t>
        </r>
      </text>
    </comment>
    <comment ref="E91" authorId="0" shapeId="0" xr:uid="{71031495-9925-497C-B2B3-2C2826450E4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Interest received: 338.830
* Equity distributions from joint ventures: 5.337
* Equity contributions to joint ventures: (200.472) </t>
        </r>
      </text>
    </comment>
    <comment ref="F91" authorId="0" shapeId="0" xr:uid="{4F4CB462-2468-4D4E-BCEA-C06367744CB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Prepayment from disposal of assets held for sale: 2.889
* Interest received: 61.885
* Equity distributions from joint ventures: 350.543
* Equity contributions to joint ventures: (231.657) </t>
        </r>
      </text>
    </comment>
    <comment ref="O91" authorId="0" shapeId="0" xr:uid="{2AA16A8A-B87E-442E-89E1-C2C29B77EA4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9M includes:
* Interest received: 46.580
* Equity contributions to joint ventures: (231.657)</t>
        </r>
      </text>
    </comment>
    <comment ref="P91" authorId="0" shapeId="0" xr:uid="{63B07A68-81D0-4D28-8577-46E0F456AE11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Prepayment from disposal of assets held for sale: 2.889
* Interest received: 61.885
* Equity distributions from joint ventures: 350.543
* Equity contributions to joint ventures: (231.657) </t>
        </r>
      </text>
    </comment>
    <comment ref="S91" authorId="0" shapeId="0" xr:uid="{AEA105C6-3E78-446B-82EE-1D5A89A0EBD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3M includes:
* Interest received: 0.609
</t>
        </r>
      </text>
    </comment>
    <comment ref="C92" authorId="0" shapeId="0" xr:uid="{49ECA25C-BA18-47DD-9516-EA90DED561E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CBFIs issued, related to the rights offering</t>
        </r>
      </text>
    </comment>
    <comment ref="D92" authorId="0" shapeId="0" xr:uid="{D84E3A00-7DDF-4387-80CB-52B649880486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Proceeds from rights offering</t>
        </r>
      </text>
    </comment>
    <comment ref="E92" authorId="0" shapeId="0" xr:uid="{E51D4CEF-21A5-464B-B4F1-3971FC46CAC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Proceeds from rights offering: 9,660.000</t>
        </r>
      </text>
    </comment>
    <comment ref="C95" authorId="0" shapeId="0" xr:uid="{436EEE35-43C1-4307-8268-7992908FAAEF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Acquisition of exchange rate options: (50.953)
* Rights offering issuance costs: (149.744)</t>
        </r>
      </text>
    </comment>
    <comment ref="D95" authorId="0" shapeId="0" xr:uid="{6F7CCBC8-610D-43F8-9297-79BBC7E0FC3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Acquisition of exchange rate options: (37.246)
* Rights offering issuance costs: (196.985)</t>
        </r>
      </text>
    </comment>
    <comment ref="E95" authorId="0" shapeId="0" xr:uid="{C69A3242-C82E-40AF-A503-58ABBA7D413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Rights offering issuance costs: 267.059
* Return of equity:(1,083.701)</t>
        </r>
      </text>
    </comment>
    <comment ref="F95" authorId="0" shapeId="0" xr:uid="{76D6C565-6E95-47B1-8AB8-B3A6A97C4E3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Acquisition of exchange rate options: (38.159)
* Gain on acquisition of interest rate hedges: 15.337
* Return of equity: (1,158.003)
* Acquisition of non-controlling interests without a change in control: (3,313.085) 
* Acquisition of non-controlling interests without a change in control costs: (93.693)</t>
        </r>
      </text>
    </comment>
    <comment ref="M95" authorId="0" shapeId="0" xr:uid="{FA7858A4-103C-49FF-919D-1B75F756C45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Return of equity: (1,158.003)</t>
        </r>
      </text>
    </comment>
    <comment ref="N95" authorId="0" shapeId="0" xr:uid="{4644A00A-7C7F-4088-8AFA-89D2E0650B2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6M Includes:
* Return of equity: (1,158.003)
* Acquisition of exchange rate options: (38.159)</t>
        </r>
      </text>
    </comment>
    <comment ref="O95" authorId="0" shapeId="0" xr:uid="{259C0C86-CD78-4CAB-A26C-014373D0909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9M includes:
* Acquisition of non-controlling interests without a change in control: (36.594)
* Acquisition of exchange rate options : (38.159)
* Return of equity: (1,158.003)</t>
        </r>
      </text>
    </comment>
    <comment ref="P95" authorId="0" shapeId="0" xr:uid="{41329CFB-8149-4309-A968-25843812D6C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FY includes:
* Acquisition of exchange rate options: (38.159)
* Gain on acquisition of interest rate hedges: 15.337
* Return of equity: (1,158.003)
* Acquisition of non-controlling interests without a change in control: (3,313.085) 
* Acquisition of non-controlling interests without a change in control costs: (93.693)</t>
        </r>
      </text>
    </comment>
    <comment ref="S95" authorId="0" shapeId="0" xr:uid="{E756BB1A-FF91-4ACE-9B42-70A9184C7A9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Inflows for derivatives : 0.529
* Issuance costs related to CBFI dividends: (0.150)</t>
        </r>
      </text>
    </comment>
    <comment ref="E97" authorId="0" shapeId="0" xr:uid="{B7F1630B-D151-4717-ADAC-317F77ED06B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Balancing figure is high due to use of EBITDA to calculate CFO instead of net income and other adjustments before working capital
</t>
        </r>
      </text>
    </comment>
    <comment ref="F97" authorId="0" shapeId="0" xr:uid="{77A0DDCE-8BED-45E6-8819-9D0C383ECC1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It is due to use of EBITDA instead of profit to calculate CFO, and other adjustments apart from working capital, majorly:
* Gain on valuation of investment properties and other investment properties: (3,744.302)
* Finance costs: 2,240.686
* Realized loss on exchange rate options: 35.712
* Unrealized loss (gain) on exchange rate options: 118.586
* Straight-line of lease rental revenue: (294.769)
* Insurance receivable: (160.428)
* Share of gain from equity accounted investments: (202.293)</t>
        </r>
      </text>
    </comment>
    <comment ref="P97" authorId="0" shapeId="0" xr:uid="{A7B85237-4E1B-497B-AB80-3D256F7B0F1D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It is due to use of EBITDA instead of profit to calculate CFO, and other adjustments apart from working capital, majorly:
* Gain on valuation of investment properties and other investment properties: (3,744.302)
* Finance costs: 2,240.686
* Realized loss on exchange rate options: 35.712
* Unrealized loss (gain) on exchange rate options: 118.586
* Straight-line of lease rental revenue: (294.769)
* Insurance receivable: (160.428)
* Share of gain from equity accounted investments: (202.293)</t>
        </r>
      </text>
    </comment>
    <comment ref="B118" authorId="0" shapeId="0" xr:uid="{390FEB37-8385-4CB7-B62C-C151E4C1315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Includes:
* Investment properties 
* Other investment properties</t>
        </r>
      </text>
    </comment>
    <comment ref="B127" authorId="0" shapeId="0" xr:uid="{4F97635C-BE84-4772-8722-8961E1D5CF9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Considered:
* Operating and maintenance utilities
* Utilities
* Property management fee
* Real estate taxes
* Non-recoverable operating expenses</t>
        </r>
      </text>
    </comment>
    <comment ref="F152" authorId="0" shapeId="0" xr:uid="{9ACC46DB-E7EB-4A99-89C3-26E6EAB19062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net of adjustments: pg 61/64</t>
        </r>
      </text>
    </comment>
    <comment ref="K152" authorId="0" shapeId="0" xr:uid="{2161EE2A-21D9-4074-B0B8-6FFC7CCB039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 net of adjustments</t>
        </r>
      </text>
    </comment>
    <comment ref="M152" authorId="0" shapeId="0" xr:uid="{049DD853-244F-4E6A-BA13-032770052F1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 net of adjustments</t>
        </r>
      </text>
    </comment>
    <comment ref="N152" authorId="0" shapeId="0" xr:uid="{456ED11A-700F-4950-8996-2B95120B603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 net of adjustments</t>
        </r>
      </text>
    </comment>
    <comment ref="O152" authorId="0" shapeId="0" xr:uid="{3503D6AC-A007-4F06-84FA-035F55D80305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 net of adjustments</t>
        </r>
      </text>
    </comment>
    <comment ref="S152" authorId="0" shapeId="0" xr:uid="{A8299B53-7E37-4277-A15E-EF2BC2E8A23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 net of adjustments such as  interest accrued , premium (discount), net, and Deferred financing cost </t>
        </r>
      </text>
    </comment>
    <comment ref="P239" authorId="0" shapeId="0" xr:uid="{920B5E05-985E-4531-96B4-F53EA9841C7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using debt in US and pesos</t>
        </r>
      </text>
    </comment>
    <comment ref="P240" authorId="0" shapeId="0" xr:uid="{B78EB8E2-7100-491F-B6D7-20C469DF76A7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using debt in US and pesos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CRISIL</author>
  </authors>
  <commentList>
    <comment ref="F9" authorId="0" shapeId="0" xr:uid="{A302812A-753A-4231-AC9F-58994A67921C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 pdf</t>
        </r>
      </text>
    </comment>
    <comment ref="F28" authorId="0" shapeId="0" xr:uid="{35E802CD-0682-4131-A62F-9DEE8037A74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 pdf</t>
        </r>
      </text>
    </comment>
    <comment ref="F49" authorId="0" shapeId="0" xr:uid="{DDF309D0-534F-4A72-AA12-6C3C4693A55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 pdf</t>
        </r>
      </text>
    </comment>
    <comment ref="F60" authorId="0" shapeId="0" xr:uid="{86F374B4-B1C6-4EBA-9E27-58930384617A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FS pdf</t>
        </r>
      </text>
    </comment>
    <comment ref="F122" authorId="0" shapeId="0" xr:uid="{C475F2B8-6FB0-4E78-A4D7-6D63F95C0D78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YTD</t>
        </r>
      </text>
    </comment>
    <comment ref="O122" authorId="0" shapeId="0" xr:uid="{E4CF7373-B470-4F7D-9FE4-027F0E4364F3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YTD</t>
        </r>
      </text>
    </comment>
    <comment ref="S122" authorId="0" shapeId="0" xr:uid="{B4D817F6-7344-46D4-9509-FB63506E7E0E}">
      <text>
        <r>
          <rPr>
            <b/>
            <sz val="9"/>
            <color indexed="81"/>
            <rFont val="Tahoma"/>
            <charset val="1"/>
          </rPr>
          <t>CRISIL:</t>
        </r>
        <r>
          <rPr>
            <sz val="9"/>
            <color indexed="81"/>
            <rFont val="Tahoma"/>
            <charset val="1"/>
          </rPr>
          <t xml:space="preserve">
charts in FS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CRISIL</author>
  </authors>
  <commentList>
    <comment ref="F8" authorId="0" shapeId="0" xr:uid="{8EB895B9-06CB-4C21-BFF0-BD0EC99F16A0}">
      <text>
        <r>
          <rPr>
            <b/>
            <sz val="9"/>
            <color indexed="81"/>
            <rFont val="Tahoma"/>
            <family val="2"/>
          </rPr>
          <t>CRISIL:</t>
        </r>
        <r>
          <rPr>
            <sz val="9"/>
            <color indexed="81"/>
            <rFont val="Tahoma"/>
            <family val="2"/>
          </rPr>
          <t xml:space="preserve">
from excel</t>
        </r>
      </text>
    </comment>
  </commentList>
</comments>
</file>

<file path=xl/sharedStrings.xml><?xml version="1.0" encoding="utf-8"?>
<sst xmlns="http://schemas.openxmlformats.org/spreadsheetml/2006/main" count="703" uniqueCount="282">
  <si>
    <t>1Q26</t>
  </si>
  <si>
    <t>Exchange Rate at the end of period</t>
  </si>
  <si>
    <t>LTM Average exchange rate</t>
  </si>
  <si>
    <t>Debt Breakdown as on 31-Mar-2026</t>
  </si>
  <si>
    <t>MXN mn</t>
  </si>
  <si>
    <t>USD mn</t>
  </si>
  <si>
    <t>Leverage (MXN)</t>
  </si>
  <si>
    <t>Leverage (USD)</t>
  </si>
  <si>
    <t>Company Reported Leverage</t>
  </si>
  <si>
    <t>Total debt - at par</t>
  </si>
  <si>
    <t>Less: cash and cash equivalents</t>
  </si>
  <si>
    <t>Unsecured</t>
  </si>
  <si>
    <t>Net debt</t>
  </si>
  <si>
    <t>Senior</t>
  </si>
  <si>
    <t>Adjusted EBITDA annualized</t>
  </si>
  <si>
    <t>Credit facilities</t>
  </si>
  <si>
    <t>Net debt / Adjusted EBITDA annualized</t>
  </si>
  <si>
    <t>Term Loans</t>
  </si>
  <si>
    <t>Promissory notes</t>
  </si>
  <si>
    <t>Calculated Net debt / Adj. EBITDA annualized</t>
  </si>
  <si>
    <t>Secured</t>
  </si>
  <si>
    <t>Calculated Net debt / LTM Adj. EBITDA</t>
  </si>
  <si>
    <t>Mortgage Debt</t>
  </si>
  <si>
    <t>Total</t>
  </si>
  <si>
    <t>Debt interest accrued</t>
  </si>
  <si>
    <t xml:space="preserve">Debt premium (discount), net </t>
  </si>
  <si>
    <t xml:space="preserve">Deferred financing cost </t>
  </si>
  <si>
    <t>Total Loans &amp; Borrowings</t>
  </si>
  <si>
    <t>Cash and Cash Equivalents</t>
  </si>
  <si>
    <t>Equity</t>
  </si>
  <si>
    <t xml:space="preserve">Total Capitalisation </t>
  </si>
  <si>
    <t>LTM Adjusted EBITDA</t>
  </si>
  <si>
    <t>check</t>
  </si>
  <si>
    <t>Liquidity Profile as on FY25</t>
  </si>
  <si>
    <t>Cash</t>
  </si>
  <si>
    <t>Cash equivalents</t>
  </si>
  <si>
    <t>Debt Profile as on FY25 (USD thousands)</t>
  </si>
  <si>
    <t>Debt maturity profile as on FY25 (USD millions)</t>
  </si>
  <si>
    <t>Senior notes (Unsecured)</t>
  </si>
  <si>
    <t>Credit facilities (Unsecured)</t>
  </si>
  <si>
    <t>Term Loans (Unsecured)</t>
  </si>
  <si>
    <t>Promissory Notes (Unsecured)</t>
  </si>
  <si>
    <t>Mortgage (Secured)</t>
  </si>
  <si>
    <t>Thereafter</t>
  </si>
  <si>
    <t>FY25</t>
  </si>
  <si>
    <t>Debt Breakdown as on 31-Dec-2025</t>
  </si>
  <si>
    <t>Excluding Terrafina</t>
  </si>
  <si>
    <t>Term Loan</t>
  </si>
  <si>
    <t>Terrafina</t>
  </si>
  <si>
    <t xml:space="preserve">Total </t>
  </si>
  <si>
    <t>Debt Profile as on FY25</t>
  </si>
  <si>
    <t>Rate</t>
  </si>
  <si>
    <t>Metropolitan Life Insurance Company 2026</t>
  </si>
  <si>
    <t xml:space="preserve">Total secured </t>
  </si>
  <si>
    <t>Senior Notes 2029</t>
  </si>
  <si>
    <t>Green Bond Senior 2032</t>
  </si>
  <si>
    <t>Green Bond Senior 2031</t>
  </si>
  <si>
    <t>Private Placement 2039</t>
  </si>
  <si>
    <t>Senior Notes 2035</t>
  </si>
  <si>
    <t>Total Senior</t>
  </si>
  <si>
    <t>BBVA México, S. A., Institución De Banca Múltiple, Grupo Financiero BBVA México 2026</t>
  </si>
  <si>
    <t>1 month SOFR (3.69%) + 125 bps</t>
  </si>
  <si>
    <t>Scotiabank Inverlat, S. A., Institución de Banca Múltiple, Grupo Financiero Scotiabank Inverlat 2026</t>
  </si>
  <si>
    <t>3 months SOFR (3.65%) + 140 bps</t>
  </si>
  <si>
    <t>Total term loans</t>
  </si>
  <si>
    <t>BBVA México, S. A., Institución De Banca Múltiple, Grupo Financiero BBVA México 2027</t>
  </si>
  <si>
    <t>1 month SOFR (3.69%) + 130 bps</t>
  </si>
  <si>
    <t>Total promissory notes</t>
  </si>
  <si>
    <t xml:space="preserve">1 month SOFR (4.24%) + 125 bps </t>
  </si>
  <si>
    <t>Total unsecured</t>
  </si>
  <si>
    <t>Debt premium (discount), net</t>
  </si>
  <si>
    <t>Deferred financing cost</t>
  </si>
  <si>
    <t>Total Debt</t>
  </si>
  <si>
    <t>Debt maturity profile as on FY25</t>
  </si>
  <si>
    <t>Unamortized debt premium (discount), net</t>
  </si>
  <si>
    <t>Interest payable and deferred finance cost</t>
  </si>
  <si>
    <t>Interest payable and deferred financing cost</t>
  </si>
  <si>
    <t>Total debt</t>
  </si>
  <si>
    <t>3Q25</t>
  </si>
  <si>
    <t>Debt Breakdown as on 30-Sep-2025</t>
  </si>
  <si>
    <t>Liquidity Profile as on 3Q25</t>
  </si>
  <si>
    <t>Debt Profile as on 3Q25</t>
  </si>
  <si>
    <t>Senior Notes (Unsecured)</t>
  </si>
  <si>
    <t>Green Bond (Unsecured)</t>
  </si>
  <si>
    <t>Private Placement (Unsecured)</t>
  </si>
  <si>
    <t>Metropolitan Life Insurance Company (Secured)</t>
  </si>
  <si>
    <t>Prudential Insurance Company and Metropolitan Life Insurance Co. (The Pru-Met Loan) 1st Section (Secured)</t>
  </si>
  <si>
    <t>Prudential Insurance Company and Metropolitan Life Insurance Co. (The Pru-Met Loan) 2nd Section (Secured)</t>
  </si>
  <si>
    <t>BBVA México, S. A., Institución De Banca Múltiple, Grupo Financiero BBVA México – Term Loan (Unsecured)</t>
  </si>
  <si>
    <t>Scotiabank Inverlat, S. A., Institución de Banca Múltiple, Grupo Financiero Scotiabank Inverlat - Term Loan (Unsecured)</t>
  </si>
  <si>
    <t xml:space="preserve">3 months SOFR (4.24%) + 165 bps </t>
  </si>
  <si>
    <t>BBVA México, S. A., Institución De Banca Múltiple, Grupo Financiero BBVA México (Promissory Note) (Unsecured)</t>
  </si>
  <si>
    <t xml:space="preserve">1 month SOFR (4.24%) + 110 bps </t>
  </si>
  <si>
    <t>Debt maturity profile as on 3Q25</t>
  </si>
  <si>
    <t>FIBRA Prologis</t>
  </si>
  <si>
    <t>Annual</t>
  </si>
  <si>
    <t>LTM</t>
  </si>
  <si>
    <t xml:space="preserve">Quarters </t>
  </si>
  <si>
    <t>(Mexican pesos in millions)</t>
  </si>
  <si>
    <t>Act</t>
  </si>
  <si>
    <t>FY</t>
  </si>
  <si>
    <t>1Q</t>
  </si>
  <si>
    <t>2Q</t>
  </si>
  <si>
    <t>3Q</t>
  </si>
  <si>
    <t>4Q</t>
  </si>
  <si>
    <t>INCOME STATEMENT</t>
  </si>
  <si>
    <t>USD (reported)</t>
  </si>
  <si>
    <t xml:space="preserve">Net revenue </t>
  </si>
  <si>
    <t>Rental income</t>
  </si>
  <si>
    <t>Rental recoveries</t>
  </si>
  <si>
    <t>Other property income</t>
  </si>
  <si>
    <t xml:space="preserve">Revenue % y-o-y growth </t>
  </si>
  <si>
    <t>Operating expenses, other income and expenses</t>
  </si>
  <si>
    <t>Operating and maintenance utilities</t>
  </si>
  <si>
    <t>Utilities</t>
  </si>
  <si>
    <t>Property management fee</t>
  </si>
  <si>
    <t>Real estate taxes</t>
  </si>
  <si>
    <t>Non-recoverable operating expenses</t>
  </si>
  <si>
    <t>Net Operating Income</t>
  </si>
  <si>
    <t>Other income (expense)</t>
  </si>
  <si>
    <t>(Loss) gain on valuation of investment properties and other investment properties</t>
  </si>
  <si>
    <t>Asset management fee</t>
  </si>
  <si>
    <t>Incentive fee</t>
  </si>
  <si>
    <t>Professional fees</t>
  </si>
  <si>
    <t>Interest income</t>
  </si>
  <si>
    <t>Interest expense</t>
  </si>
  <si>
    <t>Amortization of debt premium (discount)</t>
  </si>
  <si>
    <t>Amortization of debt premium, net</t>
  </si>
  <si>
    <t xml:space="preserve">Amortization of deferred financing cost </t>
  </si>
  <si>
    <t>Losses on early extinguishment of debt, net</t>
  </si>
  <si>
    <t>Unused credit facility fee</t>
  </si>
  <si>
    <t>Unrealized gain (loss) on exchange rate hedge instruments</t>
  </si>
  <si>
    <t>Unrealized loss on exchange rate forwards</t>
  </si>
  <si>
    <t>Realized losses on exchange rate hedge instruments</t>
  </si>
  <si>
    <t>Unrealized exchange gain (loss), net</t>
  </si>
  <si>
    <t>Realized exchange gain (loss), net</t>
  </si>
  <si>
    <t>Taxes recovered</t>
  </si>
  <si>
    <t>Non-recoverable withholding tax related to interest income</t>
  </si>
  <si>
    <t>Other general and administrative expenses</t>
  </si>
  <si>
    <t>Share of profit from equity accounted investments</t>
  </si>
  <si>
    <t>Net income for the year</t>
  </si>
  <si>
    <t>% margin</t>
  </si>
  <si>
    <t>Profit for the period attributable to FIBRA Prologis CBFIs holders</t>
  </si>
  <si>
    <t>Profit for the period attributable to noncontrolling interests</t>
  </si>
  <si>
    <t>Profit for the period</t>
  </si>
  <si>
    <t>As % of sales or stated otherwise</t>
  </si>
  <si>
    <t>Interest income as % of cash and cash equivalents</t>
  </si>
  <si>
    <t>Interest expense as % of total debt</t>
  </si>
  <si>
    <t>Working capital /sales</t>
  </si>
  <si>
    <t>Capex/sales</t>
  </si>
  <si>
    <t xml:space="preserve">EBITDA </t>
  </si>
  <si>
    <t xml:space="preserve">Operating profit </t>
  </si>
  <si>
    <t>Depreciation, depletion &amp; amortization</t>
  </si>
  <si>
    <t xml:space="preserve">% growth </t>
  </si>
  <si>
    <t>Adjustment</t>
  </si>
  <si>
    <t xml:space="preserve">Adj. EBITDA </t>
  </si>
  <si>
    <t>Capex sales</t>
  </si>
  <si>
    <t xml:space="preserve">WC SALES </t>
  </si>
  <si>
    <t>CASH FLOW</t>
  </si>
  <si>
    <t>Working Capital</t>
  </si>
  <si>
    <t>Taxes</t>
  </si>
  <si>
    <t>Cash interest paid</t>
  </si>
  <si>
    <t xml:space="preserve">Net cash from operations </t>
  </si>
  <si>
    <t>Net Capex</t>
  </si>
  <si>
    <t>Purchase of intangible assets</t>
  </si>
  <si>
    <t>Disposals/ Acquistion, of subsidiaries, businesses</t>
  </si>
  <si>
    <t xml:space="preserve">Free cash flow </t>
  </si>
  <si>
    <t xml:space="preserve">Other Investing </t>
  </si>
  <si>
    <t>Equity Issuance / Buyback</t>
  </si>
  <si>
    <t>Dividends</t>
  </si>
  <si>
    <t>Net Change in debt</t>
  </si>
  <si>
    <t>Other financing activities</t>
  </si>
  <si>
    <t>Cash flow after financing activities</t>
  </si>
  <si>
    <t>Balancing figure</t>
  </si>
  <si>
    <t xml:space="preserve">FX </t>
  </si>
  <si>
    <t xml:space="preserve">Net change in cash </t>
  </si>
  <si>
    <t>Cash and cash equivalents</t>
  </si>
  <si>
    <t xml:space="preserve">LTM </t>
  </si>
  <si>
    <t>EBITDA</t>
  </si>
  <si>
    <t>Adjusted EBITDA</t>
  </si>
  <si>
    <t>Net Income</t>
  </si>
  <si>
    <t>Capex</t>
  </si>
  <si>
    <t xml:space="preserve">BALANCE SHEET </t>
  </si>
  <si>
    <t>Tangible fixed assets</t>
  </si>
  <si>
    <t>Inventory</t>
  </si>
  <si>
    <t>Trade accounts receivable</t>
  </si>
  <si>
    <t>Trade accounts payable</t>
  </si>
  <si>
    <t>Net working capital</t>
  </si>
  <si>
    <t>% of revenues</t>
  </si>
  <si>
    <t>Inventory Days</t>
  </si>
  <si>
    <t>Receivable Days</t>
  </si>
  <si>
    <t>Payable Days</t>
  </si>
  <si>
    <t xml:space="preserve">Debt  Breakdown </t>
  </si>
  <si>
    <t>Short-term debt</t>
  </si>
  <si>
    <t>Current portion of debt</t>
  </si>
  <si>
    <t>Long-term debt</t>
  </si>
  <si>
    <t>Debt</t>
  </si>
  <si>
    <t>Lease Obligations</t>
  </si>
  <si>
    <t>Short-term</t>
  </si>
  <si>
    <t>Long-term</t>
  </si>
  <si>
    <t>Total Lease</t>
  </si>
  <si>
    <t>Debt including lease obligations</t>
  </si>
  <si>
    <t>Total debt including lease obligations</t>
  </si>
  <si>
    <t>Financial investments</t>
  </si>
  <si>
    <t>Total cash and cash equivalents</t>
  </si>
  <si>
    <t xml:space="preserve">Net debt </t>
  </si>
  <si>
    <t>Company reported net debt</t>
  </si>
  <si>
    <t>Equity (as reported on balance sheet)</t>
  </si>
  <si>
    <t>Total debt + Equity</t>
  </si>
  <si>
    <t>Company reported - Adjusted EBITDA annualized</t>
  </si>
  <si>
    <t>CREDIT RATIOS</t>
  </si>
  <si>
    <t>Net Leverage including lease obligations</t>
  </si>
  <si>
    <t>Gross Leverage including lease obligations</t>
  </si>
  <si>
    <t>Net Leverage excluding lease obligations</t>
  </si>
  <si>
    <t>Gross Leverage excluding lease obligations</t>
  </si>
  <si>
    <t>Company reported net leverage (including leases)</t>
  </si>
  <si>
    <t>Company reported net leverage based on annualized EBITDA</t>
  </si>
  <si>
    <t>EBITDA - Capex / Interest</t>
  </si>
  <si>
    <t>EBITDA/Interest</t>
  </si>
  <si>
    <t xml:space="preserve">Gearing (Net debt / Equity) </t>
  </si>
  <si>
    <t>Key  Credit Metrics (USD millions)</t>
  </si>
  <si>
    <t xml:space="preserve">Revenues </t>
  </si>
  <si>
    <t>Adj. EBITDA</t>
  </si>
  <si>
    <t>Adj. EBITDA Margin</t>
  </si>
  <si>
    <t>Net Debt</t>
  </si>
  <si>
    <t>Gross Leverage</t>
  </si>
  <si>
    <t xml:space="preserve">Net Leverage </t>
  </si>
  <si>
    <t>Summary Financials</t>
  </si>
  <si>
    <t>% growth</t>
  </si>
  <si>
    <t>FX rate average - MXN/USD</t>
  </si>
  <si>
    <t>FX rate  - MXN/USD (as at end of period)</t>
  </si>
  <si>
    <t>USD to MXN EOP</t>
  </si>
  <si>
    <t>Key  Credit Metrics (USD Mn where applicable)</t>
  </si>
  <si>
    <t>(USD millions)</t>
  </si>
  <si>
    <t>Net debt exclduing leases</t>
  </si>
  <si>
    <t>Gross debt excluding leases</t>
  </si>
  <si>
    <t>LTM EBITDA</t>
  </si>
  <si>
    <t>Compnay reported - Adjusted EBITDA annualized</t>
  </si>
  <si>
    <t>KPI</t>
  </si>
  <si>
    <t>Revenue by type</t>
  </si>
  <si>
    <t>Revenue by type (% Share)</t>
  </si>
  <si>
    <t>Revenue by type (% YoY growth)</t>
  </si>
  <si>
    <t>Revenue by geographic segments</t>
  </si>
  <si>
    <t>Mexico city</t>
  </si>
  <si>
    <t>Monterrey</t>
  </si>
  <si>
    <t>Tijuana</t>
  </si>
  <si>
    <t>Guadalajara</t>
  </si>
  <si>
    <t>Reynosa</t>
  </si>
  <si>
    <t>Ciudad Juarez</t>
  </si>
  <si>
    <t>Other markets</t>
  </si>
  <si>
    <t>Revenue by geographic segments (% Share)</t>
  </si>
  <si>
    <t>Net Operating Income by geographic segments</t>
  </si>
  <si>
    <t>Investment Properties</t>
  </si>
  <si>
    <t>Land</t>
  </si>
  <si>
    <t>Buildings</t>
  </si>
  <si>
    <t>Other Investment Properties</t>
  </si>
  <si>
    <t>Number of Properties</t>
  </si>
  <si>
    <t>Debt by geographic segments</t>
  </si>
  <si>
    <t>Secured Debt</t>
  </si>
  <si>
    <t>Unsecured Debt</t>
  </si>
  <si>
    <t>Assets held for sale</t>
  </si>
  <si>
    <r>
      <t xml:space="preserve">Asset management fee and Incentive fee </t>
    </r>
    <r>
      <rPr>
        <b/>
        <sz val="10"/>
        <color rgb="FFFF0000"/>
        <rFont val="Calibri"/>
        <family val="2"/>
      </rPr>
      <t>(in USD millions)</t>
    </r>
  </si>
  <si>
    <t>Incentive fee paid in CBFIs</t>
  </si>
  <si>
    <t>Occupancy</t>
  </si>
  <si>
    <t>Period end occupancy</t>
  </si>
  <si>
    <t>Average occupancy</t>
  </si>
  <si>
    <t>Customer Retention</t>
  </si>
  <si>
    <t>Same store NOI change over prior year</t>
  </si>
  <si>
    <t>NOI cash</t>
  </si>
  <si>
    <t>NOI net effective</t>
  </si>
  <si>
    <t xml:space="preserve">Trailing 4Q Weighted Average of NET EFFECTIVE RENT CHANGE </t>
  </si>
  <si>
    <t>S</t>
  </si>
  <si>
    <t>Net income</t>
  </si>
  <si>
    <t>Loss (gain) on valuation of investment properties and other investment properties</t>
  </si>
  <si>
    <t>Unrealized loss (gain) on exchange rate hedge instruments</t>
  </si>
  <si>
    <t>Unrealized exchange loss (gain), net</t>
  </si>
  <si>
    <t>Losses on early extinguishment of debt</t>
  </si>
  <si>
    <t>Amortization of deferred financing costs</t>
  </si>
  <si>
    <t>Amortization of debt (premium) discount, net</t>
  </si>
  <si>
    <t>Adjustments related to noncontrolling interests</t>
  </si>
  <si>
    <t>Our proportionate share of adjustments related to unconsolidated entities</t>
  </si>
  <si>
    <t>Pro forma adjustments for acquisitions and dispositions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</si>
</sst>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6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#,##0.0_);\(#,##0.0\)"/>
    <numFmt numFmtId="166" formatCode="#0.0%_);\(#0.0%\)"/>
    <numFmt numFmtId="167" formatCode="#0.00\x"/>
    <numFmt numFmtId="168" formatCode="mmm\ yyyy"/>
    <numFmt numFmtId="169" formatCode="0.0%"/>
    <numFmt numFmtId="170" formatCode="_(* #,##0.0_);_(* \(#,##0.0\);_(* &quot;-&quot;??_);_(@_)"/>
    <numFmt numFmtId="171" formatCode="_(* #,##0.000_);_(* \(#,##0.000\);_(* &quot;-&quot;??_);_(@_)"/>
    <numFmt numFmtId="172" formatCode="_(* #,##0_);_(* \(#,##0\);_(* &quot;-&quot;??_);_(@_)"/>
    <numFmt numFmtId="173" formatCode="#,##0.0\ ;\(#,##0.0\)"/>
    <numFmt numFmtId="174" formatCode="&quot;$&quot;#,##0.00_)&quot;per share&quot;;\(&quot;$&quot;#,##0.00\)&quot; per share&quot;"/>
    <numFmt numFmtId="175" formatCode="0.0_)\%;\(0.0\)\%;0.0_)\%;@_)_%"/>
    <numFmt numFmtId="176" formatCode="#,##0.0_)_%;\(#,##0.0\)_%;0.0_)_%;@_)_%"/>
    <numFmt numFmtId="177" formatCode="#,##0.0_);\(#,##0.0\);#,##0.0_);@_)"/>
    <numFmt numFmtId="178" formatCode="&quot;$&quot;_(#,##0.00_);&quot;$&quot;\(#,##0.00\);&quot;$&quot;_(0.00_);@_)"/>
    <numFmt numFmtId="179" formatCode="&quot;$&quot;_(#,##0.00_);&quot;$&quot;\(#,##0.00\)"/>
    <numFmt numFmtId="180" formatCode="#,##0.00_);\(#,##0.00\);0.00_);@_)"/>
    <numFmt numFmtId="181" formatCode="\€_(#,##0.00_);\€\(#,##0.00\);\€_(0.00_);@_)"/>
    <numFmt numFmtId="182" formatCode="#,##0_)\x;\(#,##0\)\x;0_)\x;@_)_x"/>
    <numFmt numFmtId="183" formatCode="#,##0.0_)\x;\(#,##0.0\)\x"/>
    <numFmt numFmtId="184" formatCode="#,##0_)_x;\(#,##0\)_x;0_)_x;@_)_x"/>
    <numFmt numFmtId="185" formatCode="#,##0.0_)_x;\(#,##0.0\)_x"/>
    <numFmt numFmtId="186" formatCode="0.0_)\%;\(0.0\)\%"/>
    <numFmt numFmtId="187" formatCode="#,##0.0_)_%;\(#,##0.0\)_%"/>
    <numFmt numFmtId="188" formatCode="_(\£* #,##0_);_(\£* \(#,##0\);_(\£* &quot;-&quot;_);_(@_)"/>
    <numFmt numFmtId="189" formatCode="_(\£* #,##0.0_);_(\£* \(#,##0.0\);_(\£* &quot;-&quot;_);_(@_)"/>
    <numFmt numFmtId="190" formatCode="_(\£* #,##0.00_);_(\£* \(#,##0.00\);_(\£* &quot;-&quot;_);_(@_)"/>
    <numFmt numFmtId="191" formatCode="_(* #,##0\p_);_(* \(#,##0\p\);_(* &quot;-&quot;\ \p_);_(@_)"/>
    <numFmt numFmtId="192" formatCode="_(* #,##0.00\p_);_(* \(#,##0.00\p\);_(* &quot;-&quot;\ \p_);_(@_)"/>
    <numFmt numFmtId="193" formatCode="\£#,##0.00"/>
    <numFmt numFmtId="194" formatCode="&quot;$&quot;&quot; &quot;#,##0_);\(&quot;$&quot;&quot; &quot;#,##0\);\-_)"/>
    <numFmt numFmtId="195" formatCode="#,##0_);\(#,##0\);\-_)"/>
    <numFmt numFmtId="196" formatCode="&quot;$&quot;#,##0_);[Red]\(&quot;$&quot;#,##0\);&quot;-&quot;"/>
    <numFmt numFmtId="197" formatCode="[Blue]0.0%;[Blue]\-0.0%"/>
    <numFmt numFmtId="198" formatCode="\£#,##0_);\(\£#,##0\)"/>
    <numFmt numFmtId="199" formatCode="&quot;fl&quot;#,##0_);\(&quot;fl&quot;#,##0\)"/>
    <numFmt numFmtId="200" formatCode="&quot;$&quot;\ #,##0_);\(&quot;$&quot;\ #,##0\)"/>
    <numFmt numFmtId="201" formatCode="_(&quot;R$&quot;* #,##0.00_);_(&quot;R$&quot;* \(#,##0.00\);_(&quot;R$&quot;* &quot;-&quot;??_);_(@_)"/>
    <numFmt numFmtId="202" formatCode="0.0\x;[Red]\(0.0\x\)"/>
    <numFmt numFmtId="203" formatCode="#,##0.0_);\(#,##0.0\);&quot;—&quot;_)"/>
    <numFmt numFmtId="204" formatCode="&quot;$&quot;#,##0.0_);\(&quot;$&quot;#,##0.0\);&quot;—&quot;_)"/>
    <numFmt numFmtId="205" formatCode="0.000000000%"/>
    <numFmt numFmtId="206" formatCode="#,##0.0000"/>
    <numFmt numFmtId="207" formatCode="mm/dd/yy"/>
    <numFmt numFmtId="208" formatCode="&quot;$&quot;#,##0.00"/>
    <numFmt numFmtId="209" formatCode="_([$€-2]* #,##0.00_);_([$€-2]* \(#,##0.00\);_([$€-2]* &quot;-&quot;??_)"/>
    <numFmt numFmtId="210" formatCode="#&quot; mon&quot;"/>
    <numFmt numFmtId="211" formatCode="#,##0\ &quot;F&quot;;[Red]\-#,##0\ &quot;F&quot;"/>
    <numFmt numFmtId="212" formatCode="#,##0.00\ &quot;F&quot;;[Red]\-#,##0.00\ &quot;F&quot;"/>
    <numFmt numFmtId="213" formatCode="#,##0.0\x_)_);\(#,##0.0\x\)_);#,##0.0\x_)_);@_%_)"/>
    <numFmt numFmtId="214" formatCode="_(* #,##0.00\ ___);_(* \(#,##0.00\ __\);_(* &quot;-&quot;??_);_(@_)"/>
    <numFmt numFmtId="215" formatCode="0%\);[Red]\(0%"/>
    <numFmt numFmtId="216" formatCode="_(* #,##0\ ___);_(* \(#,##0\ __\);_(* &quot;-&quot;??_);_(@_)"/>
    <numFmt numFmtId="217" formatCode="_(* #,##0\ \x_);_(* \(#,##0\ \x\);_(* &quot;-&quot;??_);_(@_)"/>
    <numFmt numFmtId="218" formatCode="0%_);[Red]\(0%\)"/>
    <numFmt numFmtId="219" formatCode="_(* #,##0.0\ ___);_(* \(#,##0.0\ __\);_(* &quot;-&quot;??_);_(@_)"/>
    <numFmt numFmtId="220" formatCode="_(* #,##0.0\ \x_);_(* \(#,##0.0\ \x\);_(* &quot;-&quot;??_);_(@_)"/>
    <numFmt numFmtId="221" formatCode="#,##0&quot; F&quot;_);\(#,##0&quot; F&quot;\)"/>
    <numFmt numFmtId="222" formatCode="_(* #,##0.00_);_(* \(\ #,##0.00\ \);_(* &quot;&quot;??_);_(\ @_ \)"/>
    <numFmt numFmtId="223" formatCode="0.00_)"/>
    <numFmt numFmtId="224" formatCode="_(* #,##0.0_);_(* \(#,##0.0\);_(* &quot;-&quot;?_);_(@_)"/>
    <numFmt numFmtId="225" formatCode="0.00%\ &quot;Ramped&quot;\ "/>
    <numFmt numFmtId="226" formatCode="0.00%\ &quot;Ramped&quot;"/>
    <numFmt numFmtId="227" formatCode="0.0000"/>
    <numFmt numFmtId="228" formatCode="0.000"/>
    <numFmt numFmtId="229" formatCode="&quot;Diversity =&quot;\ #.0"/>
    <numFmt numFmtId="230" formatCode="&quot;Ratings Factor =&quot;\ #"/>
    <numFmt numFmtId="231" formatCode="&quot;Page &quot;0"/>
    <numFmt numFmtId="232" formatCode="&quot;\&quot;#,##0.00;[Red]\-&quot;\&quot;#,##0.00"/>
    <numFmt numFmtId="233" formatCode="0.0_%"/>
    <numFmt numFmtId="234" formatCode="_(0.0%;_(* \(0.0\)%"/>
    <numFmt numFmtId="235" formatCode="_(* #,##0.0000_);_(* \(#,##0.0000\);_(* &quot;-&quot;??_);_(@_)"/>
    <numFmt numFmtId="236" formatCode="0&quot; bps&quot;"/>
    <numFmt numFmtId="237" formatCode="&quot;WAS =&quot;\ #.00"/>
    <numFmt numFmtId="238" formatCode="&quot;Avg. Px.=&quot;#.00"/>
    <numFmt numFmtId="239" formatCode="&quot;WAL=&quot;#.00"/>
    <numFmt numFmtId="240" formatCode="#.00\ &quot;years&quot;"/>
    <numFmt numFmtId="241" formatCode="&quot;2nd Lien=&quot;#"/>
    <numFmt numFmtId="242" formatCode="&quot;WAPP=&quot;#.00"/>
    <numFmt numFmtId="243" formatCode="&quot;WAS=&quot;#.00"/>
    <numFmt numFmtId="244" formatCode="&quot;WAC=&quot;#.00"/>
    <numFmt numFmtId="245" formatCode="&quot;$&quot;#,##0.0_);\(&quot;$&quot;#,##0.0\)"/>
    <numFmt numFmtId="246" formatCode="#,###,;\(#,###,\)"/>
    <numFmt numFmtId="247" formatCode="000\-00\-0000"/>
    <numFmt numFmtId="248" formatCode="&quot;$&quot;#,##0.0000"/>
    <numFmt numFmtId="249" formatCode="&quot;$&quot;#,##0.000000"/>
    <numFmt numFmtId="250" formatCode="&quot;$&quot;#,##0.000"/>
    <numFmt numFmtId="251" formatCode="000000000"/>
    <numFmt numFmtId="252" formatCode="000"/>
    <numFmt numFmtId="253" formatCode="hh:mm\ AM/PM_)"/>
    <numFmt numFmtId="254" formatCode="#.0&quot;x&quot;"/>
    <numFmt numFmtId="255" formatCode="yyyy"/>
    <numFmt numFmtId="256" formatCode="\¥#,##0_);\(\¥#,##0\)"/>
    <numFmt numFmtId="257" formatCode="#0.0\x"/>
    <numFmt numFmtId="258" formatCode="0.0\x"/>
    <numFmt numFmtId="259" formatCode="0.0"/>
    <numFmt numFmtId="260" formatCode="#,##0.0000_);\(#,##0.0000\)"/>
    <numFmt numFmtId="261" formatCode="0.00000000"/>
  </numFmts>
  <fonts count="142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9"/>
      <name val="Arial"/>
      <family val="2"/>
    </font>
    <font>
      <b/>
      <u val="singleAccounting"/>
      <sz val="8"/>
      <color indexed="8"/>
      <name val="Arial"/>
      <family val="2"/>
    </font>
    <font>
      <sz val="1"/>
      <color indexed="9"/>
      <name val="Symbol"/>
      <family val="1"/>
    </font>
    <font>
      <b/>
      <u val="singleAccounting"/>
      <sz val="8"/>
      <color indexed="8"/>
      <name val="Verdana"/>
      <family val="2"/>
    </font>
    <font>
      <b/>
      <sz val="10"/>
      <color indexed="9"/>
      <name val="Arial"/>
      <family val="2"/>
    </font>
    <font>
      <b/>
      <sz val="12"/>
      <color indexed="8"/>
      <name val="Verdana"/>
      <family val="2"/>
    </font>
    <font>
      <b/>
      <sz val="8"/>
      <color indexed="9"/>
      <name val="Verdana"/>
      <family val="2"/>
    </font>
    <font>
      <vertAlign val="subscript"/>
      <sz val="8"/>
      <color indexed="8"/>
      <name val="Arial"/>
      <family val="2"/>
    </font>
    <font>
      <vertAlign val="superscript"/>
      <sz val="8"/>
      <color indexed="8"/>
      <name val="Arial"/>
      <family val="2"/>
    </font>
    <font>
      <b/>
      <sz val="8"/>
      <color indexed="8"/>
      <name val="Arial"/>
      <family val="2"/>
    </font>
    <font>
      <i/>
      <sz val="8"/>
      <color indexed="8"/>
      <name val="Arial"/>
      <family val="2"/>
    </font>
    <font>
      <sz val="8"/>
      <color indexed="8"/>
      <name val="Arial"/>
      <family val="2"/>
    </font>
    <font>
      <b/>
      <sz val="13"/>
      <color indexed="8"/>
      <name val="Verdana"/>
      <family val="2"/>
    </font>
    <font>
      <b/>
      <sz val="8"/>
      <name val="Arial"/>
      <family val="2"/>
    </font>
    <font>
      <u val="singleAccounting"/>
      <sz val="10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0"/>
      <color indexed="12"/>
      <name val="Times New Roman"/>
      <family val="1"/>
    </font>
    <font>
      <i/>
      <sz val="10"/>
      <name val="Times New Roman"/>
      <family val="1"/>
    </font>
    <font>
      <sz val="9"/>
      <name val="Arial"/>
      <family val="2"/>
    </font>
    <font>
      <sz val="8"/>
      <name val="Times New Roman"/>
      <family val="1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sz val="10"/>
      <color indexed="18"/>
      <name val="Arial"/>
      <family val="2"/>
    </font>
    <font>
      <b/>
      <u val="singleAccounting"/>
      <sz val="10"/>
      <color indexed="18"/>
      <name val="Arial"/>
      <family val="2"/>
    </font>
    <font>
      <sz val="8"/>
      <color indexed="8"/>
      <name val="Times New Roman"/>
      <family val="1"/>
    </font>
    <font>
      <sz val="8"/>
      <color indexed="14"/>
      <name val="Times New Roman"/>
      <family val="1"/>
    </font>
    <font>
      <sz val="10"/>
      <name val="Book Antiqua"/>
      <family val="1"/>
    </font>
    <font>
      <sz val="8"/>
      <name val="Times"/>
      <family val="1"/>
    </font>
    <font>
      <b/>
      <sz val="12"/>
      <name val="Times"/>
      <family val="1"/>
    </font>
    <font>
      <sz val="12"/>
      <name val="Arial"/>
      <family val="2"/>
    </font>
    <font>
      <sz val="10"/>
      <color indexed="8"/>
      <name val="Times New Roman"/>
      <family val="1"/>
    </font>
    <font>
      <sz val="8"/>
      <color indexed="12"/>
      <name val="Times"/>
      <family val="1"/>
    </font>
    <font>
      <sz val="8"/>
      <name val="Helv"/>
    </font>
    <font>
      <sz val="12"/>
      <name val="Times"/>
      <family val="1"/>
    </font>
    <font>
      <b/>
      <i/>
      <sz val="10"/>
      <name val="Arial"/>
      <family val="2"/>
    </font>
    <font>
      <b/>
      <i/>
      <sz val="12"/>
      <name val="Times New Roman"/>
      <family val="1"/>
    </font>
    <font>
      <b/>
      <u/>
      <sz val="8"/>
      <color indexed="8"/>
      <name val="Times New Roman"/>
      <family val="1"/>
    </font>
    <font>
      <b/>
      <sz val="9"/>
      <color indexed="8"/>
      <name val="Times New Roman"/>
      <family val="1"/>
    </font>
    <font>
      <i/>
      <sz val="8"/>
      <name val="Arial"/>
      <family val="2"/>
    </font>
    <font>
      <b/>
      <i/>
      <sz val="8"/>
      <name val="Arial"/>
      <family val="2"/>
    </font>
    <font>
      <b/>
      <sz val="8"/>
      <name val="Book Antiqua"/>
      <family val="1"/>
    </font>
    <font>
      <sz val="14"/>
      <name val="Arial"/>
      <family val="2"/>
    </font>
    <font>
      <sz val="8"/>
      <color indexed="12"/>
      <name val="Times New Roman"/>
      <family val="1"/>
    </font>
    <font>
      <b/>
      <sz val="14"/>
      <name val="Book Antiqua"/>
      <family val="1"/>
    </font>
    <font>
      <sz val="10"/>
      <name val="MS Serif"/>
      <family val="1"/>
    </font>
    <font>
      <sz val="10"/>
      <name val="MS Sans Serif"/>
      <family val="2"/>
    </font>
    <font>
      <sz val="12"/>
      <name val="Times New Roman"/>
      <family val="1"/>
    </font>
    <font>
      <u val="doubleAccounting"/>
      <sz val="10"/>
      <name val="Arial"/>
      <family val="2"/>
    </font>
    <font>
      <sz val="10"/>
      <color indexed="16"/>
      <name val="MS Serif"/>
      <family val="1"/>
    </font>
    <font>
      <b/>
      <i/>
      <sz val="9"/>
      <color indexed="4"/>
      <name val="Times New Roman"/>
      <family val="1"/>
    </font>
    <font>
      <sz val="7"/>
      <name val="Arial"/>
      <family val="2"/>
    </font>
    <font>
      <b/>
      <sz val="14"/>
      <name val="Arial"/>
      <family val="2"/>
    </font>
    <font>
      <u/>
      <sz val="8"/>
      <name val="Times New Roman"/>
      <family val="1"/>
    </font>
    <font>
      <b/>
      <sz val="12"/>
      <color indexed="9"/>
      <name val="Times"/>
      <family val="1"/>
    </font>
    <font>
      <b/>
      <i/>
      <sz val="18"/>
      <color indexed="4"/>
      <name val="Times New Roman"/>
      <family val="1"/>
    </font>
    <font>
      <b/>
      <sz val="12"/>
      <name val="Arial"/>
      <family val="2"/>
    </font>
    <font>
      <b/>
      <sz val="8"/>
      <name val="Palatino"/>
      <family val="1"/>
    </font>
    <font>
      <b/>
      <sz val="9"/>
      <name val="Arial"/>
      <family val="2"/>
    </font>
    <font>
      <b/>
      <sz val="8"/>
      <name val="MS Sans Serif"/>
      <family val="2"/>
    </font>
    <font>
      <b/>
      <i/>
      <sz val="10"/>
      <name val="Times New Roman"/>
      <family val="1"/>
    </font>
    <font>
      <b/>
      <sz val="10"/>
      <name val="Palatino"/>
      <family val="1"/>
    </font>
    <font>
      <sz val="8"/>
      <name val="Book Antiqua"/>
      <family val="1"/>
    </font>
    <font>
      <sz val="10"/>
      <name val="Geneva"/>
      <family val="2"/>
    </font>
    <font>
      <i/>
      <sz val="7"/>
      <name val="Book Antiqua"/>
      <family val="1"/>
    </font>
    <font>
      <sz val="8"/>
      <name val="Palatino"/>
      <family val="1"/>
    </font>
    <font>
      <b/>
      <i/>
      <sz val="16"/>
      <name val="Helv"/>
    </font>
    <font>
      <sz val="10"/>
      <color indexed="12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b/>
      <u/>
      <sz val="10"/>
      <color indexed="12"/>
      <name val="Times New Roman"/>
      <family val="1"/>
    </font>
    <font>
      <b/>
      <sz val="12"/>
      <name val="Times New Roman"/>
      <family val="1"/>
    </font>
    <font>
      <b/>
      <sz val="15"/>
      <name val="Times New Roman"/>
      <family val="1"/>
    </font>
    <font>
      <sz val="8"/>
      <color indexed="72"/>
      <name val="Arial"/>
      <family val="2"/>
    </font>
    <font>
      <sz val="11"/>
      <color indexed="8"/>
      <name val="Times New Roman"/>
      <family val="1"/>
    </font>
    <font>
      <b/>
      <i/>
      <sz val="11"/>
      <color indexed="8"/>
      <name val="Times New Roman"/>
      <family val="1"/>
    </font>
    <font>
      <b/>
      <sz val="11"/>
      <color indexed="16"/>
      <name val="Times New Roman"/>
      <family val="1"/>
    </font>
    <font>
      <u/>
      <sz val="8"/>
      <name val="Book Antiqua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12"/>
      <name val="Arial MT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7"/>
      <color indexed="12"/>
      <name val="Arial"/>
      <family val="2"/>
    </font>
    <font>
      <sz val="8"/>
      <name val="Wingdings"/>
      <charset val="2"/>
    </font>
    <font>
      <sz val="9"/>
      <color indexed="8"/>
      <name val="Times New Roman"/>
      <family val="1"/>
    </font>
    <font>
      <sz val="8"/>
      <name val="MS Sans Serif"/>
      <family val="2"/>
    </font>
    <font>
      <b/>
      <sz val="8"/>
      <color indexed="10"/>
      <name val="Times New Roman"/>
      <family val="1"/>
    </font>
    <font>
      <b/>
      <sz val="8"/>
      <color indexed="8"/>
      <name val="Helv"/>
    </font>
    <font>
      <b/>
      <sz val="14"/>
      <color indexed="8"/>
      <name val="Times New Roman"/>
      <family val="1"/>
    </font>
    <font>
      <b/>
      <u/>
      <sz val="14"/>
      <name val="Book Antiqua"/>
      <family val="1"/>
    </font>
    <font>
      <b/>
      <sz val="10"/>
      <name val="Book Antiqua"/>
      <family val="1"/>
    </font>
    <font>
      <b/>
      <sz val="7"/>
      <name val="Arial"/>
      <family val="2"/>
    </font>
    <font>
      <b/>
      <sz val="7"/>
      <color indexed="12"/>
      <name val="Arial"/>
      <family val="2"/>
    </font>
    <font>
      <b/>
      <u/>
      <sz val="10"/>
      <name val="Book Antiqua"/>
      <family val="1"/>
    </font>
    <font>
      <b/>
      <sz val="8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color indexed="12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6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indexed="8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8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3"/>
      <name val="Calibri"/>
      <family val="2"/>
    </font>
    <font>
      <i/>
      <sz val="10"/>
      <color rgb="FFFF0000"/>
      <name val="Calibri"/>
      <family val="2"/>
      <scheme val="minor"/>
    </font>
    <font>
      <i/>
      <sz val="8"/>
      <color rgb="FFFF0000"/>
      <name val="Calibri"/>
      <family val="2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sz val="10"/>
      <color rgb="FF0000FF"/>
      <name val="Calibri"/>
      <family val="2"/>
    </font>
    <font>
      <sz val="10"/>
      <name val="Calibri"/>
      <family val="2"/>
    </font>
    <font>
      <b/>
      <sz val="10"/>
      <color rgb="FF0000FF"/>
      <name val="Calibri"/>
      <family val="2"/>
    </font>
    <font>
      <b/>
      <sz val="10"/>
      <name val="Calibri"/>
      <family val="2"/>
    </font>
    <font>
      <b/>
      <i/>
      <sz val="8"/>
      <color rgb="FFFF0000"/>
      <name val="Calibri"/>
      <family val="2"/>
    </font>
    <font>
      <b/>
      <i/>
      <sz val="8"/>
      <color rgb="FFFF0000"/>
      <name val="Calibri"/>
      <family val="2"/>
      <scheme val="minor"/>
    </font>
    <font>
      <b/>
      <i/>
      <sz val="8"/>
      <name val="Calibri"/>
      <family val="2"/>
      <scheme val="minor"/>
    </font>
    <font>
      <sz val="9"/>
      <color indexed="81"/>
      <name val="Tahoma"/>
      <charset val="1"/>
    </font>
    <font>
      <sz val="10"/>
      <color rgb="FF0000FF"/>
      <name val="Arial"/>
      <family val="2"/>
    </font>
    <font>
      <b/>
      <sz val="9"/>
      <color indexed="81"/>
      <name val="Tahoma"/>
      <charset val="1"/>
    </font>
    <font>
      <b/>
      <sz val="10"/>
      <color rgb="FFFF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lightGray">
        <fgColor indexed="15"/>
      </patternFill>
    </fill>
    <fill>
      <patternFill patternType="solid">
        <fgColor indexed="6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indexed="56"/>
        <bgColor indexed="64"/>
      </patternFill>
    </fill>
    <fill>
      <patternFill patternType="solid">
        <fgColor indexed="15"/>
        <bgColor indexed="64"/>
      </patternFill>
    </fill>
    <fill>
      <patternFill patternType="lightGray">
        <fgColor indexed="13"/>
      </patternFill>
    </fill>
    <fill>
      <patternFill patternType="solid">
        <fgColor rgb="FF4F81B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</fills>
  <borders count="48">
    <border>
      <left/>
      <right/>
      <top/>
      <bottom/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45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 style="thick">
        <color indexed="9"/>
      </left>
      <right style="thick">
        <color indexed="9"/>
      </right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026">
    <xf numFmtId="0" fontId="0" fillId="0" borderId="0"/>
    <xf numFmtId="173" fontId="28" fillId="0" borderId="0"/>
    <xf numFmtId="0" fontId="29" fillId="0" borderId="0">
      <alignment horizontal="right"/>
    </xf>
    <xf numFmtId="0" fontId="8" fillId="0" borderId="0"/>
    <xf numFmtId="174" fontId="24" fillId="0" borderId="0" applyFont="0" applyFill="0" applyBorder="0" applyAlignment="0"/>
    <xf numFmtId="175" fontId="8" fillId="0" borderId="0" applyFont="0" applyFill="0" applyBorder="0" applyAlignment="0" applyProtection="0"/>
    <xf numFmtId="176" fontId="8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 applyNumberFormat="0" applyFill="0" applyBorder="0" applyAlignment="0" applyProtection="0">
      <alignment horizontal="left" wrapText="1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8" fillId="0" borderId="0" applyNumberFormat="0" applyFill="0" applyBorder="0" applyAlignment="0" applyProtection="0">
      <alignment horizontal="left" wrapText="1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vertical="top"/>
    </xf>
    <xf numFmtId="0" fontId="8" fillId="0" borderId="0" applyNumberFormat="0" applyFill="0" applyBorder="0" applyAlignment="0" applyProtection="0">
      <alignment horizontal="left" wrapText="1"/>
    </xf>
    <xf numFmtId="0" fontId="8" fillId="0" borderId="0">
      <alignment vertical="top"/>
    </xf>
    <xf numFmtId="177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78" fontId="8" fillId="0" borderId="0" applyFont="0" applyFill="0" applyBorder="0" applyAlignment="0" applyProtection="0"/>
    <xf numFmtId="179" fontId="8" fillId="0" borderId="0" applyFont="0" applyFill="0" applyBorder="0" applyAlignment="0" applyProtection="0"/>
    <xf numFmtId="180" fontId="8" fillId="0" borderId="0" applyFont="0" applyFill="0" applyBorder="0" applyAlignment="0" applyProtection="0"/>
    <xf numFmtId="39" fontId="8" fillId="0" borderId="0" applyFont="0" applyFill="0" applyBorder="0" applyAlignment="0" applyProtection="0"/>
    <xf numFmtId="181" fontId="8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2" borderId="0" applyNumberFormat="0" applyFont="0" applyAlignment="0" applyProtection="0"/>
    <xf numFmtId="0" fontId="8" fillId="0" borderId="0" applyFont="0" applyFill="0" applyBorder="0" applyAlignment="0" applyProtection="0"/>
    <xf numFmtId="182" fontId="8" fillId="0" borderId="0" applyFont="0" applyFill="0" applyBorder="0" applyAlignment="0" applyProtection="0"/>
    <xf numFmtId="183" fontId="8" fillId="0" borderId="0" applyFont="0" applyFill="0" applyBorder="0" applyAlignment="0" applyProtection="0"/>
    <xf numFmtId="184" fontId="8" fillId="0" borderId="0" applyFont="0" applyFill="0" applyBorder="0" applyProtection="0">
      <alignment horizontal="right"/>
    </xf>
    <xf numFmtId="185" fontId="8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186" fontId="8" fillId="0" borderId="0" applyFont="0" applyFill="0" applyBorder="0" applyAlignment="0" applyProtection="0"/>
    <xf numFmtId="187" fontId="8" fillId="0" borderId="0" applyFont="0" applyFill="0" applyBorder="0" applyAlignment="0" applyProtection="0"/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 applyFont="0" applyFill="0" applyBorder="0" applyAlignment="0" applyProtection="0"/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6" fillId="0" borderId="0">
      <alignment vertical="top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8" fillId="0" borderId="0">
      <alignment horizontal="left" wrapText="1"/>
    </xf>
    <xf numFmtId="0" fontId="31" fillId="0" borderId="0" applyNumberFormat="0" applyFill="0" applyBorder="0" applyProtection="0">
      <alignment vertical="top"/>
    </xf>
    <xf numFmtId="0" fontId="31" fillId="0" borderId="0" applyNumberFormat="0" applyFill="0" applyBorder="0" applyProtection="0">
      <alignment vertical="top"/>
    </xf>
    <xf numFmtId="0" fontId="32" fillId="0" borderId="1" applyNumberFormat="0" applyFill="0" applyAlignment="0" applyProtection="0"/>
    <xf numFmtId="0" fontId="33" fillId="0" borderId="2" applyNumberFormat="0" applyFill="0" applyProtection="0">
      <alignment horizontal="center"/>
    </xf>
    <xf numFmtId="0" fontId="33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188" fontId="35" fillId="0" borderId="0" applyFont="0" applyFill="0" applyBorder="0" applyAlignment="0" applyProtection="0"/>
    <xf numFmtId="189" fontId="35" fillId="0" borderId="0" applyFont="0" applyFill="0" applyBorder="0" applyAlignment="0" applyProtection="0"/>
    <xf numFmtId="190" fontId="35" fillId="0" borderId="0" applyFont="0" applyFill="0" applyBorder="0" applyAlignment="0" applyProtection="0"/>
    <xf numFmtId="191" fontId="35" fillId="0" borderId="0" applyFont="0" applyFill="0" applyBorder="0" applyAlignment="0" applyProtection="0"/>
    <xf numFmtId="192" fontId="35" fillId="0" borderId="0" applyFont="0" applyFill="0" applyBorder="0" applyAlignment="0" applyProtection="0"/>
    <xf numFmtId="193" fontId="36" fillId="0" borderId="0" applyFont="0" applyFill="0" applyBorder="0" applyAlignment="0" applyProtection="0"/>
    <xf numFmtId="42" fontId="8" fillId="0" borderId="0" applyFont="0" applyFill="0" applyBorder="0" applyAlignment="0" applyProtection="0"/>
    <xf numFmtId="0" fontId="37" fillId="0" borderId="0" applyNumberFormat="0" applyFont="0" applyFill="0" applyBorder="0" applyProtection="0">
      <alignment horizontal="centerContinuous"/>
    </xf>
    <xf numFmtId="0" fontId="5" fillId="0" borderId="0" applyNumberFormat="0" applyFill="0" applyBorder="0" applyAlignment="0">
      <protection locked="0"/>
    </xf>
    <xf numFmtId="0" fontId="38" fillId="0" borderId="0"/>
    <xf numFmtId="0" fontId="39" fillId="0" borderId="0"/>
    <xf numFmtId="0" fontId="29" fillId="0" borderId="0">
      <alignment horizontal="center" wrapText="1"/>
      <protection locked="0"/>
    </xf>
    <xf numFmtId="0" fontId="8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24" fillId="3" borderId="0" applyNumberFormat="0" applyBorder="0" applyAlignment="0">
      <protection locked="0"/>
    </xf>
    <xf numFmtId="194" fontId="24" fillId="0" borderId="0" applyFont="0" applyFill="0" applyBorder="0" applyAlignment="0" applyProtection="0"/>
    <xf numFmtId="195" fontId="41" fillId="0" borderId="0" applyFont="0" applyFill="0" applyBorder="0" applyAlignment="0" applyProtection="0"/>
    <xf numFmtId="196" fontId="24" fillId="0" borderId="0" applyFont="0" applyFill="0" applyBorder="0" applyAlignment="0" applyProtection="0"/>
    <xf numFmtId="0" fontId="108" fillId="25" borderId="0"/>
    <xf numFmtId="0" fontId="42" fillId="0" borderId="0" applyNumberFormat="0" applyFill="0" applyBorder="0" applyAlignment="0" applyProtection="0"/>
    <xf numFmtId="197" fontId="43" fillId="0" borderId="0"/>
    <xf numFmtId="0" fontId="44" fillId="0" borderId="0" applyNumberFormat="0" applyFill="0" applyBorder="0" applyAlignment="0" applyProtection="0"/>
    <xf numFmtId="0" fontId="7" fillId="0" borderId="0"/>
    <xf numFmtId="0" fontId="45" fillId="0" borderId="0"/>
    <xf numFmtId="0" fontId="37" fillId="0" borderId="3" applyNumberFormat="0" applyFont="0" applyFill="0" applyAlignment="0" applyProtection="0"/>
    <xf numFmtId="0" fontId="46" fillId="0" borderId="4" applyFill="0" applyProtection="0">
      <alignment horizontal="right"/>
    </xf>
    <xf numFmtId="198" fontId="2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47" fillId="0" borderId="0"/>
    <xf numFmtId="0" fontId="28" fillId="0" borderId="0" applyFill="0" applyBorder="0" applyAlignment="0"/>
    <xf numFmtId="0" fontId="28" fillId="0" borderId="0" applyFill="0" applyBorder="0" applyAlignment="0"/>
    <xf numFmtId="199" fontId="28" fillId="0" borderId="0" applyFill="0" applyBorder="0" applyAlignment="0"/>
    <xf numFmtId="200" fontId="28" fillId="0" borderId="0" applyFill="0" applyBorder="0" applyAlignment="0"/>
    <xf numFmtId="201" fontId="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39" fontId="29" fillId="4" borderId="0" applyNumberFormat="0" applyFont="0" applyBorder="0" applyAlignment="0"/>
    <xf numFmtId="0" fontId="48" fillId="0" borderId="0"/>
    <xf numFmtId="0" fontId="37" fillId="0" borderId="0" applyNumberFormat="0" applyFont="0" applyFill="0" applyBorder="0" applyProtection="0">
      <alignment horizontal="center"/>
    </xf>
    <xf numFmtId="49" fontId="22" fillId="0" borderId="0" applyFill="0" applyBorder="0" applyProtection="0">
      <alignment horizontal="center"/>
    </xf>
    <xf numFmtId="49" fontId="49" fillId="0" borderId="0" applyFill="0" applyBorder="0" applyProtection="0">
      <alignment horizontal="center"/>
    </xf>
    <xf numFmtId="8" fontId="8" fillId="0" borderId="5" applyFont="0" applyFill="0" applyBorder="0" applyProtection="0">
      <alignment horizontal="right"/>
    </xf>
    <xf numFmtId="0" fontId="6" fillId="0" borderId="0"/>
    <xf numFmtId="0" fontId="4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1" fillId="0" borderId="3" applyNumberFormat="0" applyFill="0" applyBorder="0" applyAlignment="0" applyProtection="0">
      <alignment horizontal="center"/>
    </xf>
    <xf numFmtId="0" fontId="10" fillId="5" borderId="0"/>
    <xf numFmtId="43" fontId="3" fillId="0" borderId="0" applyFont="0" applyFill="0" applyBorder="0" applyAlignment="0" applyProtection="0"/>
    <xf numFmtId="202" fontId="8" fillId="0" borderId="0"/>
    <xf numFmtId="202" fontId="8" fillId="0" borderId="0"/>
    <xf numFmtId="202" fontId="8" fillId="0" borderId="0"/>
    <xf numFmtId="202" fontId="8" fillId="0" borderId="0"/>
    <xf numFmtId="202" fontId="8" fillId="0" borderId="0"/>
    <xf numFmtId="202" fontId="8" fillId="0" borderId="0"/>
    <xf numFmtId="202" fontId="8" fillId="0" borderId="0"/>
    <xf numFmtId="202" fontId="8" fillId="0" borderId="0"/>
    <xf numFmtId="203" fontId="52" fillId="0" borderId="0"/>
    <xf numFmtId="0" fontId="28" fillId="0" borderId="0" applyFont="0" applyFill="0" applyBorder="0" applyAlignment="0" applyProtection="0"/>
    <xf numFmtId="170" fontId="53" fillId="0" borderId="0" applyFont="0" applyFill="0" applyBorder="0" applyAlignment="0" applyProtection="0"/>
    <xf numFmtId="43" fontId="8" fillId="0" borderId="0" applyFont="0" applyFill="0" applyBorder="0" applyAlignment="0" applyProtection="0"/>
    <xf numFmtId="40" fontId="8" fillId="0" borderId="0" applyFont="0" applyFill="0" applyBorder="0" applyProtection="0">
      <alignment horizontal="right"/>
    </xf>
    <xf numFmtId="3" fontId="8" fillId="0" borderId="0" applyFill="0" applyBorder="0" applyAlignment="0" applyProtection="0"/>
    <xf numFmtId="3" fontId="4" fillId="0" borderId="0" applyFont="0" applyFill="0" applyBorder="0" applyAlignment="0" applyProtection="0"/>
    <xf numFmtId="3" fontId="22" fillId="0" borderId="0" applyFill="0" applyBorder="0" applyAlignment="0" applyProtection="0"/>
    <xf numFmtId="38" fontId="54" fillId="0" borderId="0" applyNumberFormat="0" applyFill="0" applyBorder="0">
      <alignment vertical="center"/>
    </xf>
    <xf numFmtId="0" fontId="55" fillId="0" borderId="0" applyNumberFormat="0" applyAlignment="0">
      <alignment horizontal="left"/>
    </xf>
    <xf numFmtId="7" fontId="8" fillId="0" borderId="0" applyFont="0" applyFill="0" applyBorder="0" applyAlignment="0" applyProtection="0"/>
    <xf numFmtId="204" fontId="52" fillId="0" borderId="0"/>
    <xf numFmtId="0" fontId="28" fillId="0" borderId="0" applyFont="0" applyFill="0" applyBorder="0" applyAlignment="0" applyProtection="0"/>
    <xf numFmtId="205" fontId="24" fillId="0" borderId="0" applyFont="0" applyFill="0" applyBorder="0" applyAlignment="0" applyProtection="0"/>
    <xf numFmtId="8" fontId="37" fillId="0" borderId="0" applyBorder="0"/>
    <xf numFmtId="206" fontId="8" fillId="0" borderId="0" applyNumberFormat="0">
      <alignment horizontal="right"/>
    </xf>
    <xf numFmtId="15" fontId="8" fillId="0" borderId="0" applyFont="0" applyFill="0" applyBorder="0" applyProtection="0">
      <alignment horizontal="right"/>
    </xf>
    <xf numFmtId="14" fontId="6" fillId="0" borderId="0" applyFill="0" applyBorder="0" applyAlignment="0"/>
    <xf numFmtId="15" fontId="8" fillId="0" borderId="0" applyFont="0" applyFill="0" applyBorder="0" applyProtection="0">
      <alignment horizontal="right"/>
    </xf>
    <xf numFmtId="207" fontId="22" fillId="0" borderId="0" applyFill="0" applyBorder="0" applyProtection="0">
      <alignment horizontal="left"/>
    </xf>
    <xf numFmtId="0" fontId="8" fillId="0" borderId="0">
      <alignment horizontal="left"/>
    </xf>
    <xf numFmtId="38" fontId="56" fillId="0" borderId="6">
      <alignment vertical="center"/>
    </xf>
    <xf numFmtId="208" fontId="36" fillId="0" borderId="0" applyFont="0" applyFill="0" applyBorder="0" applyAlignment="0" applyProtection="0"/>
    <xf numFmtId="4" fontId="57" fillId="0" borderId="0" applyFont="0" applyFill="0" applyBorder="0" applyAlignment="0" applyProtection="0"/>
    <xf numFmtId="0" fontId="36" fillId="0" borderId="0" applyFont="0" applyFill="0" applyBorder="0" applyAlignment="0" applyProtection="0"/>
    <xf numFmtId="0" fontId="37" fillId="0" borderId="7" applyNumberFormat="0" applyFont="0" applyFill="0" applyAlignment="0" applyProtection="0"/>
    <xf numFmtId="42" fontId="58" fillId="0" borderId="0" applyFill="0" applyBorder="0" applyAlignment="0" applyProtection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59" fillId="0" borderId="0" applyNumberFormat="0" applyAlignment="0">
      <alignment horizontal="left"/>
    </xf>
    <xf numFmtId="209" fontId="8" fillId="0" borderId="0" applyFont="0" applyFill="0" applyBorder="0" applyAlignment="0" applyProtection="0"/>
    <xf numFmtId="169" fontId="37" fillId="0" borderId="0" applyNumberFormat="0" applyFont="0" applyAlignment="0">
      <alignment vertical="center"/>
    </xf>
    <xf numFmtId="0" fontId="60" fillId="0" borderId="0">
      <alignment horizontal="center"/>
    </xf>
    <xf numFmtId="0" fontId="61" fillId="0" borderId="0" applyNumberFormat="0" applyFill="0" applyBorder="0" applyAlignment="0" applyProtection="0"/>
    <xf numFmtId="38" fontId="4" fillId="6" borderId="0" applyNumberFormat="0" applyBorder="0" applyAlignment="0" applyProtection="0"/>
    <xf numFmtId="0" fontId="7" fillId="7" borderId="8" applyAlignment="0" applyProtection="0"/>
    <xf numFmtId="0" fontId="62" fillId="0" borderId="3" applyFill="0" applyProtection="0">
      <alignment horizontal="centerContinuous"/>
    </xf>
    <xf numFmtId="41" fontId="63" fillId="0" borderId="0">
      <alignment horizontal="center"/>
    </xf>
    <xf numFmtId="0" fontId="8" fillId="0" borderId="0">
      <alignment horizontal="center"/>
    </xf>
    <xf numFmtId="0" fontId="8" fillId="0" borderId="0">
      <alignment horizontal="left"/>
    </xf>
    <xf numFmtId="0" fontId="8" fillId="0" borderId="0">
      <alignment horizontal="right"/>
    </xf>
    <xf numFmtId="0" fontId="64" fillId="8" borderId="0"/>
    <xf numFmtId="0" fontId="65" fillId="0" borderId="0">
      <alignment horizontal="center" vertical="center"/>
    </xf>
    <xf numFmtId="0" fontId="66" fillId="0" borderId="9" applyNumberFormat="0" applyAlignment="0" applyProtection="0">
      <alignment horizontal="left" vertical="center"/>
    </xf>
    <xf numFmtId="0" fontId="66" fillId="0" borderId="8">
      <alignment horizontal="left" vertical="center"/>
    </xf>
    <xf numFmtId="0" fontId="67" fillId="0" borderId="0">
      <alignment horizontal="center"/>
    </xf>
    <xf numFmtId="0" fontId="68" fillId="0" borderId="0" applyFill="0" applyBorder="0" applyProtection="0">
      <alignment horizontal="right"/>
    </xf>
    <xf numFmtId="0" fontId="69" fillId="0" borderId="10">
      <alignment horizontal="center"/>
    </xf>
    <xf numFmtId="0" fontId="69" fillId="0" borderId="0">
      <alignment horizontal="center"/>
    </xf>
    <xf numFmtId="10" fontId="42" fillId="0" borderId="0" applyNumberFormat="0" applyFill="0" applyBorder="0" applyAlignment="0" applyProtection="0">
      <alignment horizontal="right"/>
    </xf>
    <xf numFmtId="10" fontId="4" fillId="9" borderId="11" applyNumberFormat="0" applyBorder="0" applyAlignment="0" applyProtection="0"/>
    <xf numFmtId="0" fontId="11" fillId="0" borderId="0"/>
    <xf numFmtId="0" fontId="70" fillId="0" borderId="0"/>
    <xf numFmtId="0" fontId="4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9" fontId="4" fillId="0" borderId="0" applyFont="0" applyFill="0" applyBorder="0" applyProtection="0">
      <alignment horizontal="left"/>
    </xf>
    <xf numFmtId="49" fontId="22" fillId="0" borderId="0" applyFill="0" applyBorder="0" applyProtection="0">
      <alignment horizontal="left"/>
    </xf>
    <xf numFmtId="49" fontId="22" fillId="0" borderId="3" applyFill="0" applyProtection="0">
      <alignment horizontal="left"/>
    </xf>
    <xf numFmtId="49" fontId="22" fillId="0" borderId="12" applyFill="0" applyProtection="0">
      <alignment horizontal="left"/>
    </xf>
    <xf numFmtId="0" fontId="71" fillId="0" borderId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165" fontId="8" fillId="0" borderId="0" applyNumberFormat="0" applyFont="0" applyFill="0" applyBorder="0" applyAlignment="0"/>
    <xf numFmtId="17" fontId="24" fillId="0" borderId="0"/>
    <xf numFmtId="0" fontId="29" fillId="0" borderId="0" applyNumberFormat="0" applyFill="0" applyBorder="0" applyProtection="0"/>
    <xf numFmtId="0" fontId="24" fillId="0" borderId="0" applyNumberFormat="0" applyFill="0" applyBorder="0" applyProtection="0"/>
    <xf numFmtId="38" fontId="72" fillId="0" borderId="0" applyNumberFormat="0" applyFill="0" applyBorder="0">
      <alignment horizontal="left" vertical="center"/>
    </xf>
    <xf numFmtId="164" fontId="8" fillId="0" borderId="0" applyFont="0" applyFill="0" applyBorder="0" applyAlignment="0" applyProtection="0"/>
    <xf numFmtId="38" fontId="73" fillId="0" borderId="0" applyFont="0" applyFill="0" applyBorder="0" applyAlignment="0" applyProtection="0"/>
    <xf numFmtId="40" fontId="73" fillId="0" borderId="0" applyFont="0" applyFill="0" applyBorder="0" applyAlignment="0" applyProtection="0"/>
    <xf numFmtId="169" fontId="74" fillId="0" borderId="0" applyFill="0" applyBorder="0">
      <alignment vertical="center"/>
    </xf>
    <xf numFmtId="210" fontId="29" fillId="0" borderId="0">
      <alignment horizontal="center"/>
    </xf>
    <xf numFmtId="211" fontId="73" fillId="0" borderId="0" applyFont="0" applyFill="0" applyBorder="0" applyAlignment="0" applyProtection="0"/>
    <xf numFmtId="212" fontId="73" fillId="0" borderId="0" applyFont="0" applyFill="0" applyBorder="0" applyAlignment="0" applyProtection="0"/>
    <xf numFmtId="7" fontId="8" fillId="0" borderId="0"/>
    <xf numFmtId="213" fontId="75" fillId="0" borderId="0" applyFont="0" applyFill="0" applyBorder="0" applyProtection="0">
      <alignment horizontal="right"/>
    </xf>
    <xf numFmtId="214" fontId="57" fillId="0" borderId="0" applyFont="0" applyFill="0" applyBorder="0" applyAlignment="0" applyProtection="0"/>
    <xf numFmtId="215" fontId="24" fillId="0" borderId="0" applyFont="0" applyFill="0" applyBorder="0" applyAlignment="0" applyProtection="0"/>
    <xf numFmtId="216" fontId="57" fillId="0" borderId="0" applyFont="0" applyFill="0" applyBorder="0" applyAlignment="0" applyProtection="0"/>
    <xf numFmtId="217" fontId="29" fillId="0" borderId="0" applyFont="0" applyFill="0" applyBorder="0" applyAlignment="0" applyProtection="0"/>
    <xf numFmtId="218" fontId="24" fillId="0" borderId="0" applyFont="0" applyFill="0" applyBorder="0" applyAlignment="0" applyProtection="0"/>
    <xf numFmtId="219" fontId="57" fillId="0" borderId="0" applyFont="0" applyFill="0" applyBorder="0" applyAlignment="0" applyProtection="0"/>
    <xf numFmtId="220" fontId="57" fillId="0" borderId="0" applyFont="0" applyFill="0" applyBorder="0" applyAlignment="0" applyProtection="0"/>
    <xf numFmtId="221" fontId="24" fillId="0" borderId="0" applyFont="0" applyFill="0" applyBorder="0" applyAlignment="0" applyProtection="0"/>
    <xf numFmtId="222" fontId="8" fillId="0" borderId="0"/>
    <xf numFmtId="0" fontId="12" fillId="10" borderId="0"/>
    <xf numFmtId="0" fontId="13" fillId="11" borderId="0"/>
    <xf numFmtId="0" fontId="14" fillId="0" borderId="0"/>
    <xf numFmtId="223" fontId="76" fillId="0" borderId="0"/>
    <xf numFmtId="0" fontId="8" fillId="0" borderId="0"/>
    <xf numFmtId="0" fontId="8" fillId="0" borderId="0"/>
    <xf numFmtId="0" fontId="77" fillId="0" borderId="0">
      <alignment horizontal="center"/>
    </xf>
    <xf numFmtId="0" fontId="25" fillId="0" borderId="0">
      <alignment horizontal="center" vertical="center"/>
    </xf>
    <xf numFmtId="0" fontId="24" fillId="0" borderId="13"/>
    <xf numFmtId="0" fontId="24" fillId="0" borderId="14"/>
    <xf numFmtId="49" fontId="24" fillId="0" borderId="14">
      <alignment horizontal="left"/>
    </xf>
    <xf numFmtId="0" fontId="24" fillId="0" borderId="15"/>
    <xf numFmtId="0" fontId="24" fillId="0" borderId="3"/>
    <xf numFmtId="0" fontId="24" fillId="0" borderId="16"/>
    <xf numFmtId="0" fontId="24" fillId="6" borderId="17"/>
    <xf numFmtId="0" fontId="25" fillId="6" borderId="12">
      <alignment horizontal="left"/>
    </xf>
    <xf numFmtId="0" fontId="25" fillId="6" borderId="18">
      <alignment horizontal="left"/>
    </xf>
    <xf numFmtId="0" fontId="24" fillId="6" borderId="12"/>
    <xf numFmtId="0" fontId="24" fillId="0" borderId="0">
      <alignment horizontal="left"/>
    </xf>
    <xf numFmtId="0" fontId="25" fillId="6" borderId="12">
      <alignment horizontal="left"/>
    </xf>
    <xf numFmtId="0" fontId="41" fillId="6" borderId="12">
      <alignment horizontal="left"/>
    </xf>
    <xf numFmtId="0" fontId="24" fillId="6" borderId="18"/>
    <xf numFmtId="0" fontId="24" fillId="0" borderId="13">
      <alignment horizontal="left"/>
    </xf>
    <xf numFmtId="0" fontId="24" fillId="0" borderId="0">
      <alignment horizontal="left"/>
    </xf>
    <xf numFmtId="0" fontId="24" fillId="0" borderId="14">
      <alignment horizontal="center"/>
    </xf>
    <xf numFmtId="0" fontId="24" fillId="0" borderId="0">
      <alignment horizontal="left"/>
    </xf>
    <xf numFmtId="0" fontId="25" fillId="6" borderId="17">
      <alignment horizontal="left"/>
    </xf>
    <xf numFmtId="0" fontId="24" fillId="0" borderId="13">
      <alignment horizontal="left"/>
    </xf>
    <xf numFmtId="0" fontId="24" fillId="0" borderId="13">
      <alignment horizontal="right"/>
    </xf>
    <xf numFmtId="172" fontId="25" fillId="0" borderId="0"/>
    <xf numFmtId="0" fontId="24" fillId="0" borderId="13"/>
    <xf numFmtId="169" fontId="24" fillId="0" borderId="14"/>
    <xf numFmtId="0" fontId="24" fillId="0" borderId="13"/>
    <xf numFmtId="0" fontId="24" fillId="0" borderId="13">
      <alignment horizontal="left"/>
    </xf>
    <xf numFmtId="0" fontId="25" fillId="6" borderId="17"/>
    <xf numFmtId="0" fontId="78" fillId="6" borderId="13">
      <alignment horizontal="left"/>
    </xf>
    <xf numFmtId="0" fontId="24" fillId="6" borderId="14"/>
    <xf numFmtId="0" fontId="25" fillId="6" borderId="13">
      <alignment horizontal="left"/>
    </xf>
    <xf numFmtId="0" fontId="24" fillId="0" borderId="13">
      <alignment horizontal="left"/>
    </xf>
    <xf numFmtId="0" fontId="24" fillId="0" borderId="13">
      <alignment horizontal="left"/>
    </xf>
    <xf numFmtId="14" fontId="77" fillId="0" borderId="0">
      <alignment horizontal="center"/>
    </xf>
    <xf numFmtId="49" fontId="79" fillId="0" borderId="13">
      <alignment horizontal="left"/>
    </xf>
    <xf numFmtId="0" fontId="79" fillId="0" borderId="13"/>
    <xf numFmtId="0" fontId="25" fillId="6" borderId="13">
      <alignment horizontal="left"/>
    </xf>
    <xf numFmtId="0" fontId="25" fillId="6" borderId="13"/>
    <xf numFmtId="49" fontId="24" fillId="0" borderId="14">
      <alignment horizontal="left"/>
    </xf>
    <xf numFmtId="0" fontId="77" fillId="0" borderId="13"/>
    <xf numFmtId="0" fontId="77" fillId="0" borderId="0">
      <alignment horizontal="center"/>
    </xf>
    <xf numFmtId="14" fontId="77" fillId="0" borderId="0">
      <alignment horizontal="center"/>
    </xf>
    <xf numFmtId="0" fontId="77" fillId="0" borderId="15"/>
    <xf numFmtId="0" fontId="24" fillId="0" borderId="3">
      <alignment horizontal="center"/>
    </xf>
    <xf numFmtId="0" fontId="24" fillId="0" borderId="0"/>
    <xf numFmtId="0" fontId="77" fillId="0" borderId="3">
      <alignment horizontal="center"/>
    </xf>
    <xf numFmtId="14" fontId="77" fillId="0" borderId="3">
      <alignment horizontal="center"/>
    </xf>
    <xf numFmtId="0" fontId="25" fillId="0" borderId="0">
      <alignment horizontal="left" vertical="center" wrapText="1"/>
    </xf>
    <xf numFmtId="0" fontId="25" fillId="6" borderId="9">
      <alignment horizontal="left" wrapText="1"/>
    </xf>
    <xf numFmtId="0" fontId="25" fillId="0" borderId="0">
      <alignment horizontal="right" vertical="center"/>
    </xf>
    <xf numFmtId="172" fontId="25" fillId="0" borderId="0">
      <alignment horizontal="right"/>
    </xf>
    <xf numFmtId="14" fontId="80" fillId="0" borderId="0">
      <alignment horizontal="center"/>
    </xf>
    <xf numFmtId="0" fontId="25" fillId="6" borderId="19">
      <alignment horizontal="center" wrapText="1"/>
    </xf>
    <xf numFmtId="0" fontId="57" fillId="0" borderId="0">
      <alignment horizontal="center" vertical="center"/>
    </xf>
    <xf numFmtId="1" fontId="81" fillId="0" borderId="0">
      <alignment horizontal="center" wrapText="1"/>
    </xf>
    <xf numFmtId="0" fontId="25" fillId="6" borderId="9">
      <alignment horizontal="center" wrapText="1"/>
    </xf>
    <xf numFmtId="0" fontId="81" fillId="6" borderId="20">
      <alignment horizontal="center" wrapText="1"/>
    </xf>
    <xf numFmtId="0" fontId="81" fillId="6" borderId="19">
      <alignment horizontal="left" wrapText="1"/>
    </xf>
    <xf numFmtId="0" fontId="24" fillId="0" borderId="14">
      <alignment horizontal="left"/>
    </xf>
    <xf numFmtId="0" fontId="57" fillId="0" borderId="0">
      <alignment horizontal="center"/>
    </xf>
    <xf numFmtId="2" fontId="57" fillId="12" borderId="0">
      <alignment horizontal="center"/>
    </xf>
    <xf numFmtId="0" fontId="24" fillId="0" borderId="0">
      <alignment horizontal="left" vertical="top"/>
    </xf>
    <xf numFmtId="16" fontId="24" fillId="0" borderId="0"/>
    <xf numFmtId="0" fontId="24" fillId="12" borderId="0"/>
    <xf numFmtId="14" fontId="24" fillId="0" borderId="0">
      <alignment horizontal="center"/>
    </xf>
    <xf numFmtId="2" fontId="57" fillId="0" borderId="12">
      <alignment horizontal="center" vertical="center"/>
    </xf>
    <xf numFmtId="0" fontId="25" fillId="6" borderId="0">
      <alignment horizontal="center"/>
    </xf>
    <xf numFmtId="2" fontId="57" fillId="0" borderId="0">
      <alignment horizontal="center"/>
    </xf>
    <xf numFmtId="2" fontId="57" fillId="0" borderId="0">
      <alignment horizontal="center"/>
    </xf>
    <xf numFmtId="0" fontId="24" fillId="0" borderId="0">
      <alignment horizontal="left" vertical="top"/>
    </xf>
    <xf numFmtId="15" fontId="24" fillId="0" borderId="0">
      <alignment horizontal="left" vertical="top"/>
    </xf>
    <xf numFmtId="0" fontId="24" fillId="0" borderId="0">
      <alignment horizontal="left" vertical="top"/>
    </xf>
    <xf numFmtId="14" fontId="24" fillId="0" borderId="0">
      <alignment horizontal="center" vertical="top"/>
    </xf>
    <xf numFmtId="0" fontId="57" fillId="0" borderId="0"/>
    <xf numFmtId="0" fontId="81" fillId="0" borderId="3"/>
    <xf numFmtId="14" fontId="81" fillId="0" borderId="3"/>
    <xf numFmtId="2" fontId="57" fillId="0" borderId="3">
      <alignment horizontal="center"/>
    </xf>
    <xf numFmtId="0" fontId="24" fillId="0" borderId="0">
      <alignment horizontal="center"/>
    </xf>
    <xf numFmtId="2" fontId="57" fillId="0" borderId="3">
      <alignment horizontal="center"/>
    </xf>
    <xf numFmtId="0" fontId="57" fillId="0" borderId="3"/>
    <xf numFmtId="0" fontId="57" fillId="0" borderId="3">
      <alignment horizontal="center"/>
    </xf>
    <xf numFmtId="0" fontId="57" fillId="0" borderId="3">
      <alignment horizontal="center"/>
    </xf>
    <xf numFmtId="0" fontId="25" fillId="0" borderId="0">
      <alignment horizontal="left" vertical="top"/>
    </xf>
    <xf numFmtId="0" fontId="25" fillId="0" borderId="0">
      <alignment horizontal="left" vertical="top"/>
    </xf>
    <xf numFmtId="0" fontId="24" fillId="0" borderId="0">
      <alignment horizontal="center" vertical="top"/>
    </xf>
    <xf numFmtId="43" fontId="57" fillId="0" borderId="0">
      <alignment horizontal="left"/>
    </xf>
    <xf numFmtId="172" fontId="24" fillId="0" borderId="0"/>
    <xf numFmtId="0" fontId="24" fillId="0" borderId="0">
      <alignment horizontal="center"/>
    </xf>
    <xf numFmtId="0" fontId="77" fillId="0" borderId="0"/>
    <xf numFmtId="43" fontId="24" fillId="0" borderId="0"/>
    <xf numFmtId="1" fontId="24" fillId="0" borderId="0"/>
    <xf numFmtId="0" fontId="25" fillId="0" borderId="0"/>
    <xf numFmtId="43" fontId="24" fillId="0" borderId="0">
      <alignment horizontal="center"/>
    </xf>
    <xf numFmtId="43" fontId="24" fillId="0" borderId="21"/>
    <xf numFmtId="43" fontId="24" fillId="0" borderId="22"/>
    <xf numFmtId="0" fontId="24" fillId="0" borderId="10"/>
    <xf numFmtId="43" fontId="24" fillId="0" borderId="0"/>
    <xf numFmtId="1" fontId="81" fillId="0" borderId="16">
      <alignment horizontal="center" wrapText="1"/>
    </xf>
    <xf numFmtId="0" fontId="57" fillId="0" borderId="0">
      <alignment horizontal="center"/>
    </xf>
    <xf numFmtId="0" fontId="24" fillId="0" borderId="0">
      <alignment horizontal="left"/>
    </xf>
    <xf numFmtId="0" fontId="57" fillId="0" borderId="0"/>
    <xf numFmtId="43" fontId="24" fillId="0" borderId="0">
      <alignment horizontal="center"/>
    </xf>
    <xf numFmtId="0" fontId="25" fillId="0" borderId="3">
      <alignment horizontal="left" vertical="top"/>
    </xf>
    <xf numFmtId="0" fontId="24" fillId="0" borderId="3">
      <alignment horizontal="center" vertical="top"/>
    </xf>
    <xf numFmtId="14" fontId="24" fillId="0" borderId="3">
      <alignment horizontal="center" vertical="top"/>
    </xf>
    <xf numFmtId="15" fontId="24" fillId="0" borderId="3">
      <alignment horizontal="left" vertical="top"/>
    </xf>
    <xf numFmtId="0" fontId="27" fillId="0" borderId="0"/>
    <xf numFmtId="224" fontId="24" fillId="0" borderId="0">
      <alignment vertical="top"/>
    </xf>
    <xf numFmtId="0" fontId="24" fillId="0" borderId="3">
      <alignment horizontal="left" vertical="top"/>
    </xf>
    <xf numFmtId="0" fontId="24" fillId="0" borderId="0">
      <alignment horizontal="center" wrapText="1"/>
    </xf>
    <xf numFmtId="0" fontId="24" fillId="0" borderId="0">
      <alignment horizontal="center"/>
    </xf>
    <xf numFmtId="0" fontId="24" fillId="0" borderId="0">
      <alignment horizontal="center" vertical="top"/>
    </xf>
    <xf numFmtId="0" fontId="25" fillId="0" borderId="0"/>
    <xf numFmtId="14" fontId="24" fillId="0" borderId="0">
      <alignment horizontal="center"/>
    </xf>
    <xf numFmtId="14" fontId="24" fillId="0" borderId="0">
      <alignment horizontal="left" vertical="top"/>
    </xf>
    <xf numFmtId="41" fontId="24" fillId="0" borderId="0"/>
    <xf numFmtId="3" fontId="25" fillId="0" borderId="23">
      <alignment horizontal="right" vertical="center"/>
    </xf>
    <xf numFmtId="172" fontId="25" fillId="0" borderId="22">
      <alignment horizontal="right"/>
    </xf>
    <xf numFmtId="225" fontId="81" fillId="0" borderId="0">
      <alignment wrapText="1"/>
    </xf>
    <xf numFmtId="0" fontId="24" fillId="0" borderId="0">
      <alignment horizontal="center"/>
    </xf>
    <xf numFmtId="226" fontId="25" fillId="0" borderId="10"/>
    <xf numFmtId="226" fontId="25" fillId="0" borderId="0"/>
    <xf numFmtId="0" fontId="24" fillId="0" borderId="0">
      <alignment vertical="top"/>
    </xf>
    <xf numFmtId="3" fontId="25" fillId="0" borderId="21">
      <alignment horizontal="right" vertical="center"/>
    </xf>
    <xf numFmtId="0" fontId="81" fillId="0" borderId="15">
      <alignment horizontal="center" wrapText="1"/>
    </xf>
    <xf numFmtId="3" fontId="25" fillId="0" borderId="24">
      <alignment horizontal="right" vertical="center"/>
    </xf>
    <xf numFmtId="3" fontId="25" fillId="0" borderId="0">
      <alignment horizontal="right" vertical="center"/>
    </xf>
    <xf numFmtId="172" fontId="25" fillId="0" borderId="10">
      <alignment horizontal="right"/>
    </xf>
    <xf numFmtId="0" fontId="6" fillId="0" borderId="25">
      <alignment wrapText="1"/>
    </xf>
    <xf numFmtId="227" fontId="6" fillId="0" borderId="25">
      <alignment horizontal="right" wrapText="1"/>
    </xf>
    <xf numFmtId="4" fontId="24" fillId="0" borderId="0">
      <alignment horizontal="center"/>
    </xf>
    <xf numFmtId="0" fontId="25" fillId="6" borderId="9">
      <alignment horizontal="center"/>
    </xf>
    <xf numFmtId="0" fontId="25" fillId="6" borderId="20">
      <alignment horizontal="center"/>
    </xf>
    <xf numFmtId="14" fontId="24" fillId="0" borderId="0">
      <alignment horizontal="center" vertical="top"/>
    </xf>
    <xf numFmtId="0" fontId="24" fillId="13" borderId="0">
      <alignment vertical="top"/>
    </xf>
    <xf numFmtId="0" fontId="24" fillId="13" borderId="0"/>
    <xf numFmtId="0" fontId="6" fillId="0" borderId="25">
      <alignment wrapText="1"/>
    </xf>
    <xf numFmtId="228" fontId="28" fillId="0" borderId="0">
      <alignment horizontal="right" vertical="center" wrapText="1"/>
    </xf>
    <xf numFmtId="0" fontId="28" fillId="0" borderId="0">
      <alignment horizontal="right" vertical="center" wrapText="1"/>
    </xf>
    <xf numFmtId="0" fontId="6" fillId="0" borderId="0">
      <alignment wrapText="1"/>
    </xf>
    <xf numFmtId="172" fontId="24" fillId="0" borderId="0"/>
    <xf numFmtId="0" fontId="24" fillId="13" borderId="0">
      <alignment horizontal="center"/>
    </xf>
    <xf numFmtId="0" fontId="25" fillId="13" borderId="0"/>
    <xf numFmtId="0" fontId="24" fillId="13" borderId="0">
      <alignment horizontal="center" vertical="top"/>
    </xf>
    <xf numFmtId="0" fontId="24" fillId="0" borderId="0">
      <alignment vertical="top"/>
    </xf>
    <xf numFmtId="14" fontId="24" fillId="13" borderId="0">
      <alignment horizontal="center" vertical="top"/>
    </xf>
    <xf numFmtId="15" fontId="24" fillId="13" borderId="0">
      <alignment horizontal="left" vertical="top"/>
    </xf>
    <xf numFmtId="0" fontId="24" fillId="13" borderId="0">
      <alignment horizontal="left" vertical="top"/>
    </xf>
    <xf numFmtId="14" fontId="24" fillId="13" borderId="0">
      <alignment horizontal="left" vertical="top"/>
    </xf>
    <xf numFmtId="0" fontId="24" fillId="14" borderId="0">
      <alignment horizontal="center"/>
    </xf>
    <xf numFmtId="0" fontId="25" fillId="14" borderId="0"/>
    <xf numFmtId="0" fontId="24" fillId="14" borderId="0">
      <alignment horizontal="center" vertical="top"/>
    </xf>
    <xf numFmtId="14" fontId="24" fillId="14" borderId="0">
      <alignment horizontal="center" vertical="top"/>
    </xf>
    <xf numFmtId="0" fontId="24" fillId="14" borderId="0">
      <alignment vertical="top"/>
    </xf>
    <xf numFmtId="15" fontId="24" fillId="14" borderId="0">
      <alignment horizontal="left" vertical="top"/>
    </xf>
    <xf numFmtId="15" fontId="77" fillId="0" borderId="0">
      <alignment horizontal="left"/>
    </xf>
    <xf numFmtId="0" fontId="24" fillId="14" borderId="0">
      <alignment horizontal="left" vertical="top"/>
    </xf>
    <xf numFmtId="172" fontId="24" fillId="14" borderId="0">
      <alignment vertical="top"/>
    </xf>
    <xf numFmtId="14" fontId="24" fillId="14" borderId="0">
      <alignment horizontal="left" vertical="top"/>
    </xf>
    <xf numFmtId="0" fontId="24" fillId="14" borderId="0">
      <alignment horizontal="center"/>
    </xf>
    <xf numFmtId="0" fontId="24" fillId="14" borderId="0"/>
    <xf numFmtId="0" fontId="25" fillId="14" borderId="0">
      <alignment horizontal="left" vertical="top"/>
    </xf>
    <xf numFmtId="14" fontId="24" fillId="14" borderId="0">
      <alignment horizontal="center" vertical="top"/>
    </xf>
    <xf numFmtId="0" fontId="57" fillId="14" borderId="0">
      <alignment horizontal="center"/>
    </xf>
    <xf numFmtId="0" fontId="77" fillId="14" borderId="0">
      <alignment horizontal="center"/>
    </xf>
    <xf numFmtId="0" fontId="24" fillId="14" borderId="0"/>
    <xf numFmtId="0" fontId="57" fillId="0" borderId="0"/>
    <xf numFmtId="0" fontId="25" fillId="0" borderId="0">
      <alignment horizontal="center"/>
    </xf>
    <xf numFmtId="0" fontId="25" fillId="0" borderId="0">
      <alignment horizontal="center"/>
    </xf>
    <xf numFmtId="172" fontId="25" fillId="6" borderId="23">
      <alignment horizontal="center"/>
    </xf>
    <xf numFmtId="172" fontId="25" fillId="6" borderId="24">
      <alignment horizontal="center"/>
    </xf>
    <xf numFmtId="2" fontId="57" fillId="0" borderId="0"/>
    <xf numFmtId="0" fontId="57" fillId="0" borderId="0"/>
    <xf numFmtId="2" fontId="57" fillId="0" borderId="0">
      <alignment horizontal="center"/>
    </xf>
    <xf numFmtId="0" fontId="57" fillId="0" borderId="0">
      <alignment horizontal="center"/>
    </xf>
    <xf numFmtId="0" fontId="77" fillId="0" borderId="0">
      <alignment wrapText="1"/>
    </xf>
    <xf numFmtId="0" fontId="57" fillId="0" borderId="0">
      <alignment horizontal="center"/>
    </xf>
    <xf numFmtId="0" fontId="81" fillId="0" borderId="0">
      <alignment horizontal="left" vertical="center"/>
    </xf>
    <xf numFmtId="2" fontId="57" fillId="0" borderId="12">
      <alignment horizontal="center" vertical="center"/>
    </xf>
    <xf numFmtId="0" fontId="57" fillId="0" borderId="12">
      <alignment horizontal="center" vertical="center"/>
    </xf>
    <xf numFmtId="0" fontId="57" fillId="0" borderId="18">
      <alignment horizontal="center" vertical="center"/>
    </xf>
    <xf numFmtId="0" fontId="57" fillId="0" borderId="0">
      <alignment horizontal="center" vertical="center"/>
    </xf>
    <xf numFmtId="0" fontId="57" fillId="0" borderId="0">
      <alignment horizontal="left" vertical="center"/>
    </xf>
    <xf numFmtId="0" fontId="81" fillId="0" borderId="0">
      <alignment horizontal="left"/>
    </xf>
    <xf numFmtId="0" fontId="81" fillId="0" borderId="0">
      <alignment horizontal="left"/>
    </xf>
    <xf numFmtId="0" fontId="81" fillId="0" borderId="0">
      <alignment horizontal="center"/>
    </xf>
    <xf numFmtId="0" fontId="24" fillId="0" borderId="0">
      <alignment horizontal="center" vertical="center" wrapText="1"/>
    </xf>
    <xf numFmtId="0" fontId="81" fillId="0" borderId="0">
      <alignment horizontal="center" wrapText="1"/>
    </xf>
    <xf numFmtId="0" fontId="81" fillId="0" borderId="13">
      <alignment horizontal="center" wrapText="1"/>
    </xf>
    <xf numFmtId="1" fontId="81" fillId="0" borderId="14">
      <alignment horizontal="center" wrapText="1"/>
    </xf>
    <xf numFmtId="0" fontId="81" fillId="0" borderId="0">
      <alignment horizontal="center"/>
    </xf>
    <xf numFmtId="229" fontId="81" fillId="0" borderId="0">
      <alignment horizontal="center" wrapText="1"/>
    </xf>
    <xf numFmtId="43" fontId="81" fillId="0" borderId="0"/>
    <xf numFmtId="0" fontId="81" fillId="0" borderId="0"/>
    <xf numFmtId="0" fontId="57" fillId="0" borderId="0">
      <alignment wrapText="1"/>
    </xf>
    <xf numFmtId="0" fontId="81" fillId="0" borderId="0">
      <alignment horizontal="center" wrapText="1"/>
    </xf>
    <xf numFmtId="0" fontId="81" fillId="0" borderId="0">
      <alignment horizontal="center" wrapText="1"/>
    </xf>
    <xf numFmtId="43" fontId="24" fillId="0" borderId="0">
      <alignment horizontal="center" vertical="center" wrapText="1"/>
    </xf>
    <xf numFmtId="0" fontId="81" fillId="0" borderId="0">
      <alignment horizontal="center" wrapText="1"/>
    </xf>
    <xf numFmtId="230" fontId="81" fillId="0" borderId="0">
      <alignment horizontal="center" wrapText="1"/>
    </xf>
    <xf numFmtId="0" fontId="81" fillId="6" borderId="9">
      <alignment horizontal="center" wrapText="1"/>
    </xf>
    <xf numFmtId="2" fontId="81" fillId="6" borderId="9">
      <alignment horizontal="center" wrapText="1"/>
    </xf>
    <xf numFmtId="0" fontId="81" fillId="6" borderId="9">
      <alignment horizontal="center" wrapText="1"/>
    </xf>
    <xf numFmtId="0" fontId="81" fillId="0" borderId="0">
      <alignment horizontal="center" wrapText="1"/>
    </xf>
    <xf numFmtId="0" fontId="24" fillId="0" borderId="0"/>
    <xf numFmtId="0" fontId="24" fillId="0" borderId="0"/>
    <xf numFmtId="0" fontId="82" fillId="0" borderId="0">
      <alignment horizontal="left" vertical="center"/>
    </xf>
    <xf numFmtId="172" fontId="82" fillId="0" borderId="0">
      <alignment horizontal="left" vertical="center"/>
    </xf>
    <xf numFmtId="0" fontId="25" fillId="0" borderId="0">
      <alignment horizontal="center" vertical="center" wrapText="1"/>
    </xf>
    <xf numFmtId="0" fontId="82" fillId="0" borderId="0">
      <alignment horizontal="center" vertical="center"/>
    </xf>
    <xf numFmtId="0" fontId="25" fillId="0" borderId="23">
      <alignment horizontal="left"/>
    </xf>
    <xf numFmtId="41" fontId="25" fillId="0" borderId="26"/>
    <xf numFmtId="0" fontId="25" fillId="0" borderId="23"/>
    <xf numFmtId="41" fontId="25" fillId="0" borderId="0"/>
    <xf numFmtId="0" fontId="25" fillId="0" borderId="21"/>
    <xf numFmtId="172" fontId="25" fillId="0" borderId="27"/>
    <xf numFmtId="172" fontId="25" fillId="0" borderId="0"/>
    <xf numFmtId="43" fontId="25" fillId="0" borderId="27"/>
    <xf numFmtId="43" fontId="25" fillId="0" borderId="0"/>
    <xf numFmtId="0" fontId="24" fillId="0" borderId="0">
      <alignment wrapText="1"/>
    </xf>
    <xf numFmtId="0" fontId="25" fillId="0" borderId="22"/>
    <xf numFmtId="43" fontId="25" fillId="0" borderId="28"/>
    <xf numFmtId="0" fontId="25" fillId="0" borderId="0">
      <alignment horizontal="center"/>
    </xf>
    <xf numFmtId="0" fontId="25" fillId="6" borderId="23">
      <alignment horizontal="center"/>
    </xf>
    <xf numFmtId="172" fontId="25" fillId="6" borderId="24">
      <alignment horizontal="center"/>
    </xf>
    <xf numFmtId="0" fontId="25" fillId="6" borderId="24">
      <alignment horizontal="center"/>
    </xf>
    <xf numFmtId="0" fontId="25" fillId="6" borderId="26">
      <alignment horizontal="center"/>
    </xf>
    <xf numFmtId="0" fontId="25" fillId="6" borderId="22">
      <alignment horizontal="center"/>
    </xf>
    <xf numFmtId="172" fontId="25" fillId="6" borderId="10">
      <alignment horizontal="right"/>
    </xf>
    <xf numFmtId="0" fontId="25" fillId="6" borderId="10">
      <alignment horizontal="center"/>
    </xf>
    <xf numFmtId="0" fontId="24" fillId="0" borderId="0">
      <alignment horizontal="left" vertical="center" wrapText="1"/>
    </xf>
    <xf numFmtId="0" fontId="25" fillId="6" borderId="28">
      <alignment horizontal="center"/>
    </xf>
    <xf numFmtId="0" fontId="25" fillId="15" borderId="0">
      <alignment horizontal="center"/>
    </xf>
    <xf numFmtId="172" fontId="25" fillId="6" borderId="22">
      <alignment horizontal="center"/>
    </xf>
    <xf numFmtId="172" fontId="25" fillId="6" borderId="10">
      <alignment horizontal="center"/>
    </xf>
    <xf numFmtId="0" fontId="25" fillId="6" borderId="10">
      <alignment horizontal="center"/>
    </xf>
    <xf numFmtId="172" fontId="25" fillId="6" borderId="28">
      <alignment horizontal="center"/>
    </xf>
    <xf numFmtId="0" fontId="25" fillId="6" borderId="29">
      <alignment horizontal="center"/>
    </xf>
    <xf numFmtId="0" fontId="25" fillId="6" borderId="3">
      <alignment horizontal="center"/>
    </xf>
    <xf numFmtId="0" fontId="25" fillId="6" borderId="3">
      <alignment horizontal="center"/>
    </xf>
    <xf numFmtId="0" fontId="25" fillId="6" borderId="30">
      <alignment horizontal="center"/>
    </xf>
    <xf numFmtId="0" fontId="24" fillId="0" borderId="0"/>
    <xf numFmtId="0" fontId="25" fillId="6" borderId="21">
      <alignment horizontal="center"/>
    </xf>
    <xf numFmtId="0" fontId="25" fillId="6" borderId="0">
      <alignment horizontal="center"/>
    </xf>
    <xf numFmtId="0" fontId="25" fillId="6" borderId="27">
      <alignment horizontal="center"/>
    </xf>
    <xf numFmtId="0" fontId="41" fillId="0" borderId="0">
      <alignment horizontal="left"/>
    </xf>
    <xf numFmtId="49" fontId="24" fillId="0" borderId="0">
      <alignment horizontal="left"/>
    </xf>
    <xf numFmtId="0" fontId="41" fillId="0" borderId="0">
      <alignment horizontal="left"/>
    </xf>
    <xf numFmtId="15" fontId="77" fillId="15" borderId="0">
      <alignment horizontal="left"/>
    </xf>
    <xf numFmtId="0" fontId="24" fillId="0" borderId="0">
      <alignment horizontal="right"/>
    </xf>
    <xf numFmtId="49" fontId="24" fillId="0" borderId="0">
      <alignment horizontal="left"/>
    </xf>
    <xf numFmtId="49" fontId="24" fillId="0" borderId="0">
      <alignment horizontal="left"/>
    </xf>
    <xf numFmtId="10" fontId="77" fillId="0" borderId="0"/>
    <xf numFmtId="0" fontId="4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83" fillId="0" borderId="0">
      <alignment horizontal="left" vertical="top"/>
      <protection locked="0"/>
    </xf>
    <xf numFmtId="0" fontId="37" fillId="0" borderId="11" applyNumberFormat="0" applyFont="0" applyFill="0" applyAlignment="0" applyProtection="0"/>
    <xf numFmtId="40" fontId="84" fillId="15" borderId="0">
      <alignment horizontal="right"/>
    </xf>
    <xf numFmtId="0" fontId="85" fillId="15" borderId="0">
      <alignment horizontal="right"/>
    </xf>
    <xf numFmtId="0" fontId="86" fillId="15" borderId="14"/>
    <xf numFmtId="0" fontId="86" fillId="0" borderId="0" applyBorder="0">
      <alignment horizontal="centerContinuous"/>
    </xf>
    <xf numFmtId="231" fontId="87" fillId="0" borderId="0" applyFill="0">
      <alignment horizontal="center" vertical="center"/>
    </xf>
    <xf numFmtId="0" fontId="25" fillId="0" borderId="31" applyNumberFormat="0" applyAlignment="0" applyProtection="0"/>
    <xf numFmtId="0" fontId="24" fillId="16" borderId="0" applyNumberFormat="0" applyFont="0" applyBorder="0" applyAlignment="0" applyProtection="0"/>
    <xf numFmtId="0" fontId="4" fillId="17" borderId="32" applyNumberFormat="0" applyFont="0" applyBorder="0" applyAlignment="0" applyProtection="0">
      <alignment horizontal="center"/>
    </xf>
    <xf numFmtId="0" fontId="4" fillId="18" borderId="32" applyNumberFormat="0" applyFont="0" applyBorder="0" applyAlignment="0" applyProtection="0">
      <alignment horizontal="center"/>
    </xf>
    <xf numFmtId="0" fontId="24" fillId="0" borderId="33" applyNumberFormat="0" applyAlignment="0" applyProtection="0"/>
    <xf numFmtId="0" fontId="24" fillId="0" borderId="34" applyNumberFormat="0" applyAlignment="0" applyProtection="0"/>
    <xf numFmtId="0" fontId="25" fillId="0" borderId="35" applyNumberFormat="0" applyAlignment="0" applyProtection="0"/>
    <xf numFmtId="14" fontId="29" fillId="0" borderId="0">
      <alignment horizontal="center" wrapText="1"/>
      <protection locked="0"/>
    </xf>
    <xf numFmtId="9" fontId="3" fillId="0" borderId="0" applyFont="0" applyFill="0" applyBorder="0" applyAlignment="0" applyProtection="0"/>
    <xf numFmtId="9" fontId="57" fillId="0" borderId="0" applyFont="0" applyFill="0" applyBorder="0" applyAlignment="0" applyProtection="0"/>
    <xf numFmtId="232" fontId="88" fillId="0" borderId="0" applyFont="0" applyFill="0" applyBorder="0" applyAlignment="0" applyProtection="0"/>
    <xf numFmtId="169" fontId="57" fillId="0" borderId="0" applyFont="0" applyFill="0" applyBorder="0" applyAlignment="0" applyProtection="0"/>
    <xf numFmtId="233" fontId="57" fillId="0" borderId="0" applyFont="0" applyFill="0" applyBorder="0" applyAlignment="0" applyProtection="0"/>
    <xf numFmtId="234" fontId="57" fillId="0" borderId="0" applyFont="0" applyFill="0" applyBorder="0" applyAlignment="0" applyProtection="0"/>
    <xf numFmtId="10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 applyFont="0" applyFill="0" applyBorder="0" applyProtection="0">
      <alignment horizontal="right"/>
    </xf>
    <xf numFmtId="172" fontId="77" fillId="0" borderId="0">
      <alignment horizontal="right"/>
    </xf>
    <xf numFmtId="172" fontId="25" fillId="0" borderId="0">
      <alignment horizontal="left" vertical="center"/>
    </xf>
    <xf numFmtId="171" fontId="4" fillId="0" borderId="0"/>
    <xf numFmtId="172" fontId="77" fillId="0" borderId="0">
      <alignment horizontal="right"/>
    </xf>
    <xf numFmtId="172" fontId="77" fillId="0" borderId="0">
      <alignment horizontal="center"/>
    </xf>
    <xf numFmtId="170" fontId="77" fillId="0" borderId="0">
      <alignment horizontal="right"/>
    </xf>
    <xf numFmtId="172" fontId="77" fillId="0" borderId="3">
      <alignment horizontal="right"/>
    </xf>
    <xf numFmtId="172" fontId="77" fillId="0" borderId="3">
      <alignment horizontal="center"/>
    </xf>
    <xf numFmtId="170" fontId="77" fillId="0" borderId="3">
      <alignment horizontal="right"/>
    </xf>
    <xf numFmtId="43" fontId="77" fillId="0" borderId="3">
      <alignment horizontal="center"/>
    </xf>
    <xf numFmtId="235" fontId="77" fillId="0" borderId="12"/>
    <xf numFmtId="236" fontId="77" fillId="0" borderId="12">
      <alignment horizontal="center"/>
    </xf>
    <xf numFmtId="172" fontId="25" fillId="0" borderId="0">
      <alignment horizontal="right" vertical="center"/>
    </xf>
    <xf numFmtId="236" fontId="77" fillId="0" borderId="18">
      <alignment horizontal="center" wrapText="1"/>
    </xf>
    <xf numFmtId="236" fontId="77" fillId="0" borderId="0">
      <alignment horizontal="center"/>
    </xf>
    <xf numFmtId="236" fontId="77" fillId="0" borderId="14">
      <alignment horizontal="center" wrapText="1"/>
    </xf>
    <xf numFmtId="235" fontId="77" fillId="0" borderId="14">
      <alignment wrapText="1"/>
    </xf>
    <xf numFmtId="235" fontId="77" fillId="0" borderId="3"/>
    <xf numFmtId="235" fontId="77" fillId="0" borderId="16">
      <alignment wrapText="1"/>
    </xf>
    <xf numFmtId="237" fontId="25" fillId="0" borderId="0">
      <alignment horizontal="left"/>
    </xf>
    <xf numFmtId="238" fontId="25" fillId="0" borderId="0">
      <alignment horizontal="left"/>
    </xf>
    <xf numFmtId="239" fontId="25" fillId="0" borderId="0">
      <alignment horizontal="left"/>
    </xf>
    <xf numFmtId="172" fontId="24" fillId="0" borderId="0">
      <alignment vertical="top"/>
    </xf>
    <xf numFmtId="240" fontId="25" fillId="0" borderId="0">
      <alignment horizontal="center"/>
    </xf>
    <xf numFmtId="235" fontId="80" fillId="0" borderId="0"/>
    <xf numFmtId="172" fontId="57" fillId="0" borderId="0">
      <alignment horizontal="right"/>
    </xf>
    <xf numFmtId="172" fontId="57" fillId="0" borderId="0">
      <alignment horizontal="center"/>
    </xf>
    <xf numFmtId="236" fontId="24" fillId="0" borderId="0">
      <alignment horizontal="center" vertical="top"/>
    </xf>
    <xf numFmtId="172" fontId="22" fillId="0" borderId="3">
      <alignment horizontal="centerContinuous"/>
    </xf>
    <xf numFmtId="172" fontId="4" fillId="0" borderId="3">
      <alignment horizontal="center"/>
    </xf>
    <xf numFmtId="172" fontId="4" fillId="0" borderId="0"/>
    <xf numFmtId="172" fontId="4" fillId="0" borderId="3"/>
    <xf numFmtId="43" fontId="4" fillId="0" borderId="3"/>
    <xf numFmtId="43" fontId="22" fillId="0" borderId="0">
      <alignment horizontal="right"/>
    </xf>
    <xf numFmtId="170" fontId="25" fillId="0" borderId="0">
      <alignment horizontal="right" vertical="center"/>
    </xf>
    <xf numFmtId="165" fontId="81" fillId="0" borderId="0">
      <alignment horizontal="center" wrapText="1"/>
    </xf>
    <xf numFmtId="2" fontId="81" fillId="0" borderId="0">
      <alignment horizontal="center"/>
    </xf>
    <xf numFmtId="43" fontId="57" fillId="0" borderId="0"/>
    <xf numFmtId="0" fontId="4" fillId="0" borderId="0">
      <alignment horizontal="center"/>
    </xf>
    <xf numFmtId="43" fontId="24" fillId="0" borderId="0">
      <alignment horizontal="center" vertical="top"/>
    </xf>
    <xf numFmtId="235" fontId="24" fillId="0" borderId="0">
      <alignment horizontal="center" vertical="top"/>
    </xf>
    <xf numFmtId="236" fontId="24" fillId="0" borderId="0">
      <alignment horizontal="center" vertical="top" wrapText="1"/>
    </xf>
    <xf numFmtId="43" fontId="24" fillId="0" borderId="0">
      <alignment horizontal="left" vertical="top"/>
    </xf>
    <xf numFmtId="172" fontId="24" fillId="0" borderId="0">
      <alignment horizontal="right" vertical="top"/>
    </xf>
    <xf numFmtId="43" fontId="24" fillId="0" borderId="0">
      <alignment horizontal="center" vertical="top"/>
    </xf>
    <xf numFmtId="43" fontId="25" fillId="0" borderId="0">
      <alignment horizontal="center"/>
    </xf>
    <xf numFmtId="235" fontId="24" fillId="0" borderId="0">
      <alignment horizontal="center" vertical="top"/>
    </xf>
    <xf numFmtId="236" fontId="24" fillId="0" borderId="0">
      <alignment horizontal="center" vertical="top" wrapText="1"/>
    </xf>
    <xf numFmtId="172" fontId="24" fillId="0" borderId="0">
      <alignment horizontal="left" vertical="top"/>
    </xf>
    <xf numFmtId="43" fontId="24" fillId="0" borderId="0">
      <alignment horizontal="left" vertical="top"/>
    </xf>
    <xf numFmtId="172" fontId="4" fillId="0" borderId="0">
      <alignment horizontal="left"/>
    </xf>
    <xf numFmtId="172" fontId="22" fillId="0" borderId="0">
      <alignment horizontal="centerContinuous"/>
    </xf>
    <xf numFmtId="172" fontId="22" fillId="0" borderId="0">
      <alignment horizontal="left"/>
    </xf>
    <xf numFmtId="172" fontId="22" fillId="0" borderId="3">
      <alignment horizontal="left"/>
    </xf>
    <xf numFmtId="43" fontId="57" fillId="0" borderId="0"/>
    <xf numFmtId="43" fontId="57" fillId="0" borderId="3">
      <alignment horizontal="center"/>
    </xf>
    <xf numFmtId="235" fontId="25" fillId="0" borderId="0">
      <alignment horizontal="center"/>
    </xf>
    <xf numFmtId="43" fontId="57" fillId="0" borderId="3"/>
    <xf numFmtId="43" fontId="22" fillId="0" borderId="0"/>
    <xf numFmtId="172" fontId="4" fillId="14" borderId="0">
      <alignment horizontal="center"/>
    </xf>
    <xf numFmtId="172" fontId="4" fillId="14" borderId="0">
      <alignment horizontal="center"/>
    </xf>
    <xf numFmtId="172" fontId="22" fillId="14" borderId="0">
      <alignment horizontal="centerContinuous"/>
    </xf>
    <xf numFmtId="172" fontId="22" fillId="14" borderId="3">
      <alignment horizontal="center" wrapText="1"/>
    </xf>
    <xf numFmtId="172" fontId="4" fillId="19" borderId="0">
      <alignment horizontal="center"/>
    </xf>
    <xf numFmtId="172" fontId="4" fillId="19" borderId="0">
      <alignment horizontal="center"/>
    </xf>
    <xf numFmtId="172" fontId="22" fillId="19" borderId="0">
      <alignment horizontal="centerContinuous"/>
    </xf>
    <xf numFmtId="172" fontId="22" fillId="19" borderId="3">
      <alignment horizontal="centerContinuous"/>
    </xf>
    <xf numFmtId="235" fontId="25" fillId="0" borderId="0">
      <alignment horizontal="center" wrapText="1"/>
    </xf>
    <xf numFmtId="172" fontId="24" fillId="0" borderId="0"/>
    <xf numFmtId="43" fontId="24" fillId="0" borderId="0"/>
    <xf numFmtId="43" fontId="24" fillId="0" borderId="0">
      <alignment horizontal="center"/>
    </xf>
    <xf numFmtId="172" fontId="24" fillId="0" borderId="0"/>
    <xf numFmtId="171" fontId="24" fillId="0" borderId="0"/>
    <xf numFmtId="43" fontId="24" fillId="0" borderId="27"/>
    <xf numFmtId="172" fontId="24" fillId="0" borderId="3"/>
    <xf numFmtId="43" fontId="24" fillId="0" borderId="28"/>
    <xf numFmtId="171" fontId="24" fillId="0" borderId="10"/>
    <xf numFmtId="10" fontId="24" fillId="0" borderId="0"/>
    <xf numFmtId="237" fontId="25" fillId="0" borderId="0">
      <alignment horizontal="center"/>
    </xf>
    <xf numFmtId="43" fontId="24" fillId="0" borderId="0"/>
    <xf numFmtId="241" fontId="25" fillId="0" borderId="0">
      <alignment horizontal="center" vertical="top"/>
    </xf>
    <xf numFmtId="14" fontId="22" fillId="0" borderId="0">
      <alignment horizontal="center"/>
    </xf>
    <xf numFmtId="4" fontId="57" fillId="0" borderId="0">
      <alignment horizontal="right" vertical="top"/>
    </xf>
    <xf numFmtId="172" fontId="57" fillId="0" borderId="0">
      <alignment horizontal="center" vertical="top"/>
    </xf>
    <xf numFmtId="172" fontId="24" fillId="0" borderId="3">
      <alignment horizontal="right" vertical="top"/>
    </xf>
    <xf numFmtId="170" fontId="24" fillId="0" borderId="3">
      <alignment horizontal="center" vertical="top"/>
    </xf>
    <xf numFmtId="43" fontId="24" fillId="0" borderId="3">
      <alignment horizontal="center" vertical="top"/>
    </xf>
    <xf numFmtId="235" fontId="24" fillId="0" borderId="3">
      <alignment horizontal="center" vertical="top"/>
    </xf>
    <xf numFmtId="236" fontId="24" fillId="0" borderId="3">
      <alignment horizontal="center" vertical="top" wrapText="1"/>
    </xf>
    <xf numFmtId="237" fontId="25" fillId="0" borderId="0">
      <alignment horizontal="center" wrapText="1"/>
    </xf>
    <xf numFmtId="172" fontId="24" fillId="0" borderId="3">
      <alignment horizontal="center" vertical="top"/>
    </xf>
    <xf numFmtId="172" fontId="24" fillId="0" borderId="3">
      <alignment horizontal="left" vertical="top"/>
    </xf>
    <xf numFmtId="172" fontId="24" fillId="0" borderId="3">
      <alignment vertical="top"/>
    </xf>
    <xf numFmtId="43" fontId="24" fillId="0" borderId="3">
      <alignment horizontal="left" vertical="top"/>
    </xf>
    <xf numFmtId="236" fontId="24" fillId="0" borderId="3">
      <alignment horizontal="center" vertical="top"/>
    </xf>
    <xf numFmtId="43" fontId="4" fillId="0" borderId="0">
      <alignment horizontal="center"/>
    </xf>
    <xf numFmtId="172" fontId="25" fillId="0" borderId="24">
      <alignment horizontal="right" vertical="center"/>
    </xf>
    <xf numFmtId="239" fontId="25" fillId="0" borderId="24">
      <alignment horizontal="left"/>
    </xf>
    <xf numFmtId="242" fontId="25" fillId="0" borderId="24">
      <alignment horizontal="left"/>
    </xf>
    <xf numFmtId="170" fontId="25" fillId="0" borderId="24">
      <alignment horizontal="right" vertical="center"/>
    </xf>
    <xf numFmtId="172" fontId="25" fillId="0" borderId="0">
      <alignment horizontal="left"/>
    </xf>
    <xf numFmtId="172" fontId="25" fillId="0" borderId="10">
      <alignment horizontal="right" vertical="center"/>
    </xf>
    <xf numFmtId="239" fontId="25" fillId="0" borderId="10">
      <alignment horizontal="left"/>
    </xf>
    <xf numFmtId="242" fontId="25" fillId="0" borderId="10">
      <alignment horizontal="left"/>
    </xf>
    <xf numFmtId="170" fontId="25" fillId="0" borderId="10">
      <alignment horizontal="right"/>
    </xf>
    <xf numFmtId="243" fontId="25" fillId="0" borderId="28">
      <alignment horizontal="left"/>
    </xf>
    <xf numFmtId="172" fontId="25" fillId="0" borderId="10">
      <alignment horizontal="left" vertical="center"/>
    </xf>
    <xf numFmtId="171" fontId="4" fillId="0" borderId="0">
      <alignment horizontal="center"/>
    </xf>
    <xf numFmtId="43" fontId="4" fillId="14" borderId="0">
      <alignment horizontal="center"/>
    </xf>
    <xf numFmtId="43" fontId="4" fillId="19" borderId="0">
      <alignment horizontal="center"/>
    </xf>
    <xf numFmtId="242" fontId="25" fillId="0" borderId="0">
      <alignment horizontal="left"/>
    </xf>
    <xf numFmtId="169" fontId="22" fillId="0" borderId="0" applyFill="0" applyBorder="0" applyAlignment="0" applyProtection="0"/>
    <xf numFmtId="172" fontId="77" fillId="0" borderId="0">
      <alignment horizontal="center"/>
    </xf>
    <xf numFmtId="172" fontId="25" fillId="0" borderId="0">
      <alignment horizontal="right"/>
    </xf>
    <xf numFmtId="243" fontId="25" fillId="0" borderId="27">
      <alignment horizontal="left"/>
    </xf>
    <xf numFmtId="43" fontId="24" fillId="0" borderId="26">
      <alignment horizontal="center"/>
    </xf>
    <xf numFmtId="172" fontId="25" fillId="0" borderId="3">
      <alignment horizontal="right" vertical="center"/>
    </xf>
    <xf numFmtId="244" fontId="25" fillId="0" borderId="27">
      <alignment horizontal="left"/>
    </xf>
    <xf numFmtId="172" fontId="24" fillId="13" borderId="0"/>
    <xf numFmtId="172" fontId="24" fillId="13" borderId="0">
      <alignment horizontal="center" vertical="top"/>
    </xf>
    <xf numFmtId="172" fontId="24" fillId="0" borderId="10"/>
    <xf numFmtId="172" fontId="24" fillId="13" borderId="0">
      <alignment horizontal="center" vertical="top"/>
    </xf>
    <xf numFmtId="172" fontId="24" fillId="13" borderId="0">
      <alignment horizontal="right" vertical="top"/>
    </xf>
    <xf numFmtId="170" fontId="24" fillId="13" borderId="0">
      <alignment horizontal="center" vertical="top"/>
    </xf>
    <xf numFmtId="170" fontId="25" fillId="0" borderId="0">
      <alignment horizontal="right"/>
    </xf>
    <xf numFmtId="43" fontId="24" fillId="13" borderId="0">
      <alignment horizontal="center" vertical="top"/>
    </xf>
    <xf numFmtId="235" fontId="24" fillId="13" borderId="0">
      <alignment horizontal="center" vertical="top"/>
    </xf>
    <xf numFmtId="236" fontId="24" fillId="13" borderId="0">
      <alignment horizontal="center" vertical="top"/>
    </xf>
    <xf numFmtId="236" fontId="24" fillId="13" borderId="0">
      <alignment horizontal="center" vertical="top" wrapText="1"/>
    </xf>
    <xf numFmtId="172" fontId="24" fillId="13" borderId="0">
      <alignment horizontal="left" vertical="top"/>
    </xf>
    <xf numFmtId="43" fontId="24" fillId="13" borderId="0">
      <alignment horizontal="left" vertical="top"/>
    </xf>
    <xf numFmtId="43" fontId="24" fillId="13" borderId="0"/>
    <xf numFmtId="172" fontId="24" fillId="14" borderId="0">
      <alignment horizontal="center" vertical="top"/>
    </xf>
    <xf numFmtId="172" fontId="24" fillId="14" borderId="0">
      <alignment horizontal="right" vertical="top"/>
    </xf>
    <xf numFmtId="170" fontId="24" fillId="14" borderId="0">
      <alignment horizontal="center" vertical="top"/>
    </xf>
    <xf numFmtId="172" fontId="24" fillId="0" borderId="0">
      <alignment horizontal="right"/>
    </xf>
    <xf numFmtId="43" fontId="24" fillId="14" borderId="0">
      <alignment horizontal="center" vertical="top"/>
    </xf>
    <xf numFmtId="235" fontId="24" fillId="14" borderId="0">
      <alignment horizontal="center" vertical="top"/>
    </xf>
    <xf numFmtId="236" fontId="24" fillId="14" borderId="0">
      <alignment horizontal="center" vertical="top"/>
    </xf>
    <xf numFmtId="236" fontId="24" fillId="14" borderId="0">
      <alignment horizontal="center" vertical="top" wrapText="1"/>
    </xf>
    <xf numFmtId="172" fontId="24" fillId="14" borderId="0">
      <alignment horizontal="center" vertical="top"/>
    </xf>
    <xf numFmtId="172" fontId="24" fillId="14" borderId="0">
      <alignment horizontal="left" vertical="top"/>
    </xf>
    <xf numFmtId="172" fontId="24" fillId="14" borderId="0"/>
    <xf numFmtId="43" fontId="24" fillId="14" borderId="0">
      <alignment horizontal="left" vertical="top"/>
    </xf>
    <xf numFmtId="235" fontId="24" fillId="14" borderId="0">
      <alignment horizontal="center" vertical="top"/>
    </xf>
    <xf numFmtId="236" fontId="77" fillId="14" borderId="0">
      <alignment horizontal="center" wrapText="1"/>
    </xf>
    <xf numFmtId="172" fontId="24" fillId="0" borderId="0"/>
    <xf numFmtId="172" fontId="24" fillId="14" borderId="0">
      <alignment horizontal="left" vertical="top"/>
    </xf>
    <xf numFmtId="172" fontId="24" fillId="14" borderId="0">
      <alignment horizontal="right"/>
    </xf>
    <xf numFmtId="172" fontId="24" fillId="14" borderId="0">
      <alignment horizontal="right"/>
    </xf>
    <xf numFmtId="4" fontId="57" fillId="14" borderId="0">
      <alignment horizontal="right" vertical="top"/>
    </xf>
    <xf numFmtId="43" fontId="24" fillId="14" borderId="0">
      <alignment horizontal="center" vertical="top"/>
    </xf>
    <xf numFmtId="236" fontId="24" fillId="14" borderId="0">
      <alignment horizontal="center" vertical="top" wrapText="1"/>
    </xf>
    <xf numFmtId="43" fontId="24" fillId="14" borderId="0">
      <alignment horizontal="left" vertical="top"/>
    </xf>
    <xf numFmtId="172" fontId="25" fillId="6" borderId="9">
      <alignment horizontal="right" wrapText="1"/>
    </xf>
    <xf numFmtId="172" fontId="25" fillId="6" borderId="9">
      <alignment horizontal="center" wrapText="1"/>
    </xf>
    <xf numFmtId="170" fontId="25" fillId="6" borderId="9">
      <alignment horizontal="right" wrapText="1"/>
    </xf>
    <xf numFmtId="43" fontId="25" fillId="6" borderId="9">
      <alignment horizontal="center" wrapText="1"/>
    </xf>
    <xf numFmtId="235" fontId="25" fillId="6" borderId="9">
      <alignment horizontal="center" wrapText="1"/>
    </xf>
    <xf numFmtId="235" fontId="25" fillId="6" borderId="9">
      <alignment horizontal="center" wrapText="1"/>
    </xf>
    <xf numFmtId="207" fontId="26" fillId="0" borderId="0">
      <alignment horizontal="left" vertical="center" wrapText="1"/>
    </xf>
    <xf numFmtId="172" fontId="24" fillId="0" borderId="0">
      <alignment horizontal="right"/>
    </xf>
    <xf numFmtId="172" fontId="24" fillId="0" borderId="0"/>
    <xf numFmtId="170" fontId="24" fillId="0" borderId="0">
      <alignment horizontal="right"/>
    </xf>
    <xf numFmtId="43" fontId="24" fillId="0" borderId="0">
      <alignment horizontal="center"/>
    </xf>
    <xf numFmtId="235" fontId="24" fillId="0" borderId="0"/>
    <xf numFmtId="235" fontId="24" fillId="0" borderId="0">
      <alignment wrapText="1"/>
    </xf>
    <xf numFmtId="170" fontId="24" fillId="0" borderId="0">
      <alignment horizontal="center" vertical="top"/>
    </xf>
    <xf numFmtId="172" fontId="24" fillId="0" borderId="0">
      <alignment horizontal="center" vertical="top"/>
    </xf>
    <xf numFmtId="172" fontId="24" fillId="0" borderId="0">
      <alignment horizontal="center" vertical="top"/>
    </xf>
    <xf numFmtId="172" fontId="24" fillId="0" borderId="0">
      <alignment horizontal="left" vertical="top"/>
    </xf>
    <xf numFmtId="172" fontId="24" fillId="0" borderId="0">
      <alignment horizontal="right" vertical="center" wrapText="1"/>
    </xf>
    <xf numFmtId="172" fontId="24" fillId="0" borderId="0">
      <alignment horizontal="right" vertical="top"/>
    </xf>
    <xf numFmtId="170" fontId="24" fillId="0" borderId="0">
      <alignment horizontal="center" vertical="top"/>
    </xf>
    <xf numFmtId="170" fontId="77" fillId="0" borderId="0">
      <alignment horizontal="right"/>
    </xf>
    <xf numFmtId="43" fontId="77" fillId="0" borderId="0">
      <alignment horizontal="center"/>
    </xf>
    <xf numFmtId="235" fontId="77" fillId="0" borderId="0"/>
    <xf numFmtId="236" fontId="77" fillId="0" borderId="0">
      <alignment horizontal="center"/>
    </xf>
    <xf numFmtId="236" fontId="77" fillId="0" borderId="0">
      <alignment horizontal="center" wrapText="1"/>
    </xf>
    <xf numFmtId="235" fontId="77" fillId="0" borderId="0">
      <alignment wrapText="1"/>
    </xf>
    <xf numFmtId="43" fontId="57" fillId="0" borderId="0">
      <alignment horizontal="center"/>
    </xf>
    <xf numFmtId="43" fontId="57" fillId="0" borderId="0"/>
    <xf numFmtId="172" fontId="24" fillId="0" borderId="0">
      <alignment horizontal="center" vertical="center" wrapText="1"/>
    </xf>
    <xf numFmtId="43" fontId="57" fillId="0" borderId="17">
      <alignment horizontal="center" vertical="center"/>
    </xf>
    <xf numFmtId="43" fontId="57" fillId="0" borderId="12">
      <alignment horizontal="center" vertical="center"/>
    </xf>
    <xf numFmtId="43" fontId="81" fillId="0" borderId="12">
      <alignment horizontal="center" vertical="center"/>
    </xf>
    <xf numFmtId="43" fontId="81" fillId="0" borderId="13">
      <alignment horizontal="center"/>
    </xf>
    <xf numFmtId="43" fontId="81" fillId="0" borderId="0">
      <alignment horizontal="center"/>
    </xf>
    <xf numFmtId="2" fontId="81" fillId="0" borderId="0">
      <alignment horizontal="center"/>
    </xf>
    <xf numFmtId="43" fontId="81" fillId="0" borderId="14">
      <alignment horizontal="center"/>
    </xf>
    <xf numFmtId="43" fontId="81" fillId="0" borderId="0">
      <alignment horizontal="center"/>
    </xf>
    <xf numFmtId="172" fontId="81" fillId="0" borderId="0">
      <alignment horizontal="center" wrapText="1"/>
    </xf>
    <xf numFmtId="172" fontId="81" fillId="0" borderId="3">
      <alignment horizontal="center" wrapText="1"/>
    </xf>
    <xf numFmtId="170" fontId="24" fillId="0" borderId="0">
      <alignment horizontal="right" vertical="center" wrapText="1"/>
    </xf>
    <xf numFmtId="165" fontId="81" fillId="0" borderId="3">
      <alignment horizontal="center" wrapText="1"/>
    </xf>
    <xf numFmtId="43" fontId="89" fillId="0" borderId="0">
      <alignment horizontal="left"/>
    </xf>
    <xf numFmtId="43" fontId="81" fillId="0" borderId="0">
      <alignment horizontal="center" wrapText="1"/>
    </xf>
    <xf numFmtId="43" fontId="81" fillId="0" borderId="0">
      <alignment wrapText="1"/>
    </xf>
    <xf numFmtId="43" fontId="81" fillId="6" borderId="9">
      <alignment horizontal="right" wrapText="1"/>
    </xf>
    <xf numFmtId="43" fontId="81" fillId="6" borderId="9">
      <alignment horizontal="center" wrapText="1"/>
    </xf>
    <xf numFmtId="172" fontId="4" fillId="0" borderId="0"/>
    <xf numFmtId="172" fontId="4" fillId="0" borderId="0">
      <alignment horizontal="center"/>
    </xf>
    <xf numFmtId="172" fontId="4" fillId="0" borderId="0">
      <alignment horizontal="left"/>
    </xf>
    <xf numFmtId="172" fontId="4" fillId="0" borderId="0">
      <alignment horizontal="center"/>
    </xf>
    <xf numFmtId="43" fontId="25" fillId="0" borderId="0">
      <alignment horizontal="center" vertical="center" wrapText="1"/>
    </xf>
    <xf numFmtId="172" fontId="22" fillId="0" borderId="0">
      <alignment horizontal="center"/>
    </xf>
    <xf numFmtId="172" fontId="4" fillId="0" borderId="0"/>
    <xf numFmtId="172" fontId="82" fillId="0" borderId="0">
      <alignment horizontal="left" vertical="center"/>
    </xf>
    <xf numFmtId="172" fontId="25" fillId="0" borderId="27"/>
    <xf numFmtId="172" fontId="25" fillId="0" borderId="0"/>
    <xf numFmtId="43" fontId="25" fillId="0" borderId="0"/>
    <xf numFmtId="43" fontId="25" fillId="0" borderId="0">
      <alignment horizontal="center"/>
    </xf>
    <xf numFmtId="172" fontId="25" fillId="0" borderId="0">
      <alignment horizontal="center"/>
    </xf>
    <xf numFmtId="172" fontId="25" fillId="6" borderId="24">
      <alignment horizontal="center"/>
    </xf>
    <xf numFmtId="49" fontId="24" fillId="0" borderId="0">
      <alignment horizontal="left"/>
    </xf>
    <xf numFmtId="235" fontId="25" fillId="0" borderId="0">
      <alignment horizontal="center" vertical="center" wrapText="1"/>
    </xf>
    <xf numFmtId="49" fontId="24" fillId="0" borderId="13">
      <alignment horizontal="left"/>
    </xf>
    <xf numFmtId="49" fontId="24" fillId="0" borderId="15">
      <alignment horizontal="left"/>
    </xf>
    <xf numFmtId="172" fontId="79" fillId="0" borderId="14"/>
    <xf numFmtId="49" fontId="24" fillId="0" borderId="14">
      <alignment horizontal="left"/>
    </xf>
    <xf numFmtId="172" fontId="4" fillId="0" borderId="0">
      <alignment horizontal="center"/>
    </xf>
    <xf numFmtId="172" fontId="4" fillId="0" borderId="0"/>
    <xf numFmtId="172" fontId="4" fillId="0" borderId="0"/>
    <xf numFmtId="172" fontId="22" fillId="0" borderId="0">
      <alignment horizontal="right"/>
    </xf>
    <xf numFmtId="172" fontId="22" fillId="0" borderId="0">
      <alignment horizontal="center"/>
    </xf>
    <xf numFmtId="172" fontId="22" fillId="0" borderId="3"/>
    <xf numFmtId="172" fontId="25" fillId="0" borderId="0">
      <alignment horizontal="left" vertical="center" wrapText="1"/>
    </xf>
    <xf numFmtId="172" fontId="22" fillId="0" borderId="3">
      <alignment horizontal="center"/>
    </xf>
    <xf numFmtId="172" fontId="22" fillId="0" borderId="3">
      <alignment horizontal="center" wrapText="1"/>
    </xf>
    <xf numFmtId="172" fontId="22" fillId="0" borderId="0"/>
    <xf numFmtId="172" fontId="22" fillId="0" borderId="3">
      <alignment horizontal="center" wrapText="1"/>
    </xf>
    <xf numFmtId="172" fontId="22" fillId="0" borderId="0">
      <alignment horizontal="center"/>
    </xf>
    <xf numFmtId="172" fontId="22" fillId="0" borderId="3">
      <alignment horizontal="center"/>
    </xf>
    <xf numFmtId="172" fontId="22" fillId="0" borderId="0"/>
    <xf numFmtId="172" fontId="22" fillId="0" borderId="3">
      <alignment horizontal="left" wrapText="1"/>
    </xf>
    <xf numFmtId="236" fontId="4" fillId="0" borderId="0">
      <alignment horizontal="center"/>
    </xf>
    <xf numFmtId="236" fontId="4" fillId="0" borderId="0">
      <alignment horizontal="left"/>
    </xf>
    <xf numFmtId="0" fontId="90" fillId="0" borderId="0"/>
    <xf numFmtId="10" fontId="8" fillId="0" borderId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0" fontId="28" fillId="0" borderId="0" applyFill="0" applyBorder="0" applyAlignment="0"/>
    <xf numFmtId="227" fontId="8" fillId="0" borderId="0"/>
    <xf numFmtId="0" fontId="91" fillId="6" borderId="0"/>
    <xf numFmtId="0" fontId="56" fillId="0" borderId="0" applyNumberFormat="0" applyFont="0" applyFill="0" applyBorder="0" applyAlignment="0" applyProtection="0">
      <alignment horizontal="left"/>
    </xf>
    <xf numFmtId="15" fontId="56" fillId="0" borderId="0" applyFont="0" applyFill="0" applyBorder="0" applyAlignment="0" applyProtection="0"/>
    <xf numFmtId="4" fontId="56" fillId="0" borderId="0" applyFont="0" applyFill="0" applyBorder="0" applyAlignment="0" applyProtection="0"/>
    <xf numFmtId="0" fontId="92" fillId="0" borderId="10">
      <alignment horizontal="center"/>
    </xf>
    <xf numFmtId="3" fontId="56" fillId="0" borderId="0" applyFont="0" applyFill="0" applyBorder="0" applyAlignment="0" applyProtection="0"/>
    <xf numFmtId="0" fontId="56" fillId="20" borderId="0" applyNumberFormat="0" applyFont="0" applyBorder="0" applyAlignment="0" applyProtection="0"/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0" fontId="24" fillId="0" borderId="0">
      <alignment vertical="top"/>
    </xf>
    <xf numFmtId="245" fontId="93" fillId="0" borderId="0"/>
    <xf numFmtId="0" fontId="8" fillId="0" borderId="0" applyFont="0" applyFill="0" applyBorder="0" applyProtection="0">
      <alignment horizontal="right"/>
    </xf>
    <xf numFmtId="0" fontId="8" fillId="0" borderId="0" applyFont="0" applyFill="0" applyBorder="0" applyProtection="0">
      <alignment horizontal="right"/>
    </xf>
    <xf numFmtId="0" fontId="8" fillId="0" borderId="0" applyFont="0" applyFill="0" applyBorder="0" applyProtection="0">
      <alignment horizontal="right"/>
    </xf>
    <xf numFmtId="0" fontId="94" fillId="21" borderId="0" applyNumberFormat="0" applyFont="0" applyBorder="0" applyAlignment="0">
      <alignment horizontal="center"/>
    </xf>
    <xf numFmtId="14" fontId="43" fillId="0" borderId="0" applyNumberFormat="0" applyFill="0" applyBorder="0" applyAlignment="0" applyProtection="0">
      <alignment horizontal="left"/>
    </xf>
    <xf numFmtId="49" fontId="4" fillId="0" borderId="0" applyFont="0" applyFill="0" applyBorder="0" applyProtection="0">
      <alignment horizontal="right"/>
    </xf>
    <xf numFmtId="49" fontId="22" fillId="0" borderId="0" applyFill="0" applyBorder="0" applyProtection="0">
      <alignment horizontal="right"/>
    </xf>
    <xf numFmtId="49" fontId="22" fillId="0" borderId="3" applyFill="0" applyProtection="0">
      <alignment horizontal="right"/>
    </xf>
    <xf numFmtId="49" fontId="22" fillId="0" borderId="12" applyFill="0" applyProtection="0">
      <alignment horizontal="right"/>
    </xf>
    <xf numFmtId="0" fontId="66" fillId="0" borderId="0" applyFill="0" applyBorder="0" applyProtection="0">
      <alignment horizontal="left"/>
    </xf>
    <xf numFmtId="0" fontId="15" fillId="22" borderId="0"/>
    <xf numFmtId="0" fontId="94" fillId="1" borderId="8" applyNumberFormat="0" applyFont="0" applyAlignment="0">
      <alignment horizontal="center"/>
    </xf>
    <xf numFmtId="246" fontId="95" fillId="0" borderId="0" applyFont="0" applyFill="0" applyBorder="0" applyAlignment="0" applyProtection="0"/>
    <xf numFmtId="1" fontId="8" fillId="0" borderId="0"/>
    <xf numFmtId="0" fontId="4" fillId="0" borderId="0" applyFont="0" applyFill="0" applyBorder="0" applyAlignment="0" applyProtection="0"/>
    <xf numFmtId="0" fontId="22" fillId="0" borderId="0" applyFill="0" applyBorder="0" applyAlignment="0" applyProtection="0"/>
    <xf numFmtId="42" fontId="23" fillId="0" borderId="0" applyFill="0" applyBorder="0" applyAlignment="0" applyProtection="0"/>
    <xf numFmtId="0" fontId="96" fillId="0" borderId="0" applyNumberFormat="0" applyFill="0" applyBorder="0" applyAlignment="0">
      <alignment horizontal="center"/>
    </xf>
    <xf numFmtId="12" fontId="8" fillId="0" borderId="0" applyFont="0" applyFill="0" applyBorder="0" applyProtection="0">
      <alignment horizontal="right"/>
    </xf>
    <xf numFmtId="0" fontId="8" fillId="23" borderId="0" applyFont="0" applyFill="0" applyBorder="0" applyProtection="0">
      <alignment horizontal="right"/>
    </xf>
    <xf numFmtId="0" fontId="6" fillId="0" borderId="0">
      <alignment vertical="top"/>
    </xf>
    <xf numFmtId="0" fontId="81" fillId="0" borderId="0" applyNumberFormat="0" applyFill="0" applyBorder="0" applyProtection="0">
      <alignment horizontal="left"/>
    </xf>
    <xf numFmtId="0" fontId="24" fillId="0" borderId="0" applyNumberFormat="0" applyFill="0" applyBorder="0" applyProtection="0">
      <alignment horizontal="left"/>
    </xf>
    <xf numFmtId="0" fontId="24" fillId="0" borderId="0" applyNumberFormat="0" applyFill="0" applyBorder="0" applyProtection="0">
      <alignment horizontal="left"/>
    </xf>
    <xf numFmtId="0" fontId="25" fillId="0" borderId="0" applyNumberFormat="0" applyFill="0" applyBorder="0" applyProtection="0">
      <alignment horizontal="left"/>
    </xf>
    <xf numFmtId="0" fontId="25" fillId="0" borderId="0" applyFill="0" applyBorder="0" applyProtection="0">
      <alignment horizontal="left" wrapText="1"/>
    </xf>
    <xf numFmtId="0" fontId="25" fillId="0" borderId="0" applyNumberFormat="0" applyFill="0" applyBorder="0" applyProtection="0">
      <alignment horizontal="right" wrapText="1"/>
    </xf>
    <xf numFmtId="1" fontId="24" fillId="0" borderId="0" applyFill="0" applyBorder="0" applyProtection="0">
      <alignment horizontal="left"/>
    </xf>
    <xf numFmtId="49" fontId="24" fillId="0" borderId="0" applyFill="0" applyBorder="0" applyProtection="0">
      <alignment horizontal="left"/>
    </xf>
    <xf numFmtId="1" fontId="24" fillId="0" borderId="0" applyFill="0" applyBorder="0" applyProtection="0">
      <alignment horizontal="center"/>
    </xf>
    <xf numFmtId="37" fontId="24" fillId="0" borderId="0" applyFill="0" applyBorder="0" applyProtection="0">
      <alignment horizontal="right"/>
    </xf>
    <xf numFmtId="7" fontId="24" fillId="0" borderId="0" applyFill="0" applyBorder="0" applyProtection="0">
      <alignment horizontal="right"/>
    </xf>
    <xf numFmtId="247" fontId="24" fillId="0" borderId="0" applyFill="0" applyBorder="0" applyProtection="0">
      <alignment horizontal="left"/>
    </xf>
    <xf numFmtId="37" fontId="25" fillId="0" borderId="0" applyFill="0" applyBorder="0" applyProtection="0">
      <alignment horizontal="right"/>
    </xf>
    <xf numFmtId="7" fontId="25" fillId="0" borderId="0" applyFill="0" applyBorder="0" applyProtection="0">
      <alignment horizontal="right"/>
    </xf>
    <xf numFmtId="248" fontId="24" fillId="0" borderId="0" applyFill="0" applyBorder="0" applyProtection="0">
      <alignment horizontal="right"/>
    </xf>
    <xf numFmtId="249" fontId="24" fillId="0" borderId="0" applyFill="0" applyBorder="0" applyProtection="0">
      <alignment horizontal="right"/>
    </xf>
    <xf numFmtId="250" fontId="24" fillId="0" borderId="0" applyFill="0" applyBorder="0" applyProtection="0">
      <alignment horizontal="right"/>
    </xf>
    <xf numFmtId="14" fontId="24" fillId="0" borderId="0" applyFill="0" applyBorder="0" applyProtection="0">
      <alignment horizontal="right"/>
    </xf>
    <xf numFmtId="14" fontId="24" fillId="0" borderId="0" applyFill="0" applyBorder="0" applyProtection="0">
      <alignment horizontal="right"/>
    </xf>
    <xf numFmtId="251" fontId="24" fillId="0" borderId="0" applyFill="0" applyBorder="0" applyProtection="0">
      <alignment horizontal="left"/>
    </xf>
    <xf numFmtId="252" fontId="24" fillId="0" borderId="0" applyFill="0" applyBorder="0" applyProtection="0">
      <alignment horizontal="left"/>
    </xf>
    <xf numFmtId="248" fontId="25" fillId="0" borderId="0" applyFill="0" applyBorder="0" applyProtection="0">
      <alignment horizontal="right"/>
    </xf>
    <xf numFmtId="1" fontId="25" fillId="0" borderId="0" applyFill="0" applyBorder="0" applyProtection="0">
      <alignment horizontal="left"/>
    </xf>
    <xf numFmtId="247" fontId="25" fillId="0" borderId="0" applyFill="0" applyBorder="0" applyProtection="0">
      <alignment horizontal="left"/>
    </xf>
    <xf numFmtId="37" fontId="25" fillId="0" borderId="0" applyFill="0" applyBorder="0" applyProtection="0">
      <alignment horizontal="right"/>
    </xf>
    <xf numFmtId="1" fontId="97" fillId="0" borderId="0" applyFill="0" applyBorder="0" applyProtection="0">
      <alignment horizontal="left"/>
    </xf>
    <xf numFmtId="49" fontId="24" fillId="0" borderId="0" applyFill="0" applyBorder="0" applyProtection="0">
      <alignment horizontal="left"/>
    </xf>
    <xf numFmtId="252" fontId="24" fillId="0" borderId="0" applyFill="0" applyBorder="0" applyProtection="0">
      <alignment horizontal="left"/>
    </xf>
    <xf numFmtId="0" fontId="6" fillId="0" borderId="0" applyNumberFormat="0" applyBorder="0" applyAlignment="0"/>
    <xf numFmtId="0" fontId="16" fillId="0" borderId="0"/>
    <xf numFmtId="40" fontId="98" fillId="0" borderId="0" applyBorder="0">
      <alignment horizontal="right"/>
    </xf>
    <xf numFmtId="6" fontId="72" fillId="0" borderId="36" applyFill="0">
      <alignment vertical="center"/>
    </xf>
    <xf numFmtId="0" fontId="17" fillId="0" borderId="0"/>
    <xf numFmtId="0" fontId="99" fillId="0" borderId="0"/>
    <xf numFmtId="0" fontId="4" fillId="0" borderId="0"/>
    <xf numFmtId="49" fontId="6" fillId="0" borderId="0" applyFill="0" applyBorder="0" applyAlignment="0"/>
    <xf numFmtId="0" fontId="28" fillId="0" borderId="0" applyFill="0" applyBorder="0" applyAlignment="0"/>
    <xf numFmtId="201" fontId="8" fillId="0" borderId="0" applyFill="0" applyBorder="0" applyAlignment="0"/>
    <xf numFmtId="0" fontId="18" fillId="0" borderId="0"/>
    <xf numFmtId="0" fontId="19" fillId="0" borderId="0"/>
    <xf numFmtId="0" fontId="20" fillId="0" borderId="0">
      <alignment vertical="top"/>
    </xf>
    <xf numFmtId="253" fontId="72" fillId="0" borderId="0" applyFill="0" applyBorder="0">
      <alignment vertical="center"/>
    </xf>
    <xf numFmtId="0" fontId="24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38" fontId="100" fillId="0" borderId="0" applyNumberFormat="0" applyFill="0" applyBorder="0">
      <alignment horizontal="left" vertical="center"/>
    </xf>
    <xf numFmtId="38" fontId="101" fillId="0" borderId="0" applyNumberFormat="0" applyFill="0" applyBorder="0">
      <alignment horizontal="centerContinuous" vertical="center"/>
    </xf>
    <xf numFmtId="0" fontId="21" fillId="0" borderId="0">
      <alignment vertical="top"/>
    </xf>
    <xf numFmtId="0" fontId="102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27" fillId="0" borderId="0" applyFill="0" applyBorder="0" applyAlignment="0" applyProtection="0"/>
    <xf numFmtId="0" fontId="18" fillId="0" borderId="0">
      <alignment wrapText="1"/>
    </xf>
    <xf numFmtId="0" fontId="103" fillId="0" borderId="0">
      <alignment horizontal="left"/>
      <protection locked="0"/>
    </xf>
    <xf numFmtId="5" fontId="88" fillId="0" borderId="0">
      <alignment vertical="center"/>
    </xf>
    <xf numFmtId="223" fontId="28" fillId="0" borderId="0"/>
    <xf numFmtId="254" fontId="29" fillId="0" borderId="0" applyFill="0" applyBorder="0" applyAlignment="0" applyProtection="0"/>
    <xf numFmtId="14" fontId="24" fillId="0" borderId="0" applyFont="0" applyFill="0" applyBorder="0" applyProtection="0"/>
    <xf numFmtId="255" fontId="104" fillId="0" borderId="0" applyFill="0" applyBorder="0">
      <alignment vertical="center"/>
    </xf>
    <xf numFmtId="0" fontId="72" fillId="24" borderId="37" applyNumberFormat="0" applyFont="0" applyBorder="0" applyAlignment="0" applyProtection="0">
      <alignment horizontal="right"/>
    </xf>
    <xf numFmtId="256" fontId="23" fillId="0" borderId="0" applyFont="0" applyFill="0" applyBorder="0" applyAlignment="0" applyProtection="0"/>
    <xf numFmtId="255" fontId="105" fillId="0" borderId="0">
      <alignment horizontal="center"/>
    </xf>
    <xf numFmtId="43" fontId="8" fillId="0" borderId="0" applyFont="0" applyFill="0" applyBorder="0" applyAlignment="0" applyProtection="0"/>
    <xf numFmtId="41" fontId="8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42" fontId="8" fillId="0" borderId="0" applyFont="0" applyFill="0" applyBorder="0" applyAlignment="0" applyProtection="0"/>
    <xf numFmtId="0" fontId="3" fillId="0" borderId="0"/>
    <xf numFmtId="0" fontId="2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/>
    <xf numFmtId="175" fontId="3" fillId="0" borderId="0" applyFont="0" applyFill="0" applyBorder="0" applyAlignment="0" applyProtection="0"/>
    <xf numFmtId="176" fontId="3" fillId="0" borderId="0" applyFont="0" applyFill="0" applyBorder="0" applyAlignment="0" applyProtection="0"/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 applyNumberFormat="0" applyFill="0" applyBorder="0" applyAlignment="0" applyProtection="0">
      <alignment horizontal="left" wrapText="1"/>
    </xf>
    <xf numFmtId="0" fontId="3" fillId="0" borderId="0" applyNumberFormat="0" applyFill="0" applyBorder="0" applyAlignment="0" applyProtection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vertical="top"/>
    </xf>
    <xf numFmtId="0" fontId="3" fillId="0" borderId="0" applyNumberFormat="0" applyFill="0" applyBorder="0" applyAlignment="0" applyProtection="0">
      <alignment horizontal="left" wrapText="1"/>
    </xf>
    <xf numFmtId="0" fontId="3" fillId="0" borderId="0">
      <alignment vertical="top"/>
    </xf>
    <xf numFmtId="177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3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2" borderId="0" applyNumberFormat="0" applyFont="0" applyAlignment="0" applyProtection="0"/>
    <xf numFmtId="0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4" fontId="3" fillId="0" borderId="0" applyFont="0" applyFill="0" applyBorder="0" applyProtection="0">
      <alignment horizontal="right"/>
    </xf>
    <xf numFmtId="185" fontId="3" fillId="0" borderId="0" applyFont="0" applyFill="0" applyBorder="0" applyAlignment="0" applyProtection="0"/>
    <xf numFmtId="0" fontId="3" fillId="0" borderId="0">
      <alignment horizontal="left" wrapText="1"/>
    </xf>
    <xf numFmtId="0" fontId="3" fillId="0" borderId="0">
      <alignment horizontal="left" wrapText="1"/>
    </xf>
    <xf numFmtId="186" fontId="3" fillId="0" borderId="0" applyFont="0" applyFill="0" applyBorder="0" applyAlignment="0" applyProtection="0"/>
    <xf numFmtId="187" fontId="3" fillId="0" borderId="0" applyFont="0" applyFill="0" applyBorder="0" applyAlignment="0" applyProtection="0"/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 applyFont="0" applyFill="0" applyBorder="0" applyAlignment="0" applyProtection="0"/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42" fontId="3" fillId="0" borderId="0" applyFont="0" applyFill="0" applyBorder="0" applyAlignment="0" applyProtection="0"/>
    <xf numFmtId="0" fontId="3" fillId="0" borderId="0" applyNumberFormat="0" applyFill="0" applyBorder="0" applyAlignment="0" applyProtection="0"/>
    <xf numFmtId="201" fontId="3" fillId="0" borderId="0" applyFill="0" applyBorder="0" applyAlignment="0"/>
    <xf numFmtId="8" fontId="3" fillId="0" borderId="5" applyFont="0" applyFill="0" applyBorder="0" applyProtection="0">
      <alignment horizontal="right"/>
    </xf>
    <xf numFmtId="202" fontId="3" fillId="0" borderId="0"/>
    <xf numFmtId="202" fontId="3" fillId="0" borderId="0"/>
    <xf numFmtId="202" fontId="3" fillId="0" borderId="0"/>
    <xf numFmtId="202" fontId="3" fillId="0" borderId="0"/>
    <xf numFmtId="202" fontId="3" fillId="0" borderId="0"/>
    <xf numFmtId="202" fontId="3" fillId="0" borderId="0"/>
    <xf numFmtId="202" fontId="3" fillId="0" borderId="0"/>
    <xf numFmtId="202" fontId="3" fillId="0" borderId="0"/>
    <xf numFmtId="43" fontId="3" fillId="0" borderId="0" applyFont="0" applyFill="0" applyBorder="0" applyAlignment="0" applyProtection="0"/>
    <xf numFmtId="40" fontId="3" fillId="0" borderId="0" applyFont="0" applyFill="0" applyBorder="0" applyProtection="0">
      <alignment horizontal="right"/>
    </xf>
    <xf numFmtId="3" fontId="3" fillId="0" borderId="0" applyFill="0" applyBorder="0" applyAlignment="0" applyProtection="0"/>
    <xf numFmtId="7" fontId="3" fillId="0" borderId="0" applyFont="0" applyFill="0" applyBorder="0" applyAlignment="0" applyProtection="0"/>
    <xf numFmtId="206" fontId="3" fillId="0" borderId="0" applyNumberFormat="0">
      <alignment horizontal="right"/>
    </xf>
    <xf numFmtId="15" fontId="3" fillId="0" borderId="0" applyFont="0" applyFill="0" applyBorder="0" applyProtection="0">
      <alignment horizontal="right"/>
    </xf>
    <xf numFmtId="0" fontId="3" fillId="0" borderId="0">
      <alignment horizontal="left"/>
    </xf>
    <xf numFmtId="209" fontId="3" fillId="0" borderId="0" applyFont="0" applyFill="0" applyBorder="0" applyAlignment="0" applyProtection="0"/>
    <xf numFmtId="0" fontId="3" fillId="0" borderId="0">
      <alignment horizontal="center"/>
    </xf>
    <xf numFmtId="0" fontId="3" fillId="0" borderId="0">
      <alignment horizontal="left"/>
    </xf>
    <xf numFmtId="0" fontId="3" fillId="0" borderId="0">
      <alignment horizontal="right"/>
    </xf>
    <xf numFmtId="165" fontId="3" fillId="0" borderId="0" applyNumberFormat="0" applyFont="0" applyFill="0" applyBorder="0" applyAlignment="0"/>
    <xf numFmtId="7" fontId="3" fillId="0" borderId="0"/>
    <xf numFmtId="222" fontId="3" fillId="0" borderId="0"/>
    <xf numFmtId="0" fontId="3" fillId="0" borderId="0" applyNumberFormat="0" applyFill="0" applyBorder="0" applyAlignment="0" applyProtection="0"/>
    <xf numFmtId="10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 applyFont="0" applyFill="0" applyBorder="0" applyProtection="0">
      <alignment horizontal="right"/>
    </xf>
    <xf numFmtId="10" fontId="3" fillId="0" borderId="0"/>
    <xf numFmtId="227" fontId="3" fillId="0" borderId="0"/>
    <xf numFmtId="0" fontId="3" fillId="0" borderId="0" applyFont="0" applyFill="0" applyBorder="0" applyProtection="0">
      <alignment horizontal="right"/>
    </xf>
    <xf numFmtId="0" fontId="3" fillId="0" borderId="0" applyFont="0" applyFill="0" applyBorder="0" applyProtection="0">
      <alignment horizontal="right"/>
    </xf>
    <xf numFmtId="1" fontId="3" fillId="0" borderId="0"/>
    <xf numFmtId="12" fontId="3" fillId="0" borderId="0" applyFont="0" applyFill="0" applyBorder="0" applyProtection="0">
      <alignment horizontal="right"/>
    </xf>
    <xf numFmtId="0" fontId="3" fillId="23" borderId="0" applyFont="0" applyFill="0" applyBorder="0" applyProtection="0">
      <alignment horizontal="right"/>
    </xf>
    <xf numFmtId="201" fontId="3" fillId="0" borderId="0" applyFill="0" applyBorder="0" applyAlignment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293">
    <xf numFmtId="0" fontId="0" fillId="0" borderId="0" xfId="0"/>
    <xf numFmtId="0" fontId="109" fillId="0" borderId="0" xfId="0" applyFont="1"/>
    <xf numFmtId="0" fontId="113" fillId="0" borderId="0" xfId="0" applyFont="1"/>
    <xf numFmtId="0" fontId="114" fillId="26" borderId="0" xfId="0" applyFont="1" applyFill="1" applyAlignment="1">
      <alignment horizontal="left"/>
    </xf>
    <xf numFmtId="0" fontId="113" fillId="26" borderId="0" xfId="0" applyFont="1" applyFill="1"/>
    <xf numFmtId="37" fontId="109" fillId="0" borderId="0" xfId="0" applyNumberFormat="1" applyFont="1"/>
    <xf numFmtId="0" fontId="113" fillId="0" borderId="0" xfId="898" applyFont="1"/>
    <xf numFmtId="0" fontId="109" fillId="0" borderId="0" xfId="898" applyFont="1"/>
    <xf numFmtId="0" fontId="113" fillId="26" borderId="38" xfId="900" applyFont="1" applyFill="1" applyBorder="1" applyAlignment="1">
      <alignment horizontal="center"/>
    </xf>
    <xf numFmtId="0" fontId="110" fillId="0" borderId="0" xfId="900" applyFont="1"/>
    <xf numFmtId="168" fontId="113" fillId="26" borderId="0" xfId="900" applyNumberFormat="1" applyFont="1" applyFill="1" applyAlignment="1">
      <alignment horizontal="center"/>
    </xf>
    <xf numFmtId="0" fontId="113" fillId="0" borderId="0" xfId="900" applyFont="1"/>
    <xf numFmtId="0" fontId="111" fillId="0" borderId="0" xfId="900" applyFont="1"/>
    <xf numFmtId="43" fontId="111" fillId="0" borderId="0" xfId="901" applyFont="1" applyFill="1" applyBorder="1" applyAlignment="1">
      <alignment horizontal="center"/>
    </xf>
    <xf numFmtId="43" fontId="113" fillId="0" borderId="0" xfId="901" applyFont="1" applyFill="1" applyBorder="1" applyAlignment="1">
      <alignment horizontal="center"/>
    </xf>
    <xf numFmtId="0" fontId="113" fillId="26" borderId="3" xfId="900" applyFont="1" applyFill="1" applyBorder="1"/>
    <xf numFmtId="0" fontId="109" fillId="26" borderId="3" xfId="900" applyFont="1" applyFill="1" applyBorder="1"/>
    <xf numFmtId="0" fontId="109" fillId="26" borderId="0" xfId="900" applyFont="1" applyFill="1"/>
    <xf numFmtId="0" fontId="109" fillId="0" borderId="0" xfId="900" applyFont="1"/>
    <xf numFmtId="0" fontId="109" fillId="0" borderId="0" xfId="900" applyFont="1" applyAlignment="1">
      <alignment horizontal="left"/>
    </xf>
    <xf numFmtId="165" fontId="112" fillId="0" borderId="0" xfId="900" applyNumberFormat="1" applyFont="1"/>
    <xf numFmtId="165" fontId="109" fillId="0" borderId="0" xfId="900" applyNumberFormat="1" applyFont="1"/>
    <xf numFmtId="0" fontId="115" fillId="0" borderId="0" xfId="900" applyFont="1"/>
    <xf numFmtId="169" fontId="116" fillId="27" borderId="0" xfId="902" applyNumberFormat="1" applyFont="1" applyFill="1" applyBorder="1"/>
    <xf numFmtId="165" fontId="113" fillId="0" borderId="0" xfId="900" applyNumberFormat="1" applyFont="1"/>
    <xf numFmtId="0" fontId="115" fillId="27" borderId="0" xfId="900" applyFont="1" applyFill="1" applyAlignment="1">
      <alignment horizontal="left" indent="1"/>
    </xf>
    <xf numFmtId="37" fontId="109" fillId="0" borderId="0" xfId="900" applyNumberFormat="1" applyFont="1"/>
    <xf numFmtId="169" fontId="115" fillId="27" borderId="0" xfId="902" applyNumberFormat="1" applyFont="1" applyFill="1"/>
    <xf numFmtId="0" fontId="1" fillId="0" borderId="0" xfId="900"/>
    <xf numFmtId="168" fontId="113" fillId="26" borderId="3" xfId="900" applyNumberFormat="1" applyFont="1" applyFill="1" applyBorder="1" applyAlignment="1">
      <alignment horizontal="center"/>
    </xf>
    <xf numFmtId="169" fontId="116" fillId="27" borderId="0" xfId="902" applyNumberFormat="1" applyFont="1" applyFill="1"/>
    <xf numFmtId="169" fontId="116" fillId="0" borderId="0" xfId="902" applyNumberFormat="1" applyFont="1" applyFill="1"/>
    <xf numFmtId="170" fontId="111" fillId="0" borderId="0" xfId="901" applyNumberFormat="1" applyFont="1" applyFill="1" applyBorder="1" applyAlignment="1">
      <alignment horizontal="center"/>
    </xf>
    <xf numFmtId="165" fontId="118" fillId="0" borderId="0" xfId="900" applyNumberFormat="1" applyFont="1"/>
    <xf numFmtId="0" fontId="113" fillId="0" borderId="0" xfId="900" applyFont="1" applyAlignment="1">
      <alignment horizontal="left"/>
    </xf>
    <xf numFmtId="0" fontId="121" fillId="0" borderId="0" xfId="900" applyFont="1"/>
    <xf numFmtId="165" fontId="117" fillId="0" borderId="0" xfId="900" applyNumberFormat="1" applyFont="1"/>
    <xf numFmtId="9" fontId="109" fillId="0" borderId="0" xfId="902" applyFont="1" applyFill="1"/>
    <xf numFmtId="0" fontId="115" fillId="27" borderId="0" xfId="900" applyFont="1" applyFill="1" applyAlignment="1">
      <alignment horizontal="left"/>
    </xf>
    <xf numFmtId="169" fontId="116" fillId="0" borderId="0" xfId="902" applyNumberFormat="1" applyFont="1" applyFill="1" applyBorder="1"/>
    <xf numFmtId="257" fontId="113" fillId="0" borderId="0" xfId="900" applyNumberFormat="1" applyFont="1" applyAlignment="1">
      <alignment horizontal="center"/>
    </xf>
    <xf numFmtId="257" fontId="109" fillId="0" borderId="0" xfId="900" applyNumberFormat="1" applyFont="1"/>
    <xf numFmtId="167" fontId="109" fillId="0" borderId="0" xfId="900" applyNumberFormat="1" applyFont="1"/>
    <xf numFmtId="0" fontId="113" fillId="0" borderId="3" xfId="900" applyFont="1" applyBorder="1"/>
    <xf numFmtId="166" fontId="113" fillId="0" borderId="3" xfId="900" applyNumberFormat="1" applyFont="1" applyBorder="1" applyAlignment="1">
      <alignment horizontal="right"/>
    </xf>
    <xf numFmtId="166" fontId="113" fillId="0" borderId="0" xfId="900" applyNumberFormat="1" applyFont="1"/>
    <xf numFmtId="0" fontId="113" fillId="26" borderId="0" xfId="900" applyFont="1" applyFill="1"/>
    <xf numFmtId="169" fontId="109" fillId="0" borderId="0" xfId="902" applyNumberFormat="1" applyFont="1" applyFill="1" applyBorder="1"/>
    <xf numFmtId="258" fontId="109" fillId="0" borderId="0" xfId="900" applyNumberFormat="1" applyFont="1" applyAlignment="1">
      <alignment horizontal="right"/>
    </xf>
    <xf numFmtId="168" fontId="113" fillId="26" borderId="3" xfId="900" applyNumberFormat="1" applyFont="1" applyFill="1" applyBorder="1" applyAlignment="1">
      <alignment horizontal="centerContinuous"/>
    </xf>
    <xf numFmtId="165" fontId="113" fillId="0" borderId="0" xfId="900" applyNumberFormat="1" applyFont="1" applyAlignment="1">
      <alignment horizontal="right"/>
    </xf>
    <xf numFmtId="169" fontId="115" fillId="27" borderId="0" xfId="902" applyNumberFormat="1" applyFont="1" applyFill="1" applyAlignment="1">
      <alignment horizontal="right"/>
    </xf>
    <xf numFmtId="37" fontId="109" fillId="0" borderId="0" xfId="900" applyNumberFormat="1" applyFont="1" applyAlignment="1">
      <alignment horizontal="right"/>
    </xf>
    <xf numFmtId="0" fontId="113" fillId="0" borderId="39" xfId="900" applyFont="1" applyBorder="1"/>
    <xf numFmtId="165" fontId="113" fillId="0" borderId="39" xfId="900" applyNumberFormat="1" applyFont="1" applyBorder="1"/>
    <xf numFmtId="0" fontId="115" fillId="27" borderId="0" xfId="900" applyFont="1" applyFill="1"/>
    <xf numFmtId="170" fontId="113" fillId="0" borderId="0" xfId="901" applyNumberFormat="1" applyFont="1" applyFill="1"/>
    <xf numFmtId="170" fontId="109" fillId="0" borderId="0" xfId="901" applyNumberFormat="1" applyFont="1" applyFill="1"/>
    <xf numFmtId="170" fontId="113" fillId="0" borderId="39" xfId="901" applyNumberFormat="1" applyFont="1" applyFill="1" applyBorder="1" applyAlignment="1">
      <alignment horizontal="right"/>
    </xf>
    <xf numFmtId="170" fontId="113" fillId="0" borderId="0" xfId="901" applyNumberFormat="1" applyFont="1" applyFill="1" applyBorder="1" applyAlignment="1">
      <alignment horizontal="right"/>
    </xf>
    <xf numFmtId="170" fontId="109" fillId="0" borderId="0" xfId="901" applyNumberFormat="1" applyFont="1"/>
    <xf numFmtId="170" fontId="109" fillId="0" borderId="0" xfId="901" applyNumberFormat="1" applyFont="1" applyFill="1" applyBorder="1" applyAlignment="1">
      <alignment horizontal="right"/>
    </xf>
    <xf numFmtId="0" fontId="109" fillId="0" borderId="0" xfId="900" applyFont="1" applyAlignment="1">
      <alignment horizontal="right"/>
    </xf>
    <xf numFmtId="170" fontId="113" fillId="0" borderId="0" xfId="901" applyNumberFormat="1" applyFont="1" applyAlignment="1">
      <alignment horizontal="right"/>
    </xf>
    <xf numFmtId="258" fontId="113" fillId="0" borderId="0" xfId="900" applyNumberFormat="1" applyFont="1" applyAlignment="1">
      <alignment horizontal="right"/>
    </xf>
    <xf numFmtId="9" fontId="115" fillId="27" borderId="0" xfId="902" applyFont="1" applyFill="1" applyAlignment="1">
      <alignment horizontal="right"/>
    </xf>
    <xf numFmtId="259" fontId="113" fillId="0" borderId="0" xfId="900" applyNumberFormat="1" applyFont="1" applyAlignment="1">
      <alignment horizontal="right"/>
    </xf>
    <xf numFmtId="0" fontId="115" fillId="0" borderId="0" xfId="900" applyFont="1" applyAlignment="1">
      <alignment horizontal="left"/>
    </xf>
    <xf numFmtId="257" fontId="113" fillId="27" borderId="0" xfId="900" applyNumberFormat="1" applyFont="1" applyFill="1" applyAlignment="1">
      <alignment horizontal="center"/>
    </xf>
    <xf numFmtId="257" fontId="109" fillId="27" borderId="0" xfId="900" applyNumberFormat="1" applyFont="1" applyFill="1"/>
    <xf numFmtId="0" fontId="113" fillId="0" borderId="8" xfId="898" applyFont="1" applyBorder="1"/>
    <xf numFmtId="258" fontId="113" fillId="0" borderId="8" xfId="898" applyNumberFormat="1" applyFont="1" applyBorder="1"/>
    <xf numFmtId="258" fontId="109" fillId="0" borderId="0" xfId="898" applyNumberFormat="1" applyFont="1"/>
    <xf numFmtId="0" fontId="121" fillId="0" borderId="0" xfId="898" applyFont="1"/>
    <xf numFmtId="0" fontId="113" fillId="0" borderId="42" xfId="898" applyFont="1" applyBorder="1"/>
    <xf numFmtId="0" fontId="109" fillId="0" borderId="0" xfId="0" applyFont="1" applyAlignment="1">
      <alignment horizontal="left" indent="1"/>
    </xf>
    <xf numFmtId="260" fontId="112" fillId="0" borderId="0" xfId="900" applyNumberFormat="1" applyFont="1"/>
    <xf numFmtId="165" fontId="111" fillId="0" borderId="0" xfId="900" applyNumberFormat="1" applyFont="1"/>
    <xf numFmtId="259" fontId="109" fillId="0" borderId="0" xfId="900" applyNumberFormat="1" applyFont="1" applyAlignment="1">
      <alignment horizontal="right"/>
    </xf>
    <xf numFmtId="3" fontId="0" fillId="0" borderId="0" xfId="0" applyNumberFormat="1"/>
    <xf numFmtId="39" fontId="109" fillId="28" borderId="0" xfId="900" applyNumberFormat="1" applyFont="1" applyFill="1" applyAlignment="1">
      <alignment horizontal="right"/>
    </xf>
    <xf numFmtId="0" fontId="123" fillId="0" borderId="0" xfId="900" applyFont="1"/>
    <xf numFmtId="0" fontId="122" fillId="0" borderId="0" xfId="900" applyFont="1"/>
    <xf numFmtId="170" fontId="109" fillId="0" borderId="0" xfId="898" applyNumberFormat="1" applyFont="1"/>
    <xf numFmtId="0" fontId="113" fillId="0" borderId="0" xfId="0" applyFont="1" applyAlignment="1">
      <alignment horizontal="left"/>
    </xf>
    <xf numFmtId="165" fontId="113" fillId="27" borderId="0" xfId="900" applyNumberFormat="1" applyFont="1" applyFill="1"/>
    <xf numFmtId="165" fontId="120" fillId="0" borderId="0" xfId="900" applyNumberFormat="1" applyFont="1"/>
    <xf numFmtId="0" fontId="113" fillId="27" borderId="0" xfId="900" applyFont="1" applyFill="1"/>
    <xf numFmtId="165" fontId="123" fillId="0" borderId="0" xfId="0" applyNumberFormat="1" applyFont="1"/>
    <xf numFmtId="9" fontId="123" fillId="0" borderId="0" xfId="544" applyFont="1"/>
    <xf numFmtId="0" fontId="123" fillId="0" borderId="0" xfId="0" applyFont="1"/>
    <xf numFmtId="165" fontId="119" fillId="0" borderId="0" xfId="0" applyNumberFormat="1" applyFont="1"/>
    <xf numFmtId="3" fontId="7" fillId="0" borderId="0" xfId="0" applyNumberFormat="1" applyFont="1"/>
    <xf numFmtId="0" fontId="109" fillId="0" borderId="0" xfId="898" applyFont="1" applyAlignment="1">
      <alignment horizontal="left" indent="2"/>
    </xf>
    <xf numFmtId="0" fontId="113" fillId="0" borderId="0" xfId="898" applyFont="1" applyAlignment="1">
      <alignment horizontal="left" indent="1"/>
    </xf>
    <xf numFmtId="165" fontId="109" fillId="27" borderId="0" xfId="900" applyNumberFormat="1" applyFont="1" applyFill="1"/>
    <xf numFmtId="37" fontId="109" fillId="27" borderId="0" xfId="0" applyNumberFormat="1" applyFont="1" applyFill="1"/>
    <xf numFmtId="257" fontId="113" fillId="27" borderId="0" xfId="900" applyNumberFormat="1" applyFont="1" applyFill="1"/>
    <xf numFmtId="169" fontId="109" fillId="27" borderId="0" xfId="902" applyNumberFormat="1" applyFont="1" applyFill="1" applyBorder="1"/>
    <xf numFmtId="258" fontId="109" fillId="27" borderId="0" xfId="900" applyNumberFormat="1" applyFont="1" applyFill="1" applyAlignment="1">
      <alignment horizontal="right"/>
    </xf>
    <xf numFmtId="258" fontId="113" fillId="27" borderId="0" xfId="900" applyNumberFormat="1" applyFont="1" applyFill="1" applyAlignment="1">
      <alignment horizontal="right"/>
    </xf>
    <xf numFmtId="259" fontId="109" fillId="27" borderId="0" xfId="900" applyNumberFormat="1" applyFont="1" applyFill="1" applyAlignment="1">
      <alignment horizontal="right"/>
    </xf>
    <xf numFmtId="258" fontId="113" fillId="0" borderId="0" xfId="898" applyNumberFormat="1" applyFont="1"/>
    <xf numFmtId="0" fontId="109" fillId="0" borderId="21" xfId="898" applyFont="1" applyBorder="1" applyAlignment="1">
      <alignment horizontal="left" indent="1"/>
    </xf>
    <xf numFmtId="0" fontId="109" fillId="29" borderId="0" xfId="900" applyFont="1" applyFill="1" applyAlignment="1">
      <alignment horizontal="left"/>
    </xf>
    <xf numFmtId="165" fontId="112" fillId="29" borderId="0" xfId="900" applyNumberFormat="1" applyFont="1" applyFill="1"/>
    <xf numFmtId="165" fontId="109" fillId="29" borderId="0" xfId="900" applyNumberFormat="1" applyFont="1" applyFill="1"/>
    <xf numFmtId="37" fontId="109" fillId="29" borderId="0" xfId="900" applyNumberFormat="1" applyFont="1" applyFill="1"/>
    <xf numFmtId="0" fontId="109" fillId="0" borderId="0" xfId="900" applyFont="1" applyAlignment="1">
      <alignment horizontal="left" indent="1"/>
    </xf>
    <xf numFmtId="169" fontId="115" fillId="27" borderId="0" xfId="902" applyNumberFormat="1" applyFont="1" applyFill="1" applyBorder="1"/>
    <xf numFmtId="0" fontId="7" fillId="0" borderId="0" xfId="0" applyFont="1"/>
    <xf numFmtId="0" fontId="3" fillId="0" borderId="0" xfId="0" applyFont="1"/>
    <xf numFmtId="0" fontId="113" fillId="0" borderId="22" xfId="898" applyFont="1" applyBorder="1" applyAlignment="1">
      <alignment horizontal="left"/>
    </xf>
    <xf numFmtId="9" fontId="113" fillId="0" borderId="0" xfId="544" applyFont="1"/>
    <xf numFmtId="169" fontId="115" fillId="0" borderId="0" xfId="544" applyNumberFormat="1" applyFont="1"/>
    <xf numFmtId="0" fontId="115" fillId="27" borderId="0" xfId="0" applyFont="1" applyFill="1" applyAlignment="1">
      <alignment horizontal="left"/>
    </xf>
    <xf numFmtId="172" fontId="126" fillId="30" borderId="0" xfId="901" applyNumberFormat="1" applyFont="1" applyFill="1" applyAlignment="1">
      <alignment horizontal="right"/>
    </xf>
    <xf numFmtId="0" fontId="121" fillId="0" borderId="0" xfId="0" applyFont="1"/>
    <xf numFmtId="172" fontId="128" fillId="30" borderId="0" xfId="901" applyNumberFormat="1" applyFont="1" applyFill="1" applyAlignment="1">
      <alignment horizontal="right"/>
    </xf>
    <xf numFmtId="165" fontId="121" fillId="0" borderId="0" xfId="900" applyNumberFormat="1" applyFont="1"/>
    <xf numFmtId="172" fontId="126" fillId="0" borderId="0" xfId="901" applyNumberFormat="1" applyFont="1" applyFill="1" applyAlignment="1">
      <alignment horizontal="right"/>
    </xf>
    <xf numFmtId="165" fontId="119" fillId="0" borderId="0" xfId="900" applyNumberFormat="1" applyFont="1"/>
    <xf numFmtId="257" fontId="109" fillId="0" borderId="0" xfId="900" applyNumberFormat="1" applyFont="1" applyAlignment="1">
      <alignment horizontal="left" indent="5"/>
    </xf>
    <xf numFmtId="0" fontId="0" fillId="0" borderId="0" xfId="0" applyAlignment="1">
      <alignment horizontal="left" indent="5"/>
    </xf>
    <xf numFmtId="257" fontId="109" fillId="27" borderId="0" xfId="900" applyNumberFormat="1" applyFont="1" applyFill="1" applyAlignment="1">
      <alignment horizontal="left" indent="5"/>
    </xf>
    <xf numFmtId="0" fontId="129" fillId="0" borderId="0" xfId="0" applyFont="1"/>
    <xf numFmtId="0" fontId="130" fillId="0" borderId="0" xfId="0" applyFont="1"/>
    <xf numFmtId="170" fontId="131" fillId="0" borderId="0" xfId="162" applyNumberFormat="1" applyFont="1"/>
    <xf numFmtId="170" fontId="132" fillId="0" borderId="0" xfId="162" applyNumberFormat="1" applyFont="1"/>
    <xf numFmtId="170" fontId="129" fillId="0" borderId="0" xfId="162" applyNumberFormat="1" applyFont="1"/>
    <xf numFmtId="172" fontId="130" fillId="0" borderId="0" xfId="162" applyNumberFormat="1" applyFont="1"/>
    <xf numFmtId="0" fontId="130" fillId="0" borderId="0" xfId="0" applyFont="1" applyAlignment="1">
      <alignment horizontal="left" indent="1"/>
    </xf>
    <xf numFmtId="0" fontId="130" fillId="0" borderId="0" xfId="0" applyFont="1" applyAlignment="1">
      <alignment horizontal="left"/>
    </xf>
    <xf numFmtId="172" fontId="129" fillId="0" borderId="0" xfId="162" applyNumberFormat="1" applyFont="1"/>
    <xf numFmtId="170" fontId="133" fillId="0" borderId="0" xfId="162" applyNumberFormat="1" applyFont="1"/>
    <xf numFmtId="170" fontId="134" fillId="0" borderId="0" xfId="162" applyNumberFormat="1" applyFont="1"/>
    <xf numFmtId="172" fontId="130" fillId="31" borderId="0" xfId="162" applyNumberFormat="1" applyFont="1" applyFill="1"/>
    <xf numFmtId="169" fontId="131" fillId="0" borderId="0" xfId="0" applyNumberFormat="1" applyFont="1"/>
    <xf numFmtId="169" fontId="133" fillId="0" borderId="0" xfId="0" applyNumberFormat="1" applyFont="1"/>
    <xf numFmtId="169" fontId="129" fillId="0" borderId="0" xfId="544" applyNumberFormat="1" applyFont="1"/>
    <xf numFmtId="169" fontId="130" fillId="0" borderId="0" xfId="544" applyNumberFormat="1" applyFont="1"/>
    <xf numFmtId="170" fontId="129" fillId="27" borderId="0" xfId="162" applyNumberFormat="1" applyFont="1" applyFill="1"/>
    <xf numFmtId="0" fontId="129" fillId="32" borderId="0" xfId="0" applyFont="1" applyFill="1"/>
    <xf numFmtId="0" fontId="130" fillId="32" borderId="0" xfId="0" applyFont="1" applyFill="1"/>
    <xf numFmtId="172" fontId="130" fillId="32" borderId="0" xfId="162" applyNumberFormat="1" applyFont="1" applyFill="1"/>
    <xf numFmtId="169" fontId="129" fillId="27" borderId="0" xfId="162" applyNumberFormat="1" applyFont="1" applyFill="1"/>
    <xf numFmtId="169" fontId="130" fillId="0" borderId="0" xfId="0" applyNumberFormat="1" applyFont="1"/>
    <xf numFmtId="172" fontId="131" fillId="27" borderId="0" xfId="162" applyNumberFormat="1" applyFont="1" applyFill="1"/>
    <xf numFmtId="172" fontId="130" fillId="27" borderId="0" xfId="162" applyNumberFormat="1" applyFont="1" applyFill="1"/>
    <xf numFmtId="170" fontId="129" fillId="32" borderId="0" xfId="162" applyNumberFormat="1" applyFont="1" applyFill="1"/>
    <xf numFmtId="172" fontId="129" fillId="32" borderId="0" xfId="162" applyNumberFormat="1" applyFont="1" applyFill="1"/>
    <xf numFmtId="170" fontId="131" fillId="27" borderId="0" xfId="162" applyNumberFormat="1" applyFont="1" applyFill="1"/>
    <xf numFmtId="169" fontId="133" fillId="32" borderId="0" xfId="0" applyNumberFormat="1" applyFont="1" applyFill="1"/>
    <xf numFmtId="0" fontId="128" fillId="0" borderId="0" xfId="0" applyFont="1"/>
    <xf numFmtId="170" fontId="135" fillId="0" borderId="0" xfId="162" applyNumberFormat="1" applyFont="1"/>
    <xf numFmtId="171" fontId="129" fillId="0" borderId="0" xfId="162" applyNumberFormat="1" applyFont="1"/>
    <xf numFmtId="0" fontId="122" fillId="0" borderId="0" xfId="0" applyFont="1"/>
    <xf numFmtId="0" fontId="124" fillId="0" borderId="0" xfId="0" applyFont="1"/>
    <xf numFmtId="17" fontId="113" fillId="26" borderId="8" xfId="898" applyNumberFormat="1" applyFont="1" applyFill="1" applyBorder="1" applyAlignment="1">
      <alignment horizontal="left" vertical="center" wrapText="1"/>
    </xf>
    <xf numFmtId="17" fontId="113" fillId="26" borderId="8" xfId="898" applyNumberFormat="1" applyFont="1" applyFill="1" applyBorder="1" applyAlignment="1">
      <alignment horizontal="center" vertical="center" wrapText="1"/>
    </xf>
    <xf numFmtId="0" fontId="113" fillId="26" borderId="8" xfId="898" applyFont="1" applyFill="1" applyBorder="1" applyAlignment="1">
      <alignment horizontal="center" wrapText="1"/>
    </xf>
    <xf numFmtId="17" fontId="113" fillId="0" borderId="0" xfId="898" applyNumberFormat="1" applyFont="1" applyAlignment="1">
      <alignment horizontal="left" vertical="center" wrapText="1"/>
    </xf>
    <xf numFmtId="17" fontId="113" fillId="0" borderId="0" xfId="898" applyNumberFormat="1" applyFont="1" applyAlignment="1">
      <alignment horizontal="center" vertical="center" wrapText="1"/>
    </xf>
    <xf numFmtId="0" fontId="113" fillId="0" borderId="0" xfId="898" applyFont="1" applyAlignment="1">
      <alignment horizontal="right" wrapText="1"/>
    </xf>
    <xf numFmtId="0" fontId="113" fillId="32" borderId="0" xfId="898" applyFont="1" applyFill="1" applyAlignment="1">
      <alignment horizontal="left" wrapText="1"/>
    </xf>
    <xf numFmtId="170" fontId="113" fillId="0" borderId="0" xfId="898" applyNumberFormat="1" applyFont="1" applyAlignment="1">
      <alignment horizontal="center" vertical="center" wrapText="1"/>
    </xf>
    <xf numFmtId="0" fontId="113" fillId="0" borderId="0" xfId="898" applyFont="1" applyAlignment="1">
      <alignment horizontal="left" wrapText="1"/>
    </xf>
    <xf numFmtId="0" fontId="109" fillId="0" borderId="0" xfId="898" applyFont="1" applyAlignment="1">
      <alignment horizontal="left" wrapText="1" indent="1"/>
    </xf>
    <xf numFmtId="170" fontId="119" fillId="0" borderId="0" xfId="901" applyNumberFormat="1" applyFont="1" applyFill="1" applyBorder="1" applyAlignment="1">
      <alignment horizontal="center" wrapText="1"/>
    </xf>
    <xf numFmtId="170" fontId="109" fillId="0" borderId="0" xfId="901" applyNumberFormat="1" applyFont="1" applyFill="1" applyBorder="1" applyAlignment="1">
      <alignment horizontal="center" wrapText="1"/>
    </xf>
    <xf numFmtId="170" fontId="113" fillId="0" borderId="0" xfId="901" applyNumberFormat="1" applyFont="1" applyFill="1" applyBorder="1" applyAlignment="1">
      <alignment horizontal="center" wrapText="1"/>
    </xf>
    <xf numFmtId="0" fontId="109" fillId="0" borderId="0" xfId="898" applyFont="1" applyAlignment="1">
      <alignment horizontal="left" wrapText="1"/>
    </xf>
    <xf numFmtId="0" fontId="113" fillId="0" borderId="0" xfId="898" applyFont="1" applyAlignment="1">
      <alignment wrapText="1"/>
    </xf>
    <xf numFmtId="0" fontId="109" fillId="0" borderId="0" xfId="898" applyFont="1" applyAlignment="1">
      <alignment horizontal="right" wrapText="1"/>
    </xf>
    <xf numFmtId="170" fontId="113" fillId="0" borderId="8" xfId="901" applyNumberFormat="1" applyFont="1" applyFill="1" applyBorder="1"/>
    <xf numFmtId="170" fontId="119" fillId="0" borderId="0" xfId="901" applyNumberFormat="1" applyFont="1" applyFill="1"/>
    <xf numFmtId="170" fontId="109" fillId="0" borderId="0" xfId="901" applyNumberFormat="1" applyFont="1" applyFill="1" applyBorder="1"/>
    <xf numFmtId="170" fontId="113" fillId="0" borderId="0" xfId="901" applyNumberFormat="1" applyFont="1" applyFill="1" applyBorder="1"/>
    <xf numFmtId="3" fontId="124" fillId="0" borderId="0" xfId="0" applyNumberFormat="1" applyFont="1"/>
    <xf numFmtId="0" fontId="117" fillId="0" borderId="0" xfId="898" applyFont="1"/>
    <xf numFmtId="170" fontId="113" fillId="0" borderId="0" xfId="901" applyNumberFormat="1" applyFont="1" applyFill="1" applyBorder="1" applyAlignment="1">
      <alignment horizontal="right" wrapText="1"/>
    </xf>
    <xf numFmtId="10" fontId="109" fillId="0" borderId="0" xfId="544" applyNumberFormat="1" applyFont="1" applyFill="1" applyBorder="1" applyAlignment="1">
      <alignment horizontal="right" wrapText="1"/>
    </xf>
    <xf numFmtId="170" fontId="119" fillId="0" borderId="0" xfId="162" applyNumberFormat="1" applyFont="1" applyBorder="1"/>
    <xf numFmtId="170" fontId="109" fillId="0" borderId="0" xfId="162" applyNumberFormat="1" applyFont="1" applyFill="1" applyBorder="1" applyAlignment="1">
      <alignment horizontal="right" wrapText="1"/>
    </xf>
    <xf numFmtId="0" fontId="113" fillId="0" borderId="21" xfId="898" applyFont="1" applyBorder="1" applyAlignment="1">
      <alignment horizontal="left" wrapText="1"/>
    </xf>
    <xf numFmtId="37" fontId="109" fillId="0" borderId="27" xfId="898" applyNumberFormat="1" applyFont="1" applyBorder="1"/>
    <xf numFmtId="0" fontId="109" fillId="0" borderId="21" xfId="898" applyFont="1" applyBorder="1" applyAlignment="1">
      <alignment horizontal="left"/>
    </xf>
    <xf numFmtId="43" fontId="109" fillId="0" borderId="27" xfId="162" applyFont="1" applyBorder="1"/>
    <xf numFmtId="0" fontId="113" fillId="0" borderId="21" xfId="898" applyFont="1" applyBorder="1" applyAlignment="1">
      <alignment horizontal="left"/>
    </xf>
    <xf numFmtId="43" fontId="113" fillId="0" borderId="28" xfId="162" applyFont="1" applyBorder="1"/>
    <xf numFmtId="0" fontId="124" fillId="0" borderId="0" xfId="900" applyFont="1"/>
    <xf numFmtId="39" fontId="124" fillId="0" borderId="0" xfId="900" applyNumberFormat="1" applyFont="1"/>
    <xf numFmtId="43" fontId="124" fillId="0" borderId="0" xfId="900" applyNumberFormat="1" applyFont="1"/>
    <xf numFmtId="258" fontId="124" fillId="0" borderId="0" xfId="900" applyNumberFormat="1" applyFont="1"/>
    <xf numFmtId="0" fontId="124" fillId="0" borderId="0" xfId="900" applyFont="1" applyAlignment="1">
      <alignment horizontal="center"/>
    </xf>
    <xf numFmtId="0" fontId="127" fillId="0" borderId="0" xfId="898" applyFont="1"/>
    <xf numFmtId="172" fontId="127" fillId="0" borderId="0" xfId="901" applyNumberFormat="1" applyFont="1" applyFill="1"/>
    <xf numFmtId="170" fontId="124" fillId="0" borderId="0" xfId="162" applyNumberFormat="1" applyFont="1"/>
    <xf numFmtId="0" fontId="113" fillId="26" borderId="40" xfId="898" applyFont="1" applyFill="1" applyBorder="1"/>
    <xf numFmtId="170" fontId="113" fillId="26" borderId="44" xfId="901" applyNumberFormat="1" applyFont="1" applyFill="1" applyBorder="1" applyAlignment="1">
      <alignment horizontal="center" wrapText="1"/>
    </xf>
    <xf numFmtId="170" fontId="113" fillId="26" borderId="41" xfId="901" applyNumberFormat="1" applyFont="1" applyFill="1" applyBorder="1" applyAlignment="1">
      <alignment horizontal="center" wrapText="1"/>
    </xf>
    <xf numFmtId="0" fontId="109" fillId="0" borderId="21" xfId="898" applyFont="1" applyBorder="1"/>
    <xf numFmtId="170" fontId="119" fillId="0" borderId="27" xfId="162" applyNumberFormat="1" applyFont="1" applyBorder="1"/>
    <xf numFmtId="0" fontId="113" fillId="26" borderId="19" xfId="898" applyFont="1" applyFill="1" applyBorder="1"/>
    <xf numFmtId="170" fontId="113" fillId="26" borderId="9" xfId="901" applyNumberFormat="1" applyFont="1" applyFill="1" applyBorder="1" applyAlignment="1">
      <alignment horizontal="center" wrapText="1"/>
    </xf>
    <xf numFmtId="170" fontId="113" fillId="26" borderId="20" xfId="901" applyNumberFormat="1" applyFont="1" applyFill="1" applyBorder="1" applyAlignment="1">
      <alignment horizontal="center" wrapText="1"/>
    </xf>
    <xf numFmtId="0" fontId="113" fillId="0" borderId="19" xfId="898" applyFont="1" applyBorder="1"/>
    <xf numFmtId="10" fontId="113" fillId="0" borderId="9" xfId="544" applyNumberFormat="1" applyFont="1" applyFill="1" applyBorder="1" applyAlignment="1">
      <alignment horizontal="right" wrapText="1"/>
    </xf>
    <xf numFmtId="170" fontId="113" fillId="0" borderId="9" xfId="162" applyNumberFormat="1" applyFont="1" applyFill="1" applyBorder="1" applyAlignment="1">
      <alignment horizontal="right" wrapText="1"/>
    </xf>
    <xf numFmtId="170" fontId="113" fillId="0" borderId="20" xfId="162" applyNumberFormat="1" applyFont="1" applyFill="1" applyBorder="1" applyAlignment="1">
      <alignment horizontal="right" wrapText="1"/>
    </xf>
    <xf numFmtId="0" fontId="109" fillId="0" borderId="0" xfId="898" applyFont="1" applyAlignment="1">
      <alignment horizontal="left"/>
    </xf>
    <xf numFmtId="0" fontId="113" fillId="0" borderId="45" xfId="898" applyFont="1" applyBorder="1"/>
    <xf numFmtId="10" fontId="113" fillId="0" borderId="8" xfId="544" applyNumberFormat="1" applyFont="1" applyFill="1" applyBorder="1" applyAlignment="1">
      <alignment horizontal="right" wrapText="1"/>
    </xf>
    <xf numFmtId="170" fontId="113" fillId="0" borderId="8" xfId="162" applyNumberFormat="1" applyFont="1" applyFill="1" applyBorder="1" applyAlignment="1">
      <alignment horizontal="right" wrapText="1"/>
    </xf>
    <xf numFmtId="170" fontId="113" fillId="0" borderId="46" xfId="162" applyNumberFormat="1" applyFont="1" applyFill="1" applyBorder="1" applyAlignment="1">
      <alignment horizontal="right" wrapText="1"/>
    </xf>
    <xf numFmtId="170" fontId="121" fillId="0" borderId="0" xfId="162" applyNumberFormat="1" applyFont="1"/>
    <xf numFmtId="0" fontId="113" fillId="0" borderId="45" xfId="898" applyFont="1" applyBorder="1" applyAlignment="1">
      <alignment horizontal="left"/>
    </xf>
    <xf numFmtId="43" fontId="113" fillId="0" borderId="46" xfId="162" applyFont="1" applyBorder="1"/>
    <xf numFmtId="0" fontId="113" fillId="26" borderId="19" xfId="898" applyFont="1" applyFill="1" applyBorder="1" applyAlignment="1">
      <alignment horizontal="left" wrapText="1"/>
    </xf>
    <xf numFmtId="0" fontId="113" fillId="26" borderId="20" xfId="898" applyFont="1" applyFill="1" applyBorder="1" applyAlignment="1">
      <alignment horizontal="center" wrapText="1"/>
    </xf>
    <xf numFmtId="170" fontId="119" fillId="0" borderId="0" xfId="162" applyNumberFormat="1" applyFont="1" applyBorder="1" applyAlignment="1">
      <alignment horizontal="left" wrapText="1"/>
    </xf>
    <xf numFmtId="170" fontId="113" fillId="0" borderId="8" xfId="162" applyNumberFormat="1" applyFont="1" applyBorder="1" applyAlignment="1">
      <alignment horizontal="left" wrapText="1"/>
    </xf>
    <xf numFmtId="170" fontId="113" fillId="0" borderId="0" xfId="162" applyNumberFormat="1" applyFont="1" applyBorder="1" applyAlignment="1">
      <alignment horizontal="left" wrapText="1"/>
    </xf>
    <xf numFmtId="37" fontId="119" fillId="0" borderId="0" xfId="898" applyNumberFormat="1" applyFont="1"/>
    <xf numFmtId="165" fontId="113" fillId="0" borderId="10" xfId="898" applyNumberFormat="1" applyFont="1" applyBorder="1"/>
    <xf numFmtId="0" fontId="113" fillId="0" borderId="23" xfId="898" applyFont="1" applyBorder="1" applyAlignment="1">
      <alignment horizontal="left" wrapText="1"/>
    </xf>
    <xf numFmtId="0" fontId="113" fillId="26" borderId="9" xfId="898" applyFont="1" applyFill="1" applyBorder="1" applyAlignment="1">
      <alignment horizontal="center" wrapText="1"/>
    </xf>
    <xf numFmtId="258" fontId="109" fillId="0" borderId="21" xfId="898" applyNumberFormat="1" applyFont="1" applyBorder="1"/>
    <xf numFmtId="170" fontId="119" fillId="0" borderId="27" xfId="901" applyNumberFormat="1" applyFont="1" applyFill="1" applyBorder="1" applyAlignment="1">
      <alignment horizontal="center" wrapText="1"/>
    </xf>
    <xf numFmtId="0" fontId="109" fillId="0" borderId="22" xfId="898" applyFont="1" applyBorder="1"/>
    <xf numFmtId="258" fontId="120" fillId="0" borderId="28" xfId="898" applyNumberFormat="1" applyFont="1" applyBorder="1"/>
    <xf numFmtId="0" fontId="125" fillId="26" borderId="40" xfId="900" applyFont="1" applyFill="1" applyBorder="1" applyAlignment="1">
      <alignment horizontal="left"/>
    </xf>
    <xf numFmtId="0" fontId="122" fillId="26" borderId="41" xfId="900" applyFont="1" applyFill="1" applyBorder="1" applyAlignment="1">
      <alignment horizontal="center"/>
    </xf>
    <xf numFmtId="170" fontId="113" fillId="0" borderId="47" xfId="901" applyNumberFormat="1" applyFont="1" applyFill="1" applyBorder="1" applyAlignment="1">
      <alignment horizontal="right" wrapText="1"/>
    </xf>
    <xf numFmtId="170" fontId="113" fillId="0" borderId="43" xfId="901" applyNumberFormat="1" applyFont="1" applyFill="1" applyBorder="1" applyAlignment="1">
      <alignment horizontal="right" wrapText="1"/>
    </xf>
    <xf numFmtId="0" fontId="136" fillId="0" borderId="0" xfId="898" applyFont="1"/>
    <xf numFmtId="170" fontId="136" fillId="0" borderId="0" xfId="901" applyNumberFormat="1" applyFont="1" applyFill="1" applyBorder="1" applyAlignment="1">
      <alignment horizontal="right" wrapText="1"/>
    </xf>
    <xf numFmtId="170" fontId="121" fillId="0" borderId="0" xfId="901" applyNumberFormat="1" applyFont="1" applyFill="1" applyBorder="1"/>
    <xf numFmtId="3" fontId="49" fillId="0" borderId="0" xfId="0" applyNumberFormat="1" applyFont="1"/>
    <xf numFmtId="0" fontId="137" fillId="0" borderId="0" xfId="900" applyFont="1" applyAlignment="1">
      <alignment horizontal="left"/>
    </xf>
    <xf numFmtId="37" fontId="115" fillId="27" borderId="0" xfId="0" applyNumberFormat="1" applyFont="1" applyFill="1"/>
    <xf numFmtId="37" fontId="115" fillId="0" borderId="0" xfId="0" applyNumberFormat="1" applyFont="1"/>
    <xf numFmtId="170" fontId="109" fillId="0" borderId="27" xfId="901" applyNumberFormat="1" applyFont="1" applyFill="1" applyBorder="1" applyAlignment="1">
      <alignment horizontal="center" wrapText="1"/>
    </xf>
    <xf numFmtId="170" fontId="113" fillId="0" borderId="0" xfId="162" applyNumberFormat="1" applyFont="1" applyBorder="1"/>
    <xf numFmtId="170" fontId="113" fillId="0" borderId="27" xfId="162" applyNumberFormat="1" applyFont="1" applyBorder="1"/>
    <xf numFmtId="10" fontId="109" fillId="0" borderId="0" xfId="544" applyNumberFormat="1" applyFont="1" applyFill="1" applyBorder="1" applyAlignment="1">
      <alignment horizontal="left"/>
    </xf>
    <xf numFmtId="261" fontId="113" fillId="0" borderId="0" xfId="898" applyNumberFormat="1" applyFont="1" applyAlignment="1">
      <alignment horizontal="right" wrapText="1"/>
    </xf>
    <xf numFmtId="172" fontId="121" fillId="0" borderId="0" xfId="162" applyNumberFormat="1" applyFont="1" applyFill="1"/>
    <xf numFmtId="0" fontId="113" fillId="26" borderId="19" xfId="898" applyFont="1" applyFill="1" applyBorder="1" applyAlignment="1">
      <alignment horizontal="left" vertical="center" wrapText="1"/>
    </xf>
    <xf numFmtId="0" fontId="113" fillId="26" borderId="9" xfId="898" applyFont="1" applyFill="1" applyBorder="1" applyAlignment="1">
      <alignment horizontal="center" vertical="center" wrapText="1"/>
    </xf>
    <xf numFmtId="0" fontId="113" fillId="26" borderId="20" xfId="898" applyFont="1" applyFill="1" applyBorder="1" applyAlignment="1">
      <alignment horizontal="center" vertical="center" wrapText="1"/>
    </xf>
    <xf numFmtId="258" fontId="113" fillId="0" borderId="21" xfId="898" applyNumberFormat="1" applyFont="1" applyBorder="1"/>
    <xf numFmtId="170" fontId="120" fillId="0" borderId="27" xfId="901" applyNumberFormat="1" applyFont="1" applyFill="1" applyBorder="1" applyAlignment="1">
      <alignment horizontal="center" wrapText="1"/>
    </xf>
    <xf numFmtId="3" fontId="123" fillId="0" borderId="0" xfId="0" applyNumberFormat="1" applyFont="1"/>
    <xf numFmtId="9" fontId="112" fillId="0" borderId="0" xfId="544" applyFont="1"/>
    <xf numFmtId="260" fontId="113" fillId="0" borderId="0" xfId="900" applyNumberFormat="1" applyFont="1" applyAlignment="1">
      <alignment horizontal="right"/>
    </xf>
    <xf numFmtId="10" fontId="115" fillId="0" borderId="0" xfId="544" applyNumberFormat="1" applyFont="1"/>
    <xf numFmtId="39" fontId="109" fillId="27" borderId="0" xfId="900" applyNumberFormat="1" applyFont="1" applyFill="1" applyAlignment="1">
      <alignment horizontal="right"/>
    </xf>
    <xf numFmtId="1" fontId="109" fillId="0" borderId="0" xfId="544" applyNumberFormat="1" applyFont="1"/>
    <xf numFmtId="0" fontId="109" fillId="27" borderId="0" xfId="900" applyFont="1" applyFill="1" applyAlignment="1">
      <alignment horizontal="left" indent="1"/>
    </xf>
    <xf numFmtId="169" fontId="115" fillId="0" borderId="0" xfId="902" applyNumberFormat="1" applyFont="1" applyFill="1"/>
    <xf numFmtId="169" fontId="109" fillId="27" borderId="0" xfId="902" applyNumberFormat="1" applyFont="1" applyFill="1" applyBorder="1" applyAlignment="1">
      <alignment horizontal="right"/>
    </xf>
    <xf numFmtId="0" fontId="115" fillId="0" borderId="0" xfId="900" applyFont="1" applyAlignment="1">
      <alignment horizontal="left" indent="1"/>
    </xf>
    <xf numFmtId="3" fontId="139" fillId="0" borderId="0" xfId="0" applyNumberFormat="1" applyFont="1"/>
    <xf numFmtId="0" fontId="125" fillId="26" borderId="0" xfId="900" applyFont="1" applyFill="1" applyAlignment="1">
      <alignment horizontal="center"/>
    </xf>
    <xf numFmtId="3" fontId="122" fillId="0" borderId="0" xfId="0" applyNumberFormat="1" applyFont="1"/>
    <xf numFmtId="170" fontId="113" fillId="0" borderId="20" xfId="162" applyNumberFormat="1" applyFont="1" applyBorder="1" applyAlignment="1">
      <alignment horizontal="left" wrapText="1"/>
    </xf>
    <xf numFmtId="170" fontId="113" fillId="0" borderId="9" xfId="162" applyNumberFormat="1" applyFont="1" applyBorder="1" applyAlignment="1">
      <alignment horizontal="left" wrapText="1"/>
    </xf>
    <xf numFmtId="0" fontId="113" fillId="0" borderId="19" xfId="898" applyFont="1" applyBorder="1" applyAlignment="1">
      <alignment horizontal="left"/>
    </xf>
    <xf numFmtId="170" fontId="113" fillId="0" borderId="27" xfId="162" applyNumberFormat="1" applyFont="1" applyBorder="1" applyAlignment="1">
      <alignment horizontal="left" wrapText="1"/>
    </xf>
    <xf numFmtId="43" fontId="109" fillId="0" borderId="0" xfId="162" applyFont="1" applyBorder="1"/>
    <xf numFmtId="172" fontId="121" fillId="0" borderId="0" xfId="162" applyNumberFormat="1" applyFont="1" applyFill="1" applyBorder="1"/>
    <xf numFmtId="170" fontId="113" fillId="0" borderId="0" xfId="162" applyNumberFormat="1" applyFont="1" applyFill="1" applyBorder="1" applyAlignment="1">
      <alignment horizontal="right" wrapText="1"/>
    </xf>
    <xf numFmtId="10" fontId="113" fillId="0" borderId="0" xfId="544" applyNumberFormat="1" applyFont="1" applyFill="1" applyBorder="1" applyAlignment="1">
      <alignment horizontal="right" wrapText="1"/>
    </xf>
    <xf numFmtId="0" fontId="113" fillId="0" borderId="0" xfId="898" applyFont="1" applyAlignment="1">
      <alignment horizontal="left"/>
    </xf>
    <xf numFmtId="0" fontId="109" fillId="0" borderId="0" xfId="898" applyFont="1" applyAlignment="1">
      <alignment horizontal="left" indent="1"/>
    </xf>
    <xf numFmtId="170" fontId="113" fillId="26" borderId="26" xfId="901" applyNumberFormat="1" applyFont="1" applyFill="1" applyBorder="1" applyAlignment="1">
      <alignment horizontal="center" wrapText="1"/>
    </xf>
    <xf numFmtId="170" fontId="113" fillId="26" borderId="24" xfId="901" applyNumberFormat="1" applyFont="1" applyFill="1" applyBorder="1" applyAlignment="1">
      <alignment horizontal="center" wrapText="1"/>
    </xf>
    <xf numFmtId="0" fontId="113" fillId="26" borderId="23" xfId="898" applyFont="1" applyFill="1" applyBorder="1"/>
    <xf numFmtId="0" fontId="113" fillId="0" borderId="0" xfId="898" applyFont="1" applyAlignment="1">
      <alignment horizontal="left" wrapText="1" indent="1"/>
    </xf>
    <xf numFmtId="170" fontId="109" fillId="0" borderId="0" xfId="900" applyNumberFormat="1" applyFont="1"/>
    <xf numFmtId="170" fontId="130" fillId="0" borderId="0" xfId="0" applyNumberFormat="1" applyFont="1"/>
    <xf numFmtId="259" fontId="113" fillId="27" borderId="0" xfId="900" applyNumberFormat="1" applyFont="1" applyFill="1" applyAlignment="1">
      <alignment horizontal="right"/>
    </xf>
    <xf numFmtId="170" fontId="113" fillId="0" borderId="0" xfId="898" applyNumberFormat="1" applyFont="1"/>
    <xf numFmtId="169" fontId="113" fillId="0" borderId="3" xfId="902" applyNumberFormat="1" applyFont="1" applyFill="1" applyBorder="1"/>
    <xf numFmtId="0" fontId="124" fillId="27" borderId="0" xfId="900" applyFont="1" applyFill="1"/>
    <xf numFmtId="0" fontId="124" fillId="28" borderId="0" xfId="900" applyFont="1" applyFill="1"/>
    <xf numFmtId="0" fontId="124" fillId="29" borderId="0" xfId="900" applyFont="1" applyFill="1"/>
    <xf numFmtId="39" fontId="109" fillId="29" borderId="0" xfId="0" applyNumberFormat="1" applyFont="1" applyFill="1" applyAlignment="1">
      <alignment horizontal="right"/>
    </xf>
    <xf numFmtId="39" fontId="119" fillId="29" borderId="0" xfId="0" applyNumberFormat="1" applyFont="1" applyFill="1" applyAlignment="1">
      <alignment horizontal="right"/>
    </xf>
    <xf numFmtId="0" fontId="109" fillId="0" borderId="0" xfId="898" applyFont="1" applyAlignment="1">
      <alignment horizontal="left" wrapText="1" indent="2"/>
    </xf>
    <xf numFmtId="169" fontId="113" fillId="0" borderId="0" xfId="902" applyNumberFormat="1" applyFont="1" applyFill="1" applyBorder="1"/>
    <xf numFmtId="170" fontId="109" fillId="0" borderId="0" xfId="900" applyNumberFormat="1" applyFont="1" applyAlignment="1">
      <alignment horizontal="right"/>
    </xf>
  </cellXfs>
  <cellStyles count="1026">
    <cellStyle name="$" xfId="1" xr:uid="{00000000-0005-0000-0000-000000000000}"/>
    <cellStyle name="$_TSA Model - 1 8 06 - v2" xfId="2" xr:uid="{00000000-0005-0000-0000-000001000000}"/>
    <cellStyle name="%" xfId="3" xr:uid="{00000000-0005-0000-0000-000002000000}"/>
    <cellStyle name="% 2" xfId="903" xr:uid="{D685F2C4-061D-42C2-A283-8ACACF838756}"/>
    <cellStyle name=";;;" xfId="4" xr:uid="{00000000-0005-0000-0000-000003000000}"/>
    <cellStyle name="_%(SignOnly)" xfId="5" xr:uid="{00000000-0005-0000-0000-000004000000}"/>
    <cellStyle name="_%(SignOnly) 2" xfId="904" xr:uid="{5B506746-AFE0-4C83-B4E7-CE1619C7BCE8}"/>
    <cellStyle name="_%(SignSpaceOnly)" xfId="6" xr:uid="{00000000-0005-0000-0000-000005000000}"/>
    <cellStyle name="_%(SignSpaceOnly) 2" xfId="905" xr:uid="{A6382DAF-6030-4D3B-9293-CF04E3190632}"/>
    <cellStyle name="_0% CADR" xfId="7" xr:uid="{00000000-0005-0000-0000-000006000000}"/>
    <cellStyle name="_0% CADR 2" xfId="906" xr:uid="{349CCC39-F955-4DE9-897D-399436069CFC}"/>
    <cellStyle name="_0% IRR" xfId="8" xr:uid="{00000000-0005-0000-0000-000007000000}"/>
    <cellStyle name="_0% IRR 2" xfId="907" xr:uid="{A98D03A2-1C62-47C5-8C0B-F58515D98E28}"/>
    <cellStyle name="_1% CADR" xfId="9" xr:uid="{00000000-0005-0000-0000-000008000000}"/>
    <cellStyle name="_1% CADR 2" xfId="908" xr:uid="{86EE06B8-C592-417B-80DA-3AABB6060459}"/>
    <cellStyle name="_10% CADR" xfId="10" xr:uid="{00000000-0005-0000-0000-000009000000}"/>
    <cellStyle name="_10% CADR 2" xfId="909" xr:uid="{8A4DA894-29CA-4F57-9546-F9B870B475E8}"/>
    <cellStyle name="_10% CDR" xfId="11" xr:uid="{00000000-0005-0000-0000-00000A000000}"/>
    <cellStyle name="_10% CDR 2" xfId="910" xr:uid="{C7EE10F4-0F2E-445E-8136-CD48D14B9E5E}"/>
    <cellStyle name="_11% CADR" xfId="12" xr:uid="{00000000-0005-0000-0000-00000B000000}"/>
    <cellStyle name="_11% CADR 2" xfId="911" xr:uid="{0AC963DB-72FA-4D9E-8B3D-18D868D4C0DF}"/>
    <cellStyle name="_12% CADR" xfId="13" xr:uid="{00000000-0005-0000-0000-00000C000000}"/>
    <cellStyle name="_12% CADR 2" xfId="912" xr:uid="{6763C09E-1FCB-4890-AC23-7F18594A3B79}"/>
    <cellStyle name="_12% CDR" xfId="14" xr:uid="{00000000-0005-0000-0000-00000D000000}"/>
    <cellStyle name="_12% CDR 2" xfId="913" xr:uid="{0CA63B68-A08A-4232-8EE8-A6358E08448B}"/>
    <cellStyle name="_13% CADR" xfId="15" xr:uid="{00000000-0005-0000-0000-00000E000000}"/>
    <cellStyle name="_13% CADR 2" xfId="914" xr:uid="{1CCC5E81-7074-40C9-977D-F7164289C0B5}"/>
    <cellStyle name="_14% CADR" xfId="16" xr:uid="{00000000-0005-0000-0000-00000F000000}"/>
    <cellStyle name="_14% CADR 2" xfId="915" xr:uid="{A470F1F4-6141-47F3-8E17-7B7D0B7DB6D5}"/>
    <cellStyle name="_14% CDR" xfId="17" xr:uid="{00000000-0005-0000-0000-000010000000}"/>
    <cellStyle name="_14% CDR 2" xfId="916" xr:uid="{66EAD933-C995-41A0-83A4-BD7E54EFB127}"/>
    <cellStyle name="_16% CDR" xfId="18" xr:uid="{00000000-0005-0000-0000-000011000000}"/>
    <cellStyle name="_16% CDR 2" xfId="917" xr:uid="{59A78C41-A770-443A-A9F8-7103AA340319}"/>
    <cellStyle name="_18% CDR" xfId="19" xr:uid="{00000000-0005-0000-0000-000012000000}"/>
    <cellStyle name="_18% CDR 2" xfId="918" xr:uid="{2A13F4F5-092A-45AB-B948-5EAB6E25075E}"/>
    <cellStyle name="_19.6% CDR BBB Break In Yield" xfId="20" xr:uid="{00000000-0005-0000-0000-000013000000}"/>
    <cellStyle name="_19.6% CDR BBB Break In Yield 2" xfId="919" xr:uid="{1214CE26-D41F-473B-8809-EA1447533559}"/>
    <cellStyle name="_2% CADR" xfId="21" xr:uid="{00000000-0005-0000-0000-000014000000}"/>
    <cellStyle name="_2% CADR 2" xfId="920" xr:uid="{E00BA0BA-83DB-4828-86E2-0EB338DB3E77}"/>
    <cellStyle name="_20% CDR" xfId="22" xr:uid="{00000000-0005-0000-0000-000015000000}"/>
    <cellStyle name="_20% CDR 2" xfId="921" xr:uid="{F4F44B26-4AF6-421D-9312-2CA63BA6776C}"/>
    <cellStyle name="_21.5% CDR BBB Break In Yield" xfId="23" xr:uid="{00000000-0005-0000-0000-000016000000}"/>
    <cellStyle name="_21.5% CDR BBB Break In Yield 2" xfId="922" xr:uid="{4C3FE0BE-1AF7-41A8-8859-CC205BF5F95C}"/>
    <cellStyle name="_3% CADR" xfId="24" xr:uid="{00000000-0005-0000-0000-000017000000}"/>
    <cellStyle name="_3% CADR 2" xfId="923" xr:uid="{DB21ECCC-24A7-42D9-A289-640B1B183DEA}"/>
    <cellStyle name="_3% CDR" xfId="25" xr:uid="{00000000-0005-0000-0000-000018000000}"/>
    <cellStyle name="_3% CDR 2" xfId="924" xr:uid="{13E67758-2E18-4DE8-8C26-9505888A449E}"/>
    <cellStyle name="_4% CADR" xfId="26" xr:uid="{00000000-0005-0000-0000-000019000000}"/>
    <cellStyle name="_4% CADR 2" xfId="925" xr:uid="{BBA84357-7224-4FBB-B0FF-15B44C0F8B45}"/>
    <cellStyle name="_5% CADR" xfId="27" xr:uid="{00000000-0005-0000-0000-00001A000000}"/>
    <cellStyle name="_5% CADR 2" xfId="926" xr:uid="{D64757FE-6D2D-4378-B085-F4625CA8C8E6}"/>
    <cellStyle name="_5% CDR" xfId="28" xr:uid="{00000000-0005-0000-0000-00001B000000}"/>
    <cellStyle name="_5% CDR 2" xfId="927" xr:uid="{A167903E-1FFA-487C-BB27-AB38A3A5FE1B}"/>
    <cellStyle name="_6% CADR" xfId="29" xr:uid="{00000000-0005-0000-0000-00001C000000}"/>
    <cellStyle name="_6% CADR 2" xfId="928" xr:uid="{747C443F-912D-4E95-BA73-3A05E857FA33}"/>
    <cellStyle name="_7% CADR" xfId="30" xr:uid="{00000000-0005-0000-0000-00001D000000}"/>
    <cellStyle name="_7% CADR 2" xfId="929" xr:uid="{A31945F2-82FB-4372-8A17-6488C62ADE0A}"/>
    <cellStyle name="_7% CDR" xfId="31" xr:uid="{00000000-0005-0000-0000-00001E000000}"/>
    <cellStyle name="_7% CDR 2" xfId="930" xr:uid="{AE456E87-E8C3-45F7-8EB8-C3A40BCB05F1}"/>
    <cellStyle name="_8% CADR" xfId="32" xr:uid="{00000000-0005-0000-0000-00001F000000}"/>
    <cellStyle name="_8% CADR 2" xfId="931" xr:uid="{572A7C21-A029-4F40-A25C-40358370D068}"/>
    <cellStyle name="_8.0% CDR BB Break In Yield" xfId="33" xr:uid="{00000000-0005-0000-0000-000020000000}"/>
    <cellStyle name="_8.0% CDR BB Break In Yield 2" xfId="932" xr:uid="{42109A15-64AA-4F4E-9AA4-04CE4EB4FE74}"/>
    <cellStyle name="_8.1% CDR BB Break In Yield" xfId="34" xr:uid="{00000000-0005-0000-0000-000021000000}"/>
    <cellStyle name="_8.1% CDR BB Break In Yield 2" xfId="933" xr:uid="{55A7E4AA-4A01-4B85-BF68-079B49FD2B35}"/>
    <cellStyle name="_9% CADR" xfId="35" xr:uid="{00000000-0005-0000-0000-000022000000}"/>
    <cellStyle name="_9% CADR 2" xfId="934" xr:uid="{DF858017-CFA1-4BEA-8962-81FB523A26CF}"/>
    <cellStyle name="_Assets" xfId="36" xr:uid="{00000000-0005-0000-0000-000023000000}"/>
    <cellStyle name="_Assets 2" xfId="935" xr:uid="{CEE39259-6EEA-4480-ABD5-17DF91F7D456}"/>
    <cellStyle name="_Assets_1" xfId="37" xr:uid="{00000000-0005-0000-0000-000024000000}"/>
    <cellStyle name="_Assets_1_COMPS - B2B Publishers" xfId="38" xr:uid="{00000000-0005-0000-0000-000025000000}"/>
    <cellStyle name="_Assets_1_COMPS - Directories" xfId="39" xr:uid="{00000000-0005-0000-0000-000026000000}"/>
    <cellStyle name="_Assets_1_F&amp;W Servicing Model" xfId="40" xr:uid="{00000000-0005-0000-0000-000027000000}"/>
    <cellStyle name="_Assets_1_F&amp;W Servicing Model v2" xfId="41" xr:uid="{00000000-0005-0000-0000-000028000000}"/>
    <cellStyle name="_Assets_1_S&amp;P Analysis" xfId="42" xr:uid="{00000000-0005-0000-0000-000029000000}"/>
    <cellStyle name="_Assets_1_S&amp;P Analysis 2" xfId="936" xr:uid="{11E2AC09-D0FD-458C-AF14-36551B127DFA}"/>
    <cellStyle name="_Assets_1_Univision Annual Model" xfId="43" xr:uid="{00000000-0005-0000-0000-00002A000000}"/>
    <cellStyle name="_Assets_1_Yell Servicing Model" xfId="44" xr:uid="{00000000-0005-0000-0000-00002B000000}"/>
    <cellStyle name="_Assets_S&amp;P Analysis" xfId="45" xr:uid="{00000000-0005-0000-0000-00002C000000}"/>
    <cellStyle name="_Assets_S&amp;P Analysis_COMPS - B2B Publishers" xfId="46" xr:uid="{00000000-0005-0000-0000-00002D000000}"/>
    <cellStyle name="_Assets_S&amp;P Analysis_COMPS - Directories" xfId="47" xr:uid="{00000000-0005-0000-0000-00002E000000}"/>
    <cellStyle name="_Assets_S&amp;P Analysis_F&amp;W Servicing Model" xfId="48" xr:uid="{00000000-0005-0000-0000-00002F000000}"/>
    <cellStyle name="_Assets_S&amp;P Analysis_F&amp;W Servicing Model v2" xfId="49" xr:uid="{00000000-0005-0000-0000-000030000000}"/>
    <cellStyle name="_Assets_S&amp;P Analysis_Univision Annual Model" xfId="50" xr:uid="{00000000-0005-0000-0000-000031000000}"/>
    <cellStyle name="_Assets_S&amp;P Analysis_Yell Servicing Model" xfId="51" xr:uid="{00000000-0005-0000-0000-000032000000}"/>
    <cellStyle name="_Assumptions" xfId="52" xr:uid="{00000000-0005-0000-0000-000033000000}"/>
    <cellStyle name="_Assumptions 2" xfId="937" xr:uid="{45BFF3E0-AC54-4463-90A9-2162C80B5F72}"/>
    <cellStyle name="_Assumptions_1" xfId="53" xr:uid="{00000000-0005-0000-0000-000034000000}"/>
    <cellStyle name="_Assumptions_1 2" xfId="938" xr:uid="{969E83B0-6188-4E72-B41B-64EFA6DFD073}"/>
    <cellStyle name="_Assumptions_1_COMPS - B2B Publishers" xfId="54" xr:uid="{00000000-0005-0000-0000-000035000000}"/>
    <cellStyle name="_Assumptions_1_COMPS - B2B Publishers 2" xfId="939" xr:uid="{A8243501-D427-4F52-8F0E-BE1A4F6E456E}"/>
    <cellStyle name="_Assumptions_1_COMPS - Directories" xfId="55" xr:uid="{00000000-0005-0000-0000-000036000000}"/>
    <cellStyle name="_Assumptions_1_COMPS - Directories 2" xfId="940" xr:uid="{1F9FBE79-7464-47B8-B8DC-4C566E11C2AF}"/>
    <cellStyle name="_Assumptions_1_F&amp;W Servicing Model" xfId="56" xr:uid="{00000000-0005-0000-0000-000037000000}"/>
    <cellStyle name="_Assumptions_1_F&amp;W Servicing Model 2" xfId="941" xr:uid="{D48C84FB-3B57-4AE5-A2F3-0F5C63A60282}"/>
    <cellStyle name="_Assumptions_1_F&amp;W Servicing Model v2" xfId="57" xr:uid="{00000000-0005-0000-0000-000038000000}"/>
    <cellStyle name="_Assumptions_1_F&amp;W Servicing Model v2 2" xfId="942" xr:uid="{DD04AF65-01C8-4FEE-9FAD-118E2E58387F}"/>
    <cellStyle name="_Assumptions_1_Univision Annual Model" xfId="58" xr:uid="{00000000-0005-0000-0000-000039000000}"/>
    <cellStyle name="_Assumptions_1_Univision Annual Model 2" xfId="943" xr:uid="{6B68AE85-166B-4217-8B3A-A999444DF7AE}"/>
    <cellStyle name="_Assumptions_1_Yell Servicing Model" xfId="59" xr:uid="{00000000-0005-0000-0000-00003A000000}"/>
    <cellStyle name="_Assumptions_1_Yell Servicing Model 2" xfId="944" xr:uid="{C1D24B44-435E-43D7-8F5A-F11796C6F691}"/>
    <cellStyle name="_Blue Mountain TRS (7-5-05)" xfId="60" xr:uid="{00000000-0005-0000-0000-00003B000000}"/>
    <cellStyle name="_Blue Mountain TRS (7-5-05) 2" xfId="945" xr:uid="{AD82387B-8296-4ADE-9D73-AB3515E14F5D}"/>
    <cellStyle name="_Book2" xfId="61" xr:uid="{00000000-0005-0000-0000-00003C000000}"/>
    <cellStyle name="_Book2 2" xfId="946" xr:uid="{2AF34CE7-5FCC-4B17-BF86-147A5E8772F9}"/>
    <cellStyle name="_CDO of CDO" xfId="62" xr:uid="{00000000-0005-0000-0000-00003D000000}"/>
    <cellStyle name="_CDO of CDO 2" xfId="947" xr:uid="{CBB00AE2-510F-4DCC-9402-0343E02704EC}"/>
    <cellStyle name="_CLO Portfolio 10_07_2005" xfId="63" xr:uid="{00000000-0005-0000-0000-00003E000000}"/>
    <cellStyle name="_CLO Portfolio 10_07_2005 2" xfId="948" xr:uid="{6C11C95C-50D5-46D1-BEDE-358D6423DC49}"/>
    <cellStyle name="_Comma" xfId="64" xr:uid="{00000000-0005-0000-0000-00003F000000}"/>
    <cellStyle name="_Comma 2" xfId="949" xr:uid="{BC75D1F0-7829-44DF-975D-E6B6B9702BB8}"/>
    <cellStyle name="_Comma_dcf" xfId="65" xr:uid="{00000000-0005-0000-0000-000040000000}"/>
    <cellStyle name="_Comma_dcf 2" xfId="950" xr:uid="{6EC93D29-A481-4DC3-BBB9-6C4EDB94DC65}"/>
    <cellStyle name="_Currency" xfId="66" xr:uid="{00000000-0005-0000-0000-000041000000}"/>
    <cellStyle name="_Currency 2" xfId="951" xr:uid="{94047B26-F09F-4875-8E8D-41B6043ABFCB}"/>
    <cellStyle name="_Currency_dcf" xfId="67" xr:uid="{00000000-0005-0000-0000-000042000000}"/>
    <cellStyle name="_Currency_dcf 2" xfId="952" xr:uid="{8D4BE80D-0DBD-4A01-8E95-F34B3D5FF9B3}"/>
    <cellStyle name="_CurrencySpace" xfId="68" xr:uid="{00000000-0005-0000-0000-000043000000}"/>
    <cellStyle name="_CurrencySpace 2" xfId="953" xr:uid="{E949BE94-34B0-4CE8-8796-DC6F416C5B59}"/>
    <cellStyle name="_CurrencySpace_dcf" xfId="69" xr:uid="{00000000-0005-0000-0000-000044000000}"/>
    <cellStyle name="_CurrencySpace_dcf 2" xfId="954" xr:uid="{EC0917F7-E3D9-423F-A511-D8F3FCCDF889}"/>
    <cellStyle name="_Euro" xfId="70" xr:uid="{00000000-0005-0000-0000-000045000000}"/>
    <cellStyle name="_Euro 2" xfId="955" xr:uid="{DCFC97A9-1471-4B69-892F-399D21E96DBC}"/>
    <cellStyle name="_EV8 Assumption List" xfId="71" xr:uid="{00000000-0005-0000-0000-000046000000}"/>
    <cellStyle name="_EV8 Assumption List 2" xfId="956" xr:uid="{71DA71C4-32B6-43E6-BFBA-EAD4DB83D293}"/>
    <cellStyle name="_Exhibit I Babson Warehouse 2006-II CLO 8 18 06" xfId="72" xr:uid="{00000000-0005-0000-0000-000047000000}"/>
    <cellStyle name="_Exhibit I Babson Warehouse 2006-II CLO 8 18 06 2" xfId="957" xr:uid="{65DA03AC-FA6D-49CD-8E33-6F6FF40DF7CD}"/>
    <cellStyle name="_First PIK" xfId="73" xr:uid="{00000000-0005-0000-0000-000048000000}"/>
    <cellStyle name="_First PIK 2" xfId="958" xr:uid="{90758BAA-2DF3-4571-A3FB-D54E25E517C7}"/>
    <cellStyle name="_Galaxy VI CLO - WestLB Request" xfId="74" xr:uid="{00000000-0005-0000-0000-000049000000}"/>
    <cellStyle name="_Galaxy VI CLO - WestLB Request 2" xfId="959" xr:uid="{91525805-F83A-4B7D-AD0F-F63F21B35B88}"/>
    <cellStyle name="_Heading" xfId="75" xr:uid="{00000000-0005-0000-0000-00004A000000}"/>
    <cellStyle name="_Heading_prestemp" xfId="76" xr:uid="{00000000-0005-0000-0000-00004B000000}"/>
    <cellStyle name="_Highlight" xfId="77" xr:uid="{00000000-0005-0000-0000-00004C000000}"/>
    <cellStyle name="_Highlight 2" xfId="960" xr:uid="{B82505A2-0837-474C-B646-B2CF6A0892E5}"/>
    <cellStyle name="_Model FINAL (2)" xfId="78" xr:uid="{00000000-0005-0000-0000-00004D000000}"/>
    <cellStyle name="_Model FINAL (2) 2" xfId="961" xr:uid="{A5BFD6A9-2CC8-4E6B-99C1-3D561031A6ED}"/>
    <cellStyle name="_Multiple" xfId="79" xr:uid="{00000000-0005-0000-0000-00004E000000}"/>
    <cellStyle name="_Multiple 2" xfId="962" xr:uid="{C84FA913-78AA-4343-B83F-D9DE7D931B61}"/>
    <cellStyle name="_Multiple_dcf" xfId="80" xr:uid="{00000000-0005-0000-0000-00004F000000}"/>
    <cellStyle name="_Multiple_dcf 2" xfId="963" xr:uid="{7F39F76E-CFA7-4768-AE11-6626B2BE4EE1}"/>
    <cellStyle name="_MultipleSpace" xfId="81" xr:uid="{00000000-0005-0000-0000-000050000000}"/>
    <cellStyle name="_MultipleSpace 2" xfId="964" xr:uid="{E5884727-1809-4EF7-A9D1-BBA0CF083847}"/>
    <cellStyle name="_MultipleSpace_dcf" xfId="82" xr:uid="{00000000-0005-0000-0000-000051000000}"/>
    <cellStyle name="_MultipleSpace_dcf 2" xfId="965" xr:uid="{7E06ADF1-66E3-41B9-BD8C-F7DD90B74749}"/>
    <cellStyle name="_Other Defafult Scenario 1" xfId="83" xr:uid="{00000000-0005-0000-0000-000052000000}"/>
    <cellStyle name="_Other Defafult Scenario 1 2" xfId="966" xr:uid="{41C3FE60-3682-4F16-92D5-37A0CEFB56F6}"/>
    <cellStyle name="_Other Default Scenario 2" xfId="84" xr:uid="{00000000-0005-0000-0000-000053000000}"/>
    <cellStyle name="_Other Default Scenario 2 2" xfId="967" xr:uid="{A8DDF6F3-E3CD-4183-9B8F-AA218CA11CA2}"/>
    <cellStyle name="_Percent" xfId="85" xr:uid="{00000000-0005-0000-0000-000054000000}"/>
    <cellStyle name="_Percent 2" xfId="968" xr:uid="{78A5C5CD-FDF5-40E7-A4B3-0556C652BC40}"/>
    <cellStyle name="_PercentSpace" xfId="86" xr:uid="{00000000-0005-0000-0000-000055000000}"/>
    <cellStyle name="_PercentSpace 2" xfId="969" xr:uid="{5105F598-A9AF-4319-B3FC-E9B8B6CC7708}"/>
    <cellStyle name="_Port" xfId="87" xr:uid="{00000000-0005-0000-0000-000056000000}"/>
    <cellStyle name="_Port 2" xfId="970" xr:uid="{EFDDB2D2-11B6-4BB5-AF14-91B2B24D457F}"/>
    <cellStyle name="_Port For S&amp;P" xfId="88" xr:uid="{00000000-0005-0000-0000-000057000000}"/>
    <cellStyle name="_Port For S&amp;P 2" xfId="971" xr:uid="{8DAECF9E-E39E-421A-A6F3-6AFE18B49A20}"/>
    <cellStyle name="_Port_COMPS - B2B Publishers" xfId="89" xr:uid="{00000000-0005-0000-0000-000058000000}"/>
    <cellStyle name="_Port_COMPS - B2B Publishers 2" xfId="972" xr:uid="{E6A339C4-412A-41F2-AA2D-1BAE7DBE660D}"/>
    <cellStyle name="_Port_COMPS - Directories" xfId="90" xr:uid="{00000000-0005-0000-0000-000059000000}"/>
    <cellStyle name="_Port_COMPS - Directories 2" xfId="973" xr:uid="{785F1D4D-35D6-4026-9600-3CB4B81A69A1}"/>
    <cellStyle name="_Port_F&amp;W Servicing Model" xfId="91" xr:uid="{00000000-0005-0000-0000-00005A000000}"/>
    <cellStyle name="_Port_F&amp;W Servicing Model 2" xfId="974" xr:uid="{901B97FE-8110-4BB7-AAE2-6D837289EEAF}"/>
    <cellStyle name="_Port_F&amp;W Servicing Model v2" xfId="92" xr:uid="{00000000-0005-0000-0000-00005B000000}"/>
    <cellStyle name="_Port_F&amp;W Servicing Model v2 2" xfId="975" xr:uid="{7280B591-FE5C-47A6-8C4F-3ABAACFCFDE0}"/>
    <cellStyle name="_Port_Univision Annual Model" xfId="93" xr:uid="{00000000-0005-0000-0000-00005C000000}"/>
    <cellStyle name="_Port_Univision Annual Model 2" xfId="976" xr:uid="{5C0748F7-416A-4105-9D06-0F87CDD18198}"/>
    <cellStyle name="_Port_Yell Servicing Model" xfId="94" xr:uid="{00000000-0005-0000-0000-00005D000000}"/>
    <cellStyle name="_Port_Yell Servicing Model 2" xfId="977" xr:uid="{EC143059-7C1D-4610-9EE9-CED7ADEB24F7}"/>
    <cellStyle name="_Pro Forma TTM 9.30.07 (CW NEIRB Acquisition)" xfId="95" xr:uid="{00000000-0005-0000-0000-00005E000000}"/>
    <cellStyle name="_Pro Forma TTM 9.30.07 (CW NEIRB Acquisition) 2" xfId="978" xr:uid="{6BD9C92F-AA60-45C4-832E-57766DB20DE6}"/>
    <cellStyle name="_S&amp;P Analysis" xfId="96" xr:uid="{00000000-0005-0000-0000-00005F000000}"/>
    <cellStyle name="_S&amp;P Analysis_COMPS - B2B Publishers" xfId="97" xr:uid="{00000000-0005-0000-0000-000060000000}"/>
    <cellStyle name="_S&amp;P Analysis_COMPS - Directories" xfId="98" xr:uid="{00000000-0005-0000-0000-000061000000}"/>
    <cellStyle name="_S&amp;P Analysis_F&amp;W Servicing Model" xfId="99" xr:uid="{00000000-0005-0000-0000-000062000000}"/>
    <cellStyle name="_S&amp;P Analysis_F&amp;W Servicing Model v2" xfId="100" xr:uid="{00000000-0005-0000-0000-000063000000}"/>
    <cellStyle name="_S&amp;P Analysis_Univision Annual Model" xfId="101" xr:uid="{00000000-0005-0000-0000-000064000000}"/>
    <cellStyle name="_S&amp;P Analysis_Yell Servicing Model" xfId="102" xr:uid="{00000000-0005-0000-0000-000065000000}"/>
    <cellStyle name="_S&amp;P Hypothetical Port Summary" xfId="103" xr:uid="{00000000-0005-0000-0000-000066000000}"/>
    <cellStyle name="_S&amp;P Hypothetical Port Summary 2" xfId="979" xr:uid="{C48DF869-0A2B-491F-A534-4B95F4A913B1}"/>
    <cellStyle name="_S&amp;P Port 80Div_2099WARF" xfId="104" xr:uid="{00000000-0005-0000-0000-000067000000}"/>
    <cellStyle name="_S&amp;P Port 80Div_2099WARF 2" xfId="980" xr:uid="{4D530B2E-2171-44E9-AC05-7E473B82C6B7}"/>
    <cellStyle name="_S&amp;P Stress Scenarios" xfId="105" xr:uid="{00000000-0005-0000-0000-000068000000}"/>
    <cellStyle name="_S&amp;P Stress Scenarios 2" xfId="981" xr:uid="{027F6B10-899A-4514-9A8A-A80321BC2DC9}"/>
    <cellStyle name="_Sources and Uses" xfId="106" xr:uid="{00000000-0005-0000-0000-000069000000}"/>
    <cellStyle name="_Sources and Uses 2" xfId="982" xr:uid="{85876C13-396B-4B0C-9AD6-4019C6E37224}"/>
    <cellStyle name="_SubHeading" xfId="107" xr:uid="{00000000-0005-0000-0000-00006A000000}"/>
    <cellStyle name="_SubHeading_prestemp" xfId="108" xr:uid="{00000000-0005-0000-0000-00006B000000}"/>
    <cellStyle name="_Table" xfId="109" xr:uid="{00000000-0005-0000-0000-00006C000000}"/>
    <cellStyle name="_TableHead" xfId="110" xr:uid="{00000000-0005-0000-0000-00006D000000}"/>
    <cellStyle name="_TableRowHead" xfId="111" xr:uid="{00000000-0005-0000-0000-00006E000000}"/>
    <cellStyle name="_TableSuperHead" xfId="112" xr:uid="{00000000-0005-0000-0000-00006F000000}"/>
    <cellStyle name="£Currency [0]" xfId="113" xr:uid="{00000000-0005-0000-0000-000070000000}"/>
    <cellStyle name="£Currency [1]" xfId="114" xr:uid="{00000000-0005-0000-0000-000071000000}"/>
    <cellStyle name="£Currency [2]" xfId="115" xr:uid="{00000000-0005-0000-0000-000072000000}"/>
    <cellStyle name="£Currency [p]" xfId="116" xr:uid="{00000000-0005-0000-0000-000073000000}"/>
    <cellStyle name="£Currency [p2]" xfId="117" xr:uid="{00000000-0005-0000-0000-000074000000}"/>
    <cellStyle name="£Pounds" xfId="118" xr:uid="{00000000-0005-0000-0000-000075000000}"/>
    <cellStyle name="Accounting $" xfId="119" xr:uid="{00000000-0005-0000-0000-000076000000}"/>
    <cellStyle name="Accounting $ 2" xfId="983" xr:uid="{75D4EEFE-0176-4AF0-9604-E1AA3CEE077B}"/>
    <cellStyle name="Across" xfId="120" xr:uid="{00000000-0005-0000-0000-000077000000}"/>
    <cellStyle name="Adjustable" xfId="121" xr:uid="{00000000-0005-0000-0000-000078000000}"/>
    <cellStyle name="AFE" xfId="122" xr:uid="{00000000-0005-0000-0000-000079000000}"/>
    <cellStyle name="Andre's Title" xfId="123" xr:uid="{00000000-0005-0000-0000-00007A000000}"/>
    <cellStyle name="args.style" xfId="124" xr:uid="{00000000-0005-0000-0000-00007B000000}"/>
    <cellStyle name="Arial 10" xfId="125" xr:uid="{00000000-0005-0000-0000-00007C000000}"/>
    <cellStyle name="Arial 10 2" xfId="984" xr:uid="{D8BC3387-F8DA-44C5-BDF2-5BE3ADB73C84}"/>
    <cellStyle name="Arial 12" xfId="126" xr:uid="{00000000-0005-0000-0000-00007D000000}"/>
    <cellStyle name="Best" xfId="127" xr:uid="{00000000-0005-0000-0000-00007E000000}"/>
    <cellStyle name="Blank [$]" xfId="128" xr:uid="{00000000-0005-0000-0000-00007F000000}"/>
    <cellStyle name="Blank [,]" xfId="129" xr:uid="{00000000-0005-0000-0000-000080000000}"/>
    <cellStyle name="BlankedZeros" xfId="130" xr:uid="{00000000-0005-0000-0000-000081000000}"/>
    <cellStyle name="blp_column_header" xfId="131" xr:uid="{00000000-0005-0000-0000-000082000000}"/>
    <cellStyle name="Blue" xfId="132" xr:uid="{00000000-0005-0000-0000-000083000000}"/>
    <cellStyle name="bluepercent" xfId="133" xr:uid="{00000000-0005-0000-0000-000084000000}"/>
    <cellStyle name="Body" xfId="134" xr:uid="{00000000-0005-0000-0000-000085000000}"/>
    <cellStyle name="Bold" xfId="135" xr:uid="{00000000-0005-0000-0000-000086000000}"/>
    <cellStyle name="BoldItalic" xfId="136" xr:uid="{00000000-0005-0000-0000-000087000000}"/>
    <cellStyle name="Bottom" xfId="137" xr:uid="{00000000-0005-0000-0000-000088000000}"/>
    <cellStyle name="Bottom Edge" xfId="138" xr:uid="{00000000-0005-0000-0000-000089000000}"/>
    <cellStyle name="British Pound" xfId="139" xr:uid="{00000000-0005-0000-0000-00008A000000}"/>
    <cellStyle name="Business Description" xfId="140" xr:uid="{00000000-0005-0000-0000-00008B000000}"/>
    <cellStyle name="c" xfId="141" xr:uid="{00000000-0005-0000-0000-00008C000000}"/>
    <cellStyle name="Calc Currency (0)" xfId="142" xr:uid="{00000000-0005-0000-0000-00008D000000}"/>
    <cellStyle name="Calc Currency (2)" xfId="143" xr:uid="{00000000-0005-0000-0000-00008E000000}"/>
    <cellStyle name="Calc Percent (0)" xfId="144" xr:uid="{00000000-0005-0000-0000-00008F000000}"/>
    <cellStyle name="Calc Percent (1)" xfId="145" xr:uid="{00000000-0005-0000-0000-000090000000}"/>
    <cellStyle name="Calc Percent (2)" xfId="146" xr:uid="{00000000-0005-0000-0000-000091000000}"/>
    <cellStyle name="Calc Percent (2) 2" xfId="985" xr:uid="{023BAA6F-231C-4F4E-851F-EE4067A25771}"/>
    <cellStyle name="Calc Units (0)" xfId="147" xr:uid="{00000000-0005-0000-0000-000092000000}"/>
    <cellStyle name="Calc Units (1)" xfId="148" xr:uid="{00000000-0005-0000-0000-000093000000}"/>
    <cellStyle name="Calc Units (2)" xfId="149" xr:uid="{00000000-0005-0000-0000-000094000000}"/>
    <cellStyle name="Case" xfId="150" xr:uid="{00000000-0005-0000-0000-000095000000}"/>
    <cellStyle name="cc" xfId="151" xr:uid="{00000000-0005-0000-0000-000096000000}"/>
    <cellStyle name="Center" xfId="152" xr:uid="{00000000-0005-0000-0000-000097000000}"/>
    <cellStyle name="CenterBold" xfId="153" xr:uid="{00000000-0005-0000-0000-000098000000}"/>
    <cellStyle name="CenterItalic" xfId="154" xr:uid="{00000000-0005-0000-0000-000099000000}"/>
    <cellStyle name="Cents" xfId="155" xr:uid="{00000000-0005-0000-0000-00009A000000}"/>
    <cellStyle name="Cents 2" xfId="986" xr:uid="{EA55E9F7-9712-4112-8489-394D2759C8F6}"/>
    <cellStyle name="ChartingText" xfId="156" xr:uid="{00000000-0005-0000-0000-00009B000000}"/>
    <cellStyle name="Co. Names" xfId="157" xr:uid="{00000000-0005-0000-0000-00009C000000}"/>
    <cellStyle name="Co. Names - Bold" xfId="158" xr:uid="{00000000-0005-0000-0000-00009D000000}"/>
    <cellStyle name="Co. Names_Break-Up" xfId="159" xr:uid="{00000000-0005-0000-0000-00009E000000}"/>
    <cellStyle name="COL HEADINGS" xfId="160" xr:uid="{00000000-0005-0000-0000-00009F000000}"/>
    <cellStyle name="ColumnHeaderNormal" xfId="161" xr:uid="{00000000-0005-0000-0000-0000A0000000}"/>
    <cellStyle name="Comma" xfId="162" builtinId="3"/>
    <cellStyle name="Comma  - Style1" xfId="163" xr:uid="{00000000-0005-0000-0000-0000A2000000}"/>
    <cellStyle name="Comma  - Style1 2" xfId="987" xr:uid="{B7B367BB-57D0-4CCE-9017-2F244D9355AD}"/>
    <cellStyle name="Comma  - Style2" xfId="164" xr:uid="{00000000-0005-0000-0000-0000A3000000}"/>
    <cellStyle name="Comma  - Style2 2" xfId="988" xr:uid="{110EE5AD-7E6A-477A-9735-41054711AB08}"/>
    <cellStyle name="Comma  - Style3" xfId="165" xr:uid="{00000000-0005-0000-0000-0000A4000000}"/>
    <cellStyle name="Comma  - Style3 2" xfId="989" xr:uid="{6C20504A-3FAA-4D19-94C7-384218C29754}"/>
    <cellStyle name="Comma  - Style4" xfId="166" xr:uid="{00000000-0005-0000-0000-0000A5000000}"/>
    <cellStyle name="Comma  - Style4 2" xfId="990" xr:uid="{434DB037-E06E-441B-BE9C-C161AA2EC637}"/>
    <cellStyle name="Comma  - Style5" xfId="167" xr:uid="{00000000-0005-0000-0000-0000A6000000}"/>
    <cellStyle name="Comma  - Style5 2" xfId="991" xr:uid="{C4500BF7-C7AE-4868-BDE4-D97FE1FA1FEA}"/>
    <cellStyle name="Comma  - Style6" xfId="168" xr:uid="{00000000-0005-0000-0000-0000A7000000}"/>
    <cellStyle name="Comma  - Style6 2" xfId="992" xr:uid="{18CE51B3-A5C0-4169-A79D-A3F0BEF293CE}"/>
    <cellStyle name="Comma  - Style7" xfId="169" xr:uid="{00000000-0005-0000-0000-0000A8000000}"/>
    <cellStyle name="Comma  - Style7 2" xfId="993" xr:uid="{D051F575-2CC6-4384-BD57-C1F4577F3749}"/>
    <cellStyle name="Comma  - Style8" xfId="170" xr:uid="{00000000-0005-0000-0000-0000A9000000}"/>
    <cellStyle name="Comma  - Style8 2" xfId="994" xr:uid="{CD081F63-C615-4DCA-8B9E-1A4E91849874}"/>
    <cellStyle name="Comma [0]; --" xfId="171" xr:uid="{00000000-0005-0000-0000-0000AA000000}"/>
    <cellStyle name="Comma [00]" xfId="172" xr:uid="{00000000-0005-0000-0000-0000AB000000}"/>
    <cellStyle name="Comma [1]" xfId="173" xr:uid="{00000000-0005-0000-0000-0000AC000000}"/>
    <cellStyle name="Comma 10 10 2" xfId="1024" xr:uid="{15ABF9AF-D680-4D00-B975-EE9EBDD20472}"/>
    <cellStyle name="Comma 2" xfId="174" xr:uid="{00000000-0005-0000-0000-0000AD000000}"/>
    <cellStyle name="Comma 2 2" xfId="901" xr:uid="{7EE04539-59F0-4D85-8850-DEB5FA87595D}"/>
    <cellStyle name="Comma 2 3" xfId="995" xr:uid="{03DBCB89-7788-492F-8E6F-BAAF79564EB9}"/>
    <cellStyle name="Comma Cents" xfId="175" xr:uid="{00000000-0005-0000-0000-0000AE000000}"/>
    <cellStyle name="Comma Cents 2" xfId="996" xr:uid="{8D8D5344-FF7E-42DB-986B-B812096DB2AA}"/>
    <cellStyle name="Comma0" xfId="176" xr:uid="{00000000-0005-0000-0000-0000AF000000}"/>
    <cellStyle name="Comma0 2" xfId="997" xr:uid="{A5E4A6CA-E421-4ADF-981F-FA5D23C277BD}"/>
    <cellStyle name="Commas" xfId="177" xr:uid="{00000000-0005-0000-0000-0000B0000000}"/>
    <cellStyle name="CommasBold" xfId="178" xr:uid="{00000000-0005-0000-0000-0000B1000000}"/>
    <cellStyle name="CompanyTitle" xfId="179" xr:uid="{00000000-0005-0000-0000-0000B2000000}"/>
    <cellStyle name="Copied" xfId="180" xr:uid="{00000000-0005-0000-0000-0000B3000000}"/>
    <cellStyle name="Currency $" xfId="181" xr:uid="{00000000-0005-0000-0000-0000B4000000}"/>
    <cellStyle name="Currency $ 2" xfId="998" xr:uid="{2AC1F4F9-55B4-403C-8C16-5B2B596DA69C}"/>
    <cellStyle name="Currency [0]; --" xfId="182" xr:uid="{00000000-0005-0000-0000-0000B5000000}"/>
    <cellStyle name="Currency [00]" xfId="183" xr:uid="{00000000-0005-0000-0000-0000B6000000}"/>
    <cellStyle name="Currency [1]" xfId="184" xr:uid="{00000000-0005-0000-0000-0000B7000000}"/>
    <cellStyle name="Currency [2]" xfId="185" xr:uid="{00000000-0005-0000-0000-0000B8000000}"/>
    <cellStyle name="data" xfId="186" xr:uid="{00000000-0005-0000-0000-0000B9000000}"/>
    <cellStyle name="data 2" xfId="999" xr:uid="{4F07EBF9-FA1F-4514-912B-FF06B9A15D59}"/>
    <cellStyle name="Date" xfId="187" xr:uid="{00000000-0005-0000-0000-0000BA000000}"/>
    <cellStyle name="Date 2" xfId="1000" xr:uid="{E56A8DD8-DC84-48AD-BF75-6CC56FF8C6C0}"/>
    <cellStyle name="Date Short" xfId="188" xr:uid="{00000000-0005-0000-0000-0000BB000000}"/>
    <cellStyle name="Date_COMPS - Directories" xfId="189" xr:uid="{00000000-0005-0000-0000-0000BC000000}"/>
    <cellStyle name="DateLeftBold" xfId="190" xr:uid="{00000000-0005-0000-0000-0000BD000000}"/>
    <cellStyle name="Default" xfId="191" xr:uid="{00000000-0005-0000-0000-0000BE000000}"/>
    <cellStyle name="Default 2" xfId="1001" xr:uid="{402AD1ED-6B74-4A4E-B7DB-18F2B1AFA5EB}"/>
    <cellStyle name="DELTA" xfId="192" xr:uid="{00000000-0005-0000-0000-0000BF000000}"/>
    <cellStyle name="Dollars" xfId="193" xr:uid="{00000000-0005-0000-0000-0000C0000000}"/>
    <cellStyle name="Dollars []" xfId="194" xr:uid="{00000000-0005-0000-0000-0000C1000000}"/>
    <cellStyle name="Dollars_Pro Forma TTM 9.30.07 (CW NEIRB Acquisition)" xfId="195" xr:uid="{00000000-0005-0000-0000-0000C2000000}"/>
    <cellStyle name="Double" xfId="196" xr:uid="{00000000-0005-0000-0000-0000C3000000}"/>
    <cellStyle name="Double Accounting" xfId="197" xr:uid="{00000000-0005-0000-0000-0000C4000000}"/>
    <cellStyle name="Enter Currency (0)" xfId="198" xr:uid="{00000000-0005-0000-0000-0000C5000000}"/>
    <cellStyle name="Enter Currency (2)" xfId="199" xr:uid="{00000000-0005-0000-0000-0000C6000000}"/>
    <cellStyle name="Enter Units (0)" xfId="200" xr:uid="{00000000-0005-0000-0000-0000C7000000}"/>
    <cellStyle name="Enter Units (1)" xfId="201" xr:uid="{00000000-0005-0000-0000-0000C8000000}"/>
    <cellStyle name="Enter Units (2)" xfId="202" xr:uid="{00000000-0005-0000-0000-0000C9000000}"/>
    <cellStyle name="Entered" xfId="203" xr:uid="{00000000-0005-0000-0000-0000CA000000}"/>
    <cellStyle name="Euro" xfId="204" xr:uid="{00000000-0005-0000-0000-0000CB000000}"/>
    <cellStyle name="Euro 2" xfId="1002" xr:uid="{ADE53F56-63E5-424A-A783-F2B129FE2596}"/>
    <cellStyle name="Fit" xfId="205" xr:uid="{00000000-0005-0000-0000-0000CC000000}"/>
    <cellStyle name="Footer" xfId="206" xr:uid="{00000000-0005-0000-0000-0000CD000000}"/>
    <cellStyle name="Footnotes" xfId="207" xr:uid="{00000000-0005-0000-0000-0000CE000000}"/>
    <cellStyle name="Grey" xfId="208" xr:uid="{00000000-0005-0000-0000-0000CF000000}"/>
    <cellStyle name="GreybarHeader" xfId="209" xr:uid="{00000000-0005-0000-0000-0000D0000000}"/>
    <cellStyle name="Grouped Head" xfId="210" xr:uid="{00000000-0005-0000-0000-0000D1000000}"/>
    <cellStyle name="h" xfId="211" xr:uid="{00000000-0005-0000-0000-0000D2000000}"/>
    <cellStyle name="HAlignCenter" xfId="212" xr:uid="{00000000-0005-0000-0000-0000D3000000}"/>
    <cellStyle name="HAlignCenter 2" xfId="1003" xr:uid="{DEEB4519-C735-4745-9FF5-DC9BBDE135A9}"/>
    <cellStyle name="HAlignLeft" xfId="213" xr:uid="{00000000-0005-0000-0000-0000D4000000}"/>
    <cellStyle name="HAlignLeft 2" xfId="1004" xr:uid="{D0B34E0A-0322-418B-AB71-B4E1DFEB51E2}"/>
    <cellStyle name="HAlignRight" xfId="214" xr:uid="{00000000-0005-0000-0000-0000D5000000}"/>
    <cellStyle name="HAlignRight 2" xfId="1005" xr:uid="{B5461862-1F75-487B-8C49-9307C6911B20}"/>
    <cellStyle name="Head 1" xfId="215" xr:uid="{00000000-0005-0000-0000-0000D6000000}"/>
    <cellStyle name="Header" xfId="216" xr:uid="{00000000-0005-0000-0000-0000D7000000}"/>
    <cellStyle name="Header1" xfId="217" xr:uid="{00000000-0005-0000-0000-0000D8000000}"/>
    <cellStyle name="Header2" xfId="218" xr:uid="{00000000-0005-0000-0000-0000D9000000}"/>
    <cellStyle name="headers" xfId="219" xr:uid="{00000000-0005-0000-0000-0000DA000000}"/>
    <cellStyle name="Heading" xfId="220" xr:uid="{00000000-0005-0000-0000-0000DB000000}"/>
    <cellStyle name="HEADINGS" xfId="221" xr:uid="{00000000-0005-0000-0000-0000DC000000}"/>
    <cellStyle name="HEADINGSTOP" xfId="222" xr:uid="{00000000-0005-0000-0000-0000DD000000}"/>
    <cellStyle name="imput" xfId="223" xr:uid="{00000000-0005-0000-0000-0000DE000000}"/>
    <cellStyle name="Input [yellow]" xfId="224" xr:uid="{00000000-0005-0000-0000-0000DF000000}"/>
    <cellStyle name="Invisible" xfId="225" xr:uid="{00000000-0005-0000-0000-0000E0000000}"/>
    <cellStyle name="ItalicHeader" xfId="226" xr:uid="{00000000-0005-0000-0000-0000E1000000}"/>
    <cellStyle name="Item Descriptions" xfId="227" xr:uid="{00000000-0005-0000-0000-0000E2000000}"/>
    <cellStyle name="Item Descriptions - Bold" xfId="228" xr:uid="{00000000-0005-0000-0000-0000E3000000}"/>
    <cellStyle name="Item Descriptions_6079BX" xfId="229" xr:uid="{00000000-0005-0000-0000-0000E4000000}"/>
    <cellStyle name="Left" xfId="230" xr:uid="{00000000-0005-0000-0000-0000E5000000}"/>
    <cellStyle name="LeftBold" xfId="231" xr:uid="{00000000-0005-0000-0000-0000E6000000}"/>
    <cellStyle name="LeftBoldBottomRule" xfId="232" xr:uid="{00000000-0005-0000-0000-0000E7000000}"/>
    <cellStyle name="LeftBoldCenterRule" xfId="233" xr:uid="{00000000-0005-0000-0000-0000E8000000}"/>
    <cellStyle name="Line" xfId="234" xr:uid="{00000000-0005-0000-0000-0000E9000000}"/>
    <cellStyle name="Link Currency (0)" xfId="235" xr:uid="{00000000-0005-0000-0000-0000EA000000}"/>
    <cellStyle name="Link Currency (2)" xfId="236" xr:uid="{00000000-0005-0000-0000-0000EB000000}"/>
    <cellStyle name="Link Units (0)" xfId="237" xr:uid="{00000000-0005-0000-0000-0000EC000000}"/>
    <cellStyle name="Link Units (1)" xfId="238" xr:uid="{00000000-0005-0000-0000-0000ED000000}"/>
    <cellStyle name="Link Units (2)" xfId="239" xr:uid="{00000000-0005-0000-0000-0000EE000000}"/>
    <cellStyle name="locked" xfId="240" xr:uid="{00000000-0005-0000-0000-0000EF000000}"/>
    <cellStyle name="locked 2" xfId="1006" xr:uid="{B61C52BB-713A-4A03-AA59-688788DE5716}"/>
    <cellStyle name="m&amp;a" xfId="241" xr:uid="{00000000-0005-0000-0000-0000F0000000}"/>
    <cellStyle name="Map Labels" xfId="242" xr:uid="{00000000-0005-0000-0000-0000F1000000}"/>
    <cellStyle name="Map Legend" xfId="243" xr:uid="{00000000-0005-0000-0000-0000F2000000}"/>
    <cellStyle name="Merrill" xfId="244" xr:uid="{00000000-0005-0000-0000-0000F3000000}"/>
    <cellStyle name="Millares_Inv Detail A7" xfId="245" xr:uid="{00000000-0005-0000-0000-0000F4000000}"/>
    <cellStyle name="Milliers [0]_r00SC" xfId="246" xr:uid="{00000000-0005-0000-0000-0000F5000000}"/>
    <cellStyle name="Milliers_r00SC" xfId="247" xr:uid="{00000000-0005-0000-0000-0000F6000000}"/>
    <cellStyle name="Mix" xfId="248" xr:uid="{00000000-0005-0000-0000-0000F7000000}"/>
    <cellStyle name="mon" xfId="249" xr:uid="{00000000-0005-0000-0000-0000F8000000}"/>
    <cellStyle name="Monétaire [0]_r00SC" xfId="250" xr:uid="{00000000-0005-0000-0000-0000F9000000}"/>
    <cellStyle name="Monétaire_r00SC" xfId="251" xr:uid="{00000000-0005-0000-0000-0000FA000000}"/>
    <cellStyle name="Money" xfId="252" xr:uid="{00000000-0005-0000-0000-0000FB000000}"/>
    <cellStyle name="Money 2" xfId="1007" xr:uid="{0B1093AD-BA55-4E0C-8F3A-14121A5EB029}"/>
    <cellStyle name="Multiple" xfId="253" xr:uid="{00000000-0005-0000-0000-0000FC000000}"/>
    <cellStyle name="Multiple []" xfId="254" xr:uid="{00000000-0005-0000-0000-0000FD000000}"/>
    <cellStyle name="Multiple [0]" xfId="255" xr:uid="{00000000-0005-0000-0000-0000FE000000}"/>
    <cellStyle name="Multiple [0] []" xfId="256" xr:uid="{00000000-0005-0000-0000-0000FF000000}"/>
    <cellStyle name="Multiple [0]_New MA Public Comps and WACC Model" xfId="257" xr:uid="{00000000-0005-0000-0000-000000010000}"/>
    <cellStyle name="Multiple [1]" xfId="258" xr:uid="{00000000-0005-0000-0000-000001010000}"/>
    <cellStyle name="Multiple [1] []" xfId="259" xr:uid="{00000000-0005-0000-0000-000002010000}"/>
    <cellStyle name="Multiple [1]_New MA Public Comps and WACC Model" xfId="260" xr:uid="{00000000-0005-0000-0000-000003010000}"/>
    <cellStyle name="Multiple_CapitalSum" xfId="261" xr:uid="{00000000-0005-0000-0000-000004010000}"/>
    <cellStyle name="N2Style" xfId="262" xr:uid="{00000000-0005-0000-0000-000005010000}"/>
    <cellStyle name="N2Style 2" xfId="1008" xr:uid="{2E04B11B-BCA8-4D45-8C22-8706176235DE}"/>
    <cellStyle name="NewColumnHeaderNormal" xfId="263" xr:uid="{00000000-0005-0000-0000-000006010000}"/>
    <cellStyle name="NewSectionHeaderNormal" xfId="264" xr:uid="{00000000-0005-0000-0000-000007010000}"/>
    <cellStyle name="NewTitleNormal" xfId="265" xr:uid="{00000000-0005-0000-0000-000008010000}"/>
    <cellStyle name="Normal" xfId="0" builtinId="0"/>
    <cellStyle name="Normal - Style1" xfId="266" xr:uid="{00000000-0005-0000-0000-00000A010000}"/>
    <cellStyle name="Normal 2" xfId="267" xr:uid="{00000000-0005-0000-0000-00000B010000}"/>
    <cellStyle name="Normal 2 2" xfId="268" xr:uid="{00000000-0005-0000-0000-00000C010000}"/>
    <cellStyle name="Normal 2 2 2" xfId="898" xr:uid="{69D8770F-8C24-488D-9C0F-1CBA5FAD824F}"/>
    <cellStyle name="Normal 3" xfId="899" xr:uid="{73527A04-4F72-4DE2-A753-BC961303D76C}"/>
    <cellStyle name="Normal 3 2" xfId="900" xr:uid="{1BD7C771-AF66-4787-A9FE-D6477C9FCDE6}"/>
    <cellStyle name="Normal1" xfId="269" xr:uid="{00000000-0005-0000-0000-00000D010000}"/>
    <cellStyle name="Normal10" xfId="270" xr:uid="{00000000-0005-0000-0000-00000E010000}"/>
    <cellStyle name="Normal100" xfId="271" xr:uid="{00000000-0005-0000-0000-00000F010000}"/>
    <cellStyle name="Normal101" xfId="272" xr:uid="{00000000-0005-0000-0000-000010010000}"/>
    <cellStyle name="Normal102" xfId="273" xr:uid="{00000000-0005-0000-0000-000011010000}"/>
    <cellStyle name="Normal103" xfId="274" xr:uid="{00000000-0005-0000-0000-000012010000}"/>
    <cellStyle name="Normal104" xfId="275" xr:uid="{00000000-0005-0000-0000-000013010000}"/>
    <cellStyle name="Normal105" xfId="276" xr:uid="{00000000-0005-0000-0000-000014010000}"/>
    <cellStyle name="Normal106" xfId="277" xr:uid="{00000000-0005-0000-0000-000015010000}"/>
    <cellStyle name="Normal107" xfId="278" xr:uid="{00000000-0005-0000-0000-000016010000}"/>
    <cellStyle name="Normal108" xfId="279" xr:uid="{00000000-0005-0000-0000-000017010000}"/>
    <cellStyle name="Normal109" xfId="280" xr:uid="{00000000-0005-0000-0000-000018010000}"/>
    <cellStyle name="Normal11" xfId="281" xr:uid="{00000000-0005-0000-0000-000019010000}"/>
    <cellStyle name="Normal110" xfId="282" xr:uid="{00000000-0005-0000-0000-00001A010000}"/>
    <cellStyle name="Normal111" xfId="283" xr:uid="{00000000-0005-0000-0000-00001B010000}"/>
    <cellStyle name="Normal112" xfId="284" xr:uid="{00000000-0005-0000-0000-00001C010000}"/>
    <cellStyle name="Normal113" xfId="285" xr:uid="{00000000-0005-0000-0000-00001D010000}"/>
    <cellStyle name="Normal114" xfId="286" xr:uid="{00000000-0005-0000-0000-00001E010000}"/>
    <cellStyle name="Normal115" xfId="287" xr:uid="{00000000-0005-0000-0000-00001F010000}"/>
    <cellStyle name="Normal116" xfId="288" xr:uid="{00000000-0005-0000-0000-000020010000}"/>
    <cellStyle name="Normal117" xfId="289" xr:uid="{00000000-0005-0000-0000-000021010000}"/>
    <cellStyle name="Normal118" xfId="290" xr:uid="{00000000-0005-0000-0000-000022010000}"/>
    <cellStyle name="Normal119" xfId="291" xr:uid="{00000000-0005-0000-0000-000023010000}"/>
    <cellStyle name="Normal12" xfId="292" xr:uid="{00000000-0005-0000-0000-000024010000}"/>
    <cellStyle name="Normal120" xfId="293" xr:uid="{00000000-0005-0000-0000-000025010000}"/>
    <cellStyle name="Normal121" xfId="294" xr:uid="{00000000-0005-0000-0000-000026010000}"/>
    <cellStyle name="Normal122" xfId="295" xr:uid="{00000000-0005-0000-0000-000027010000}"/>
    <cellStyle name="Normal123" xfId="296" xr:uid="{00000000-0005-0000-0000-000028010000}"/>
    <cellStyle name="Normal124" xfId="297" xr:uid="{00000000-0005-0000-0000-000029010000}"/>
    <cellStyle name="Normal125" xfId="298" xr:uid="{00000000-0005-0000-0000-00002A010000}"/>
    <cellStyle name="Normal126" xfId="299" xr:uid="{00000000-0005-0000-0000-00002B010000}"/>
    <cellStyle name="Normal127" xfId="300" xr:uid="{00000000-0005-0000-0000-00002C010000}"/>
    <cellStyle name="Normal128" xfId="301" xr:uid="{00000000-0005-0000-0000-00002D010000}"/>
    <cellStyle name="Normal129" xfId="302" xr:uid="{00000000-0005-0000-0000-00002E010000}"/>
    <cellStyle name="Normal13" xfId="303" xr:uid="{00000000-0005-0000-0000-00002F010000}"/>
    <cellStyle name="Normal130" xfId="304" xr:uid="{00000000-0005-0000-0000-000030010000}"/>
    <cellStyle name="Normal131" xfId="305" xr:uid="{00000000-0005-0000-0000-000031010000}"/>
    <cellStyle name="Normal132" xfId="306" xr:uid="{00000000-0005-0000-0000-000032010000}"/>
    <cellStyle name="Normal133" xfId="307" xr:uid="{00000000-0005-0000-0000-000033010000}"/>
    <cellStyle name="Normal134" xfId="308" xr:uid="{00000000-0005-0000-0000-000034010000}"/>
    <cellStyle name="Normal135" xfId="309" xr:uid="{00000000-0005-0000-0000-000035010000}"/>
    <cellStyle name="Normal136" xfId="310" xr:uid="{00000000-0005-0000-0000-000036010000}"/>
    <cellStyle name="Normal137" xfId="311" xr:uid="{00000000-0005-0000-0000-000037010000}"/>
    <cellStyle name="Normal138" xfId="312" xr:uid="{00000000-0005-0000-0000-000038010000}"/>
    <cellStyle name="Normal139" xfId="313" xr:uid="{00000000-0005-0000-0000-000039010000}"/>
    <cellStyle name="Normal14" xfId="314" xr:uid="{00000000-0005-0000-0000-00003A010000}"/>
    <cellStyle name="Normal140" xfId="315" xr:uid="{00000000-0005-0000-0000-00003B010000}"/>
    <cellStyle name="Normal141" xfId="316" xr:uid="{00000000-0005-0000-0000-00003C010000}"/>
    <cellStyle name="Normal142" xfId="317" xr:uid="{00000000-0005-0000-0000-00003D010000}"/>
    <cellStyle name="Normal143" xfId="318" xr:uid="{00000000-0005-0000-0000-00003E010000}"/>
    <cellStyle name="Normal144" xfId="319" xr:uid="{00000000-0005-0000-0000-00003F010000}"/>
    <cellStyle name="Normal145" xfId="320" xr:uid="{00000000-0005-0000-0000-000040010000}"/>
    <cellStyle name="Normal146" xfId="321" xr:uid="{00000000-0005-0000-0000-000041010000}"/>
    <cellStyle name="Normal147" xfId="322" xr:uid="{00000000-0005-0000-0000-000042010000}"/>
    <cellStyle name="Normal148" xfId="323" xr:uid="{00000000-0005-0000-0000-000043010000}"/>
    <cellStyle name="Normal149" xfId="324" xr:uid="{00000000-0005-0000-0000-000044010000}"/>
    <cellStyle name="Normal15" xfId="325" xr:uid="{00000000-0005-0000-0000-000045010000}"/>
    <cellStyle name="Normal150" xfId="326" xr:uid="{00000000-0005-0000-0000-000046010000}"/>
    <cellStyle name="Normal151" xfId="327" xr:uid="{00000000-0005-0000-0000-000047010000}"/>
    <cellStyle name="Normal152" xfId="328" xr:uid="{00000000-0005-0000-0000-000048010000}"/>
    <cellStyle name="Normal153" xfId="329" xr:uid="{00000000-0005-0000-0000-000049010000}"/>
    <cellStyle name="Normal154" xfId="330" xr:uid="{00000000-0005-0000-0000-00004A010000}"/>
    <cellStyle name="Normal155" xfId="331" xr:uid="{00000000-0005-0000-0000-00004B010000}"/>
    <cellStyle name="Normal156" xfId="332" xr:uid="{00000000-0005-0000-0000-00004C010000}"/>
    <cellStyle name="Normal157" xfId="333" xr:uid="{00000000-0005-0000-0000-00004D010000}"/>
    <cellStyle name="Normal158" xfId="334" xr:uid="{00000000-0005-0000-0000-00004E010000}"/>
    <cellStyle name="Normal159" xfId="335" xr:uid="{00000000-0005-0000-0000-00004F010000}"/>
    <cellStyle name="Normal16" xfId="336" xr:uid="{00000000-0005-0000-0000-000050010000}"/>
    <cellStyle name="Normal160" xfId="337" xr:uid="{00000000-0005-0000-0000-000051010000}"/>
    <cellStyle name="Normal161" xfId="338" xr:uid="{00000000-0005-0000-0000-000052010000}"/>
    <cellStyle name="Normal162" xfId="339" xr:uid="{00000000-0005-0000-0000-000053010000}"/>
    <cellStyle name="Normal163" xfId="340" xr:uid="{00000000-0005-0000-0000-000054010000}"/>
    <cellStyle name="Normal164" xfId="341" xr:uid="{00000000-0005-0000-0000-000055010000}"/>
    <cellStyle name="Normal165" xfId="342" xr:uid="{00000000-0005-0000-0000-000056010000}"/>
    <cellStyle name="Normal166" xfId="343" xr:uid="{00000000-0005-0000-0000-000057010000}"/>
    <cellStyle name="Normal167" xfId="344" xr:uid="{00000000-0005-0000-0000-000058010000}"/>
    <cellStyle name="Normal168" xfId="345" xr:uid="{00000000-0005-0000-0000-000059010000}"/>
    <cellStyle name="Normal169" xfId="346" xr:uid="{00000000-0005-0000-0000-00005A010000}"/>
    <cellStyle name="Normal17" xfId="347" xr:uid="{00000000-0005-0000-0000-00005B010000}"/>
    <cellStyle name="Normal170" xfId="348" xr:uid="{00000000-0005-0000-0000-00005C010000}"/>
    <cellStyle name="Normal171" xfId="349" xr:uid="{00000000-0005-0000-0000-00005D010000}"/>
    <cellStyle name="Normal172" xfId="350" xr:uid="{00000000-0005-0000-0000-00005E010000}"/>
    <cellStyle name="Normal173" xfId="351" xr:uid="{00000000-0005-0000-0000-00005F010000}"/>
    <cellStyle name="Normal174" xfId="352" xr:uid="{00000000-0005-0000-0000-000060010000}"/>
    <cellStyle name="Normal175" xfId="353" xr:uid="{00000000-0005-0000-0000-000061010000}"/>
    <cellStyle name="Normal176" xfId="354" xr:uid="{00000000-0005-0000-0000-000062010000}"/>
    <cellStyle name="Normal177" xfId="355" xr:uid="{00000000-0005-0000-0000-000063010000}"/>
    <cellStyle name="Normal178" xfId="356" xr:uid="{00000000-0005-0000-0000-000064010000}"/>
    <cellStyle name="Normal179" xfId="357" xr:uid="{00000000-0005-0000-0000-000065010000}"/>
    <cellStyle name="Normal18" xfId="358" xr:uid="{00000000-0005-0000-0000-000066010000}"/>
    <cellStyle name="Normal180" xfId="359" xr:uid="{00000000-0005-0000-0000-000067010000}"/>
    <cellStyle name="Normal181" xfId="360" xr:uid="{00000000-0005-0000-0000-000068010000}"/>
    <cellStyle name="Normal182" xfId="361" xr:uid="{00000000-0005-0000-0000-000069010000}"/>
    <cellStyle name="Normal183" xfId="362" xr:uid="{00000000-0005-0000-0000-00006A010000}"/>
    <cellStyle name="Normal184" xfId="363" xr:uid="{00000000-0005-0000-0000-00006B010000}"/>
    <cellStyle name="Normal185" xfId="364" xr:uid="{00000000-0005-0000-0000-00006C010000}"/>
    <cellStyle name="Normal186" xfId="365" xr:uid="{00000000-0005-0000-0000-00006D010000}"/>
    <cellStyle name="Normal187" xfId="366" xr:uid="{00000000-0005-0000-0000-00006E010000}"/>
    <cellStyle name="Normal188" xfId="367" xr:uid="{00000000-0005-0000-0000-00006F010000}"/>
    <cellStyle name="Normal189" xfId="368" xr:uid="{00000000-0005-0000-0000-000070010000}"/>
    <cellStyle name="Normal19" xfId="369" xr:uid="{00000000-0005-0000-0000-000071010000}"/>
    <cellStyle name="Normal190" xfId="370" xr:uid="{00000000-0005-0000-0000-000072010000}"/>
    <cellStyle name="Normal191" xfId="371" xr:uid="{00000000-0005-0000-0000-000073010000}"/>
    <cellStyle name="Normal192" xfId="372" xr:uid="{00000000-0005-0000-0000-000074010000}"/>
    <cellStyle name="Normal193" xfId="373" xr:uid="{00000000-0005-0000-0000-000075010000}"/>
    <cellStyle name="Normal194" xfId="374" xr:uid="{00000000-0005-0000-0000-000076010000}"/>
    <cellStyle name="Normal195" xfId="375" xr:uid="{00000000-0005-0000-0000-000077010000}"/>
    <cellStyle name="Normal196" xfId="376" xr:uid="{00000000-0005-0000-0000-000078010000}"/>
    <cellStyle name="Normal197" xfId="377" xr:uid="{00000000-0005-0000-0000-000079010000}"/>
    <cellStyle name="Normal198" xfId="378" xr:uid="{00000000-0005-0000-0000-00007A010000}"/>
    <cellStyle name="Normal199" xfId="379" xr:uid="{00000000-0005-0000-0000-00007B010000}"/>
    <cellStyle name="Normal2" xfId="380" xr:uid="{00000000-0005-0000-0000-00007C010000}"/>
    <cellStyle name="Normal20" xfId="381" xr:uid="{00000000-0005-0000-0000-00007D010000}"/>
    <cellStyle name="Normal200" xfId="382" xr:uid="{00000000-0005-0000-0000-00007E010000}"/>
    <cellStyle name="Normal201" xfId="383" xr:uid="{00000000-0005-0000-0000-00007F010000}"/>
    <cellStyle name="Normal202" xfId="384" xr:uid="{00000000-0005-0000-0000-000080010000}"/>
    <cellStyle name="Normal203" xfId="385" xr:uid="{00000000-0005-0000-0000-000081010000}"/>
    <cellStyle name="Normal204" xfId="386" xr:uid="{00000000-0005-0000-0000-000082010000}"/>
    <cellStyle name="Normal205" xfId="387" xr:uid="{00000000-0005-0000-0000-000083010000}"/>
    <cellStyle name="Normal206" xfId="388" xr:uid="{00000000-0005-0000-0000-000084010000}"/>
    <cellStyle name="Normal207" xfId="389" xr:uid="{00000000-0005-0000-0000-000085010000}"/>
    <cellStyle name="Normal208" xfId="390" xr:uid="{00000000-0005-0000-0000-000086010000}"/>
    <cellStyle name="Normal209" xfId="391" xr:uid="{00000000-0005-0000-0000-000087010000}"/>
    <cellStyle name="Normal21" xfId="392" xr:uid="{00000000-0005-0000-0000-000088010000}"/>
    <cellStyle name="Normal210" xfId="393" xr:uid="{00000000-0005-0000-0000-000089010000}"/>
    <cellStyle name="Normal211" xfId="394" xr:uid="{00000000-0005-0000-0000-00008A010000}"/>
    <cellStyle name="Normal212" xfId="395" xr:uid="{00000000-0005-0000-0000-00008B010000}"/>
    <cellStyle name="Normal213" xfId="396" xr:uid="{00000000-0005-0000-0000-00008C010000}"/>
    <cellStyle name="Normal214" xfId="397" xr:uid="{00000000-0005-0000-0000-00008D010000}"/>
    <cellStyle name="Normal215" xfId="398" xr:uid="{00000000-0005-0000-0000-00008E010000}"/>
    <cellStyle name="Normal216" xfId="399" xr:uid="{00000000-0005-0000-0000-00008F010000}"/>
    <cellStyle name="Normal217" xfId="400" xr:uid="{00000000-0005-0000-0000-000090010000}"/>
    <cellStyle name="Normal218" xfId="401" xr:uid="{00000000-0005-0000-0000-000091010000}"/>
    <cellStyle name="Normal219" xfId="402" xr:uid="{00000000-0005-0000-0000-000092010000}"/>
    <cellStyle name="Normal22" xfId="403" xr:uid="{00000000-0005-0000-0000-000093010000}"/>
    <cellStyle name="Normal220" xfId="404" xr:uid="{00000000-0005-0000-0000-000094010000}"/>
    <cellStyle name="Normal221" xfId="405" xr:uid="{00000000-0005-0000-0000-000095010000}"/>
    <cellStyle name="Normal222" xfId="406" xr:uid="{00000000-0005-0000-0000-000096010000}"/>
    <cellStyle name="Normal223" xfId="407" xr:uid="{00000000-0005-0000-0000-000097010000}"/>
    <cellStyle name="Normal224" xfId="408" xr:uid="{00000000-0005-0000-0000-000098010000}"/>
    <cellStyle name="Normal225" xfId="409" xr:uid="{00000000-0005-0000-0000-000099010000}"/>
    <cellStyle name="Normal226" xfId="410" xr:uid="{00000000-0005-0000-0000-00009A010000}"/>
    <cellStyle name="Normal227" xfId="411" xr:uid="{00000000-0005-0000-0000-00009B010000}"/>
    <cellStyle name="Normal228" xfId="412" xr:uid="{00000000-0005-0000-0000-00009C010000}"/>
    <cellStyle name="Normal229" xfId="413" xr:uid="{00000000-0005-0000-0000-00009D010000}"/>
    <cellStyle name="Normal23" xfId="414" xr:uid="{00000000-0005-0000-0000-00009E010000}"/>
    <cellStyle name="Normal230" xfId="415" xr:uid="{00000000-0005-0000-0000-00009F010000}"/>
    <cellStyle name="Normal231" xfId="416" xr:uid="{00000000-0005-0000-0000-0000A0010000}"/>
    <cellStyle name="Normal232" xfId="417" xr:uid="{00000000-0005-0000-0000-0000A1010000}"/>
    <cellStyle name="Normal233" xfId="418" xr:uid="{00000000-0005-0000-0000-0000A2010000}"/>
    <cellStyle name="Normal234" xfId="419" xr:uid="{00000000-0005-0000-0000-0000A3010000}"/>
    <cellStyle name="Normal235" xfId="420" xr:uid="{00000000-0005-0000-0000-0000A4010000}"/>
    <cellStyle name="Normal236" xfId="421" xr:uid="{00000000-0005-0000-0000-0000A5010000}"/>
    <cellStyle name="Normal237" xfId="422" xr:uid="{00000000-0005-0000-0000-0000A6010000}"/>
    <cellStyle name="Normal238" xfId="423" xr:uid="{00000000-0005-0000-0000-0000A7010000}"/>
    <cellStyle name="Normal239" xfId="424" xr:uid="{00000000-0005-0000-0000-0000A8010000}"/>
    <cellStyle name="Normal24" xfId="425" xr:uid="{00000000-0005-0000-0000-0000A9010000}"/>
    <cellStyle name="Normal240" xfId="426" xr:uid="{00000000-0005-0000-0000-0000AA010000}"/>
    <cellStyle name="Normal241" xfId="427" xr:uid="{00000000-0005-0000-0000-0000AB010000}"/>
    <cellStyle name="Normal242" xfId="428" xr:uid="{00000000-0005-0000-0000-0000AC010000}"/>
    <cellStyle name="Normal243" xfId="429" xr:uid="{00000000-0005-0000-0000-0000AD010000}"/>
    <cellStyle name="Normal244" xfId="430" xr:uid="{00000000-0005-0000-0000-0000AE010000}"/>
    <cellStyle name="Normal245" xfId="431" xr:uid="{00000000-0005-0000-0000-0000AF010000}"/>
    <cellStyle name="Normal246" xfId="432" xr:uid="{00000000-0005-0000-0000-0000B0010000}"/>
    <cellStyle name="Normal247" xfId="433" xr:uid="{00000000-0005-0000-0000-0000B1010000}"/>
    <cellStyle name="Normal248" xfId="434" xr:uid="{00000000-0005-0000-0000-0000B2010000}"/>
    <cellStyle name="Normal249" xfId="435" xr:uid="{00000000-0005-0000-0000-0000B3010000}"/>
    <cellStyle name="Normal25" xfId="436" xr:uid="{00000000-0005-0000-0000-0000B4010000}"/>
    <cellStyle name="Normal250" xfId="437" xr:uid="{00000000-0005-0000-0000-0000B5010000}"/>
    <cellStyle name="Normal251" xfId="438" xr:uid="{00000000-0005-0000-0000-0000B6010000}"/>
    <cellStyle name="Normal252" xfId="439" xr:uid="{00000000-0005-0000-0000-0000B7010000}"/>
    <cellStyle name="Normal253" xfId="440" xr:uid="{00000000-0005-0000-0000-0000B8010000}"/>
    <cellStyle name="Normal26" xfId="441" xr:uid="{00000000-0005-0000-0000-0000B9010000}"/>
    <cellStyle name="Normal27" xfId="442" xr:uid="{00000000-0005-0000-0000-0000BA010000}"/>
    <cellStyle name="Normal28" xfId="443" xr:uid="{00000000-0005-0000-0000-0000BB010000}"/>
    <cellStyle name="Normal29" xfId="444" xr:uid="{00000000-0005-0000-0000-0000BC010000}"/>
    <cellStyle name="Normal3" xfId="445" xr:uid="{00000000-0005-0000-0000-0000BD010000}"/>
    <cellStyle name="Normal30" xfId="446" xr:uid="{00000000-0005-0000-0000-0000BE010000}"/>
    <cellStyle name="Normal31" xfId="447" xr:uid="{00000000-0005-0000-0000-0000BF010000}"/>
    <cellStyle name="Normal32" xfId="448" xr:uid="{00000000-0005-0000-0000-0000C0010000}"/>
    <cellStyle name="Normal33" xfId="449" xr:uid="{00000000-0005-0000-0000-0000C1010000}"/>
    <cellStyle name="Normal34" xfId="450" xr:uid="{00000000-0005-0000-0000-0000C2010000}"/>
    <cellStyle name="Normal35" xfId="451" xr:uid="{00000000-0005-0000-0000-0000C3010000}"/>
    <cellStyle name="Normal36" xfId="452" xr:uid="{00000000-0005-0000-0000-0000C4010000}"/>
    <cellStyle name="Normal37" xfId="453" xr:uid="{00000000-0005-0000-0000-0000C5010000}"/>
    <cellStyle name="Normal38" xfId="454" xr:uid="{00000000-0005-0000-0000-0000C6010000}"/>
    <cellStyle name="Normal39" xfId="455" xr:uid="{00000000-0005-0000-0000-0000C7010000}"/>
    <cellStyle name="Normal4" xfId="456" xr:uid="{00000000-0005-0000-0000-0000C8010000}"/>
    <cellStyle name="Normal40" xfId="457" xr:uid="{00000000-0005-0000-0000-0000C9010000}"/>
    <cellStyle name="Normal41" xfId="458" xr:uid="{00000000-0005-0000-0000-0000CA010000}"/>
    <cellStyle name="Normal42" xfId="459" xr:uid="{00000000-0005-0000-0000-0000CB010000}"/>
    <cellStyle name="Normal43" xfId="460" xr:uid="{00000000-0005-0000-0000-0000CC010000}"/>
    <cellStyle name="Normal44" xfId="461" xr:uid="{00000000-0005-0000-0000-0000CD010000}"/>
    <cellStyle name="Normal45" xfId="462" xr:uid="{00000000-0005-0000-0000-0000CE010000}"/>
    <cellStyle name="Normal46" xfId="463" xr:uid="{00000000-0005-0000-0000-0000CF010000}"/>
    <cellStyle name="Normal47" xfId="464" xr:uid="{00000000-0005-0000-0000-0000D0010000}"/>
    <cellStyle name="Normal48" xfId="465" xr:uid="{00000000-0005-0000-0000-0000D1010000}"/>
    <cellStyle name="Normal49" xfId="466" xr:uid="{00000000-0005-0000-0000-0000D2010000}"/>
    <cellStyle name="Normal5" xfId="467" xr:uid="{00000000-0005-0000-0000-0000D3010000}"/>
    <cellStyle name="Normal50" xfId="468" xr:uid="{00000000-0005-0000-0000-0000D4010000}"/>
    <cellStyle name="Normal51" xfId="469" xr:uid="{00000000-0005-0000-0000-0000D5010000}"/>
    <cellStyle name="Normal52" xfId="470" xr:uid="{00000000-0005-0000-0000-0000D6010000}"/>
    <cellStyle name="Normal53" xfId="471" xr:uid="{00000000-0005-0000-0000-0000D7010000}"/>
    <cellStyle name="Normal54" xfId="472" xr:uid="{00000000-0005-0000-0000-0000D8010000}"/>
    <cellStyle name="Normal55" xfId="473" xr:uid="{00000000-0005-0000-0000-0000D9010000}"/>
    <cellStyle name="Normal56" xfId="474" xr:uid="{00000000-0005-0000-0000-0000DA010000}"/>
    <cellStyle name="Normal57" xfId="475" xr:uid="{00000000-0005-0000-0000-0000DB010000}"/>
    <cellStyle name="Normal58" xfId="476" xr:uid="{00000000-0005-0000-0000-0000DC010000}"/>
    <cellStyle name="Normal59" xfId="477" xr:uid="{00000000-0005-0000-0000-0000DD010000}"/>
    <cellStyle name="Normal6" xfId="478" xr:uid="{00000000-0005-0000-0000-0000DE010000}"/>
    <cellStyle name="Normal60" xfId="479" xr:uid="{00000000-0005-0000-0000-0000DF010000}"/>
    <cellStyle name="Normal61" xfId="480" xr:uid="{00000000-0005-0000-0000-0000E0010000}"/>
    <cellStyle name="Normal62" xfId="481" xr:uid="{00000000-0005-0000-0000-0000E1010000}"/>
    <cellStyle name="Normal63" xfId="482" xr:uid="{00000000-0005-0000-0000-0000E2010000}"/>
    <cellStyle name="Normal64" xfId="483" xr:uid="{00000000-0005-0000-0000-0000E3010000}"/>
    <cellStyle name="Normal65" xfId="484" xr:uid="{00000000-0005-0000-0000-0000E4010000}"/>
    <cellStyle name="Normal66" xfId="485" xr:uid="{00000000-0005-0000-0000-0000E5010000}"/>
    <cellStyle name="Normal67" xfId="486" xr:uid="{00000000-0005-0000-0000-0000E6010000}"/>
    <cellStyle name="Normal68" xfId="487" xr:uid="{00000000-0005-0000-0000-0000E7010000}"/>
    <cellStyle name="Normal69" xfId="488" xr:uid="{00000000-0005-0000-0000-0000E8010000}"/>
    <cellStyle name="Normal7" xfId="489" xr:uid="{00000000-0005-0000-0000-0000E9010000}"/>
    <cellStyle name="Normal70" xfId="490" xr:uid="{00000000-0005-0000-0000-0000EA010000}"/>
    <cellStyle name="Normal71" xfId="491" xr:uid="{00000000-0005-0000-0000-0000EB010000}"/>
    <cellStyle name="Normal72" xfId="492" xr:uid="{00000000-0005-0000-0000-0000EC010000}"/>
    <cellStyle name="Normal73" xfId="493" xr:uid="{00000000-0005-0000-0000-0000ED010000}"/>
    <cellStyle name="Normal74" xfId="494" xr:uid="{00000000-0005-0000-0000-0000EE010000}"/>
    <cellStyle name="Normal75" xfId="495" xr:uid="{00000000-0005-0000-0000-0000EF010000}"/>
    <cellStyle name="Normal76" xfId="496" xr:uid="{00000000-0005-0000-0000-0000F0010000}"/>
    <cellStyle name="Normal77" xfId="497" xr:uid="{00000000-0005-0000-0000-0000F1010000}"/>
    <cellStyle name="Normal78" xfId="498" xr:uid="{00000000-0005-0000-0000-0000F2010000}"/>
    <cellStyle name="Normal79" xfId="499" xr:uid="{00000000-0005-0000-0000-0000F3010000}"/>
    <cellStyle name="Normal8" xfId="500" xr:uid="{00000000-0005-0000-0000-0000F4010000}"/>
    <cellStyle name="Normal80" xfId="501" xr:uid="{00000000-0005-0000-0000-0000F5010000}"/>
    <cellStyle name="Normal81" xfId="502" xr:uid="{00000000-0005-0000-0000-0000F6010000}"/>
    <cellStyle name="Normal82" xfId="503" xr:uid="{00000000-0005-0000-0000-0000F7010000}"/>
    <cellStyle name="Normal83" xfId="504" xr:uid="{00000000-0005-0000-0000-0000F8010000}"/>
    <cellStyle name="Normal84" xfId="505" xr:uid="{00000000-0005-0000-0000-0000F9010000}"/>
    <cellStyle name="Normal85" xfId="506" xr:uid="{00000000-0005-0000-0000-0000FA010000}"/>
    <cellStyle name="Normal86" xfId="507" xr:uid="{00000000-0005-0000-0000-0000FB010000}"/>
    <cellStyle name="Normal87" xfId="508" xr:uid="{00000000-0005-0000-0000-0000FC010000}"/>
    <cellStyle name="Normal88" xfId="509" xr:uid="{00000000-0005-0000-0000-0000FD010000}"/>
    <cellStyle name="Normal89" xfId="510" xr:uid="{00000000-0005-0000-0000-0000FE010000}"/>
    <cellStyle name="Normal9" xfId="511" xr:uid="{00000000-0005-0000-0000-0000FF010000}"/>
    <cellStyle name="Normal90" xfId="512" xr:uid="{00000000-0005-0000-0000-000000020000}"/>
    <cellStyle name="Normal91" xfId="513" xr:uid="{00000000-0005-0000-0000-000001020000}"/>
    <cellStyle name="Normal92" xfId="514" xr:uid="{00000000-0005-0000-0000-000002020000}"/>
    <cellStyle name="Normal93" xfId="515" xr:uid="{00000000-0005-0000-0000-000003020000}"/>
    <cellStyle name="Normal94" xfId="516" xr:uid="{00000000-0005-0000-0000-000004020000}"/>
    <cellStyle name="Normal95" xfId="517" xr:uid="{00000000-0005-0000-0000-000005020000}"/>
    <cellStyle name="Normal96" xfId="518" xr:uid="{00000000-0005-0000-0000-000006020000}"/>
    <cellStyle name="Normal97" xfId="519" xr:uid="{00000000-0005-0000-0000-000007020000}"/>
    <cellStyle name="Normal98" xfId="520" xr:uid="{00000000-0005-0000-0000-000008020000}"/>
    <cellStyle name="Normal99" xfId="521" xr:uid="{00000000-0005-0000-0000-000009020000}"/>
    <cellStyle name="NotDeclared_1" xfId="522" xr:uid="{00000000-0005-0000-0000-00000A020000}"/>
    <cellStyle name="Numbers" xfId="523" xr:uid="{00000000-0005-0000-0000-00000B020000}"/>
    <cellStyle name="Numbers - Bold" xfId="524" xr:uid="{00000000-0005-0000-0000-00000C020000}"/>
    <cellStyle name="Numbers - Bold - Italic" xfId="525" xr:uid="{00000000-0005-0000-0000-00000D020000}"/>
    <cellStyle name="Numbers - Bold 2" xfId="1009" xr:uid="{B1E7BF68-1165-409D-BA20-9B2D6B6ECE26}"/>
    <cellStyle name="Numbers - Bold 3" xfId="1025" xr:uid="{224E8F09-D566-44E7-BD00-165983E1CC9C}"/>
    <cellStyle name="Numbers - Bold_6079BX" xfId="526" xr:uid="{00000000-0005-0000-0000-00000E020000}"/>
    <cellStyle name="Numbers - Large" xfId="527" xr:uid="{00000000-0005-0000-0000-00000F020000}"/>
    <cellStyle name="Numbers_6079BX" xfId="528" xr:uid="{00000000-0005-0000-0000-000010020000}"/>
    <cellStyle name="OSW_RowLabels" xfId="529" xr:uid="{00000000-0005-0000-0000-000011020000}"/>
    <cellStyle name="Outline" xfId="530" xr:uid="{00000000-0005-0000-0000-000012020000}"/>
    <cellStyle name="Output Amounts" xfId="531" xr:uid="{00000000-0005-0000-0000-000013020000}"/>
    <cellStyle name="Output Column Headings" xfId="532" xr:uid="{00000000-0005-0000-0000-000014020000}"/>
    <cellStyle name="Output Line Items" xfId="533" xr:uid="{00000000-0005-0000-0000-000015020000}"/>
    <cellStyle name="Output Report Heading" xfId="534" xr:uid="{00000000-0005-0000-0000-000016020000}"/>
    <cellStyle name="Page" xfId="535" xr:uid="{00000000-0005-0000-0000-000017020000}"/>
    <cellStyle name="PB Table Heading" xfId="536" xr:uid="{00000000-0005-0000-0000-000018020000}"/>
    <cellStyle name="PB Table Highlight1" xfId="537" xr:uid="{00000000-0005-0000-0000-000019020000}"/>
    <cellStyle name="PB Table Highlight2" xfId="538" xr:uid="{00000000-0005-0000-0000-00001A020000}"/>
    <cellStyle name="PB Table Highlight3" xfId="539" xr:uid="{00000000-0005-0000-0000-00001B020000}"/>
    <cellStyle name="PB Table Standard Row" xfId="540" xr:uid="{00000000-0005-0000-0000-00001C020000}"/>
    <cellStyle name="PB Table Subtotal Row" xfId="541" xr:uid="{00000000-0005-0000-0000-00001D020000}"/>
    <cellStyle name="PB Table Total Row" xfId="542" xr:uid="{00000000-0005-0000-0000-00001E020000}"/>
    <cellStyle name="Per cent" xfId="544" builtinId="5"/>
    <cellStyle name="per.style" xfId="543" xr:uid="{00000000-0005-0000-0000-00001F020000}"/>
    <cellStyle name="Percent [0]" xfId="545" xr:uid="{00000000-0005-0000-0000-000021020000}"/>
    <cellStyle name="Percent [00]" xfId="546" xr:uid="{00000000-0005-0000-0000-000022020000}"/>
    <cellStyle name="Percent [1]" xfId="547" xr:uid="{00000000-0005-0000-0000-000023020000}"/>
    <cellStyle name="Percent [1][]" xfId="548" xr:uid="{00000000-0005-0000-0000-000024020000}"/>
    <cellStyle name="Percent [1]_New MA Public Comps and WACC Model" xfId="549" xr:uid="{00000000-0005-0000-0000-000025020000}"/>
    <cellStyle name="Percent [2]" xfId="550" xr:uid="{00000000-0005-0000-0000-000026020000}"/>
    <cellStyle name="Percent [2] 2" xfId="1010" xr:uid="{CC409B91-BCE7-4779-85AA-C32D1B64BD1F}"/>
    <cellStyle name="Percent 2" xfId="551" xr:uid="{00000000-0005-0000-0000-000027020000}"/>
    <cellStyle name="Percent 2 2" xfId="902" xr:uid="{75586810-CF49-4028-B9FD-50F2F0EA09E1}"/>
    <cellStyle name="Percent 2 3" xfId="1011" xr:uid="{AAC206F5-A226-4C9A-9588-178466EC9409}"/>
    <cellStyle name="Percent Comma" xfId="552" xr:uid="{00000000-0005-0000-0000-000028020000}"/>
    <cellStyle name="Percent Comma 2" xfId="1012" xr:uid="{5F43EE05-DE2B-4507-9E08-6FF5FDF8770E}"/>
    <cellStyle name="Percent1" xfId="553" xr:uid="{00000000-0005-0000-0000-000029020000}"/>
    <cellStyle name="Percent10" xfId="554" xr:uid="{00000000-0005-0000-0000-00002A020000}"/>
    <cellStyle name="Percent100" xfId="555" xr:uid="{00000000-0005-0000-0000-00002B020000}"/>
    <cellStyle name="Percent101" xfId="556" xr:uid="{00000000-0005-0000-0000-00002C020000}"/>
    <cellStyle name="Percent102" xfId="557" xr:uid="{00000000-0005-0000-0000-00002D020000}"/>
    <cellStyle name="Percent103" xfId="558" xr:uid="{00000000-0005-0000-0000-00002E020000}"/>
    <cellStyle name="Percent104" xfId="559" xr:uid="{00000000-0005-0000-0000-00002F020000}"/>
    <cellStyle name="Percent105" xfId="560" xr:uid="{00000000-0005-0000-0000-000030020000}"/>
    <cellStyle name="Percent106" xfId="561" xr:uid="{00000000-0005-0000-0000-000031020000}"/>
    <cellStyle name="Percent107" xfId="562" xr:uid="{00000000-0005-0000-0000-000032020000}"/>
    <cellStyle name="Percent108" xfId="563" xr:uid="{00000000-0005-0000-0000-000033020000}"/>
    <cellStyle name="Percent109" xfId="564" xr:uid="{00000000-0005-0000-0000-000034020000}"/>
    <cellStyle name="Percent11" xfId="565" xr:uid="{00000000-0005-0000-0000-000035020000}"/>
    <cellStyle name="Percent110" xfId="566" xr:uid="{00000000-0005-0000-0000-000036020000}"/>
    <cellStyle name="Percent111" xfId="567" xr:uid="{00000000-0005-0000-0000-000037020000}"/>
    <cellStyle name="Percent112" xfId="568" xr:uid="{00000000-0005-0000-0000-000038020000}"/>
    <cellStyle name="Percent113" xfId="569" xr:uid="{00000000-0005-0000-0000-000039020000}"/>
    <cellStyle name="Percent114" xfId="570" xr:uid="{00000000-0005-0000-0000-00003A020000}"/>
    <cellStyle name="Percent115" xfId="571" xr:uid="{00000000-0005-0000-0000-00003B020000}"/>
    <cellStyle name="Percent116" xfId="572" xr:uid="{00000000-0005-0000-0000-00003C020000}"/>
    <cellStyle name="Percent117" xfId="573" xr:uid="{00000000-0005-0000-0000-00003D020000}"/>
    <cellStyle name="Percent118" xfId="574" xr:uid="{00000000-0005-0000-0000-00003E020000}"/>
    <cellStyle name="Percent119" xfId="575" xr:uid="{00000000-0005-0000-0000-00003F020000}"/>
    <cellStyle name="Percent12" xfId="576" xr:uid="{00000000-0005-0000-0000-000040020000}"/>
    <cellStyle name="Percent120" xfId="577" xr:uid="{00000000-0005-0000-0000-000041020000}"/>
    <cellStyle name="Percent121" xfId="578" xr:uid="{00000000-0005-0000-0000-000042020000}"/>
    <cellStyle name="Percent122" xfId="579" xr:uid="{00000000-0005-0000-0000-000043020000}"/>
    <cellStyle name="Percent123" xfId="580" xr:uid="{00000000-0005-0000-0000-000044020000}"/>
    <cellStyle name="Percent124" xfId="581" xr:uid="{00000000-0005-0000-0000-000045020000}"/>
    <cellStyle name="Percent125" xfId="582" xr:uid="{00000000-0005-0000-0000-000046020000}"/>
    <cellStyle name="Percent126" xfId="583" xr:uid="{00000000-0005-0000-0000-000047020000}"/>
    <cellStyle name="Percent127" xfId="584" xr:uid="{00000000-0005-0000-0000-000048020000}"/>
    <cellStyle name="Percent128" xfId="585" xr:uid="{00000000-0005-0000-0000-000049020000}"/>
    <cellStyle name="Percent129" xfId="586" xr:uid="{00000000-0005-0000-0000-00004A020000}"/>
    <cellStyle name="Percent13" xfId="587" xr:uid="{00000000-0005-0000-0000-00004B020000}"/>
    <cellStyle name="Percent130" xfId="588" xr:uid="{00000000-0005-0000-0000-00004C020000}"/>
    <cellStyle name="Percent131" xfId="589" xr:uid="{00000000-0005-0000-0000-00004D020000}"/>
    <cellStyle name="Percent132" xfId="590" xr:uid="{00000000-0005-0000-0000-00004E020000}"/>
    <cellStyle name="Percent133" xfId="591" xr:uid="{00000000-0005-0000-0000-00004F020000}"/>
    <cellStyle name="Percent134" xfId="592" xr:uid="{00000000-0005-0000-0000-000050020000}"/>
    <cellStyle name="Percent135" xfId="593" xr:uid="{00000000-0005-0000-0000-000051020000}"/>
    <cellStyle name="Percent136" xfId="594" xr:uid="{00000000-0005-0000-0000-000052020000}"/>
    <cellStyle name="Percent137" xfId="595" xr:uid="{00000000-0005-0000-0000-000053020000}"/>
    <cellStyle name="Percent138" xfId="596" xr:uid="{00000000-0005-0000-0000-000054020000}"/>
    <cellStyle name="Percent139" xfId="597" xr:uid="{00000000-0005-0000-0000-000055020000}"/>
    <cellStyle name="Percent14" xfId="598" xr:uid="{00000000-0005-0000-0000-000056020000}"/>
    <cellStyle name="Percent140" xfId="599" xr:uid="{00000000-0005-0000-0000-000057020000}"/>
    <cellStyle name="Percent141" xfId="600" xr:uid="{00000000-0005-0000-0000-000058020000}"/>
    <cellStyle name="Percent142" xfId="601" xr:uid="{00000000-0005-0000-0000-000059020000}"/>
    <cellStyle name="Percent143" xfId="602" xr:uid="{00000000-0005-0000-0000-00005A020000}"/>
    <cellStyle name="Percent144" xfId="603" xr:uid="{00000000-0005-0000-0000-00005B020000}"/>
    <cellStyle name="Percent145" xfId="604" xr:uid="{00000000-0005-0000-0000-00005C020000}"/>
    <cellStyle name="Percent146" xfId="605" xr:uid="{00000000-0005-0000-0000-00005D020000}"/>
    <cellStyle name="Percent147" xfId="606" xr:uid="{00000000-0005-0000-0000-00005E020000}"/>
    <cellStyle name="Percent148" xfId="607" xr:uid="{00000000-0005-0000-0000-00005F020000}"/>
    <cellStyle name="Percent149" xfId="608" xr:uid="{00000000-0005-0000-0000-000060020000}"/>
    <cellStyle name="Percent15" xfId="609" xr:uid="{00000000-0005-0000-0000-000061020000}"/>
    <cellStyle name="Percent150" xfId="610" xr:uid="{00000000-0005-0000-0000-000062020000}"/>
    <cellStyle name="Percent151" xfId="611" xr:uid="{00000000-0005-0000-0000-000063020000}"/>
    <cellStyle name="Percent152" xfId="612" xr:uid="{00000000-0005-0000-0000-000064020000}"/>
    <cellStyle name="Percent153" xfId="613" xr:uid="{00000000-0005-0000-0000-000065020000}"/>
    <cellStyle name="Percent154" xfId="614" xr:uid="{00000000-0005-0000-0000-000066020000}"/>
    <cellStyle name="Percent155" xfId="615" xr:uid="{00000000-0005-0000-0000-000067020000}"/>
    <cellStyle name="Percent156" xfId="616" xr:uid="{00000000-0005-0000-0000-000068020000}"/>
    <cellStyle name="Percent157" xfId="617" xr:uid="{00000000-0005-0000-0000-000069020000}"/>
    <cellStyle name="Percent158" xfId="618" xr:uid="{00000000-0005-0000-0000-00006A020000}"/>
    <cellStyle name="Percent159" xfId="619" xr:uid="{00000000-0005-0000-0000-00006B020000}"/>
    <cellStyle name="Percent16" xfId="620" xr:uid="{00000000-0005-0000-0000-00006C020000}"/>
    <cellStyle name="Percent160" xfId="621" xr:uid="{00000000-0005-0000-0000-00006D020000}"/>
    <cellStyle name="Percent161" xfId="622" xr:uid="{00000000-0005-0000-0000-00006E020000}"/>
    <cellStyle name="Percent162" xfId="623" xr:uid="{00000000-0005-0000-0000-00006F020000}"/>
    <cellStyle name="Percent163" xfId="624" xr:uid="{00000000-0005-0000-0000-000070020000}"/>
    <cellStyle name="Percent164" xfId="625" xr:uid="{00000000-0005-0000-0000-000071020000}"/>
    <cellStyle name="Percent165" xfId="626" xr:uid="{00000000-0005-0000-0000-000072020000}"/>
    <cellStyle name="Percent166" xfId="627" xr:uid="{00000000-0005-0000-0000-000073020000}"/>
    <cellStyle name="Percent167" xfId="628" xr:uid="{00000000-0005-0000-0000-000074020000}"/>
    <cellStyle name="Percent168" xfId="629" xr:uid="{00000000-0005-0000-0000-000075020000}"/>
    <cellStyle name="Percent169" xfId="630" xr:uid="{00000000-0005-0000-0000-000076020000}"/>
    <cellStyle name="Percent17" xfId="631" xr:uid="{00000000-0005-0000-0000-000077020000}"/>
    <cellStyle name="Percent170" xfId="632" xr:uid="{00000000-0005-0000-0000-000078020000}"/>
    <cellStyle name="Percent171" xfId="633" xr:uid="{00000000-0005-0000-0000-000079020000}"/>
    <cellStyle name="Percent172" xfId="634" xr:uid="{00000000-0005-0000-0000-00007A020000}"/>
    <cellStyle name="Percent173" xfId="635" xr:uid="{00000000-0005-0000-0000-00007B020000}"/>
    <cellStyle name="Percent174" xfId="636" xr:uid="{00000000-0005-0000-0000-00007C020000}"/>
    <cellStyle name="Percent175" xfId="637" xr:uid="{00000000-0005-0000-0000-00007D020000}"/>
    <cellStyle name="Percent176" xfId="638" xr:uid="{00000000-0005-0000-0000-00007E020000}"/>
    <cellStyle name="Percent177" xfId="639" xr:uid="{00000000-0005-0000-0000-00007F020000}"/>
    <cellStyle name="Percent178" xfId="640" xr:uid="{00000000-0005-0000-0000-000080020000}"/>
    <cellStyle name="Percent179" xfId="641" xr:uid="{00000000-0005-0000-0000-000081020000}"/>
    <cellStyle name="Percent18" xfId="642" xr:uid="{00000000-0005-0000-0000-000082020000}"/>
    <cellStyle name="Percent180" xfId="643" xr:uid="{00000000-0005-0000-0000-000083020000}"/>
    <cellStyle name="Percent181" xfId="644" xr:uid="{00000000-0005-0000-0000-000084020000}"/>
    <cellStyle name="Percent182" xfId="645" xr:uid="{00000000-0005-0000-0000-000085020000}"/>
    <cellStyle name="Percent183" xfId="646" xr:uid="{00000000-0005-0000-0000-000086020000}"/>
    <cellStyle name="Percent184" xfId="647" xr:uid="{00000000-0005-0000-0000-000087020000}"/>
    <cellStyle name="Percent185" xfId="648" xr:uid="{00000000-0005-0000-0000-000088020000}"/>
    <cellStyle name="Percent186" xfId="649" xr:uid="{00000000-0005-0000-0000-000089020000}"/>
    <cellStyle name="Percent187" xfId="650" xr:uid="{00000000-0005-0000-0000-00008A020000}"/>
    <cellStyle name="Percent188" xfId="651" xr:uid="{00000000-0005-0000-0000-00008B020000}"/>
    <cellStyle name="Percent189" xfId="652" xr:uid="{00000000-0005-0000-0000-00008C020000}"/>
    <cellStyle name="Percent19" xfId="653" xr:uid="{00000000-0005-0000-0000-00008D020000}"/>
    <cellStyle name="Percent190" xfId="654" xr:uid="{00000000-0005-0000-0000-00008E020000}"/>
    <cellStyle name="Percent191" xfId="655" xr:uid="{00000000-0005-0000-0000-00008F020000}"/>
    <cellStyle name="Percent192" xfId="656" xr:uid="{00000000-0005-0000-0000-000090020000}"/>
    <cellStyle name="Percent193" xfId="657" xr:uid="{00000000-0005-0000-0000-000091020000}"/>
    <cellStyle name="Percent194" xfId="658" xr:uid="{00000000-0005-0000-0000-000092020000}"/>
    <cellStyle name="Percent195" xfId="659" xr:uid="{00000000-0005-0000-0000-000093020000}"/>
    <cellStyle name="Percent196" xfId="660" xr:uid="{00000000-0005-0000-0000-000094020000}"/>
    <cellStyle name="Percent197" xfId="661" xr:uid="{00000000-0005-0000-0000-000095020000}"/>
    <cellStyle name="Percent198" xfId="662" xr:uid="{00000000-0005-0000-0000-000096020000}"/>
    <cellStyle name="Percent199" xfId="663" xr:uid="{00000000-0005-0000-0000-000097020000}"/>
    <cellStyle name="Percent1Bold" xfId="664" xr:uid="{00000000-0005-0000-0000-000098020000}"/>
    <cellStyle name="Percent2" xfId="665" xr:uid="{00000000-0005-0000-0000-000099020000}"/>
    <cellStyle name="Percent20" xfId="666" xr:uid="{00000000-0005-0000-0000-00009A020000}"/>
    <cellStyle name="Percent200" xfId="667" xr:uid="{00000000-0005-0000-0000-00009B020000}"/>
    <cellStyle name="Percent201" xfId="668" xr:uid="{00000000-0005-0000-0000-00009C020000}"/>
    <cellStyle name="Percent202" xfId="669" xr:uid="{00000000-0005-0000-0000-00009D020000}"/>
    <cellStyle name="Percent203" xfId="670" xr:uid="{00000000-0005-0000-0000-00009E020000}"/>
    <cellStyle name="Percent204" xfId="671" xr:uid="{00000000-0005-0000-0000-00009F020000}"/>
    <cellStyle name="Percent205" xfId="672" xr:uid="{00000000-0005-0000-0000-0000A0020000}"/>
    <cellStyle name="Percent206" xfId="673" xr:uid="{00000000-0005-0000-0000-0000A1020000}"/>
    <cellStyle name="Percent207" xfId="674" xr:uid="{00000000-0005-0000-0000-0000A2020000}"/>
    <cellStyle name="Percent208" xfId="675" xr:uid="{00000000-0005-0000-0000-0000A3020000}"/>
    <cellStyle name="Percent209" xfId="676" xr:uid="{00000000-0005-0000-0000-0000A4020000}"/>
    <cellStyle name="Percent21" xfId="677" xr:uid="{00000000-0005-0000-0000-0000A5020000}"/>
    <cellStyle name="Percent210" xfId="678" xr:uid="{00000000-0005-0000-0000-0000A6020000}"/>
    <cellStyle name="Percent211" xfId="679" xr:uid="{00000000-0005-0000-0000-0000A7020000}"/>
    <cellStyle name="Percent212" xfId="680" xr:uid="{00000000-0005-0000-0000-0000A8020000}"/>
    <cellStyle name="Percent213" xfId="681" xr:uid="{00000000-0005-0000-0000-0000A9020000}"/>
    <cellStyle name="Percent214" xfId="682" xr:uid="{00000000-0005-0000-0000-0000AA020000}"/>
    <cellStyle name="Percent215" xfId="683" xr:uid="{00000000-0005-0000-0000-0000AB020000}"/>
    <cellStyle name="Percent216" xfId="684" xr:uid="{00000000-0005-0000-0000-0000AC020000}"/>
    <cellStyle name="Percent217" xfId="685" xr:uid="{00000000-0005-0000-0000-0000AD020000}"/>
    <cellStyle name="Percent218" xfId="686" xr:uid="{00000000-0005-0000-0000-0000AE020000}"/>
    <cellStyle name="Percent219" xfId="687" xr:uid="{00000000-0005-0000-0000-0000AF020000}"/>
    <cellStyle name="Percent22" xfId="688" xr:uid="{00000000-0005-0000-0000-0000B0020000}"/>
    <cellStyle name="Percent220" xfId="689" xr:uid="{00000000-0005-0000-0000-0000B1020000}"/>
    <cellStyle name="Percent221" xfId="690" xr:uid="{00000000-0005-0000-0000-0000B2020000}"/>
    <cellStyle name="Percent222" xfId="691" xr:uid="{00000000-0005-0000-0000-0000B3020000}"/>
    <cellStyle name="Percent223" xfId="692" xr:uid="{00000000-0005-0000-0000-0000B4020000}"/>
    <cellStyle name="Percent224" xfId="693" xr:uid="{00000000-0005-0000-0000-0000B5020000}"/>
    <cellStyle name="Percent225" xfId="694" xr:uid="{00000000-0005-0000-0000-0000B6020000}"/>
    <cellStyle name="Percent226" xfId="695" xr:uid="{00000000-0005-0000-0000-0000B7020000}"/>
    <cellStyle name="Percent227" xfId="696" xr:uid="{00000000-0005-0000-0000-0000B8020000}"/>
    <cellStyle name="Percent228" xfId="697" xr:uid="{00000000-0005-0000-0000-0000B9020000}"/>
    <cellStyle name="Percent229" xfId="698" xr:uid="{00000000-0005-0000-0000-0000BA020000}"/>
    <cellStyle name="Percent23" xfId="699" xr:uid="{00000000-0005-0000-0000-0000BB020000}"/>
    <cellStyle name="Percent230" xfId="700" xr:uid="{00000000-0005-0000-0000-0000BC020000}"/>
    <cellStyle name="Percent231" xfId="701" xr:uid="{00000000-0005-0000-0000-0000BD020000}"/>
    <cellStyle name="Percent232" xfId="702" xr:uid="{00000000-0005-0000-0000-0000BE020000}"/>
    <cellStyle name="Percent233" xfId="703" xr:uid="{00000000-0005-0000-0000-0000BF020000}"/>
    <cellStyle name="Percent234" xfId="704" xr:uid="{00000000-0005-0000-0000-0000C0020000}"/>
    <cellStyle name="Percent235" xfId="705" xr:uid="{00000000-0005-0000-0000-0000C1020000}"/>
    <cellStyle name="Percent236" xfId="706" xr:uid="{00000000-0005-0000-0000-0000C2020000}"/>
    <cellStyle name="Percent24" xfId="707" xr:uid="{00000000-0005-0000-0000-0000C3020000}"/>
    <cellStyle name="Percent25" xfId="708" xr:uid="{00000000-0005-0000-0000-0000C4020000}"/>
    <cellStyle name="Percent26" xfId="709" xr:uid="{00000000-0005-0000-0000-0000C5020000}"/>
    <cellStyle name="Percent27" xfId="710" xr:uid="{00000000-0005-0000-0000-0000C6020000}"/>
    <cellStyle name="Percent28" xfId="711" xr:uid="{00000000-0005-0000-0000-0000C7020000}"/>
    <cellStyle name="Percent29" xfId="712" xr:uid="{00000000-0005-0000-0000-0000C8020000}"/>
    <cellStyle name="Percent3" xfId="713" xr:uid="{00000000-0005-0000-0000-0000C9020000}"/>
    <cellStyle name="Percent30" xfId="714" xr:uid="{00000000-0005-0000-0000-0000CA020000}"/>
    <cellStyle name="Percent31" xfId="715" xr:uid="{00000000-0005-0000-0000-0000CB020000}"/>
    <cellStyle name="Percent32" xfId="716" xr:uid="{00000000-0005-0000-0000-0000CC020000}"/>
    <cellStyle name="Percent33" xfId="717" xr:uid="{00000000-0005-0000-0000-0000CD020000}"/>
    <cellStyle name="Percent34" xfId="718" xr:uid="{00000000-0005-0000-0000-0000CE020000}"/>
    <cellStyle name="Percent35" xfId="719" xr:uid="{00000000-0005-0000-0000-0000CF020000}"/>
    <cellStyle name="Percent36" xfId="720" xr:uid="{00000000-0005-0000-0000-0000D0020000}"/>
    <cellStyle name="Percent37" xfId="721" xr:uid="{00000000-0005-0000-0000-0000D1020000}"/>
    <cellStyle name="Percent38" xfId="722" xr:uid="{00000000-0005-0000-0000-0000D2020000}"/>
    <cellStyle name="Percent39" xfId="723" xr:uid="{00000000-0005-0000-0000-0000D3020000}"/>
    <cellStyle name="Percent4" xfId="724" xr:uid="{00000000-0005-0000-0000-0000D4020000}"/>
    <cellStyle name="Percent40" xfId="725" xr:uid="{00000000-0005-0000-0000-0000D5020000}"/>
    <cellStyle name="Percent41" xfId="726" xr:uid="{00000000-0005-0000-0000-0000D6020000}"/>
    <cellStyle name="Percent42" xfId="727" xr:uid="{00000000-0005-0000-0000-0000D7020000}"/>
    <cellStyle name="Percent43" xfId="728" xr:uid="{00000000-0005-0000-0000-0000D8020000}"/>
    <cellStyle name="Percent44" xfId="729" xr:uid="{00000000-0005-0000-0000-0000D9020000}"/>
    <cellStyle name="Percent45" xfId="730" xr:uid="{00000000-0005-0000-0000-0000DA020000}"/>
    <cellStyle name="Percent46" xfId="731" xr:uid="{00000000-0005-0000-0000-0000DB020000}"/>
    <cellStyle name="Percent47" xfId="732" xr:uid="{00000000-0005-0000-0000-0000DC020000}"/>
    <cellStyle name="Percent48" xfId="733" xr:uid="{00000000-0005-0000-0000-0000DD020000}"/>
    <cellStyle name="Percent49" xfId="734" xr:uid="{00000000-0005-0000-0000-0000DE020000}"/>
    <cellStyle name="Percent5" xfId="735" xr:uid="{00000000-0005-0000-0000-0000DF020000}"/>
    <cellStyle name="Percent50" xfId="736" xr:uid="{00000000-0005-0000-0000-0000E0020000}"/>
    <cellStyle name="Percent51" xfId="737" xr:uid="{00000000-0005-0000-0000-0000E1020000}"/>
    <cellStyle name="Percent52" xfId="738" xr:uid="{00000000-0005-0000-0000-0000E2020000}"/>
    <cellStyle name="Percent53" xfId="739" xr:uid="{00000000-0005-0000-0000-0000E3020000}"/>
    <cellStyle name="Percent54" xfId="740" xr:uid="{00000000-0005-0000-0000-0000E4020000}"/>
    <cellStyle name="Percent55" xfId="741" xr:uid="{00000000-0005-0000-0000-0000E5020000}"/>
    <cellStyle name="Percent56" xfId="742" xr:uid="{00000000-0005-0000-0000-0000E6020000}"/>
    <cellStyle name="Percent57" xfId="743" xr:uid="{00000000-0005-0000-0000-0000E7020000}"/>
    <cellStyle name="Percent58" xfId="744" xr:uid="{00000000-0005-0000-0000-0000E8020000}"/>
    <cellStyle name="Percent59" xfId="745" xr:uid="{00000000-0005-0000-0000-0000E9020000}"/>
    <cellStyle name="Percent6" xfId="746" xr:uid="{00000000-0005-0000-0000-0000EA020000}"/>
    <cellStyle name="Percent60" xfId="747" xr:uid="{00000000-0005-0000-0000-0000EB020000}"/>
    <cellStyle name="Percent61" xfId="748" xr:uid="{00000000-0005-0000-0000-0000EC020000}"/>
    <cellStyle name="Percent62" xfId="749" xr:uid="{00000000-0005-0000-0000-0000ED020000}"/>
    <cellStyle name="Percent63" xfId="750" xr:uid="{00000000-0005-0000-0000-0000EE020000}"/>
    <cellStyle name="Percent64" xfId="751" xr:uid="{00000000-0005-0000-0000-0000EF020000}"/>
    <cellStyle name="Percent65" xfId="752" xr:uid="{00000000-0005-0000-0000-0000F0020000}"/>
    <cellStyle name="Percent66" xfId="753" xr:uid="{00000000-0005-0000-0000-0000F1020000}"/>
    <cellStyle name="Percent67" xfId="754" xr:uid="{00000000-0005-0000-0000-0000F2020000}"/>
    <cellStyle name="Percent68" xfId="755" xr:uid="{00000000-0005-0000-0000-0000F3020000}"/>
    <cellStyle name="Percent69" xfId="756" xr:uid="{00000000-0005-0000-0000-0000F4020000}"/>
    <cellStyle name="Percent7" xfId="757" xr:uid="{00000000-0005-0000-0000-0000F5020000}"/>
    <cellStyle name="Percent70" xfId="758" xr:uid="{00000000-0005-0000-0000-0000F6020000}"/>
    <cellStyle name="Percent71" xfId="759" xr:uid="{00000000-0005-0000-0000-0000F7020000}"/>
    <cellStyle name="Percent72" xfId="760" xr:uid="{00000000-0005-0000-0000-0000F8020000}"/>
    <cellStyle name="Percent73" xfId="761" xr:uid="{00000000-0005-0000-0000-0000F9020000}"/>
    <cellStyle name="Percent74" xfId="762" xr:uid="{00000000-0005-0000-0000-0000FA020000}"/>
    <cellStyle name="Percent75" xfId="763" xr:uid="{00000000-0005-0000-0000-0000FB020000}"/>
    <cellStyle name="Percent76" xfId="764" xr:uid="{00000000-0005-0000-0000-0000FC020000}"/>
    <cellStyle name="Percent77" xfId="765" xr:uid="{00000000-0005-0000-0000-0000FD020000}"/>
    <cellStyle name="Percent78" xfId="766" xr:uid="{00000000-0005-0000-0000-0000FE020000}"/>
    <cellStyle name="Percent79" xfId="767" xr:uid="{00000000-0005-0000-0000-0000FF020000}"/>
    <cellStyle name="Percent8" xfId="768" xr:uid="{00000000-0005-0000-0000-000000030000}"/>
    <cellStyle name="Percent80" xfId="769" xr:uid="{00000000-0005-0000-0000-000001030000}"/>
    <cellStyle name="Percent81" xfId="770" xr:uid="{00000000-0005-0000-0000-000002030000}"/>
    <cellStyle name="Percent82" xfId="771" xr:uid="{00000000-0005-0000-0000-000003030000}"/>
    <cellStyle name="Percent83" xfId="772" xr:uid="{00000000-0005-0000-0000-000004030000}"/>
    <cellStyle name="Percent84" xfId="773" xr:uid="{00000000-0005-0000-0000-000005030000}"/>
    <cellStyle name="Percent85" xfId="774" xr:uid="{00000000-0005-0000-0000-000006030000}"/>
    <cellStyle name="Percent86" xfId="775" xr:uid="{00000000-0005-0000-0000-000007030000}"/>
    <cellStyle name="Percent87" xfId="776" xr:uid="{00000000-0005-0000-0000-000008030000}"/>
    <cellStyle name="Percent88" xfId="777" xr:uid="{00000000-0005-0000-0000-000009030000}"/>
    <cellStyle name="Percent89" xfId="778" xr:uid="{00000000-0005-0000-0000-00000A030000}"/>
    <cellStyle name="Percent9" xfId="779" xr:uid="{00000000-0005-0000-0000-00000B030000}"/>
    <cellStyle name="Percent90" xfId="780" xr:uid="{00000000-0005-0000-0000-00000C030000}"/>
    <cellStyle name="Percent91" xfId="781" xr:uid="{00000000-0005-0000-0000-00000D030000}"/>
    <cellStyle name="Percent92" xfId="782" xr:uid="{00000000-0005-0000-0000-00000E030000}"/>
    <cellStyle name="Percent93" xfId="783" xr:uid="{00000000-0005-0000-0000-00000F030000}"/>
    <cellStyle name="Percent94" xfId="784" xr:uid="{00000000-0005-0000-0000-000010030000}"/>
    <cellStyle name="Percent95" xfId="785" xr:uid="{00000000-0005-0000-0000-000011030000}"/>
    <cellStyle name="Percent96" xfId="786" xr:uid="{00000000-0005-0000-0000-000012030000}"/>
    <cellStyle name="Percent97" xfId="787" xr:uid="{00000000-0005-0000-0000-000013030000}"/>
    <cellStyle name="Percent98" xfId="788" xr:uid="{00000000-0005-0000-0000-000014030000}"/>
    <cellStyle name="Percent99" xfId="789" xr:uid="{00000000-0005-0000-0000-000015030000}"/>
    <cellStyle name="Percentage" xfId="790" xr:uid="{00000000-0005-0000-0000-000016030000}"/>
    <cellStyle name="PercentStyle" xfId="791" xr:uid="{00000000-0005-0000-0000-000017030000}"/>
    <cellStyle name="PercentStyle 2" xfId="1013" xr:uid="{E8508656-FE23-44D6-AF01-D31008497BC2}"/>
    <cellStyle name="PrePop Currency (0)" xfId="792" xr:uid="{00000000-0005-0000-0000-000018030000}"/>
    <cellStyle name="PrePop Currency (2)" xfId="793" xr:uid="{00000000-0005-0000-0000-000019030000}"/>
    <cellStyle name="PrePop Units (0)" xfId="794" xr:uid="{00000000-0005-0000-0000-00001A030000}"/>
    <cellStyle name="PrePop Units (1)" xfId="795" xr:uid="{00000000-0005-0000-0000-00001B030000}"/>
    <cellStyle name="PrePop Units (2)" xfId="796" xr:uid="{00000000-0005-0000-0000-00001C030000}"/>
    <cellStyle name="Price" xfId="797" xr:uid="{00000000-0005-0000-0000-00001D030000}"/>
    <cellStyle name="Price 2" xfId="1014" xr:uid="{D470F70D-5B9A-4CC9-907B-CE75D277CE1E}"/>
    <cellStyle name="Product Header" xfId="798" xr:uid="{00000000-0005-0000-0000-00001E030000}"/>
    <cellStyle name="PSChar" xfId="799" xr:uid="{00000000-0005-0000-0000-00001F030000}"/>
    <cellStyle name="PSDate" xfId="800" xr:uid="{00000000-0005-0000-0000-000020030000}"/>
    <cellStyle name="PSDec" xfId="801" xr:uid="{00000000-0005-0000-0000-000021030000}"/>
    <cellStyle name="PSHeading" xfId="802" xr:uid="{00000000-0005-0000-0000-000022030000}"/>
    <cellStyle name="PSInt" xfId="803" xr:uid="{00000000-0005-0000-0000-000023030000}"/>
    <cellStyle name="PSSpacer" xfId="804" xr:uid="{00000000-0005-0000-0000-000024030000}"/>
    <cellStyle name="r" xfId="805" xr:uid="{00000000-0005-0000-0000-000025030000}"/>
    <cellStyle name="r_F&amp;W Servicing Model" xfId="806" xr:uid="{00000000-0005-0000-0000-000026030000}"/>
    <cellStyle name="r_F&amp;W Servicing Model v2" xfId="807" xr:uid="{00000000-0005-0000-0000-000027030000}"/>
    <cellStyle name="r_Yell Servicing Model" xfId="808" xr:uid="{00000000-0005-0000-0000-000028030000}"/>
    <cellStyle name="rate" xfId="809" xr:uid="{00000000-0005-0000-0000-000029030000}"/>
    <cellStyle name="Ratio" xfId="810" xr:uid="{00000000-0005-0000-0000-00002A030000}"/>
    <cellStyle name="Ratio 2" xfId="1015" xr:uid="{AAC31942-B18F-439D-B7EA-7D68B2317664}"/>
    <cellStyle name="Ratio Comma" xfId="811" xr:uid="{00000000-0005-0000-0000-00002B030000}"/>
    <cellStyle name="Ratio Comma 2" xfId="1016" xr:uid="{2BCF12C4-A073-44D5-AD73-7D33C39854BF}"/>
    <cellStyle name="Ratio_Private" xfId="812" xr:uid="{00000000-0005-0000-0000-00002C030000}"/>
    <cellStyle name="regstoresfromspecstores" xfId="813" xr:uid="{00000000-0005-0000-0000-00002D030000}"/>
    <cellStyle name="RevList" xfId="814" xr:uid="{00000000-0005-0000-0000-00002E030000}"/>
    <cellStyle name="Right" xfId="815" xr:uid="{00000000-0005-0000-0000-00002F030000}"/>
    <cellStyle name="RightBold" xfId="816" xr:uid="{00000000-0005-0000-0000-000030030000}"/>
    <cellStyle name="RightBoldBottomRule" xfId="817" xr:uid="{00000000-0005-0000-0000-000031030000}"/>
    <cellStyle name="RightBoldCenterRule" xfId="818" xr:uid="{00000000-0005-0000-0000-000032030000}"/>
    <cellStyle name="Section" xfId="819" xr:uid="{00000000-0005-0000-0000-000033030000}"/>
    <cellStyle name="SectionHeaderNormal" xfId="820" xr:uid="{00000000-0005-0000-0000-000034030000}"/>
    <cellStyle name="SHADEDSTORES" xfId="821" xr:uid="{00000000-0005-0000-0000-000035030000}"/>
    <cellStyle name="Short $" xfId="822" xr:uid="{00000000-0005-0000-0000-000036030000}"/>
    <cellStyle name="ShOut" xfId="823" xr:uid="{00000000-0005-0000-0000-000037030000}"/>
    <cellStyle name="ShOut 2" xfId="1017" xr:uid="{F76FF470-86F3-4CAE-94F3-533CEA3571AF}"/>
    <cellStyle name="Simple" xfId="824" xr:uid="{00000000-0005-0000-0000-000038030000}"/>
    <cellStyle name="SimpleBold" xfId="825" xr:uid="{00000000-0005-0000-0000-000039030000}"/>
    <cellStyle name="Single Accounting" xfId="826" xr:uid="{00000000-0005-0000-0000-00003A030000}"/>
    <cellStyle name="specstores" xfId="827" xr:uid="{00000000-0005-0000-0000-00003B030000}"/>
    <cellStyle name="Stock Comma" xfId="828" xr:uid="{00000000-0005-0000-0000-00003C030000}"/>
    <cellStyle name="Stock Comma 2" xfId="1018" xr:uid="{16E16305-9DBE-45C7-8986-4CB9950BE01A}"/>
    <cellStyle name="Stock Price" xfId="829" xr:uid="{00000000-0005-0000-0000-00003D030000}"/>
    <cellStyle name="Stock Price 2" xfId="1019" xr:uid="{08E994BC-8D4A-42DB-98A0-D742C5F86461}"/>
    <cellStyle name="Style 1" xfId="830" xr:uid="{00000000-0005-0000-0000-00003E030000}"/>
    <cellStyle name="Style 21" xfId="831" xr:uid="{00000000-0005-0000-0000-00003F030000}"/>
    <cellStyle name="Style 22" xfId="832" xr:uid="{00000000-0005-0000-0000-000040030000}"/>
    <cellStyle name="Style 23" xfId="833" xr:uid="{00000000-0005-0000-0000-000041030000}"/>
    <cellStyle name="Style 24" xfId="834" xr:uid="{00000000-0005-0000-0000-000042030000}"/>
    <cellStyle name="Style 25" xfId="835" xr:uid="{00000000-0005-0000-0000-000043030000}"/>
    <cellStyle name="Style 26" xfId="836" xr:uid="{00000000-0005-0000-0000-000044030000}"/>
    <cellStyle name="Style 27" xfId="837" xr:uid="{00000000-0005-0000-0000-000045030000}"/>
    <cellStyle name="Style 28" xfId="838" xr:uid="{00000000-0005-0000-0000-000046030000}"/>
    <cellStyle name="Style 29" xfId="839" xr:uid="{00000000-0005-0000-0000-000047030000}"/>
    <cellStyle name="Style 30" xfId="840" xr:uid="{00000000-0005-0000-0000-000048030000}"/>
    <cellStyle name="Style 31" xfId="841" xr:uid="{00000000-0005-0000-0000-000049030000}"/>
    <cellStyle name="Style 32" xfId="842" xr:uid="{00000000-0005-0000-0000-00004A030000}"/>
    <cellStyle name="Style 33" xfId="843" xr:uid="{00000000-0005-0000-0000-00004B030000}"/>
    <cellStyle name="Style 34" xfId="844" xr:uid="{00000000-0005-0000-0000-00004C030000}"/>
    <cellStyle name="Style 35" xfId="845" xr:uid="{00000000-0005-0000-0000-00004D030000}"/>
    <cellStyle name="Style 36" xfId="846" xr:uid="{00000000-0005-0000-0000-00004E030000}"/>
    <cellStyle name="Style 37" xfId="847" xr:uid="{00000000-0005-0000-0000-00004F030000}"/>
    <cellStyle name="Style 38" xfId="848" xr:uid="{00000000-0005-0000-0000-000050030000}"/>
    <cellStyle name="Style 39" xfId="849" xr:uid="{00000000-0005-0000-0000-000051030000}"/>
    <cellStyle name="Style 40" xfId="850" xr:uid="{00000000-0005-0000-0000-000052030000}"/>
    <cellStyle name="Style 41" xfId="851" xr:uid="{00000000-0005-0000-0000-000053030000}"/>
    <cellStyle name="Style 42" xfId="852" xr:uid="{00000000-0005-0000-0000-000054030000}"/>
    <cellStyle name="Style 43" xfId="853" xr:uid="{00000000-0005-0000-0000-000055030000}"/>
    <cellStyle name="Style 44" xfId="854" xr:uid="{00000000-0005-0000-0000-000056030000}"/>
    <cellStyle name="Style 45" xfId="855" xr:uid="{00000000-0005-0000-0000-000057030000}"/>
    <cellStyle name="Style 46" xfId="856" xr:uid="{00000000-0005-0000-0000-000058030000}"/>
    <cellStyle name="Style 47" xfId="857" xr:uid="{00000000-0005-0000-0000-000059030000}"/>
    <cellStyle name="Style 48" xfId="858" xr:uid="{00000000-0005-0000-0000-00005A030000}"/>
    <cellStyle name="STYLE1" xfId="859" xr:uid="{00000000-0005-0000-0000-00005B030000}"/>
    <cellStyle name="SubScript" xfId="860" xr:uid="{00000000-0005-0000-0000-00005C030000}"/>
    <cellStyle name="Subtotal" xfId="861" xr:uid="{00000000-0005-0000-0000-00005D030000}"/>
    <cellStyle name="Sum" xfId="862" xr:uid="{00000000-0005-0000-0000-00005E030000}"/>
    <cellStyle name="SuperScript" xfId="863" xr:uid="{00000000-0005-0000-0000-00005F030000}"/>
    <cellStyle name="Table_Title" xfId="864" xr:uid="{00000000-0005-0000-0000-000060030000}"/>
    <cellStyle name="Test" xfId="865" xr:uid="{00000000-0005-0000-0000-000061030000}"/>
    <cellStyle name="Text Indent A" xfId="866" xr:uid="{00000000-0005-0000-0000-000062030000}"/>
    <cellStyle name="Text Indent B" xfId="867" xr:uid="{00000000-0005-0000-0000-000063030000}"/>
    <cellStyle name="Text Indent C" xfId="868" xr:uid="{00000000-0005-0000-0000-000064030000}"/>
    <cellStyle name="Text Indent C 2" xfId="1020" xr:uid="{8539E24E-0B51-443D-9AFF-E609E635E791}"/>
    <cellStyle name="TextBold" xfId="869" xr:uid="{00000000-0005-0000-0000-000065030000}"/>
    <cellStyle name="TextItalic" xfId="870" xr:uid="{00000000-0005-0000-0000-000066030000}"/>
    <cellStyle name="TextNormal" xfId="871" xr:uid="{00000000-0005-0000-0000-000067030000}"/>
    <cellStyle name="Time" xfId="872" xr:uid="{00000000-0005-0000-0000-000068030000}"/>
    <cellStyle name="Times 10" xfId="873" xr:uid="{00000000-0005-0000-0000-000069030000}"/>
    <cellStyle name="Times 12" xfId="874" xr:uid="{00000000-0005-0000-0000-00006A030000}"/>
    <cellStyle name="Title - PROJECT" xfId="875" xr:uid="{00000000-0005-0000-0000-00006B030000}"/>
    <cellStyle name="Title - PROJECT 2" xfId="1021" xr:uid="{2B55471D-7129-491C-A063-7EB248634251}"/>
    <cellStyle name="Title - Underline" xfId="876" xr:uid="{00000000-0005-0000-0000-00006C030000}"/>
    <cellStyle name="Title - Underline 2" xfId="1022" xr:uid="{3ABB43C3-FA88-46A8-B97D-238BC1FA9B9E}"/>
    <cellStyle name="Title1" xfId="877" xr:uid="{00000000-0005-0000-0000-00006D030000}"/>
    <cellStyle name="Title2" xfId="878" xr:uid="{00000000-0005-0000-0000-00006E030000}"/>
    <cellStyle name="TitleNormal" xfId="879" xr:uid="{00000000-0005-0000-0000-00006F030000}"/>
    <cellStyle name="Titles - Col. Headings" xfId="880" xr:uid="{00000000-0005-0000-0000-000070030000}"/>
    <cellStyle name="Titles - Other" xfId="881" xr:uid="{00000000-0005-0000-0000-000071030000}"/>
    <cellStyle name="Titles - Other 2" xfId="1023" xr:uid="{4F545F51-69F4-441E-8FD6-0D43A559D4A3}"/>
    <cellStyle name="Top Edge" xfId="882" xr:uid="{00000000-0005-0000-0000-000072030000}"/>
    <cellStyle name="Total" xfId="883" builtinId="25" customBuiltin="1"/>
    <cellStyle name="ubordinated Debt" xfId="884" xr:uid="{00000000-0005-0000-0000-000074030000}"/>
    <cellStyle name="wheat merger's and acquisitions" xfId="885" xr:uid="{00000000-0005-0000-0000-000075030000}"/>
    <cellStyle name="x" xfId="886" xr:uid="{00000000-0005-0000-0000-000076030000}"/>
    <cellStyle name="x_TSA Model - 1 8 06 - v2" xfId="887" xr:uid="{00000000-0005-0000-0000-000077030000}"/>
    <cellStyle name="Y2K Compliant Date Fmt" xfId="888" xr:uid="{00000000-0005-0000-0000-000078030000}"/>
    <cellStyle name="Years" xfId="889" xr:uid="{00000000-0005-0000-0000-000079030000}"/>
    <cellStyle name="yellow" xfId="890" xr:uid="{00000000-0005-0000-0000-00007A030000}"/>
    <cellStyle name="Yen" xfId="891" xr:uid="{00000000-0005-0000-0000-00007B030000}"/>
    <cellStyle name="YYYY" xfId="892" xr:uid="{00000000-0005-0000-0000-00007C030000}"/>
    <cellStyle name="桁区切り [0.00]_Appendix" xfId="893" xr:uid="{00000000-0005-0000-0000-00007D030000}"/>
    <cellStyle name="桁区切り_Appendix" xfId="894" xr:uid="{00000000-0005-0000-0000-00007E030000}"/>
    <cellStyle name="標準_Appendix" xfId="895" xr:uid="{00000000-0005-0000-0000-00007F030000}"/>
    <cellStyle name="通貨 [0.00]_Appendix" xfId="896" xr:uid="{00000000-0005-0000-0000-000080030000}"/>
    <cellStyle name="通貨_Appendix" xfId="897" xr:uid="{00000000-0005-0000-0000-00008103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00FF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externalLink" Target="externalLinks/externalLink22.xml"/><Relationship Id="rId39" Type="http://schemas.openxmlformats.org/officeDocument/2006/relationships/calcChain" Target="calcChain.xml"/><Relationship Id="rId21" Type="http://schemas.openxmlformats.org/officeDocument/2006/relationships/externalLink" Target="externalLinks/externalLink17.xml"/><Relationship Id="rId34" Type="http://schemas.openxmlformats.org/officeDocument/2006/relationships/externalLink" Target="externalLinks/externalLink30.xml"/><Relationship Id="rId42" Type="http://schemas.openxmlformats.org/officeDocument/2006/relationships/customXml" Target="../customXml/item3.xml"/><Relationship Id="rId7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externalLink" Target="externalLinks/externalLink25.xml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32" Type="http://schemas.openxmlformats.org/officeDocument/2006/relationships/externalLink" Target="externalLinks/externalLink28.xml"/><Relationship Id="rId37" Type="http://schemas.openxmlformats.org/officeDocument/2006/relationships/styles" Target="styles.xml"/><Relationship Id="rId40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externalLink" Target="externalLinks/externalLink24.xml"/><Relationship Id="rId36" Type="http://schemas.openxmlformats.org/officeDocument/2006/relationships/theme" Target="theme/theme1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31" Type="http://schemas.openxmlformats.org/officeDocument/2006/relationships/externalLink" Target="externalLinks/externalLink27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externalLink" Target="externalLinks/externalLink23.xml"/><Relationship Id="rId30" Type="http://schemas.openxmlformats.org/officeDocument/2006/relationships/externalLink" Target="externalLinks/externalLink26.xml"/><Relationship Id="rId35" Type="http://schemas.openxmlformats.org/officeDocument/2006/relationships/externalLink" Target="externalLinks/externalLink31.xml"/><Relationship Id="rId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33" Type="http://schemas.openxmlformats.org/officeDocument/2006/relationships/externalLink" Target="externalLinks/externalLink29.xml"/><Relationship Id="rId38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590551</xdr:colOff>
      <xdr:row>39</xdr:row>
      <xdr:rowOff>9525</xdr:rowOff>
    </xdr:from>
    <xdr:to>
      <xdr:col>5</xdr:col>
      <xdr:colOff>22412</xdr:colOff>
      <xdr:row>56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48C882-4BAB-C85D-627A-DC207E7787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28629"/>
        <a:stretch>
          <a:fillRect/>
        </a:stretch>
      </xdr:blipFill>
      <xdr:spPr>
        <a:xfrm>
          <a:off x="590551" y="6183966"/>
          <a:ext cx="7432861" cy="2762250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_sfnt01\GBlank$\Documents%20and%20Settings\GBlank\Local%20Settings\Temporary%20Internet%20Files\OLK39\TSA%20Model%20-%201%208%2006%20-%20v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Office\Media\COMPS%20-%20B2B%20Publisher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p_sfnt01\GBlank$\My%20Documents\TPG\LBO\Bally\BFT%20Forecast%20Mode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METG%20Templat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nk%20Loan%20Team\APPROVAL%20MEMOS\Endurance%20Media\BLT%20Work\EBM%20Quarterly%20Model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Bank%20Loan%20Team\ELK%20TEAM\Models\Presentation\Draft%20Presentation%20Files\Presentation%20Info%2022%20(Adam%20Silver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Bank%20Loan%20Team\ELK%20TEAM\Models\Presentation\Draft%20Presentation%20Files\PresentationChartDat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CMP%20II\PORTFOLIO%20COMPANIES\Jobson%20Medical%20Information\Bank%20Correspondence\JMI%20Model%20(Wx%20Model%20-%20BMO%20Adjusted%205-18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CMP%20II\INACTIVE%20DEALS\Facts%20on%20File\Transaction%20Models\FOF%20Model%20v3%20(Asset%20Purchase)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unsezfnp05\Barracuda\Documents%20and%20Settings\nbk7h1e\Local%20Settings\Temporary%20Internet%20Files\OLK61\Bank%20Austria\Returns@@@2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als%20-%20In%20Process\TruCom\BridgeCom%20Budget%202001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y-fil01\data\Wicks\Wicks%20Model\JMI%20Model%20(Wx%20Model%20-%20BMO%20Adjusted%205-18)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eals%20-%20In%20Process\Crescent%20Publishing%20Company,%20LLC\R0%20-%20Aug%202,%202001\CrescentPublishing%20Model%208-01%20R0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Credit%20Derivatives%20Group\Emerging\CBO\MFS\Jersey%20Street%20CLO\Warehouse\Warehouse%20Report\versions\August\Jersey%20Street%20CLO%208.7.06%20Committed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mail.wicksgroup.com/PORTFOLIO%20COMPANIES/Bressler%20Outdoor/Financial%20Models/SubDebt%20Model%20-%20IRR%20-$30MM%20Equity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unzipped\7xbb01_\7b7k01_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TEMP\Consolidated%2012-4-00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tc-neptune\accounting\Invoices\Invoice%2099\z.December%201999\DEC99Invoice%20Summary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Rosetta%20Stone%20Model%20(91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marimow\My%20Documents\Companies\Univision\Model\Bank%20Model%20-%20Financing\Company%20Materials\Company%20Materials\Bank%20Model_9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ank%20Loan%20Team%20Research\_RAs\Takacs_G\PORTFOLIO%20-%20Takacs.xls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im\Local%20Settings\Temporary%20Internet%20Files\Content.IE5\YTHBT5P6\Spring%202002\Modeling\Problem%204%20worksheet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marimow\My%20Documents\Companies\Univision\Model\Bank%20Model%20-%20Financing\Bank%20Model_21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MNT14\USERS$\mm93223\My%20Documents\Templates\Servicing%20Template%20-%20MAB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EMcKee\Local%20Settings\Temporary%20Internet%20Files\OLK12\65%20UVN%207-Year%20Model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Kim\Local%20Settings\Temporary%20Internet%20Files\Content.IE5\YTHBT5P6\windows\TEMP\financial%20forecast%207.27.98.xl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Beckett\Deals%20in%20process\UniFocus%20R6\Unifocus%20Model%204-02%20R6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CRothbard\Local%20Settings\Temporary%20Internet%20Files\OLK146\JMI_WMI%20Financing%20Model%20(02-09-06)_vTD4%2006.xls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jorr\Local%20Settings\Temporary%20Internet%20Files\OLK27\MC-DW-JOB%20Merger%20Model%20for%20Syndicate%20-%203.31.05%20rjf%205.03.05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WCMP%20II\PORTFOLIO%20COMPANIES\Jobson%20Medical%20Information\Corporate%20Development\JMI_WMI%20Combination\2005.11\Oct%202005\MEDCON%20Projection%20Model%20September%202005%20(09-13-05)%20v2.xls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minous.studioholdings.net\temp\M&amp;A_Deal\New%20Models\dcf.short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odel"/>
      <sheetName val="Returns Summary"/>
      <sheetName val="Case Logic"/>
      <sheetName val="Option Summary"/>
      <sheetName val="TRANSACTION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d Page"/>
      <sheetName val="Deal Multiples"/>
      <sheetName val="Asset Coverage"/>
      <sheetName val="Status"/>
      <sheetName val="Output"/>
      <sheetName val="Graphs"/>
      <sheetName val="Inputs"/>
      <sheetName val="WARF"/>
      <sheetName val="Comps"/>
      <sheetName val="Magazines"/>
      <sheetName val="2"/>
      <sheetName val="4"/>
      <sheetName val="5"/>
      <sheetName val="6"/>
      <sheetName val="7"/>
      <sheetName val="8"/>
      <sheetName val="10"/>
      <sheetName val="11"/>
      <sheetName val="12"/>
      <sheetName val="14"/>
      <sheetName val="16"/>
      <sheetName val="1"/>
      <sheetName val="3"/>
      <sheetName val="9"/>
      <sheetName val="13"/>
      <sheetName val="15"/>
      <sheetName val="ARP"/>
      <sheetName val="CNG"/>
      <sheetName val="F&amp;W"/>
      <sheetName val="HNW"/>
      <sheetName val="IMO"/>
      <sheetName val="JMI"/>
      <sheetName val="MMH"/>
      <sheetName val="PRM"/>
      <sheetName val="RDA"/>
      <sheetName val="SRCE"/>
      <sheetName val="SPRG"/>
      <sheetName val="WNM"/>
      <sheetName val="RVDP"/>
      <sheetName val="SMTB"/>
      <sheetName val="TMN"/>
      <sheetName val="Portfolio"/>
      <sheetName val="LBO Summary"/>
      <sheetName val="Char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"/>
      <sheetName val="attrition"/>
      <sheetName val="Sheet1"/>
      <sheetName val="IncStmt"/>
      <sheetName val="CashFlow"/>
      <sheetName val="BalSht"/>
      <sheetName val="Allowance"/>
      <sheetName val="CashEBITDA"/>
      <sheetName val="FxdChg"/>
      <sheetName val="Ratio"/>
      <sheetName val="Module1"/>
      <sheetName val="LBO Summary"/>
      <sheetName val="Char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Tanning Assumptions"/>
      <sheetName val="Tanning P&amp;L"/>
      <sheetName val="Tanning Balance Sheets"/>
      <sheetName val="Tanning Cash Flows"/>
      <sheetName val="Meta P&amp;L"/>
      <sheetName val="Meta Balance Sheet"/>
      <sheetName val="Meta Cash Flow"/>
      <sheetName val="Combined Balance Sheet"/>
      <sheetName val="Combined P&amp;L"/>
      <sheetName val="Combined Cash Flow"/>
      <sheetName val="Shares"/>
      <sheetName val="EssRet"/>
      <sheetName val="Meta Segments"/>
      <sheetName val="Capex"/>
      <sheetName val="Sheet5"/>
      <sheetName val="D"/>
      <sheetName val="TRANSAC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fo"/>
      <sheetName val="Qual. Analysis"/>
      <sheetName val="Inputs"/>
      <sheetName val="Base"/>
      <sheetName val="EV_DCF Analysis"/>
      <sheetName val="VeCTOR Import"/>
      <sheetName val="Annual Summary"/>
    </sheetNames>
    <sheetDataSet>
      <sheetData sheetId="0" refreshError="1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lections"/>
      <sheetName val="Calcs"/>
      <sheetName val="Account"/>
      <sheetName val="OCTrends"/>
      <sheetName val="ICTrends"/>
      <sheetName val="DivTrends"/>
      <sheetName val="WARFTrends"/>
      <sheetName val="WARFFitchTrends"/>
      <sheetName val="WASTrends"/>
      <sheetName val="WACTrends"/>
      <sheetName val="WALTrends"/>
      <sheetName val="Debt Structure"/>
      <sheetName val="Fund Schedule"/>
      <sheetName val="Principal"/>
      <sheetName val="Ineligible"/>
      <sheetName val="S&amp;P Industry"/>
      <sheetName val="Trade Activity Summary"/>
      <sheetName val="Sale Activity Bond"/>
      <sheetName val="Sale Activity"/>
      <sheetName val="Buy Activity Bond"/>
      <sheetName val="Buy Activity"/>
      <sheetName val="Default"/>
      <sheetName val="CCC"/>
      <sheetName val="CCCBond"/>
      <sheetName val="Presentation Info 22 (Adam Silv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/>
      <sheetData sheetId="12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UM YTD 2000"/>
      <sheetName val="AUM_Chart"/>
      <sheetName val="Cap Structure"/>
      <sheetName val="TOP10"/>
      <sheetName val="DefaultHistory"/>
      <sheetName val="DefaultedSecuritySummary"/>
      <sheetName val="DefaultedSecuritySummary2"/>
      <sheetName val="DefaultedSecurityData"/>
      <sheetName val="Actual vs Covenant"/>
      <sheetName val="APEX"/>
      <sheetName val="APEX_MR"/>
      <sheetName val="APEX_SR"/>
      <sheetName val="APEX_MI"/>
      <sheetName val="APEX_SI"/>
      <sheetName val="ELC1"/>
      <sheetName val="ELC1_SR"/>
      <sheetName val="ELC1_MR"/>
      <sheetName val="ELC1_FR"/>
      <sheetName val="ELC1_SI"/>
      <sheetName val="ELC1_MI"/>
      <sheetName val="ELC2"/>
      <sheetName val="ELC2_SR"/>
      <sheetName val="ELC2_FR"/>
      <sheetName val="ELC2_SI"/>
      <sheetName val="ELC2_MI"/>
      <sheetName val="ELC3"/>
      <sheetName val="ELC3_MR"/>
      <sheetName val="ELC3_SR"/>
      <sheetName val="ELC3_FR"/>
      <sheetName val="ELC3_MI"/>
      <sheetName val="ELC3_SI"/>
      <sheetName val="ELC4"/>
      <sheetName val="ELC4_MR"/>
      <sheetName val="ELC4_SR"/>
      <sheetName val="ELC4_MI"/>
      <sheetName val="ELC4_SI"/>
      <sheetName val="ELC5"/>
      <sheetName val="ELC5_MR"/>
      <sheetName val="ELC5_SR"/>
      <sheetName val="ELC5_MI"/>
      <sheetName val="ELC5_SI"/>
      <sheetName val="TRYN"/>
      <sheetName val="TRYN_MR"/>
      <sheetName val="TRYN_SR"/>
      <sheetName val="TRYN_SI"/>
      <sheetName val="TRYN_MI"/>
      <sheetName val="SaleData"/>
      <sheetName val="SH_Results"/>
      <sheetName val="SH_APEX"/>
      <sheetName val="SH_ELC1"/>
      <sheetName val="SH_ELC2"/>
      <sheetName val="SH_ELC3"/>
      <sheetName val="SH_ELC4"/>
      <sheetName val="SH_ELC5"/>
      <sheetName val="SH_TRY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OPT-MIS"/>
      <sheetName val="REV"/>
      <sheetName val="EXP"/>
      <sheetName val="MODR"/>
      <sheetName val="D&amp;A"/>
      <sheetName val="DEBT"/>
      <sheetName val="COVS"/>
      <sheetName val="DISPLAY"/>
      <sheetName val="CONTRO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&amp;U"/>
      <sheetName val="BS"/>
      <sheetName val="IS"/>
      <sheetName val="CFS"/>
      <sheetName val="REV"/>
      <sheetName val="RATIO"/>
      <sheetName val="RETURN"/>
      <sheetName val="CONTROL"/>
      <sheetName val="D&amp;A"/>
    </sheetNames>
    <sheetDataSet>
      <sheetData sheetId="0" refreshError="1"/>
      <sheetData sheetId="1"/>
      <sheetData sheetId="2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shflows"/>
      <sheetName val="OC-IC"/>
      <sheetName val="Sources and Uses"/>
      <sheetName val="After Tax"/>
      <sheetName val="Tax Report"/>
      <sheetName val="Price Yield"/>
      <sheetName val="LIBOR"/>
      <sheetName val="Revolver"/>
      <sheetName val="PV Calc"/>
      <sheetName val="Module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STER DRIVER"/>
      <sheetName val="Sheet1"/>
      <sheetName val="Bcom IS-Mnthly"/>
      <sheetName val="Conversion Balance Sheet"/>
      <sheetName val="Bcom BS-Mnthly"/>
      <sheetName val="Bcom FAS95-Mnthly"/>
      <sheetName val="Bcom Rollup-Income"/>
      <sheetName val="Bcom Rollup- Balance"/>
      <sheetName val="Bcom Conversion Charge Adj"/>
      <sheetName val="Bcom Debt"/>
      <sheetName val="Bcom Fixed Assets"/>
      <sheetName val="Bcom Lines"/>
      <sheetName val="Bcom New AE Efficiency"/>
      <sheetName val="Bcom Rev"/>
      <sheetName val="Bcom COGS"/>
      <sheetName val="Bcom-SG&amp;A,Taxes"/>
      <sheetName val="Bcom HEADCOUNT"/>
      <sheetName val="MasterDriverTrucom"/>
      <sheetName val="TruCom IS"/>
      <sheetName val="TruCom BS"/>
      <sheetName val="TruCom FAS95-Mnthly"/>
      <sheetName val="TruCom Rev"/>
      <sheetName val="TruCom COGS"/>
      <sheetName val="TruCom Lines"/>
      <sheetName val="TruCom-SG&amp;A,Taxes"/>
      <sheetName val="TruCom HEADCOUNT"/>
      <sheetName val="TruCom Amort."/>
      <sheetName val="TruCom Fixed Assets"/>
      <sheetName val="TruCom Debt"/>
      <sheetName val="TruCom Debt worksheet"/>
      <sheetName val="Cap Tables"/>
      <sheetName val="TruCom Cash Acct. Recon."/>
      <sheetName val="MASTER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DISPLAY"/>
      <sheetName val="OPT-MIS"/>
      <sheetName val="REV"/>
      <sheetName val="EXP"/>
      <sheetName val="MODR"/>
      <sheetName val="D&amp;A"/>
      <sheetName val="DEBT"/>
      <sheetName val="COVS"/>
      <sheetName val="CONTRO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CM 2000 Rev Chart"/>
      <sheetName val="MCM 2001 Rev Chart"/>
      <sheetName val="MCM 1999 P&amp;L"/>
      <sheetName val="MCM 2000 P&amp;L"/>
      <sheetName val="MCM 2001 Plan"/>
      <sheetName val="MCM 2000 and 2001 Plan"/>
      <sheetName val="GSN Hist IS"/>
      <sheetName val="GSN Hist BS"/>
      <sheetName val="CC 2000 Detail"/>
      <sheetName val="CC 2000 IS"/>
      <sheetName val="CC 2000 BS"/>
      <sheetName val="CC 2000 CF"/>
      <sheetName val="Crescent Mo IS 9-00 to 6-01"/>
      <sheetName val="Crescent Qtr IS Sep00-Jun01"/>
      <sheetName val="Target P&amp;L RollUp"/>
      <sheetName val="Target P&amp;L RollUp June"/>
      <sheetName val="Target P&amp;L Pct Sales"/>
      <sheetName val="MASTER DRIVERS"/>
      <sheetName val="Summary"/>
      <sheetName val="IS Sum"/>
      <sheetName val="BS Sum"/>
      <sheetName val="CF Sum"/>
      <sheetName val="Covenants and Capitalization"/>
      <sheetName val="Ret Earn Reconcile"/>
      <sheetName val="GSN IS Sum"/>
      <sheetName val="Maine IS Sum"/>
      <sheetName val="Conversion BS"/>
      <sheetName val="Key Ratios"/>
      <sheetName val="MCG vs Vaxa"/>
      <sheetName val="Exhibits1"/>
      <sheetName val="Exhibits2"/>
      <sheetName val="IS"/>
      <sheetName val="BS"/>
      <sheetName val="CF"/>
      <sheetName val="Debt"/>
      <sheetName val="Fixed Assets"/>
      <sheetName val="Intangibles"/>
      <sheetName val="DCF"/>
      <sheetName val="Initial TTM EBITDA by Cluster"/>
      <sheetName val="Geographic Concentration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anX"/>
      <sheetName val="Portfolio Input"/>
      <sheetName val="Warehouse Summary"/>
      <sheetName val="Investor Summary"/>
      <sheetName val="Industry"/>
      <sheetName val="Rating"/>
      <sheetName val="Broad Loan Category"/>
      <sheetName val="Diversity Calc"/>
      <sheetName val="Vlookup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puts"/>
      <sheetName val="Pipeline"/>
      <sheetName val="Monthly Financials"/>
      <sheetName val="Quarterly Financials"/>
      <sheetName val="Yearly Financials"/>
      <sheetName val="Distributions"/>
      <sheetName val="Returns"/>
      <sheetName val="Operations"/>
      <sheetName val="Payroll"/>
      <sheetName val="Depreciation"/>
      <sheetName val="Debt"/>
      <sheetName val="Equit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mps"/>
      <sheetName val="Model"/>
      <sheetName val="Portfolio Input"/>
    </sheetNames>
    <sheetDataSet>
      <sheetData sheetId="0"/>
      <sheetData sheetId="1" refreshError="1"/>
      <sheetData sheetId="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_FDSCACHE__"/>
      <sheetName val="TransSum"/>
      <sheetName val="Consolidated"/>
      <sheetName val="JDPC Proj."/>
      <sheetName val="EG Proj."/>
      <sheetName val="KBB Proj. 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liminary"/>
      <sheetName val="Final"/>
    </sheetNames>
    <sheetDataSet>
      <sheetData sheetId="0" refreshError="1"/>
      <sheetData sheetId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_01_05_v_Wicks_xls__01_05_v_Wic"/>
    </sheetNames>
    <sheetDataSet>
      <sheetData sheetId="0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O Summary"/>
      <sheetName val="Financials"/>
      <sheetName val="Debt"/>
      <sheetName val="Cap"/>
      <sheetName val="Consolidated"/>
      <sheetName val="Television"/>
      <sheetName val="Corporate"/>
      <sheetName val="Capex"/>
      <sheetName val="Tax"/>
      <sheetName val="Adj 2006"/>
      <sheetName val="Credit"/>
      <sheetName val="For Banks"/>
      <sheetName val="_01_05_v_Wicks_xls__01_05_v_Wi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M Yields"/>
      <sheetName val="Vector Output"/>
      <sheetName val="Portfolio"/>
      <sheetName val="Action Items"/>
      <sheetName val="Defense Comps"/>
      <sheetName val="Telecom"/>
      <sheetName val="WARF"/>
      <sheetName val="Template"/>
      <sheetName val="1"/>
      <sheetName val="2"/>
      <sheetName val="3"/>
      <sheetName val="4"/>
      <sheetName val="Credit Breakdown"/>
      <sheetName val="Auto EVs"/>
      <sheetName val="WARF Tracker"/>
      <sheetName val="Deal Multiples"/>
      <sheetName val="Status"/>
      <sheetName val="Output"/>
      <sheetName val="Graphs"/>
      <sheetName val="Inputs"/>
      <sheetName val="LBO Summary"/>
      <sheetName val="Tanning Assumptions"/>
      <sheetName val="IncStmt"/>
      <sheetName val="BS"/>
      <sheetName val="DCF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ly-by-night - Base"/>
      <sheetName val="Fly-by-night - problem 5"/>
      <sheetName val="Fly-by-night - problem 6"/>
      <sheetName val="Fly-by-night - Base with ltd"/>
      <sheetName val="Portfolio"/>
      <sheetName val="MASTER DRIVER"/>
      <sheetName val="LBO Summary"/>
      <sheetName val="IncStmt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BO Summary"/>
      <sheetName val="Financials"/>
      <sheetName val="Debt"/>
      <sheetName val="Cap"/>
      <sheetName val="Consolidated"/>
      <sheetName val="Television"/>
      <sheetName val="Corporate"/>
      <sheetName val="Capex"/>
      <sheetName val="Tax"/>
      <sheetName val="Credit"/>
      <sheetName val="Summary"/>
      <sheetName val="Segments"/>
      <sheetName val="Adjustments"/>
      <sheetName val="Fly-by-night - problem 5"/>
      <sheetName val="Input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al Info"/>
      <sheetName val="Qualitative Analysis"/>
      <sheetName val="Base"/>
      <sheetName val="EV_DCF Analysis"/>
      <sheetName val="VeCTOR Import"/>
      <sheetName val="Annual Summary"/>
      <sheetName val="LBO Summary"/>
      <sheetName val="Fly-by-night - problem 5"/>
      <sheetName val="Segment Info"/>
    </sheetNames>
    <sheetDataSet>
      <sheetData sheetId="0" refreshError="1"/>
      <sheetData sheetId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TLE"/>
      <sheetName val="SUMMARY"/>
      <sheetName val="TRANSACTION"/>
      <sheetName val="Capital Structure"/>
      <sheetName val="DEBT DETAIL"/>
      <sheetName val="Sheet2"/>
      <sheetName val="Flat EBITDA"/>
      <sheetName val="Scenario Fan"/>
      <sheetName val="Sheet1"/>
      <sheetName val="Sheet1 (2)"/>
      <sheetName val="Case Comparison"/>
      <sheetName val="INCOME STATEMENT"/>
      <sheetName val="BALANCE SHEET"/>
      <sheetName val="CASH FLOW"/>
      <sheetName val="World Cup"/>
      <sheetName val="Taxes"/>
      <sheetName val="CAPEX &amp; INTANG"/>
      <sheetName val="Drivers"/>
      <sheetName val="WORKING CAPITAL"/>
      <sheetName val="Buildup"/>
      <sheetName val="S&amp;U"/>
      <sheetName val="TV Build"/>
      <sheetName val="TV Group"/>
      <sheetName val="UVN"/>
      <sheetName val="TLF"/>
      <sheetName val="Gala"/>
      <sheetName val="TV Station Group"/>
      <sheetName val="UTG"/>
      <sheetName val="TTG"/>
      <sheetName val="Radio Operating Build"/>
      <sheetName val="Radio Drivers"/>
      <sheetName val="Consolidated"/>
      <sheetName val="Market Build"/>
      <sheetName val="Other"/>
      <sheetName val="Overview"/>
      <sheetName val="Margin Bridge"/>
      <sheetName val="Projections Detail"/>
      <sheetName val="VeCTOR Import"/>
      <sheetName val="LBO Summary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preciation"/>
      <sheetName val="S&amp;U"/>
      <sheetName val="Sheet1"/>
      <sheetName val="1998 assump"/>
      <sheetName val="1997 assump"/>
      <sheetName val="******"/>
      <sheetName val="1998 P &amp; L"/>
      <sheetName val="1999 P &amp; L"/>
      <sheetName val="summ people"/>
      <sheetName val="people"/>
      <sheetName val="Sheet2"/>
      <sheetName val="B"/>
      <sheetName val="Sheet5"/>
      <sheetName val="Employees"/>
      <sheetName val="Reconcile"/>
      <sheetName val="D"/>
      <sheetName val="TRANSACTION"/>
      <sheetName val="VeCTOR Impo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CovCalcs Table"/>
      <sheetName val="IS Table"/>
      <sheetName val="BS Table"/>
      <sheetName val="SoCF Table"/>
      <sheetName val="RE &amp; DIVS Table"/>
      <sheetName val="Debt Table"/>
      <sheetName val="RE &amp; DIVS"/>
      <sheetName val="Debt"/>
      <sheetName val="BalSh Comb"/>
      <sheetName val="SoCF Comb"/>
      <sheetName val="IS Comb"/>
      <sheetName val="Covenant Summary"/>
      <sheetName val="UF P&amp;L-Mth"/>
      <sheetName val="Sheet1"/>
      <sheetName val="MASTER"/>
      <sheetName val="FC P&amp;L-Mth"/>
      <sheetName val="Headcount"/>
      <sheetName val="New FC Contracts"/>
      <sheetName val="UF Bal-Mth"/>
      <sheetName val="FC Bal-Mth"/>
      <sheetName val="Fixed Assets"/>
      <sheetName val="G&amp;A"/>
      <sheetName val="FC Contracts 2001"/>
      <sheetName val="End Model"/>
      <sheetName val="Combnd Hist BS"/>
      <sheetName val="UF Bal Sheet"/>
      <sheetName val="FC Bal Sheet"/>
      <sheetName val="UF P&amp;L Hist"/>
      <sheetName val="FC P&amp;L Hist"/>
      <sheetName val="UF2000"/>
      <sheetName val="UF2001"/>
      <sheetName val="FC2000"/>
      <sheetName val="FC2001"/>
      <sheetName val="vs. 2001 actuals"/>
      <sheetName val="Sheet3"/>
      <sheetName val="Equity Table"/>
      <sheetName val="Card Count Table"/>
      <sheetName val="BS Tables"/>
      <sheetName val="Concentr Table"/>
      <sheetName val="BS Analysis"/>
      <sheetName val="Table 5"/>
      <sheetName val="Table 4"/>
      <sheetName val="Table 3"/>
      <sheetName val="Table 2"/>
      <sheetName val="Table 1"/>
      <sheetName val="DCF"/>
      <sheetName val="top50hotels"/>
      <sheetName val="Sheet5"/>
      <sheetName val="D"/>
      <sheetName val="MASTER DRIV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OBS - MEDCON"/>
      <sheetName val="OBS - REFI"/>
      <sheetName val="AFS"/>
      <sheetName val="MBS"/>
      <sheetName val="MMIS (2)"/>
      <sheetName val="WHEC"/>
      <sheetName val="MIS"/>
      <sheetName val="MCF"/>
      <sheetName val="PACING06"/>
      <sheetName val="D&amp;A"/>
      <sheetName val="D&amp;A (2)"/>
      <sheetName val="DEBT"/>
      <sheetName val="CHARTS&gt;&gt;&gt;"/>
      <sheetName val="S&amp;U_CAP_MERGER"/>
      <sheetName val="S&amp;U_CAP_REFI"/>
      <sheetName val="MEDCON IS"/>
      <sheetName val="SUM IS"/>
      <sheetName val="PF IS"/>
      <sheetName val="PF BS"/>
      <sheetName val="COVS"/>
      <sheetName val="ECF"/>
      <sheetName val="Bridge"/>
      <sheetName val="HoldCo INT"/>
      <sheetName val="PACING05"/>
      <sheetName val="MASTER"/>
    </sheetNames>
    <sheetDataSet>
      <sheetData sheetId="0"/>
      <sheetData sheetId="1" refreshError="1"/>
      <sheetData sheetId="2"/>
      <sheetData sheetId="3" refreshError="1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"/>
      <sheetName val="EBITDA SUM"/>
      <sheetName val="RIF SUM"/>
      <sheetName val="OBS"/>
      <sheetName val="AFS"/>
      <sheetName val="MIS"/>
      <sheetName val="MBS"/>
      <sheetName val="MCF"/>
      <sheetName val="MC-MIS"/>
      <sheetName val="ED-MIS"/>
      <sheetName val="MED PUB-MIS"/>
      <sheetName val="OPT-MIS"/>
      <sheetName val="REV"/>
      <sheetName val="EXP"/>
      <sheetName val="MODR"/>
      <sheetName val="D&amp;A"/>
      <sheetName val="DEBT"/>
      <sheetName val="COVS"/>
      <sheetName val="CONTROL"/>
      <sheetName val="OBS - REFI"/>
      <sheetName val="WHE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VER"/>
      <sheetName val="SUM"/>
      <sheetName val="AFS"/>
      <sheetName val="MIS"/>
      <sheetName val="MBS"/>
      <sheetName val="MCF"/>
      <sheetName val="DEBT"/>
      <sheetName val="D&amp;A"/>
      <sheetName val="COVS_ACTUAL"/>
      <sheetName val="COVS"/>
      <sheetName val="PACING05"/>
      <sheetName val="PACING06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/>
      <sheetData sheetId="7" refreshError="1"/>
      <sheetData sheetId="8"/>
      <sheetData sheetId="9"/>
      <sheetData sheetId="10" refreshError="1"/>
      <sheetData sheetId="11" refreshError="1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SCF"/>
      <sheetName val="DCFnew"/>
      <sheetName val="COVS_ACTUAL"/>
      <sheetName val="D&amp;A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CC1DA-209B-460D-BD51-7B73E91912F5}">
  <dimension ref="A3:L257"/>
  <sheetViews>
    <sheetView showGridLines="0" zoomScale="85" zoomScaleNormal="85" workbookViewId="0">
      <selection activeCell="S3" sqref="S3"/>
    </sheetView>
  </sheetViews>
  <sheetFormatPr defaultRowHeight="12.75"/>
  <cols>
    <col min="1" max="1" width="9.140625" style="1"/>
    <col min="2" max="2" width="66.5703125" style="1" customWidth="1"/>
    <col min="3" max="8" width="14.7109375" style="1" customWidth="1"/>
    <col min="9" max="9" width="38.5703125" style="1" bestFit="1" customWidth="1"/>
    <col min="10" max="10" width="13" style="1" customWidth="1"/>
    <col min="11" max="16384" width="9.140625" style="1"/>
  </cols>
  <sheetData>
    <row r="3" spans="1:12">
      <c r="A3" s="156" t="s">
        <v>0</v>
      </c>
      <c r="I3" s="190" t="s">
        <v>1</v>
      </c>
      <c r="J3" s="191">
        <f>Model!$G$240</f>
        <v>5.5744467361614362E-2</v>
      </c>
    </row>
    <row r="4" spans="1:12">
      <c r="A4" s="156"/>
      <c r="B4" s="190"/>
      <c r="C4" s="190"/>
      <c r="D4" s="190"/>
      <c r="E4" s="190"/>
      <c r="F4" s="190"/>
      <c r="G4" s="190"/>
      <c r="H4" s="190"/>
      <c r="I4" s="190" t="s">
        <v>2</v>
      </c>
      <c r="J4" s="191">
        <f>Model!$G$241</f>
        <v>5.4055518758904367E-2</v>
      </c>
    </row>
    <row r="5" spans="1:12" ht="13.5" thickBot="1">
      <c r="A5" s="157"/>
      <c r="B5" s="190"/>
      <c r="C5" s="190"/>
      <c r="D5" s="190"/>
      <c r="E5" s="190"/>
      <c r="F5" s="190"/>
      <c r="G5" s="190"/>
      <c r="H5" s="190"/>
      <c r="I5" s="190"/>
      <c r="J5" s="190"/>
      <c r="K5" s="190"/>
      <c r="L5" s="190"/>
    </row>
    <row r="6" spans="1:12">
      <c r="A6" s="157"/>
      <c r="B6" s="158" t="s">
        <v>3</v>
      </c>
      <c r="C6" s="159" t="s">
        <v>4</v>
      </c>
      <c r="D6" s="159" t="s">
        <v>5</v>
      </c>
      <c r="E6" s="160" t="s">
        <v>6</v>
      </c>
      <c r="F6" s="160" t="s">
        <v>7</v>
      </c>
      <c r="G6" s="190"/>
      <c r="H6" s="190"/>
      <c r="I6" s="231" t="s">
        <v>8</v>
      </c>
      <c r="J6" s="232" t="s">
        <v>5</v>
      </c>
    </row>
    <row r="7" spans="1:12">
      <c r="A7" s="157"/>
      <c r="B7" s="161"/>
      <c r="C7" s="162"/>
      <c r="D7" s="162"/>
      <c r="E7" s="163"/>
      <c r="F7" s="190"/>
      <c r="G7" s="190"/>
      <c r="H7" s="190"/>
      <c r="I7" s="227" t="s">
        <v>9</v>
      </c>
      <c r="J7" s="228">
        <v>2459.038</v>
      </c>
    </row>
    <row r="8" spans="1:12">
      <c r="A8" s="157"/>
      <c r="B8" s="166"/>
      <c r="C8" s="165"/>
      <c r="D8" s="165"/>
      <c r="E8" s="102"/>
      <c r="F8" s="190"/>
      <c r="G8" s="190"/>
      <c r="H8" s="190"/>
      <c r="I8" s="227" t="s">
        <v>10</v>
      </c>
      <c r="J8" s="228">
        <v>-76.316000000000003</v>
      </c>
    </row>
    <row r="9" spans="1:12">
      <c r="A9" s="157"/>
      <c r="B9" s="279" t="s">
        <v>11</v>
      </c>
      <c r="C9" s="165">
        <f>SUM(C10:C13)</f>
        <v>42999.782999999996</v>
      </c>
      <c r="D9" s="165">
        <f>SUM(D10:D13)</f>
        <v>2397</v>
      </c>
      <c r="E9" s="163"/>
      <c r="F9" s="190"/>
      <c r="G9" s="190"/>
      <c r="H9" s="190"/>
      <c r="I9" s="251" t="s">
        <v>12</v>
      </c>
      <c r="J9" s="252">
        <v>2382.7220000000002</v>
      </c>
    </row>
    <row r="10" spans="1:12">
      <c r="A10" s="157"/>
      <c r="B10" s="290" t="s">
        <v>13</v>
      </c>
      <c r="C10" s="169">
        <f>D10/$J$3</f>
        <v>31303.555</v>
      </c>
      <c r="D10" s="168">
        <v>1745</v>
      </c>
      <c r="E10" s="163"/>
      <c r="F10" s="190"/>
      <c r="G10" s="190"/>
      <c r="H10" s="190"/>
      <c r="I10" s="227" t="s">
        <v>14</v>
      </c>
      <c r="J10" s="228">
        <v>533.33199999999999</v>
      </c>
    </row>
    <row r="11" spans="1:12" ht="13.5" thickBot="1">
      <c r="A11" s="157"/>
      <c r="B11" s="290" t="s">
        <v>15</v>
      </c>
      <c r="C11" s="169">
        <f t="shared" ref="C11:C13" si="0">D11/$J$3</f>
        <v>179.39</v>
      </c>
      <c r="D11" s="168">
        <v>10</v>
      </c>
      <c r="E11" s="163"/>
      <c r="F11" s="190"/>
      <c r="G11" s="190"/>
      <c r="H11" s="190"/>
      <c r="I11" s="229" t="s">
        <v>16</v>
      </c>
      <c r="J11" s="230">
        <f>J9/J10</f>
        <v>4.467614919037298</v>
      </c>
    </row>
    <row r="12" spans="1:12">
      <c r="A12" s="157"/>
      <c r="B12" s="290" t="s">
        <v>17</v>
      </c>
      <c r="C12" s="169">
        <f t="shared" si="0"/>
        <v>6727.125</v>
      </c>
      <c r="D12" s="168">
        <v>375</v>
      </c>
      <c r="E12" s="246"/>
      <c r="F12" s="190"/>
      <c r="G12" s="190"/>
      <c r="H12" s="190"/>
      <c r="I12" s="102"/>
      <c r="J12" s="165"/>
    </row>
    <row r="13" spans="1:12">
      <c r="A13" s="157"/>
      <c r="B13" s="290" t="s">
        <v>18</v>
      </c>
      <c r="C13" s="169">
        <f t="shared" si="0"/>
        <v>4789.7129999999997</v>
      </c>
      <c r="D13" s="168">
        <v>267</v>
      </c>
      <c r="E13" s="246"/>
      <c r="F13" s="190"/>
      <c r="G13" s="190"/>
      <c r="H13" s="190"/>
      <c r="I13" s="102"/>
      <c r="J13" s="165"/>
    </row>
    <row r="14" spans="1:12">
      <c r="A14" s="157"/>
      <c r="B14" s="290"/>
      <c r="C14" s="168"/>
      <c r="D14" s="168"/>
      <c r="E14" s="246"/>
      <c r="F14" s="190"/>
      <c r="G14" s="190"/>
      <c r="H14" s="190"/>
      <c r="I14" s="71" t="s">
        <v>19</v>
      </c>
      <c r="J14" s="71">
        <f>D25/J10</f>
        <v>4.4779724449311136</v>
      </c>
    </row>
    <row r="15" spans="1:12">
      <c r="A15" s="157"/>
      <c r="B15" s="279" t="s">
        <v>20</v>
      </c>
      <c r="C15" s="165">
        <f>C16</f>
        <v>1112.899682</v>
      </c>
      <c r="D15" s="165">
        <f>D16</f>
        <v>62.037999999999997</v>
      </c>
      <c r="E15" s="163"/>
      <c r="F15" s="190"/>
      <c r="G15" s="190"/>
      <c r="H15" s="190"/>
      <c r="I15" s="71" t="s">
        <v>21</v>
      </c>
      <c r="J15" s="71">
        <f>D25/$D$28</f>
        <v>4.8591221923995729</v>
      </c>
    </row>
    <row r="16" spans="1:12">
      <c r="A16" s="157"/>
      <c r="B16" s="290" t="s">
        <v>22</v>
      </c>
      <c r="C16" s="169">
        <f t="shared" ref="C16" si="1">D16/$J$3</f>
        <v>1112.899682</v>
      </c>
      <c r="D16" s="168">
        <v>62.037999999999997</v>
      </c>
      <c r="E16" s="163"/>
      <c r="F16" s="190"/>
      <c r="G16" s="190"/>
      <c r="H16" s="190"/>
    </row>
    <row r="17" spans="1:10">
      <c r="A17" s="157"/>
      <c r="B17" s="166" t="s">
        <v>23</v>
      </c>
      <c r="C17" s="165">
        <f>C9+C15</f>
        <v>44112.682681999999</v>
      </c>
      <c r="D17" s="165">
        <f>D9+D15</f>
        <v>2459.038</v>
      </c>
      <c r="E17" s="163"/>
      <c r="F17" s="190"/>
      <c r="G17" s="190"/>
      <c r="H17" s="190"/>
    </row>
    <row r="18" spans="1:10">
      <c r="A18" s="157"/>
      <c r="B18" s="166"/>
      <c r="C18" s="165"/>
      <c r="D18" s="165"/>
      <c r="E18" s="163"/>
      <c r="F18" s="190"/>
      <c r="G18" s="190"/>
      <c r="H18" s="190"/>
    </row>
    <row r="19" spans="1:10">
      <c r="A19" s="157"/>
      <c r="B19" s="171" t="s">
        <v>24</v>
      </c>
      <c r="C19" s="169">
        <f t="shared" ref="C19:C23" si="2">D19/$J$3</f>
        <v>442.78833699999996</v>
      </c>
      <c r="D19" s="168">
        <v>24.683</v>
      </c>
      <c r="E19" s="163"/>
      <c r="F19" s="190"/>
      <c r="G19" s="190"/>
      <c r="H19" s="190"/>
    </row>
    <row r="20" spans="1:10">
      <c r="A20" s="157"/>
      <c r="B20" s="171" t="s">
        <v>25</v>
      </c>
      <c r="C20" s="169">
        <f t="shared" si="2"/>
        <v>11.947374</v>
      </c>
      <c r="D20" s="168">
        <v>0.66600000000000004</v>
      </c>
      <c r="E20" s="163"/>
      <c r="F20" s="190"/>
      <c r="G20" s="190"/>
      <c r="H20" s="190"/>
    </row>
    <row r="21" spans="1:10">
      <c r="A21" s="157"/>
      <c r="B21" s="171" t="s">
        <v>26</v>
      </c>
      <c r="C21" s="169">
        <f t="shared" si="2"/>
        <v>-355.64067499999999</v>
      </c>
      <c r="D21" s="168">
        <v>-19.824999999999999</v>
      </c>
      <c r="E21" s="163"/>
      <c r="F21" s="190"/>
      <c r="G21" s="190"/>
      <c r="H21" s="190"/>
    </row>
    <row r="22" spans="1:10">
      <c r="A22" s="157"/>
      <c r="B22" s="171"/>
      <c r="C22" s="168"/>
      <c r="D22" s="169"/>
      <c r="E22" s="173"/>
      <c r="F22" s="192"/>
      <c r="G22" s="190"/>
      <c r="H22" s="190"/>
      <c r="I22" s="190"/>
      <c r="J22" s="190"/>
    </row>
    <row r="23" spans="1:10">
      <c r="A23" s="157"/>
      <c r="B23" s="70" t="s">
        <v>27</v>
      </c>
      <c r="C23" s="174">
        <f>SUM(C17:C21)</f>
        <v>44211.777717999998</v>
      </c>
      <c r="D23" s="174">
        <f>SUM(D17:D21)</f>
        <v>2464.5620000000004</v>
      </c>
      <c r="E23" s="71">
        <f>C23/C28</f>
        <v>4.8624682523124392</v>
      </c>
      <c r="F23" s="71">
        <f>D23/D28</f>
        <v>5.0143946263260464</v>
      </c>
      <c r="G23" s="193"/>
      <c r="H23" s="193"/>
      <c r="I23" s="79"/>
      <c r="J23" s="190"/>
    </row>
    <row r="24" spans="1:10">
      <c r="A24" s="157"/>
      <c r="B24" s="7" t="s">
        <v>28</v>
      </c>
      <c r="C24" s="57">
        <f>Model!$Q$149</f>
        <v>1369.0327239999999</v>
      </c>
      <c r="D24" s="57">
        <f>C24*$J$79</f>
        <v>76.316000000000003</v>
      </c>
      <c r="E24" s="72"/>
      <c r="F24" s="72"/>
      <c r="G24" s="190"/>
      <c r="H24" s="190"/>
      <c r="I24"/>
      <c r="J24" s="190"/>
    </row>
    <row r="25" spans="1:10">
      <c r="A25" s="157"/>
      <c r="B25" s="70" t="s">
        <v>12</v>
      </c>
      <c r="C25" s="174">
        <f>C23-C24</f>
        <v>42842.744994000001</v>
      </c>
      <c r="D25" s="174">
        <f>D23-D24</f>
        <v>2388.2460000000005</v>
      </c>
      <c r="E25" s="71">
        <f>C25/C28</f>
        <v>4.7119002701949375</v>
      </c>
      <c r="F25" s="71">
        <f>D25/D28</f>
        <v>4.8591221923995729</v>
      </c>
      <c r="G25" s="190"/>
      <c r="H25" s="190"/>
      <c r="I25"/>
      <c r="J25" s="190"/>
    </row>
    <row r="26" spans="1:10">
      <c r="A26" s="157"/>
      <c r="B26" s="7" t="s">
        <v>29</v>
      </c>
      <c r="C26" s="176">
        <f>Model!$Q$153</f>
        <v>130118.90405099999</v>
      </c>
      <c r="D26" s="176">
        <f>C26*$J$79</f>
        <v>7253.4089999999997</v>
      </c>
      <c r="E26" s="72"/>
      <c r="F26" s="190"/>
      <c r="G26" s="190"/>
      <c r="H26" s="190"/>
      <c r="I26" s="194"/>
      <c r="J26" s="194"/>
    </row>
    <row r="27" spans="1:10">
      <c r="A27" s="157"/>
      <c r="B27" s="6" t="s">
        <v>30</v>
      </c>
      <c r="C27" s="177">
        <f>C25+C26</f>
        <v>172961.649045</v>
      </c>
      <c r="D27" s="177">
        <f>C27*$J$79</f>
        <v>9641.6550000000007</v>
      </c>
      <c r="E27" s="102"/>
      <c r="F27" s="190"/>
      <c r="G27" s="190"/>
      <c r="H27" s="190"/>
      <c r="I27" s="171"/>
      <c r="J27" s="102"/>
    </row>
    <row r="28" spans="1:10" s="2" customFormat="1">
      <c r="A28" s="156"/>
      <c r="B28" s="6" t="s">
        <v>31</v>
      </c>
      <c r="C28" s="24">
        <f>Model!$Q$110</f>
        <v>9092.4558113000003</v>
      </c>
      <c r="D28" s="24">
        <f>C28*$J$80</f>
        <v>491.49741567223617</v>
      </c>
      <c r="E28" s="6"/>
      <c r="F28" s="82"/>
      <c r="G28" s="265"/>
      <c r="H28" s="265"/>
      <c r="I28" s="166"/>
      <c r="J28" s="102"/>
    </row>
    <row r="29" spans="1:10">
      <c r="A29" s="157"/>
      <c r="B29" s="195" t="s">
        <v>32</v>
      </c>
      <c r="C29" s="196">
        <f>C23-Model!$Q$146</f>
        <v>0</v>
      </c>
      <c r="D29" s="196">
        <f>D23-Model!$S$146</f>
        <v>0</v>
      </c>
      <c r="E29" s="179"/>
      <c r="F29" s="190"/>
      <c r="G29" s="178"/>
      <c r="H29" s="178"/>
      <c r="I29" s="171"/>
      <c r="J29" s="102"/>
    </row>
    <row r="30" spans="1:10">
      <c r="A30" s="157"/>
      <c r="B30" s="157"/>
      <c r="C30" s="157"/>
      <c r="D30" s="157"/>
      <c r="E30" s="190"/>
      <c r="F30" s="190"/>
      <c r="G30" s="190"/>
      <c r="H30" s="190"/>
    </row>
    <row r="31" spans="1:10" ht="13.5" thickBot="1">
      <c r="A31" s="157"/>
      <c r="B31" s="6"/>
      <c r="C31" s="180"/>
      <c r="D31" s="180"/>
      <c r="E31" s="190"/>
      <c r="F31" s="190"/>
      <c r="G31" s="190"/>
      <c r="H31" s="190"/>
    </row>
    <row r="32" spans="1:10">
      <c r="A32" s="157"/>
      <c r="B32" s="198" t="s">
        <v>33</v>
      </c>
      <c r="C32" s="199" t="s">
        <v>4</v>
      </c>
      <c r="D32" s="200" t="s">
        <v>5</v>
      </c>
      <c r="E32" s="190"/>
      <c r="F32" s="190"/>
      <c r="G32" s="190"/>
      <c r="H32" s="190"/>
    </row>
    <row r="33" spans="1:10">
      <c r="A33" s="157"/>
      <c r="B33" s="103" t="s">
        <v>34</v>
      </c>
      <c r="C33" s="169">
        <f t="shared" ref="C33:C34" si="3">D33/$J$3</f>
        <v>987.14729199999988</v>
      </c>
      <c r="D33" s="228">
        <v>55.027999999999999</v>
      </c>
      <c r="E33" s="190"/>
      <c r="F33" s="190"/>
      <c r="G33" s="190"/>
      <c r="H33" s="190"/>
    </row>
    <row r="34" spans="1:10">
      <c r="A34" s="157"/>
      <c r="B34" s="103" t="s">
        <v>35</v>
      </c>
      <c r="C34" s="169">
        <f t="shared" si="3"/>
        <v>381.88543199999998</v>
      </c>
      <c r="D34" s="228">
        <v>21.288</v>
      </c>
      <c r="E34" s="190"/>
      <c r="F34" s="190"/>
      <c r="G34" s="190"/>
      <c r="H34" s="190"/>
    </row>
    <row r="35" spans="1:10" ht="13.5" thickBot="1">
      <c r="A35" s="157"/>
      <c r="B35" s="74" t="s">
        <v>23</v>
      </c>
      <c r="C35" s="233">
        <f>SUM(C33:C34)</f>
        <v>1369.0327239999999</v>
      </c>
      <c r="D35" s="234">
        <f>SUM(D33:D34)</f>
        <v>76.316000000000003</v>
      </c>
      <c r="E35" s="190"/>
      <c r="F35" s="190"/>
      <c r="G35" s="190"/>
      <c r="H35" s="190"/>
    </row>
    <row r="36" spans="1:10">
      <c r="A36" s="157"/>
      <c r="B36" s="235" t="s">
        <v>32</v>
      </c>
      <c r="C36" s="236">
        <f>C35-C24</f>
        <v>0</v>
      </c>
      <c r="D36" s="236">
        <f>D35-D24</f>
        <v>0</v>
      </c>
      <c r="E36" s="190"/>
      <c r="F36" s="190"/>
      <c r="G36" s="190"/>
      <c r="H36" s="190"/>
    </row>
    <row r="37" spans="1:10">
      <c r="A37" s="157"/>
      <c r="B37" s="6"/>
      <c r="C37" s="180"/>
      <c r="D37" s="180"/>
      <c r="E37" s="190"/>
      <c r="F37" s="190"/>
      <c r="G37" s="190"/>
      <c r="H37" s="190"/>
    </row>
    <row r="38" spans="1:10" ht="13.5" thickBot="1">
      <c r="A38" s="157"/>
      <c r="B38" s="6"/>
      <c r="C38" s="180"/>
      <c r="D38" s="180"/>
      <c r="E38" s="180"/>
      <c r="F38" s="190"/>
      <c r="G38" s="190"/>
      <c r="H38" s="190"/>
    </row>
    <row r="39" spans="1:10">
      <c r="A39" s="157"/>
      <c r="B39" s="278" t="s">
        <v>36</v>
      </c>
      <c r="C39" s="277"/>
      <c r="D39" s="277"/>
      <c r="E39" s="276"/>
      <c r="F39" s="190"/>
      <c r="G39" s="190"/>
      <c r="H39" s="190"/>
      <c r="I39" s="171"/>
      <c r="J39" s="102"/>
    </row>
    <row r="40" spans="1:10">
      <c r="A40" s="157"/>
      <c r="B40" s="275"/>
      <c r="C40" s="181"/>
      <c r="D40" s="182"/>
      <c r="E40" s="182"/>
      <c r="F40" s="190"/>
      <c r="G40" s="190"/>
      <c r="H40" s="190"/>
      <c r="I40" s="171"/>
      <c r="J40" s="72"/>
    </row>
    <row r="41" spans="1:10">
      <c r="A41" s="157"/>
      <c r="B41" s="274"/>
      <c r="C41" s="181"/>
      <c r="D41" s="243"/>
      <c r="E41" s="243"/>
      <c r="F41" s="190"/>
      <c r="G41" s="190"/>
      <c r="H41" s="190"/>
      <c r="I41" s="171"/>
      <c r="J41" s="72"/>
    </row>
    <row r="42" spans="1:10">
      <c r="A42" s="157"/>
      <c r="B42" s="210"/>
      <c r="C42" s="181"/>
      <c r="D42" s="182"/>
      <c r="E42" s="182"/>
      <c r="F42" s="190"/>
      <c r="G42" s="190"/>
      <c r="H42" s="190"/>
      <c r="I42" s="171"/>
      <c r="J42" s="72"/>
    </row>
    <row r="43" spans="1:10">
      <c r="A43" s="157"/>
      <c r="B43" s="275"/>
      <c r="C43" s="181"/>
      <c r="D43" s="182"/>
      <c r="E43" s="182"/>
      <c r="F43" s="190"/>
      <c r="G43" s="190"/>
      <c r="H43" s="190"/>
      <c r="I43" s="171"/>
      <c r="J43" s="72"/>
    </row>
    <row r="44" spans="1:10">
      <c r="A44" s="157"/>
      <c r="B44" s="275"/>
      <c r="C44" s="181"/>
      <c r="D44" s="182"/>
      <c r="E44" s="182"/>
      <c r="F44" s="190"/>
      <c r="G44" s="190"/>
      <c r="H44" s="190"/>
      <c r="I44" s="171"/>
      <c r="J44" s="72"/>
    </row>
    <row r="45" spans="1:10">
      <c r="A45" s="157"/>
      <c r="B45" s="275"/>
      <c r="C45" s="181"/>
      <c r="D45" s="182"/>
      <c r="E45" s="182"/>
      <c r="F45" s="190"/>
      <c r="G45" s="190"/>
      <c r="H45" s="190"/>
      <c r="I45" s="171"/>
      <c r="J45" s="72"/>
    </row>
    <row r="46" spans="1:10">
      <c r="A46" s="157"/>
      <c r="B46" s="275"/>
      <c r="C46" s="181"/>
      <c r="D46" s="182"/>
      <c r="E46" s="182"/>
      <c r="F46" s="190"/>
      <c r="G46" s="190"/>
      <c r="H46" s="190"/>
      <c r="I46" s="171"/>
      <c r="J46" s="72"/>
    </row>
    <row r="47" spans="1:10">
      <c r="A47" s="157"/>
      <c r="B47" s="275"/>
      <c r="C47" s="181"/>
      <c r="D47" s="182"/>
      <c r="E47" s="182"/>
      <c r="F47" s="190"/>
      <c r="G47" s="190"/>
      <c r="H47" s="190"/>
      <c r="I47" s="171"/>
      <c r="J47" s="72"/>
    </row>
    <row r="48" spans="1:10">
      <c r="A48" s="157"/>
      <c r="B48" s="274"/>
      <c r="C48" s="181"/>
      <c r="D48" s="243"/>
      <c r="E48" s="243"/>
      <c r="F48" s="190"/>
      <c r="G48" s="190"/>
      <c r="H48" s="190"/>
      <c r="I48" s="171"/>
      <c r="J48" s="72"/>
    </row>
    <row r="49" spans="1:10">
      <c r="A49" s="157"/>
      <c r="B49" s="210"/>
      <c r="C49" s="181"/>
      <c r="D49" s="182"/>
      <c r="E49" s="182"/>
      <c r="F49" s="190"/>
      <c r="G49" s="190"/>
      <c r="H49" s="190"/>
      <c r="I49" s="171"/>
      <c r="J49" s="72"/>
    </row>
    <row r="50" spans="1:10">
      <c r="A50" s="157"/>
      <c r="B50" s="275"/>
      <c r="C50" s="245"/>
      <c r="D50" s="182"/>
      <c r="E50" s="182"/>
      <c r="F50" s="190"/>
      <c r="G50" s="190"/>
      <c r="H50" s="190"/>
      <c r="I50" s="171"/>
      <c r="J50" s="72"/>
    </row>
    <row r="51" spans="1:10">
      <c r="A51" s="157"/>
      <c r="B51" s="275"/>
      <c r="C51" s="245"/>
      <c r="D51" s="182"/>
      <c r="E51" s="182"/>
      <c r="F51" s="190"/>
      <c r="G51" s="190"/>
      <c r="H51" s="190"/>
      <c r="I51" s="171"/>
      <c r="J51" s="72"/>
    </row>
    <row r="52" spans="1:10">
      <c r="A52" s="157"/>
      <c r="B52" s="274"/>
      <c r="C52" s="181"/>
      <c r="D52" s="243"/>
      <c r="E52" s="243"/>
      <c r="F52" s="190"/>
      <c r="G52" s="190"/>
      <c r="H52" s="190"/>
      <c r="I52" s="171"/>
      <c r="J52" s="72"/>
    </row>
    <row r="53" spans="1:10">
      <c r="A53" s="157"/>
      <c r="B53" s="210"/>
      <c r="C53" s="181"/>
      <c r="D53" s="182"/>
      <c r="E53" s="182"/>
      <c r="F53" s="190"/>
      <c r="G53" s="190"/>
      <c r="H53" s="190"/>
      <c r="I53" s="171"/>
      <c r="J53" s="72"/>
    </row>
    <row r="54" spans="1:10">
      <c r="A54" s="157"/>
      <c r="B54" s="275"/>
      <c r="C54" s="245"/>
      <c r="D54" s="182"/>
      <c r="E54" s="182"/>
      <c r="F54" s="190"/>
      <c r="G54" s="190"/>
      <c r="H54" s="190"/>
      <c r="I54" s="171"/>
      <c r="J54" s="72"/>
    </row>
    <row r="55" spans="1:10">
      <c r="A55" s="157"/>
      <c r="B55" s="274"/>
      <c r="C55" s="210"/>
      <c r="D55" s="243"/>
      <c r="E55" s="243"/>
      <c r="F55" s="190"/>
      <c r="G55" s="190"/>
      <c r="H55" s="190"/>
      <c r="I55" s="171"/>
      <c r="J55" s="72"/>
    </row>
    <row r="56" spans="1:10">
      <c r="A56" s="157"/>
      <c r="B56" s="274"/>
      <c r="C56" s="210"/>
      <c r="D56" s="243"/>
      <c r="E56" s="243"/>
      <c r="F56" s="190"/>
      <c r="G56" s="190"/>
      <c r="H56" s="190"/>
      <c r="I56" s="171"/>
      <c r="J56" s="72"/>
    </row>
    <row r="57" spans="1:10">
      <c r="A57" s="156"/>
      <c r="B57" s="6"/>
      <c r="C57" s="273"/>
      <c r="D57" s="272"/>
      <c r="E57" s="272"/>
      <c r="F57" s="82"/>
      <c r="G57" s="82"/>
      <c r="H57" s="82"/>
      <c r="I57" s="166"/>
      <c r="J57" s="102"/>
    </row>
    <row r="58" spans="1:10">
      <c r="A58" s="157"/>
      <c r="B58" s="7"/>
      <c r="C58" s="181"/>
      <c r="D58" s="182"/>
      <c r="E58" s="182"/>
      <c r="F58" s="190"/>
      <c r="G58" s="190"/>
      <c r="H58" s="190"/>
      <c r="I58" s="171"/>
      <c r="J58" s="72"/>
    </row>
    <row r="59" spans="1:10">
      <c r="A59" s="157"/>
      <c r="B59" s="7"/>
      <c r="C59" s="181"/>
      <c r="D59" s="182"/>
      <c r="E59" s="182"/>
      <c r="F59" s="190"/>
      <c r="G59" s="190"/>
      <c r="H59" s="190"/>
      <c r="I59" s="171"/>
      <c r="J59" s="72"/>
    </row>
    <row r="60" spans="1:10">
      <c r="A60" s="157"/>
      <c r="B60" s="7"/>
      <c r="C60" s="181"/>
      <c r="D60" s="182"/>
      <c r="E60" s="182"/>
      <c r="F60" s="190"/>
      <c r="G60" s="190"/>
      <c r="H60" s="190"/>
      <c r="I60" s="171"/>
      <c r="J60" s="72"/>
    </row>
    <row r="61" spans="1:10">
      <c r="A61" s="156"/>
      <c r="B61" s="6"/>
      <c r="C61" s="273"/>
      <c r="D61" s="272"/>
      <c r="E61" s="272"/>
      <c r="F61" s="82"/>
      <c r="G61" s="82"/>
      <c r="H61" s="82"/>
      <c r="I61" s="166"/>
      <c r="J61" s="102"/>
    </row>
    <row r="62" spans="1:10">
      <c r="A62" s="157"/>
      <c r="B62" s="73"/>
      <c r="C62" s="181"/>
      <c r="D62" s="183"/>
      <c r="E62" s="271"/>
      <c r="F62" s="190"/>
      <c r="G62" s="190"/>
      <c r="H62" s="190"/>
      <c r="I62" s="171"/>
      <c r="J62" s="72"/>
    </row>
    <row r="63" spans="1:10">
      <c r="A63" s="157"/>
      <c r="B63" s="7"/>
      <c r="C63" s="181"/>
      <c r="D63" s="183"/>
      <c r="E63" s="197"/>
      <c r="F63" s="190"/>
      <c r="G63" s="190"/>
      <c r="H63" s="190"/>
      <c r="I63" s="171"/>
      <c r="J63" s="72"/>
    </row>
    <row r="64" spans="1:10" ht="13.5" thickBot="1">
      <c r="A64" s="157"/>
      <c r="B64" s="7"/>
      <c r="C64" s="181"/>
      <c r="D64" s="183"/>
      <c r="E64" s="197"/>
      <c r="F64" s="190"/>
      <c r="G64" s="190"/>
      <c r="H64" s="190"/>
      <c r="I64" s="171"/>
      <c r="J64" s="72"/>
    </row>
    <row r="65" spans="1:10" ht="39" thickBot="1">
      <c r="A65" s="157"/>
      <c r="B65" s="248" t="s">
        <v>37</v>
      </c>
      <c r="C65" s="249" t="s">
        <v>38</v>
      </c>
      <c r="D65" s="250" t="s">
        <v>39</v>
      </c>
      <c r="E65" s="250" t="s">
        <v>40</v>
      </c>
      <c r="F65" s="250" t="s">
        <v>41</v>
      </c>
      <c r="G65" s="250" t="s">
        <v>42</v>
      </c>
      <c r="H65" s="250" t="s">
        <v>23</v>
      </c>
      <c r="I65" s="171"/>
      <c r="J65" s="72"/>
    </row>
    <row r="66" spans="1:10">
      <c r="A66" s="157"/>
      <c r="B66" s="225">
        <v>2026</v>
      </c>
      <c r="C66" s="166"/>
      <c r="D66" s="220">
        <v>375</v>
      </c>
      <c r="E66" s="220"/>
      <c r="F66" s="220"/>
      <c r="G66" s="220">
        <v>62.037999999999997</v>
      </c>
      <c r="H66" s="269">
        <f>SUM(C66:G66)</f>
        <v>437.03800000000001</v>
      </c>
      <c r="I66" s="171"/>
      <c r="J66" s="72"/>
    </row>
    <row r="67" spans="1:10">
      <c r="A67" s="157"/>
      <c r="B67" s="184">
        <v>2027</v>
      </c>
      <c r="C67" s="166"/>
      <c r="D67" s="220"/>
      <c r="E67" s="220"/>
      <c r="F67" s="220">
        <v>267</v>
      </c>
      <c r="G67" s="220"/>
      <c r="H67" s="269">
        <f t="shared" ref="H67:H72" si="4">SUM(C67:G67)</f>
        <v>267</v>
      </c>
      <c r="I67" s="171"/>
      <c r="J67" s="72"/>
    </row>
    <row r="68" spans="1:10">
      <c r="A68" s="157"/>
      <c r="B68" s="186">
        <v>2028</v>
      </c>
      <c r="C68" s="220">
        <v>125</v>
      </c>
      <c r="D68" s="220">
        <v>10</v>
      </c>
      <c r="E68" s="220"/>
      <c r="F68" s="220"/>
      <c r="G68" s="220"/>
      <c r="H68" s="269">
        <f t="shared" si="4"/>
        <v>135</v>
      </c>
      <c r="I68" s="171"/>
      <c r="J68" s="72"/>
    </row>
    <row r="69" spans="1:10">
      <c r="A69" s="157"/>
      <c r="B69" s="186">
        <v>2029</v>
      </c>
      <c r="C69" s="220">
        <v>100</v>
      </c>
      <c r="D69" s="220"/>
      <c r="E69" s="220"/>
      <c r="F69" s="220"/>
      <c r="G69" s="220"/>
      <c r="H69" s="269">
        <f t="shared" si="4"/>
        <v>100</v>
      </c>
      <c r="I69" s="171"/>
      <c r="J69" s="72"/>
    </row>
    <row r="70" spans="1:10">
      <c r="A70" s="157"/>
      <c r="B70" s="186">
        <v>2030</v>
      </c>
      <c r="C70" s="220">
        <v>125</v>
      </c>
      <c r="D70" s="220"/>
      <c r="E70" s="220"/>
      <c r="F70" s="220"/>
      <c r="G70" s="220"/>
      <c r="H70" s="269">
        <f t="shared" si="4"/>
        <v>125</v>
      </c>
      <c r="I70" s="171"/>
      <c r="J70" s="72"/>
    </row>
    <row r="71" spans="1:10">
      <c r="A71" s="157"/>
      <c r="B71" s="186">
        <v>2031</v>
      </c>
      <c r="C71" s="220">
        <v>150</v>
      </c>
      <c r="D71" s="220"/>
      <c r="E71" s="220"/>
      <c r="F71" s="220"/>
      <c r="G71" s="220"/>
      <c r="H71" s="269">
        <f t="shared" si="4"/>
        <v>150</v>
      </c>
      <c r="I71" s="171"/>
      <c r="J71" s="72"/>
    </row>
    <row r="72" spans="1:10" ht="13.5" thickBot="1">
      <c r="A72" s="157"/>
      <c r="B72" s="186" t="s">
        <v>43</v>
      </c>
      <c r="C72" s="220">
        <v>1245</v>
      </c>
      <c r="D72" s="220"/>
      <c r="E72" s="220"/>
      <c r="F72" s="220"/>
      <c r="G72" s="220"/>
      <c r="H72" s="269">
        <f t="shared" si="4"/>
        <v>1245</v>
      </c>
      <c r="I72" s="171"/>
      <c r="J72" s="72"/>
    </row>
    <row r="73" spans="1:10" ht="13.5" thickBot="1">
      <c r="A73" s="157"/>
      <c r="B73" s="268" t="s">
        <v>23</v>
      </c>
      <c r="C73" s="267">
        <f>SUM(C66:C72)</f>
        <v>1745</v>
      </c>
      <c r="D73" s="267">
        <f t="shared" ref="D73:H73" si="5">SUM(D66:D72)</f>
        <v>385</v>
      </c>
      <c r="E73" s="267">
        <f t="shared" si="5"/>
        <v>0</v>
      </c>
      <c r="F73" s="267">
        <f t="shared" si="5"/>
        <v>267</v>
      </c>
      <c r="G73" s="267">
        <f t="shared" si="5"/>
        <v>62.037999999999997</v>
      </c>
      <c r="H73" s="266">
        <f t="shared" si="5"/>
        <v>2459.038</v>
      </c>
      <c r="I73" s="171"/>
      <c r="J73" s="72"/>
    </row>
    <row r="74" spans="1:10">
      <c r="A74" s="157"/>
      <c r="B74" s="210"/>
      <c r="C74" s="220"/>
      <c r="D74" s="270"/>
      <c r="E74" s="197"/>
      <c r="F74" s="190"/>
      <c r="G74" s="190"/>
      <c r="H74" s="190"/>
      <c r="I74" s="171"/>
      <c r="J74" s="72"/>
    </row>
    <row r="75" spans="1:10">
      <c r="A75" s="157"/>
      <c r="B75" s="210"/>
      <c r="C75" s="220"/>
      <c r="D75" s="270"/>
      <c r="E75" s="197"/>
      <c r="F75" s="190"/>
      <c r="G75" s="190"/>
      <c r="H75" s="190"/>
      <c r="I75" s="171"/>
      <c r="J75" s="72"/>
    </row>
    <row r="79" spans="1:10">
      <c r="A79" s="156" t="s">
        <v>44</v>
      </c>
      <c r="I79" s="190" t="s">
        <v>1</v>
      </c>
      <c r="J79" s="191">
        <f>Model!$G$240</f>
        <v>5.5744467361614362E-2</v>
      </c>
    </row>
    <row r="80" spans="1:10">
      <c r="A80" s="156"/>
      <c r="B80" s="190"/>
      <c r="C80" s="190"/>
      <c r="D80" s="190"/>
      <c r="E80" s="190"/>
      <c r="F80" s="190"/>
      <c r="G80" s="190"/>
      <c r="H80" s="190"/>
      <c r="I80" s="190" t="s">
        <v>2</v>
      </c>
      <c r="J80" s="191">
        <f>Model!$G$241</f>
        <v>5.4055518758904367E-2</v>
      </c>
    </row>
    <row r="81" spans="1:12" ht="13.5" thickBot="1">
      <c r="A81" s="157"/>
      <c r="B81" s="190"/>
      <c r="C81" s="190"/>
      <c r="D81" s="190"/>
      <c r="E81" s="190"/>
      <c r="F81" s="190"/>
      <c r="G81" s="190"/>
      <c r="H81" s="190"/>
      <c r="I81" s="190"/>
      <c r="J81" s="190"/>
      <c r="K81" s="190"/>
      <c r="L81" s="190"/>
    </row>
    <row r="82" spans="1:12">
      <c r="A82" s="157"/>
      <c r="B82" s="158" t="s">
        <v>45</v>
      </c>
      <c r="C82" s="159" t="s">
        <v>4</v>
      </c>
      <c r="D82" s="159" t="s">
        <v>5</v>
      </c>
      <c r="E82" s="160" t="s">
        <v>6</v>
      </c>
      <c r="F82" s="160" t="s">
        <v>7</v>
      </c>
      <c r="G82" s="190"/>
      <c r="H82" s="190"/>
      <c r="I82" s="231" t="s">
        <v>8</v>
      </c>
      <c r="J82" s="232" t="s">
        <v>4</v>
      </c>
    </row>
    <row r="83" spans="1:12">
      <c r="A83" s="157"/>
      <c r="B83" s="161"/>
      <c r="C83" s="162"/>
      <c r="D83" s="162"/>
      <c r="E83" s="163"/>
      <c r="F83" s="190"/>
      <c r="G83" s="190"/>
      <c r="H83" s="190"/>
      <c r="I83" s="227" t="s">
        <v>9</v>
      </c>
      <c r="J83" s="228">
        <v>43976.964</v>
      </c>
    </row>
    <row r="84" spans="1:12">
      <c r="A84" s="157"/>
      <c r="B84" s="164" t="s">
        <v>46</v>
      </c>
      <c r="C84" s="165"/>
      <c r="D84" s="165"/>
      <c r="E84" s="102"/>
      <c r="F84" s="190"/>
      <c r="G84" s="190"/>
      <c r="H84" s="190"/>
      <c r="I84" s="227" t="s">
        <v>10</v>
      </c>
      <c r="J84" s="228">
        <v>-2052.962</v>
      </c>
    </row>
    <row r="85" spans="1:12">
      <c r="A85" s="157"/>
      <c r="B85" s="166" t="s">
        <v>11</v>
      </c>
      <c r="C85" s="165">
        <f>SUM(C86:C87)</f>
        <v>24525</v>
      </c>
      <c r="D85" s="165">
        <f>SUM(D86:D87)</f>
        <v>1367.1330620435922</v>
      </c>
      <c r="E85" s="163"/>
      <c r="F85" s="190"/>
      <c r="G85" s="190"/>
      <c r="H85" s="190"/>
      <c r="I85" s="251" t="s">
        <v>12</v>
      </c>
      <c r="J85" s="252">
        <v>41924.002</v>
      </c>
    </row>
    <row r="86" spans="1:12">
      <c r="A86" s="157"/>
      <c r="B86" s="167" t="s">
        <v>13</v>
      </c>
      <c r="C86" s="168">
        <v>22281</v>
      </c>
      <c r="D86" s="169">
        <f>C86*$J$79</f>
        <v>1242.0424772841295</v>
      </c>
      <c r="E86" s="163"/>
      <c r="F86" s="190"/>
      <c r="G86" s="190"/>
      <c r="H86" s="190"/>
      <c r="I86" s="227" t="s">
        <v>14</v>
      </c>
      <c r="J86" s="228">
        <v>8731.9560000000001</v>
      </c>
    </row>
    <row r="87" spans="1:12" ht="13.5" thickBot="1">
      <c r="A87" s="157"/>
      <c r="B87" s="167" t="s">
        <v>47</v>
      </c>
      <c r="C87" s="168">
        <v>2244</v>
      </c>
      <c r="D87" s="169">
        <f>C87*$J$79</f>
        <v>125.09058475946263</v>
      </c>
      <c r="E87" s="246"/>
      <c r="F87" s="190"/>
      <c r="G87" s="190"/>
      <c r="H87" s="190"/>
      <c r="I87" s="229" t="s">
        <v>16</v>
      </c>
      <c r="J87" s="230">
        <f>J85/J86</f>
        <v>4.8012154435959138</v>
      </c>
    </row>
    <row r="88" spans="1:12">
      <c r="A88" s="157"/>
      <c r="B88" s="166" t="s">
        <v>20</v>
      </c>
      <c r="C88" s="165">
        <f>C89</f>
        <v>1124</v>
      </c>
      <c r="D88" s="165">
        <f>D89</f>
        <v>62.656781314454541</v>
      </c>
      <c r="E88" s="163"/>
      <c r="F88" s="190"/>
      <c r="G88" s="190"/>
      <c r="H88" s="190"/>
      <c r="I88" s="102"/>
      <c r="J88" s="165"/>
    </row>
    <row r="89" spans="1:12">
      <c r="A89" s="157"/>
      <c r="B89" s="167" t="s">
        <v>22</v>
      </c>
      <c r="C89" s="168">
        <v>1124</v>
      </c>
      <c r="D89" s="169">
        <f>C89*$J$79</f>
        <v>62.656781314454541</v>
      </c>
      <c r="E89" s="163"/>
      <c r="F89" s="190"/>
      <c r="G89" s="190"/>
      <c r="H89" s="190"/>
      <c r="I89" s="102"/>
      <c r="J89" s="165"/>
    </row>
    <row r="90" spans="1:12">
      <c r="A90" s="157"/>
      <c r="B90" s="166" t="s">
        <v>23</v>
      </c>
      <c r="C90" s="165">
        <f>C85+C88</f>
        <v>25649</v>
      </c>
      <c r="D90" s="165">
        <f>D85+D88</f>
        <v>1429.7898433580467</v>
      </c>
      <c r="E90" s="163"/>
      <c r="F90" s="190"/>
      <c r="G90" s="190"/>
      <c r="H90" s="190"/>
      <c r="I90" s="71" t="s">
        <v>19</v>
      </c>
      <c r="J90" s="71">
        <f>C102/J86</f>
        <v>4.7961806037501793</v>
      </c>
    </row>
    <row r="91" spans="1:12">
      <c r="A91" s="157"/>
      <c r="B91" s="171"/>
      <c r="C91" s="168"/>
      <c r="D91" s="169"/>
      <c r="E91" s="163"/>
      <c r="F91" s="190"/>
      <c r="G91" s="190"/>
      <c r="H91" s="190"/>
      <c r="I91" s="102"/>
      <c r="J91" s="165"/>
    </row>
    <row r="92" spans="1:12">
      <c r="A92" s="157"/>
      <c r="B92" s="164" t="s">
        <v>48</v>
      </c>
      <c r="C92" s="168"/>
      <c r="D92" s="169"/>
      <c r="E92" s="163"/>
      <c r="F92" s="190"/>
      <c r="G92" s="190"/>
      <c r="H92" s="190"/>
      <c r="I92" s="102"/>
      <c r="J92" s="165"/>
    </row>
    <row r="93" spans="1:12">
      <c r="A93" s="157"/>
      <c r="B93" s="166" t="s">
        <v>11</v>
      </c>
      <c r="C93" s="170">
        <f>SUM(C94:C95)</f>
        <v>18284</v>
      </c>
      <c r="D93" s="170">
        <f>SUM(D94:D95)</f>
        <v>1019.2318412397569</v>
      </c>
      <c r="E93" s="163"/>
      <c r="F93" s="190"/>
      <c r="G93" s="190"/>
      <c r="H93" s="190"/>
      <c r="I93" s="102"/>
      <c r="J93" s="165"/>
    </row>
    <row r="94" spans="1:12">
      <c r="A94" s="157"/>
      <c r="B94" s="167" t="s">
        <v>13</v>
      </c>
      <c r="C94" s="168">
        <v>9002</v>
      </c>
      <c r="D94" s="169">
        <f>C94*$J$79</f>
        <v>501.81169518925248</v>
      </c>
      <c r="E94" s="163"/>
      <c r="F94" s="190"/>
      <c r="G94" s="190"/>
      <c r="H94" s="190"/>
      <c r="I94" s="102"/>
      <c r="J94" s="165"/>
    </row>
    <row r="95" spans="1:12">
      <c r="A95" s="157"/>
      <c r="B95" s="167" t="s">
        <v>47</v>
      </c>
      <c r="C95" s="168">
        <v>9282</v>
      </c>
      <c r="D95" s="169">
        <f>C95*$J$79</f>
        <v>517.42014605050451</v>
      </c>
      <c r="E95" s="163"/>
      <c r="F95" s="190"/>
      <c r="G95" s="190"/>
      <c r="H95" s="190"/>
      <c r="I95" s="102"/>
      <c r="J95" s="165"/>
    </row>
    <row r="96" spans="1:12">
      <c r="A96" s="157"/>
      <c r="B96" s="166" t="s">
        <v>20</v>
      </c>
      <c r="C96" s="170">
        <f>C97</f>
        <v>0</v>
      </c>
      <c r="D96" s="170">
        <f>D97</f>
        <v>0</v>
      </c>
      <c r="E96" s="163"/>
      <c r="F96" s="190"/>
      <c r="G96" s="190"/>
      <c r="H96" s="190"/>
      <c r="I96" s="102"/>
      <c r="J96" s="165"/>
    </row>
    <row r="97" spans="1:10">
      <c r="A97" s="157"/>
      <c r="B97" s="167" t="s">
        <v>22</v>
      </c>
      <c r="C97" s="168">
        <v>0</v>
      </c>
      <c r="D97" s="169">
        <f>C97*$J$79</f>
        <v>0</v>
      </c>
      <c r="E97" s="163"/>
      <c r="F97" s="190"/>
      <c r="G97" s="190"/>
      <c r="H97" s="190"/>
      <c r="I97" s="102"/>
      <c r="J97" s="165"/>
    </row>
    <row r="98" spans="1:10">
      <c r="A98" s="157"/>
      <c r="B98" s="172" t="s">
        <v>49</v>
      </c>
      <c r="C98" s="170">
        <f>C93+C96</f>
        <v>18284</v>
      </c>
      <c r="D98" s="170">
        <f>D93+D96</f>
        <v>1019.2318412397569</v>
      </c>
      <c r="E98" s="163"/>
      <c r="F98" s="190"/>
      <c r="G98" s="190"/>
      <c r="H98" s="190"/>
      <c r="I98" s="102"/>
      <c r="J98" s="165"/>
    </row>
    <row r="99" spans="1:10">
      <c r="A99" s="157"/>
      <c r="B99" s="171"/>
      <c r="C99" s="168"/>
      <c r="D99" s="169"/>
      <c r="E99" s="173"/>
      <c r="F99" s="192"/>
      <c r="G99" s="190"/>
      <c r="H99" s="190"/>
      <c r="I99" s="190"/>
      <c r="J99" s="190"/>
    </row>
    <row r="100" spans="1:10">
      <c r="A100" s="157"/>
      <c r="B100" s="70" t="s">
        <v>27</v>
      </c>
      <c r="C100" s="174">
        <f>C90+C98</f>
        <v>43933</v>
      </c>
      <c r="D100" s="174">
        <f>D90+D98</f>
        <v>2449.0216845978039</v>
      </c>
      <c r="E100" s="71">
        <f>C100/C105</f>
        <v>4.7222241629588151</v>
      </c>
      <c r="F100" s="71">
        <f>D100/D105</f>
        <v>4.8697686521216141</v>
      </c>
      <c r="G100" s="193"/>
      <c r="H100" s="193"/>
      <c r="I100" s="79"/>
      <c r="J100" s="190"/>
    </row>
    <row r="101" spans="1:10">
      <c r="A101" s="157"/>
      <c r="B101" s="7" t="s">
        <v>28</v>
      </c>
      <c r="C101" s="57">
        <f>Model!$P$149</f>
        <v>2052.962</v>
      </c>
      <c r="D101" s="57">
        <f>C101*$J$79</f>
        <v>114.44127320363454</v>
      </c>
      <c r="E101" s="72"/>
      <c r="F101" s="72"/>
      <c r="G101" s="190"/>
      <c r="H101" s="190"/>
      <c r="I101"/>
      <c r="J101" s="190"/>
    </row>
    <row r="102" spans="1:10">
      <c r="A102" s="157"/>
      <c r="B102" s="70" t="s">
        <v>12</v>
      </c>
      <c r="C102" s="174">
        <f>C100-C101</f>
        <v>41880.038</v>
      </c>
      <c r="D102" s="174">
        <f>D100-D101</f>
        <v>2334.5804113941695</v>
      </c>
      <c r="E102" s="71">
        <f>C102/C105</f>
        <v>4.5015575396452183</v>
      </c>
      <c r="F102" s="71">
        <f>D102/D105</f>
        <v>4.642207365808436</v>
      </c>
      <c r="G102" s="190"/>
      <c r="H102" s="190"/>
      <c r="I102"/>
      <c r="J102" s="190"/>
    </row>
    <row r="103" spans="1:10">
      <c r="A103" s="157"/>
      <c r="B103" s="7" t="s">
        <v>29</v>
      </c>
      <c r="C103" s="176">
        <f>Model!$P$153</f>
        <v>129500.163</v>
      </c>
      <c r="D103" s="176">
        <f>C103*$J$79</f>
        <v>7218.9176096772399</v>
      </c>
      <c r="E103" s="72"/>
      <c r="F103" s="190"/>
      <c r="G103" s="190"/>
      <c r="H103" s="190"/>
      <c r="I103" s="194"/>
      <c r="J103" s="194"/>
    </row>
    <row r="104" spans="1:10">
      <c r="A104" s="157"/>
      <c r="B104" s="6" t="s">
        <v>30</v>
      </c>
      <c r="C104" s="177">
        <f>C102+C103</f>
        <v>171380.201</v>
      </c>
      <c r="D104" s="177">
        <f>C104*$J$79</f>
        <v>9553.4980210714093</v>
      </c>
      <c r="E104" s="102"/>
      <c r="F104" s="190"/>
      <c r="G104" s="190"/>
      <c r="H104" s="190"/>
      <c r="I104" s="171"/>
      <c r="J104" s="102"/>
    </row>
    <row r="105" spans="1:10">
      <c r="A105" s="157"/>
      <c r="B105" s="7" t="s">
        <v>31</v>
      </c>
      <c r="C105" s="21">
        <f>Model!$P$110</f>
        <v>9303.4549999999999</v>
      </c>
      <c r="D105" s="21">
        <f>C105*$J$80</f>
        <v>502.90308627512263</v>
      </c>
      <c r="E105" s="7"/>
      <c r="F105" s="190"/>
      <c r="G105" s="178"/>
      <c r="H105" s="178"/>
      <c r="I105" s="171"/>
      <c r="J105" s="102"/>
    </row>
    <row r="106" spans="1:10">
      <c r="A106" s="157"/>
      <c r="B106" s="195" t="s">
        <v>32</v>
      </c>
      <c r="C106" s="196"/>
      <c r="D106" s="196"/>
      <c r="E106" s="179"/>
      <c r="F106" s="190"/>
      <c r="G106" s="178"/>
      <c r="H106" s="178"/>
      <c r="I106" s="171"/>
      <c r="J106" s="102"/>
    </row>
    <row r="107" spans="1:10">
      <c r="A107" s="157"/>
      <c r="B107" s="157"/>
      <c r="C107" s="157"/>
      <c r="D107" s="157"/>
      <c r="E107" s="190"/>
      <c r="F107" s="190"/>
      <c r="G107" s="190"/>
      <c r="H107" s="190"/>
      <c r="I107" s="171"/>
      <c r="J107" s="102"/>
    </row>
    <row r="108" spans="1:10" ht="13.5" thickBot="1">
      <c r="A108" s="157"/>
      <c r="B108" s="6"/>
      <c r="C108" s="180"/>
      <c r="D108" s="180"/>
      <c r="E108" s="190"/>
      <c r="F108" s="190"/>
      <c r="G108" s="190"/>
      <c r="H108" s="190"/>
      <c r="I108" s="171"/>
      <c r="J108" s="102"/>
    </row>
    <row r="109" spans="1:10">
      <c r="A109" s="157"/>
      <c r="B109" s="198" t="s">
        <v>33</v>
      </c>
      <c r="C109" s="199" t="s">
        <v>4</v>
      </c>
      <c r="D109" s="200" t="s">
        <v>5</v>
      </c>
      <c r="E109" s="190"/>
      <c r="F109" s="190"/>
      <c r="G109" s="190"/>
      <c r="H109" s="190"/>
      <c r="I109" s="171"/>
      <c r="J109" s="102"/>
    </row>
    <row r="110" spans="1:10">
      <c r="A110" s="157"/>
      <c r="B110" s="103" t="s">
        <v>34</v>
      </c>
      <c r="C110" s="168">
        <v>1883.039</v>
      </c>
      <c r="D110" s="242">
        <f>C110*$J$79</f>
        <v>104.96900607614694</v>
      </c>
      <c r="E110" s="190"/>
      <c r="F110" s="190"/>
      <c r="G110" s="190"/>
      <c r="H110" s="190"/>
      <c r="I110" s="171"/>
      <c r="J110" s="102"/>
    </row>
    <row r="111" spans="1:10">
      <c r="A111" s="157"/>
      <c r="B111" s="103" t="s">
        <v>35</v>
      </c>
      <c r="C111" s="168">
        <v>169.923</v>
      </c>
      <c r="D111" s="242">
        <f>C111*$J$79</f>
        <v>9.4722671274875978</v>
      </c>
      <c r="E111" s="190"/>
      <c r="F111" s="190"/>
      <c r="G111" s="190"/>
      <c r="H111" s="190"/>
      <c r="I111" s="171"/>
      <c r="J111" s="102"/>
    </row>
    <row r="112" spans="1:10" ht="13.5" thickBot="1">
      <c r="A112" s="157"/>
      <c r="B112" s="74" t="s">
        <v>23</v>
      </c>
      <c r="C112" s="233">
        <f>SUM(C110:C111)</f>
        <v>2052.962</v>
      </c>
      <c r="D112" s="234">
        <f>SUM(D110:D111)</f>
        <v>114.44127320363454</v>
      </c>
      <c r="E112" s="190"/>
      <c r="F112" s="190"/>
      <c r="G112" s="190"/>
      <c r="H112" s="190"/>
      <c r="I112" s="171"/>
      <c r="J112" s="102"/>
    </row>
    <row r="113" spans="1:10">
      <c r="A113" s="157"/>
      <c r="B113" s="235" t="s">
        <v>32</v>
      </c>
      <c r="C113" s="236">
        <f>C112-C101</f>
        <v>0</v>
      </c>
      <c r="D113" s="180"/>
      <c r="E113" s="190"/>
      <c r="F113" s="190"/>
      <c r="G113" s="190"/>
      <c r="H113" s="190"/>
      <c r="I113" s="171"/>
      <c r="J113" s="102"/>
    </row>
    <row r="114" spans="1:10">
      <c r="A114" s="157"/>
      <c r="B114" s="6"/>
      <c r="C114" s="180"/>
      <c r="D114" s="180"/>
      <c r="E114" s="190"/>
      <c r="F114" s="190"/>
      <c r="G114" s="190"/>
      <c r="H114" s="190"/>
      <c r="I114" s="171"/>
      <c r="J114" s="102"/>
    </row>
    <row r="115" spans="1:10" ht="13.5" thickBot="1">
      <c r="A115" s="157"/>
      <c r="B115" s="6"/>
      <c r="C115" s="180"/>
      <c r="D115" s="180"/>
      <c r="E115" s="180"/>
      <c r="F115" s="190"/>
      <c r="G115" s="190"/>
      <c r="H115" s="190"/>
      <c r="I115" s="171"/>
      <c r="J115" s="102"/>
    </row>
    <row r="116" spans="1:10" ht="13.5" thickBot="1">
      <c r="A116" s="157"/>
      <c r="B116" s="203" t="s">
        <v>50</v>
      </c>
      <c r="C116" s="204" t="s">
        <v>51</v>
      </c>
      <c r="D116" s="204" t="s">
        <v>5</v>
      </c>
      <c r="E116" s="205" t="s">
        <v>4</v>
      </c>
      <c r="F116" s="190"/>
      <c r="G116" s="190"/>
      <c r="H116" s="190"/>
      <c r="I116" s="171"/>
      <c r="J116" s="102"/>
    </row>
    <row r="117" spans="1:10">
      <c r="A117" s="157"/>
      <c r="B117" s="103" t="s">
        <v>52</v>
      </c>
      <c r="C117" s="181">
        <v>5.1700000000000003E-2</v>
      </c>
      <c r="D117" s="182">
        <v>62.588000000000001</v>
      </c>
      <c r="E117" s="202">
        <v>1123.6300000000001</v>
      </c>
      <c r="F117" s="190"/>
      <c r="G117" s="190"/>
      <c r="H117" s="190"/>
      <c r="I117" s="171"/>
      <c r="J117" s="72"/>
    </row>
    <row r="118" spans="1:10">
      <c r="A118" s="157"/>
      <c r="B118" s="188" t="s">
        <v>53</v>
      </c>
      <c r="C118" s="181"/>
      <c r="D118" s="243">
        <f>SUM(D117)</f>
        <v>62.588000000000001</v>
      </c>
      <c r="E118" s="244">
        <f>SUM(E117)</f>
        <v>1123.6300000000001</v>
      </c>
      <c r="F118" s="190"/>
      <c r="G118" s="190"/>
      <c r="H118" s="190"/>
      <c r="I118" s="171"/>
      <c r="J118" s="72"/>
    </row>
    <row r="119" spans="1:10">
      <c r="A119" s="157"/>
      <c r="B119" s="186"/>
      <c r="C119" s="181"/>
      <c r="D119" s="182"/>
      <c r="E119" s="202"/>
      <c r="F119" s="190"/>
      <c r="G119" s="190"/>
      <c r="H119" s="190"/>
      <c r="I119" s="171"/>
      <c r="J119" s="72"/>
    </row>
    <row r="120" spans="1:10">
      <c r="A120" s="157"/>
      <c r="B120" s="103" t="s">
        <v>54</v>
      </c>
      <c r="C120" s="181">
        <v>4.9599999999999998E-2</v>
      </c>
      <c r="D120" s="182">
        <v>500</v>
      </c>
      <c r="E120" s="202">
        <v>8976.4</v>
      </c>
      <c r="F120" s="190"/>
      <c r="G120" s="190"/>
      <c r="H120" s="190"/>
      <c r="I120" s="171"/>
      <c r="J120" s="72"/>
    </row>
    <row r="121" spans="1:10">
      <c r="A121" s="157"/>
      <c r="B121" s="103" t="s">
        <v>55</v>
      </c>
      <c r="C121" s="181">
        <v>4.1200000000000001E-2</v>
      </c>
      <c r="D121" s="182">
        <v>375</v>
      </c>
      <c r="E121" s="202">
        <v>6732.3</v>
      </c>
      <c r="F121" s="190"/>
      <c r="G121" s="190"/>
      <c r="H121" s="190"/>
      <c r="I121" s="171"/>
      <c r="J121" s="72"/>
    </row>
    <row r="122" spans="1:10">
      <c r="A122" s="157"/>
      <c r="B122" s="103" t="s">
        <v>56</v>
      </c>
      <c r="C122" s="181">
        <v>3.73E-2</v>
      </c>
      <c r="D122" s="182">
        <v>70</v>
      </c>
      <c r="E122" s="202">
        <v>1256.6959999999999</v>
      </c>
      <c r="F122" s="190"/>
      <c r="G122" s="190"/>
      <c r="H122" s="190"/>
      <c r="I122" s="171"/>
      <c r="J122" s="72"/>
    </row>
    <row r="123" spans="1:10">
      <c r="A123" s="157"/>
      <c r="B123" s="103" t="s">
        <v>57</v>
      </c>
      <c r="C123" s="181">
        <v>3.4799999999999998E-2</v>
      </c>
      <c r="D123" s="182">
        <v>300</v>
      </c>
      <c r="E123" s="202">
        <v>5385.84</v>
      </c>
      <c r="F123" s="190"/>
      <c r="G123" s="190"/>
      <c r="H123" s="190"/>
      <c r="I123" s="171"/>
      <c r="J123" s="72"/>
    </row>
    <row r="124" spans="1:10">
      <c r="A124" s="157"/>
      <c r="B124" s="103" t="s">
        <v>58</v>
      </c>
      <c r="C124" s="181">
        <v>5.5E-2</v>
      </c>
      <c r="D124" s="182">
        <v>500</v>
      </c>
      <c r="E124" s="202">
        <v>8976.4</v>
      </c>
      <c r="F124" s="190"/>
      <c r="G124" s="190"/>
      <c r="H124" s="190"/>
      <c r="I124" s="171"/>
      <c r="J124" s="72"/>
    </row>
    <row r="125" spans="1:10">
      <c r="A125" s="157"/>
      <c r="B125" s="188" t="s">
        <v>59</v>
      </c>
      <c r="C125" s="181"/>
      <c r="D125" s="243">
        <f>SUM(D120:D124)</f>
        <v>1745</v>
      </c>
      <c r="E125" s="244">
        <f>SUM(E120:E124)</f>
        <v>31327.635999999999</v>
      </c>
      <c r="F125" s="190"/>
      <c r="G125" s="190"/>
      <c r="H125" s="190"/>
      <c r="I125" s="171"/>
      <c r="J125" s="72"/>
    </row>
    <row r="126" spans="1:10">
      <c r="A126" s="157"/>
      <c r="B126" s="186"/>
      <c r="C126" s="181"/>
      <c r="D126" s="182"/>
      <c r="E126" s="202"/>
      <c r="F126" s="190"/>
      <c r="G126" s="190"/>
      <c r="H126" s="190"/>
      <c r="I126" s="171"/>
      <c r="J126" s="72"/>
    </row>
    <row r="127" spans="1:10">
      <c r="A127" s="157"/>
      <c r="B127" s="103" t="s">
        <v>60</v>
      </c>
      <c r="C127" s="245" t="s">
        <v>61</v>
      </c>
      <c r="D127" s="182">
        <v>125</v>
      </c>
      <c r="E127" s="202">
        <v>2244.1</v>
      </c>
      <c r="F127" s="190"/>
      <c r="G127" s="190"/>
      <c r="H127" s="190"/>
      <c r="I127" s="171"/>
      <c r="J127" s="72"/>
    </row>
    <row r="128" spans="1:10">
      <c r="A128" s="157"/>
      <c r="B128" s="103" t="s">
        <v>62</v>
      </c>
      <c r="C128" s="245" t="s">
        <v>63</v>
      </c>
      <c r="D128" s="182">
        <v>250</v>
      </c>
      <c r="E128" s="202">
        <v>4488.2</v>
      </c>
      <c r="F128" s="190"/>
      <c r="G128" s="190"/>
      <c r="H128" s="190"/>
      <c r="I128" s="171"/>
      <c r="J128" s="72"/>
    </row>
    <row r="129" spans="1:10">
      <c r="A129" s="157"/>
      <c r="B129" s="188" t="s">
        <v>64</v>
      </c>
      <c r="C129" s="181"/>
      <c r="D129" s="243">
        <f>SUM(D127:D128)</f>
        <v>375</v>
      </c>
      <c r="E129" s="244">
        <f>SUM(E127:E128)</f>
        <v>6732.2999999999993</v>
      </c>
      <c r="F129" s="190"/>
      <c r="G129" s="190"/>
      <c r="H129" s="190"/>
      <c r="I129" s="171"/>
      <c r="J129" s="72"/>
    </row>
    <row r="130" spans="1:10">
      <c r="A130" s="157"/>
      <c r="B130" s="186"/>
      <c r="C130" s="181"/>
      <c r="D130" s="182"/>
      <c r="E130" s="202"/>
      <c r="F130" s="190"/>
      <c r="G130" s="190"/>
      <c r="H130" s="190"/>
      <c r="I130" s="171"/>
      <c r="J130" s="72"/>
    </row>
    <row r="131" spans="1:10">
      <c r="A131" s="157"/>
      <c r="B131" s="103" t="s">
        <v>65</v>
      </c>
      <c r="C131" s="245" t="s">
        <v>66</v>
      </c>
      <c r="D131" s="182">
        <v>267</v>
      </c>
      <c r="E131" s="202">
        <v>4793.3980000000001</v>
      </c>
      <c r="F131" s="190"/>
      <c r="G131" s="190"/>
      <c r="H131" s="190"/>
      <c r="I131" s="171"/>
      <c r="J131" s="72"/>
    </row>
    <row r="132" spans="1:10">
      <c r="A132" s="157"/>
      <c r="B132" s="188" t="s">
        <v>67</v>
      </c>
      <c r="C132" s="210" t="s">
        <v>68</v>
      </c>
      <c r="D132" s="243">
        <f>SUM(D131)</f>
        <v>267</v>
      </c>
      <c r="E132" s="244">
        <f>SUM(E131)</f>
        <v>4793.3980000000001</v>
      </c>
      <c r="F132" s="190"/>
      <c r="G132" s="190"/>
      <c r="H132" s="190"/>
      <c r="I132" s="171"/>
      <c r="J132" s="72"/>
    </row>
    <row r="133" spans="1:10">
      <c r="A133" s="157"/>
      <c r="B133" s="188" t="s">
        <v>69</v>
      </c>
      <c r="C133" s="210"/>
      <c r="D133" s="243">
        <f>SUM(D125,D129,D132)</f>
        <v>2387</v>
      </c>
      <c r="E133" s="244">
        <f>SUM(E125,E129,E132)</f>
        <v>42853.334000000003</v>
      </c>
      <c r="F133" s="190"/>
      <c r="G133" s="190"/>
      <c r="H133" s="190"/>
      <c r="I133" s="171"/>
      <c r="J133" s="72"/>
    </row>
    <row r="134" spans="1:10">
      <c r="A134" s="156"/>
      <c r="B134" s="211" t="s">
        <v>23</v>
      </c>
      <c r="C134" s="212"/>
      <c r="D134" s="213">
        <f>SUM(D118,D133)</f>
        <v>2449.5880000000002</v>
      </c>
      <c r="E134" s="214">
        <f>SUM(E118,E133)</f>
        <v>43976.964</v>
      </c>
      <c r="F134" s="82"/>
      <c r="G134" s="82"/>
      <c r="H134" s="82"/>
      <c r="I134" s="166"/>
      <c r="J134" s="102"/>
    </row>
    <row r="135" spans="1:10">
      <c r="A135" s="157"/>
      <c r="B135" s="201" t="s">
        <v>24</v>
      </c>
      <c r="C135" s="181"/>
      <c r="D135" s="182">
        <v>22.731000000000002</v>
      </c>
      <c r="E135" s="202">
        <v>408.08499999999998</v>
      </c>
      <c r="F135" s="190"/>
      <c r="G135" s="190"/>
      <c r="H135" s="190"/>
      <c r="I135" s="171"/>
      <c r="J135" s="72"/>
    </row>
    <row r="136" spans="1:10">
      <c r="A136" s="157"/>
      <c r="B136" s="201" t="s">
        <v>70</v>
      </c>
      <c r="C136" s="181"/>
      <c r="D136" s="182">
        <v>-8.6669999999999998</v>
      </c>
      <c r="E136" s="202">
        <v>-155.59700000000001</v>
      </c>
      <c r="F136" s="190"/>
      <c r="G136" s="190"/>
      <c r="H136" s="190"/>
      <c r="I136" s="171"/>
      <c r="J136" s="72"/>
    </row>
    <row r="137" spans="1:10" ht="13.5" thickBot="1">
      <c r="A137" s="157"/>
      <c r="B137" s="201" t="s">
        <v>71</v>
      </c>
      <c r="C137" s="181"/>
      <c r="D137" s="182">
        <v>-16.484000000000002</v>
      </c>
      <c r="E137" s="202">
        <v>-295.96100000000001</v>
      </c>
      <c r="F137" s="190"/>
      <c r="G137" s="190"/>
      <c r="H137" s="190"/>
      <c r="I137" s="171"/>
      <c r="J137" s="72"/>
    </row>
    <row r="138" spans="1:10" ht="13.5" thickBot="1">
      <c r="A138" s="156"/>
      <c r="B138" s="206" t="s">
        <v>72</v>
      </c>
      <c r="C138" s="207"/>
      <c r="D138" s="208">
        <f>SUM(D134:D137)</f>
        <v>2447.1680000000006</v>
      </c>
      <c r="E138" s="209">
        <f>SUM(E134:E137)</f>
        <v>43933.490999999995</v>
      </c>
      <c r="F138" s="82"/>
      <c r="G138" s="82"/>
      <c r="H138" s="82"/>
      <c r="I138" s="166"/>
      <c r="J138" s="102"/>
    </row>
    <row r="139" spans="1:10">
      <c r="A139" s="157"/>
      <c r="B139" s="73" t="s">
        <v>32</v>
      </c>
      <c r="C139" s="181"/>
      <c r="D139" s="183"/>
      <c r="E139" s="247">
        <f>E138-C100</f>
        <v>0.49099999999452848</v>
      </c>
      <c r="F139" s="190"/>
      <c r="G139" s="190"/>
      <c r="H139" s="190"/>
      <c r="I139" s="171"/>
      <c r="J139" s="72"/>
    </row>
    <row r="140" spans="1:10">
      <c r="A140" s="157"/>
      <c r="B140" s="7"/>
      <c r="C140" s="181"/>
      <c r="D140" s="183"/>
      <c r="E140" s="197"/>
      <c r="F140" s="190"/>
      <c r="G140" s="190"/>
      <c r="H140" s="190"/>
      <c r="I140" s="171"/>
      <c r="J140" s="72"/>
    </row>
    <row r="141" spans="1:10" ht="13.5" thickBot="1">
      <c r="A141" s="157"/>
      <c r="B141" s="7"/>
      <c r="C141" s="181"/>
      <c r="D141" s="183"/>
      <c r="E141" s="197"/>
      <c r="F141" s="190"/>
      <c r="G141" s="190"/>
      <c r="H141" s="190"/>
      <c r="I141" s="171"/>
      <c r="J141" s="72"/>
    </row>
    <row r="142" spans="1:10" ht="13.5" thickBot="1">
      <c r="A142" s="157"/>
      <c r="B142" s="248" t="s">
        <v>73</v>
      </c>
      <c r="C142" s="249" t="s">
        <v>4</v>
      </c>
      <c r="D142" s="250" t="s">
        <v>5</v>
      </c>
      <c r="E142" s="197"/>
      <c r="F142" s="190"/>
      <c r="G142" s="190"/>
      <c r="H142" s="190"/>
      <c r="I142" s="171"/>
      <c r="J142" s="72"/>
    </row>
    <row r="143" spans="1:10">
      <c r="A143" s="157"/>
      <c r="B143" s="225"/>
      <c r="C143" s="166"/>
      <c r="D143" s="185"/>
      <c r="E143" s="197"/>
      <c r="F143" s="190"/>
      <c r="G143" s="190"/>
      <c r="H143" s="190"/>
      <c r="I143" s="171"/>
      <c r="J143" s="72"/>
    </row>
    <row r="144" spans="1:10">
      <c r="A144" s="157"/>
      <c r="B144" s="184" t="s">
        <v>46</v>
      </c>
      <c r="C144" s="166"/>
      <c r="D144" s="185"/>
      <c r="E144" s="197"/>
      <c r="F144" s="190"/>
      <c r="G144" s="190"/>
      <c r="H144" s="190"/>
      <c r="I144" s="171"/>
      <c r="J144" s="72"/>
    </row>
    <row r="145" spans="1:10">
      <c r="A145" s="157"/>
      <c r="B145" s="186">
        <v>2026</v>
      </c>
      <c r="C145" s="220">
        <v>1124</v>
      </c>
      <c r="D145" s="187">
        <v>63</v>
      </c>
      <c r="E145" s="197"/>
      <c r="F145" s="190"/>
      <c r="G145" s="190"/>
      <c r="H145" s="190"/>
      <c r="I145" s="171"/>
      <c r="J145" s="72"/>
    </row>
    <row r="146" spans="1:10">
      <c r="A146" s="157"/>
      <c r="B146" s="186">
        <v>2027</v>
      </c>
      <c r="C146" s="220">
        <v>0</v>
      </c>
      <c r="D146" s="187">
        <f t="shared" ref="D146" si="6">C146*$J$79</f>
        <v>0</v>
      </c>
      <c r="E146" s="197"/>
      <c r="F146" s="190"/>
      <c r="G146" s="190"/>
      <c r="H146" s="190"/>
      <c r="I146" s="171"/>
      <c r="J146" s="72"/>
    </row>
    <row r="147" spans="1:10">
      <c r="A147" s="157"/>
      <c r="B147" s="186">
        <v>2028</v>
      </c>
      <c r="C147" s="220">
        <v>4488</v>
      </c>
      <c r="D147" s="187">
        <v>250</v>
      </c>
      <c r="E147" s="197"/>
      <c r="F147" s="190"/>
      <c r="G147" s="190"/>
      <c r="H147" s="190"/>
      <c r="I147" s="171"/>
      <c r="J147" s="72"/>
    </row>
    <row r="148" spans="1:10">
      <c r="A148" s="157"/>
      <c r="B148" s="186">
        <v>2029</v>
      </c>
      <c r="C148" s="220">
        <v>1795</v>
      </c>
      <c r="D148" s="187">
        <v>100</v>
      </c>
      <c r="E148" s="197"/>
      <c r="F148" s="190"/>
      <c r="G148" s="190"/>
      <c r="H148" s="190"/>
      <c r="I148" s="171"/>
      <c r="J148" s="72"/>
    </row>
    <row r="149" spans="1:10">
      <c r="A149" s="157"/>
      <c r="B149" s="186">
        <v>2030</v>
      </c>
      <c r="C149" s="220">
        <v>2244</v>
      </c>
      <c r="D149" s="187">
        <v>125</v>
      </c>
      <c r="E149" s="197"/>
      <c r="F149" s="190"/>
      <c r="G149" s="190"/>
      <c r="H149" s="190"/>
      <c r="I149" s="171"/>
      <c r="J149" s="72"/>
    </row>
    <row r="150" spans="1:10">
      <c r="A150" s="157"/>
      <c r="B150" s="186">
        <v>2031</v>
      </c>
      <c r="C150" s="220">
        <v>2693</v>
      </c>
      <c r="D150" s="187">
        <v>150</v>
      </c>
      <c r="E150" s="197"/>
      <c r="F150" s="190"/>
      <c r="G150" s="190"/>
      <c r="H150" s="190"/>
      <c r="I150" s="171"/>
      <c r="J150" s="72"/>
    </row>
    <row r="151" spans="1:10">
      <c r="A151" s="157"/>
      <c r="B151" s="186" t="s">
        <v>43</v>
      </c>
      <c r="C151" s="220">
        <v>13375</v>
      </c>
      <c r="D151" s="187">
        <v>745</v>
      </c>
      <c r="E151" s="197"/>
      <c r="F151" s="190"/>
      <c r="G151" s="190"/>
      <c r="H151" s="190"/>
      <c r="I151" s="171"/>
      <c r="J151" s="72"/>
    </row>
    <row r="152" spans="1:10">
      <c r="A152" s="157"/>
      <c r="B152" s="186" t="s">
        <v>74</v>
      </c>
      <c r="C152" s="220">
        <v>16</v>
      </c>
      <c r="D152" s="187">
        <v>1</v>
      </c>
      <c r="E152" s="197"/>
      <c r="F152" s="190"/>
      <c r="G152" s="190"/>
      <c r="H152" s="190"/>
      <c r="I152" s="171"/>
      <c r="J152" s="72"/>
    </row>
    <row r="153" spans="1:10">
      <c r="A153" s="157"/>
      <c r="B153" s="186" t="s">
        <v>75</v>
      </c>
      <c r="C153" s="220">
        <v>-86</v>
      </c>
      <c r="D153" s="187">
        <v>-4</v>
      </c>
      <c r="E153" s="197"/>
      <c r="F153" s="190"/>
      <c r="G153" s="190"/>
      <c r="H153" s="190"/>
      <c r="I153" s="171"/>
      <c r="J153" s="72"/>
    </row>
    <row r="154" spans="1:10">
      <c r="A154" s="157"/>
      <c r="B154" s="216" t="s">
        <v>23</v>
      </c>
      <c r="C154" s="221">
        <f>SUM(C145:C153)</f>
        <v>25649</v>
      </c>
      <c r="D154" s="217">
        <f>SUM(D145:D153)</f>
        <v>1430</v>
      </c>
      <c r="E154" s="197"/>
      <c r="F154" s="190"/>
      <c r="G154" s="190"/>
      <c r="H154" s="190"/>
      <c r="I154" s="171"/>
      <c r="J154" s="72"/>
    </row>
    <row r="155" spans="1:10">
      <c r="A155" s="157"/>
      <c r="B155" s="188"/>
      <c r="C155" s="222"/>
      <c r="D155" s="185"/>
      <c r="E155" s="197"/>
      <c r="F155" s="190"/>
      <c r="G155" s="190"/>
      <c r="H155" s="190"/>
      <c r="I155" s="171"/>
      <c r="J155" s="72"/>
    </row>
    <row r="156" spans="1:10">
      <c r="A156" s="157"/>
      <c r="B156" s="188" t="s">
        <v>48</v>
      </c>
      <c r="C156" s="222"/>
      <c r="D156" s="185"/>
      <c r="E156" s="197"/>
      <c r="F156" s="190"/>
      <c r="G156" s="190"/>
      <c r="H156" s="190"/>
      <c r="I156" s="171"/>
      <c r="J156" s="72"/>
    </row>
    <row r="157" spans="1:10">
      <c r="A157" s="157"/>
      <c r="B157" s="186">
        <v>2026</v>
      </c>
      <c r="C157" s="220">
        <v>4793</v>
      </c>
      <c r="D157" s="187">
        <v>267</v>
      </c>
      <c r="E157" s="197"/>
      <c r="F157" s="190"/>
      <c r="G157" s="190"/>
      <c r="H157" s="190"/>
      <c r="I157" s="171"/>
      <c r="J157" s="72"/>
    </row>
    <row r="158" spans="1:10">
      <c r="A158" s="157"/>
      <c r="B158" s="186">
        <v>2027</v>
      </c>
      <c r="C158" s="220">
        <v>0</v>
      </c>
      <c r="D158" s="187">
        <f t="shared" ref="D158:D163" si="7">C158*$J$173</f>
        <v>0</v>
      </c>
      <c r="E158" s="197"/>
      <c r="F158" s="190"/>
      <c r="G158" s="190"/>
      <c r="H158" s="190"/>
      <c r="I158" s="171"/>
      <c r="J158" s="72"/>
    </row>
    <row r="159" spans="1:10">
      <c r="A159" s="157"/>
      <c r="B159" s="186">
        <v>2028</v>
      </c>
      <c r="C159" s="220">
        <v>4488</v>
      </c>
      <c r="D159" s="187">
        <v>250</v>
      </c>
      <c r="E159" s="197"/>
      <c r="F159" s="190"/>
      <c r="G159" s="190"/>
      <c r="H159" s="190"/>
      <c r="I159" s="171"/>
      <c r="J159" s="72"/>
    </row>
    <row r="160" spans="1:10">
      <c r="A160" s="157"/>
      <c r="B160" s="186">
        <v>2029</v>
      </c>
      <c r="C160" s="220">
        <v>8976</v>
      </c>
      <c r="D160" s="187">
        <v>500</v>
      </c>
      <c r="E160" s="197"/>
      <c r="F160" s="190"/>
      <c r="G160" s="190"/>
      <c r="H160" s="190"/>
      <c r="I160" s="171"/>
      <c r="J160" s="72"/>
    </row>
    <row r="161" spans="1:10">
      <c r="A161" s="157"/>
      <c r="B161" s="186">
        <v>2030</v>
      </c>
      <c r="C161" s="220"/>
      <c r="D161" s="187">
        <f t="shared" si="7"/>
        <v>0</v>
      </c>
      <c r="E161" s="197"/>
      <c r="F161" s="190"/>
      <c r="G161" s="190"/>
      <c r="H161" s="190"/>
      <c r="I161" s="171"/>
      <c r="J161" s="72"/>
    </row>
    <row r="162" spans="1:10">
      <c r="A162" s="157"/>
      <c r="B162" s="186">
        <v>2031</v>
      </c>
      <c r="C162" s="220">
        <v>0</v>
      </c>
      <c r="D162" s="187">
        <f t="shared" si="7"/>
        <v>0</v>
      </c>
      <c r="E162" s="197"/>
      <c r="F162" s="190"/>
      <c r="G162" s="190"/>
      <c r="H162" s="190"/>
      <c r="I162" s="171"/>
      <c r="J162" s="72"/>
    </row>
    <row r="163" spans="1:10">
      <c r="A163" s="157"/>
      <c r="B163" s="186" t="s">
        <v>43</v>
      </c>
      <c r="C163" s="220">
        <v>0</v>
      </c>
      <c r="D163" s="187">
        <f t="shared" si="7"/>
        <v>0</v>
      </c>
      <c r="E163" s="197"/>
      <c r="F163" s="190"/>
      <c r="G163" s="190"/>
      <c r="H163" s="190"/>
      <c r="I163" s="171"/>
      <c r="J163" s="72"/>
    </row>
    <row r="164" spans="1:10">
      <c r="A164" s="157"/>
      <c r="B164" s="186" t="s">
        <v>74</v>
      </c>
      <c r="C164" s="220">
        <v>-172</v>
      </c>
      <c r="D164" s="187">
        <v>-10</v>
      </c>
      <c r="E164" s="197"/>
      <c r="F164" s="190"/>
      <c r="G164" s="190"/>
      <c r="H164" s="190"/>
      <c r="I164" s="171"/>
      <c r="J164" s="72"/>
    </row>
    <row r="165" spans="1:10">
      <c r="A165" s="157"/>
      <c r="B165" s="186" t="s">
        <v>76</v>
      </c>
      <c r="C165" s="220">
        <v>198</v>
      </c>
      <c r="D165" s="187">
        <v>10</v>
      </c>
      <c r="E165" s="197"/>
      <c r="F165" s="190"/>
      <c r="G165" s="190"/>
      <c r="H165" s="190"/>
      <c r="I165" s="171"/>
      <c r="J165" s="72"/>
    </row>
    <row r="166" spans="1:10">
      <c r="A166" s="157"/>
      <c r="B166" s="216" t="s">
        <v>23</v>
      </c>
      <c r="C166" s="221">
        <v>18284</v>
      </c>
      <c r="D166" s="217">
        <f>SUM(D157:D165)</f>
        <v>1017</v>
      </c>
      <c r="E166" s="197"/>
      <c r="F166" s="190"/>
      <c r="G166" s="190"/>
      <c r="H166" s="190"/>
      <c r="I166" s="171"/>
      <c r="J166" s="72"/>
    </row>
    <row r="167" spans="1:10">
      <c r="A167" s="157"/>
      <c r="B167" s="186"/>
      <c r="C167" s="223"/>
      <c r="D167" s="185"/>
      <c r="E167" s="197"/>
      <c r="F167" s="190"/>
      <c r="G167" s="190"/>
      <c r="H167" s="190"/>
      <c r="I167" s="171"/>
      <c r="J167" s="72"/>
    </row>
    <row r="168" spans="1:10" ht="13.5" thickBot="1">
      <c r="A168" s="157"/>
      <c r="B168" s="112" t="s">
        <v>77</v>
      </c>
      <c r="C168" s="224">
        <f>C154+C166</f>
        <v>43933</v>
      </c>
      <c r="D168" s="189">
        <f>D154+D166</f>
        <v>2447</v>
      </c>
      <c r="E168" s="197"/>
      <c r="F168" s="190"/>
      <c r="G168" s="190"/>
      <c r="H168" s="190"/>
      <c r="I168" s="171"/>
      <c r="J168" s="72"/>
    </row>
    <row r="169" spans="1:10">
      <c r="A169" s="157"/>
      <c r="B169" s="73" t="s">
        <v>32</v>
      </c>
      <c r="C169" s="215">
        <f>C168-C100</f>
        <v>0</v>
      </c>
      <c r="D169" s="183"/>
      <c r="E169" s="215"/>
      <c r="F169" s="190"/>
      <c r="G169" s="190"/>
      <c r="H169" s="190"/>
      <c r="I169" s="171"/>
      <c r="J169" s="72"/>
    </row>
    <row r="170" spans="1:10">
      <c r="A170" s="157"/>
      <c r="B170" s="7"/>
      <c r="C170" s="181"/>
      <c r="D170" s="183"/>
      <c r="E170" s="197"/>
      <c r="F170" s="190"/>
      <c r="G170" s="190"/>
      <c r="H170" s="190"/>
      <c r="I170" s="171"/>
      <c r="J170" s="72"/>
    </row>
    <row r="173" spans="1:10">
      <c r="A173" s="156" t="s">
        <v>78</v>
      </c>
      <c r="I173" s="190" t="s">
        <v>1</v>
      </c>
      <c r="J173" s="191">
        <f>Model!$G$240</f>
        <v>5.5744467361614362E-2</v>
      </c>
    </row>
    <row r="174" spans="1:10">
      <c r="A174" s="156"/>
      <c r="B174" s="190"/>
      <c r="C174" s="190"/>
      <c r="D174" s="190"/>
      <c r="E174" s="190"/>
      <c r="F174" s="190"/>
      <c r="G174" s="190"/>
      <c r="H174" s="190"/>
      <c r="I174" s="190" t="s">
        <v>2</v>
      </c>
      <c r="J174" s="191">
        <f>Model!$G$239</f>
        <v>5.4055518758904367E-2</v>
      </c>
    </row>
    <row r="175" spans="1:10" ht="13.5" thickBot="1">
      <c r="A175" s="157"/>
      <c r="B175" s="190"/>
      <c r="C175" s="190"/>
      <c r="D175" s="190"/>
      <c r="E175" s="190"/>
      <c r="F175" s="190"/>
      <c r="G175" s="190"/>
      <c r="H175" s="190"/>
    </row>
    <row r="176" spans="1:10">
      <c r="A176" s="157"/>
      <c r="B176" s="158" t="s">
        <v>79</v>
      </c>
      <c r="C176" s="159" t="s">
        <v>4</v>
      </c>
      <c r="D176" s="159" t="s">
        <v>5</v>
      </c>
      <c r="E176" s="160" t="s">
        <v>6</v>
      </c>
      <c r="F176" s="160" t="s">
        <v>7</v>
      </c>
      <c r="G176" s="190"/>
      <c r="H176" s="190"/>
      <c r="I176" s="231" t="s">
        <v>8</v>
      </c>
      <c r="J176" s="232" t="s">
        <v>4</v>
      </c>
    </row>
    <row r="177" spans="1:10">
      <c r="A177" s="157"/>
      <c r="B177" s="161"/>
      <c r="C177" s="162"/>
      <c r="D177" s="162"/>
      <c r="E177" s="163"/>
      <c r="F177" s="190"/>
      <c r="G177" s="190"/>
      <c r="H177" s="190"/>
      <c r="I177" s="227" t="s">
        <v>9</v>
      </c>
      <c r="J177" s="228">
        <v>40847.235000000001</v>
      </c>
    </row>
    <row r="178" spans="1:10">
      <c r="A178" s="157"/>
      <c r="B178" s="164" t="s">
        <v>46</v>
      </c>
      <c r="C178" s="165"/>
      <c r="D178" s="165"/>
      <c r="E178" s="102"/>
      <c r="F178" s="190"/>
      <c r="G178" s="190"/>
      <c r="H178" s="190"/>
      <c r="I178" s="227" t="s">
        <v>10</v>
      </c>
      <c r="J178" s="228">
        <v>-2179.0160000000001</v>
      </c>
    </row>
    <row r="179" spans="1:10">
      <c r="A179" s="157"/>
      <c r="B179" s="166" t="s">
        <v>11</v>
      </c>
      <c r="C179" s="165">
        <f>SUM(C180:C181)</f>
        <v>19194</v>
      </c>
      <c r="D179" s="165">
        <f>SUM(D180:D181)</f>
        <v>1069.959306538826</v>
      </c>
      <c r="E179" s="163"/>
      <c r="F179" s="190"/>
      <c r="G179" s="190"/>
      <c r="H179" s="190"/>
      <c r="I179" s="227" t="s">
        <v>12</v>
      </c>
      <c r="J179" s="228">
        <v>38668.218999999997</v>
      </c>
    </row>
    <row r="180" spans="1:10">
      <c r="A180" s="157"/>
      <c r="B180" s="167" t="s">
        <v>13</v>
      </c>
      <c r="C180" s="168">
        <v>13689</v>
      </c>
      <c r="D180" s="169">
        <f>C180*$J$173</f>
        <v>763.08601371313898</v>
      </c>
      <c r="E180" s="163"/>
      <c r="F180" s="190"/>
      <c r="G180" s="190"/>
      <c r="H180" s="190"/>
      <c r="I180" s="227" t="s">
        <v>14</v>
      </c>
      <c r="J180" s="228">
        <v>8724.4240000000009</v>
      </c>
    </row>
    <row r="181" spans="1:10" ht="13.5" thickBot="1">
      <c r="A181" s="157"/>
      <c r="B181" s="167" t="s">
        <v>47</v>
      </c>
      <c r="C181" s="168">
        <v>5505</v>
      </c>
      <c r="D181" s="169">
        <f t="shared" ref="D181" si="8">C181*$J$173</f>
        <v>306.87329282568709</v>
      </c>
      <c r="E181" s="163"/>
      <c r="F181" s="190"/>
      <c r="G181" s="190"/>
      <c r="H181" s="190"/>
      <c r="I181" s="229" t="s">
        <v>16</v>
      </c>
      <c r="J181" s="230">
        <f>J179/J180</f>
        <v>4.432180164558714</v>
      </c>
    </row>
    <row r="182" spans="1:10">
      <c r="A182" s="157"/>
      <c r="B182" s="166" t="s">
        <v>20</v>
      </c>
      <c r="C182" s="165">
        <f>C183</f>
        <v>3007</v>
      </c>
      <c r="D182" s="165">
        <f>D183</f>
        <v>167.62361335637439</v>
      </c>
      <c r="E182" s="163"/>
      <c r="F182" s="190"/>
      <c r="G182" s="190"/>
      <c r="H182" s="190"/>
      <c r="I182" s="102"/>
      <c r="J182" s="165"/>
    </row>
    <row r="183" spans="1:10">
      <c r="A183" s="157"/>
      <c r="B183" s="167" t="s">
        <v>22</v>
      </c>
      <c r="C183" s="168">
        <v>3007</v>
      </c>
      <c r="D183" s="169">
        <f>C183*$J$173</f>
        <v>167.62361335637439</v>
      </c>
      <c r="E183" s="163"/>
      <c r="F183" s="190"/>
      <c r="G183" s="190"/>
      <c r="H183" s="190"/>
      <c r="I183" s="102"/>
      <c r="J183" s="165"/>
    </row>
    <row r="184" spans="1:10">
      <c r="A184" s="157"/>
      <c r="B184" s="166" t="s">
        <v>23</v>
      </c>
      <c r="C184" s="165">
        <f>C179+C182</f>
        <v>22201</v>
      </c>
      <c r="D184" s="165">
        <f>D179+D182</f>
        <v>1237.5829198952003</v>
      </c>
      <c r="E184" s="163"/>
      <c r="F184" s="190"/>
      <c r="G184" s="190"/>
      <c r="H184" s="190"/>
      <c r="I184" s="102"/>
      <c r="J184" s="165"/>
    </row>
    <row r="185" spans="1:10">
      <c r="A185" s="157"/>
      <c r="B185" s="171"/>
      <c r="C185" s="168"/>
      <c r="D185" s="169"/>
      <c r="E185" s="163"/>
      <c r="F185" s="190"/>
      <c r="G185" s="190"/>
      <c r="H185" s="190"/>
      <c r="I185" s="102"/>
      <c r="J185" s="165"/>
    </row>
    <row r="186" spans="1:10">
      <c r="A186" s="157"/>
      <c r="B186" s="164" t="s">
        <v>48</v>
      </c>
      <c r="C186" s="168"/>
      <c r="D186" s="169"/>
      <c r="E186" s="163"/>
      <c r="F186" s="190"/>
      <c r="G186" s="190"/>
      <c r="H186" s="190"/>
      <c r="I186" s="102"/>
      <c r="J186" s="165"/>
    </row>
    <row r="187" spans="1:10">
      <c r="A187" s="157"/>
      <c r="B187" s="166" t="s">
        <v>11</v>
      </c>
      <c r="C187" s="170">
        <v>18586</v>
      </c>
      <c r="D187" s="170">
        <f>SUM(D188:D189)</f>
        <v>1036.0109259156029</v>
      </c>
      <c r="E187" s="163"/>
      <c r="F187" s="190"/>
      <c r="G187" s="190"/>
      <c r="H187" s="190"/>
      <c r="I187" s="102"/>
      <c r="J187" s="165"/>
    </row>
    <row r="188" spans="1:10">
      <c r="A188" s="157"/>
      <c r="B188" s="167" t="s">
        <v>13</v>
      </c>
      <c r="C188" s="168">
        <v>9098</v>
      </c>
      <c r="D188" s="169">
        <f t="shared" ref="D188:D191" si="9">C188*$J$173</f>
        <v>507.16316405596746</v>
      </c>
      <c r="E188" s="163"/>
      <c r="F188" s="190"/>
      <c r="G188" s="190"/>
      <c r="H188" s="190"/>
      <c r="I188" s="102"/>
      <c r="J188" s="165"/>
    </row>
    <row r="189" spans="1:10">
      <c r="A189" s="157"/>
      <c r="B189" s="167" t="s">
        <v>47</v>
      </c>
      <c r="C189" s="168">
        <v>9487</v>
      </c>
      <c r="D189" s="169">
        <f t="shared" si="9"/>
        <v>528.84776185963551</v>
      </c>
      <c r="E189" s="163"/>
      <c r="F189" s="190"/>
      <c r="G189" s="190"/>
      <c r="H189" s="190"/>
      <c r="I189" s="102"/>
      <c r="J189" s="165"/>
    </row>
    <row r="190" spans="1:10">
      <c r="A190" s="157"/>
      <c r="B190" s="166" t="s">
        <v>20</v>
      </c>
      <c r="C190" s="170">
        <f>C191</f>
        <v>0</v>
      </c>
      <c r="D190" s="170">
        <f>D191</f>
        <v>0</v>
      </c>
      <c r="E190" s="163"/>
      <c r="F190" s="190"/>
      <c r="G190" s="190"/>
      <c r="H190" s="190"/>
      <c r="I190" s="102"/>
      <c r="J190" s="165"/>
    </row>
    <row r="191" spans="1:10">
      <c r="A191" s="157"/>
      <c r="B191" s="167" t="s">
        <v>22</v>
      </c>
      <c r="C191" s="168">
        <v>0</v>
      </c>
      <c r="D191" s="169">
        <f t="shared" si="9"/>
        <v>0</v>
      </c>
      <c r="E191" s="163"/>
      <c r="F191" s="190"/>
      <c r="G191" s="190"/>
      <c r="H191" s="190"/>
      <c r="I191" s="102"/>
      <c r="J191" s="165"/>
    </row>
    <row r="192" spans="1:10">
      <c r="A192" s="157"/>
      <c r="B192" s="172" t="s">
        <v>49</v>
      </c>
      <c r="C192" s="170">
        <f>C187+C190</f>
        <v>18586</v>
      </c>
      <c r="D192" s="170">
        <f>D187+D190</f>
        <v>1036.0109259156029</v>
      </c>
      <c r="E192" s="163"/>
      <c r="F192" s="190"/>
      <c r="G192" s="190"/>
      <c r="H192" s="190"/>
      <c r="I192" s="102"/>
      <c r="J192" s="165"/>
    </row>
    <row r="193" spans="1:10">
      <c r="A193" s="157"/>
      <c r="B193" s="171"/>
      <c r="C193" s="168"/>
      <c r="D193" s="169"/>
      <c r="E193" s="173"/>
      <c r="F193" s="192"/>
      <c r="G193" s="190"/>
      <c r="H193" s="190"/>
      <c r="I193" s="190"/>
      <c r="J193" s="190"/>
    </row>
    <row r="194" spans="1:10">
      <c r="A194" s="157"/>
      <c r="B194" s="70" t="s">
        <v>27</v>
      </c>
      <c r="C194" s="174">
        <f>C184+C192</f>
        <v>40787</v>
      </c>
      <c r="D194" s="174">
        <f>D184+D192</f>
        <v>2273.593845810803</v>
      </c>
      <c r="E194" s="71">
        <f>C194/C199</f>
        <v>4.4541126583529493</v>
      </c>
      <c r="F194" s="71">
        <f>D194/D199</f>
        <v>4.5931674670376745</v>
      </c>
      <c r="G194" s="193"/>
      <c r="H194" s="193"/>
      <c r="I194" s="79"/>
      <c r="J194" s="190"/>
    </row>
    <row r="195" spans="1:10">
      <c r="A195" s="157"/>
      <c r="B195" s="7" t="s">
        <v>28</v>
      </c>
      <c r="C195" s="175">
        <v>2179.0160000000001</v>
      </c>
      <c r="D195" s="57">
        <f>C195*$J$173</f>
        <v>121.46808629243549</v>
      </c>
      <c r="E195" s="72"/>
      <c r="F195" s="72"/>
      <c r="G195" s="190"/>
      <c r="H195" s="190"/>
      <c r="I195"/>
      <c r="J195" s="190"/>
    </row>
    <row r="196" spans="1:10">
      <c r="A196" s="157"/>
      <c r="B196" s="70" t="s">
        <v>12</v>
      </c>
      <c r="C196" s="174">
        <f>C194-C195</f>
        <v>38607.983999999997</v>
      </c>
      <c r="D196" s="174">
        <f>D194-D195</f>
        <v>2152.1257595183674</v>
      </c>
      <c r="E196" s="71">
        <f>C196/C199</f>
        <v>4.2161549083749268</v>
      </c>
      <c r="F196" s="71">
        <f>D196/D199</f>
        <v>4.3477747979513568</v>
      </c>
      <c r="G196" s="190"/>
      <c r="H196" s="190"/>
      <c r="I196"/>
      <c r="J196" s="190"/>
    </row>
    <row r="197" spans="1:10">
      <c r="A197" s="157"/>
      <c r="B197" s="7" t="s">
        <v>29</v>
      </c>
      <c r="C197" s="176">
        <f>Model!$O$153</f>
        <v>132984.769</v>
      </c>
      <c r="D197" s="176">
        <f>C197*$J$173</f>
        <v>7413.1651151123251</v>
      </c>
      <c r="E197" s="72"/>
      <c r="F197" s="190"/>
      <c r="G197" s="190"/>
      <c r="H197" s="190"/>
      <c r="I197" s="194"/>
      <c r="J197" s="194"/>
    </row>
    <row r="198" spans="1:10">
      <c r="A198" s="157"/>
      <c r="B198" s="6" t="s">
        <v>30</v>
      </c>
      <c r="C198" s="177">
        <f>C196+C197</f>
        <v>171592.753</v>
      </c>
      <c r="D198" s="177">
        <f>C198*$J$173</f>
        <v>9565.3466190980544</v>
      </c>
      <c r="E198" s="102"/>
      <c r="F198" s="190"/>
      <c r="G198" s="190"/>
      <c r="H198" s="190"/>
      <c r="I198" s="171"/>
      <c r="J198" s="102"/>
    </row>
    <row r="199" spans="1:10">
      <c r="A199" s="157"/>
      <c r="B199" s="7" t="s">
        <v>31</v>
      </c>
      <c r="C199" s="121">
        <f>Model!$O$110</f>
        <v>9157.1549999999988</v>
      </c>
      <c r="D199" s="21">
        <f>C199*$J$174</f>
        <v>494.99476388069485</v>
      </c>
      <c r="E199" s="7"/>
      <c r="F199" s="190"/>
      <c r="G199" s="178"/>
      <c r="H199" s="178"/>
      <c r="I199" s="171"/>
      <c r="J199" s="102"/>
    </row>
    <row r="200" spans="1:10">
      <c r="A200" s="157"/>
      <c r="B200" s="195" t="s">
        <v>32</v>
      </c>
      <c r="C200" s="196"/>
      <c r="D200" s="196"/>
      <c r="E200" s="179"/>
      <c r="F200" s="190"/>
      <c r="G200" s="178"/>
      <c r="H200" s="178"/>
      <c r="I200" s="171"/>
      <c r="J200" s="102"/>
    </row>
    <row r="201" spans="1:10">
      <c r="A201" s="157"/>
      <c r="B201" s="6"/>
      <c r="C201" s="180"/>
      <c r="D201" s="180"/>
      <c r="E201" s="190"/>
      <c r="F201" s="190"/>
      <c r="G201" s="190"/>
      <c r="H201" s="190"/>
      <c r="I201" s="171"/>
      <c r="J201" s="102"/>
    </row>
    <row r="202" spans="1:10" ht="13.5" thickBot="1">
      <c r="A202" s="157"/>
      <c r="B202" s="6"/>
      <c r="C202" s="180"/>
      <c r="D202" s="180"/>
      <c r="E202" s="190"/>
      <c r="F202" s="190"/>
      <c r="G202" s="190"/>
      <c r="H202" s="190"/>
      <c r="I202" s="171"/>
      <c r="J202" s="102"/>
    </row>
    <row r="203" spans="1:10">
      <c r="A203" s="157"/>
      <c r="B203" s="198" t="s">
        <v>80</v>
      </c>
      <c r="C203" s="199" t="s">
        <v>4</v>
      </c>
      <c r="D203" s="200" t="s">
        <v>5</v>
      </c>
      <c r="E203" s="190"/>
      <c r="F203" s="190"/>
      <c r="G203" s="190"/>
      <c r="H203" s="190"/>
      <c r="I203" s="171"/>
      <c r="J203" s="102"/>
    </row>
    <row r="204" spans="1:10">
      <c r="A204" s="157"/>
      <c r="B204" s="103" t="s">
        <v>34</v>
      </c>
      <c r="C204" s="168">
        <v>1077.9880000000001</v>
      </c>
      <c r="D204" s="228">
        <f>C204*$J$173</f>
        <v>60.091866882211946</v>
      </c>
      <c r="E204" s="190"/>
      <c r="F204" s="190"/>
      <c r="G204" s="190"/>
      <c r="H204" s="190"/>
      <c r="I204" s="171"/>
      <c r="J204" s="102"/>
    </row>
    <row r="205" spans="1:10">
      <c r="A205" s="157"/>
      <c r="B205" s="103" t="s">
        <v>35</v>
      </c>
      <c r="C205" s="168">
        <v>1101.028</v>
      </c>
      <c r="D205" s="228">
        <f t="shared" ref="D205" si="10">C205*$J$173</f>
        <v>61.376219410223541</v>
      </c>
      <c r="E205" s="190"/>
      <c r="F205" s="190"/>
      <c r="G205" s="190"/>
      <c r="H205" s="190"/>
      <c r="I205" s="171"/>
      <c r="J205" s="102"/>
    </row>
    <row r="206" spans="1:10" ht="13.5" thickBot="1">
      <c r="A206" s="157"/>
      <c r="B206" s="74" t="s">
        <v>23</v>
      </c>
      <c r="C206" s="233">
        <f>SUM(C204:C205)</f>
        <v>2179.0160000000001</v>
      </c>
      <c r="D206" s="234">
        <f>SUM(D204:D205)</f>
        <v>121.46808629243549</v>
      </c>
      <c r="E206" s="190"/>
      <c r="F206" s="190"/>
      <c r="G206" s="190"/>
      <c r="H206" s="190"/>
      <c r="I206" s="171"/>
      <c r="J206" s="102"/>
    </row>
    <row r="207" spans="1:10">
      <c r="A207" s="157"/>
      <c r="B207" s="235" t="s">
        <v>32</v>
      </c>
      <c r="C207" s="236">
        <f>C206-C195</f>
        <v>0</v>
      </c>
      <c r="D207" s="180"/>
      <c r="E207" s="190"/>
      <c r="F207" s="190"/>
      <c r="G207" s="190"/>
      <c r="H207" s="190"/>
      <c r="I207" s="171"/>
      <c r="J207" s="102"/>
    </row>
    <row r="208" spans="1:10">
      <c r="A208" s="157"/>
      <c r="B208" s="6"/>
      <c r="C208" s="180"/>
      <c r="D208" s="180"/>
      <c r="E208" s="190"/>
      <c r="F208" s="190"/>
      <c r="G208" s="190"/>
      <c r="H208" s="190"/>
      <c r="I208" s="171"/>
      <c r="J208" s="102"/>
    </row>
    <row r="209" spans="1:10">
      <c r="A209" s="157"/>
      <c r="B209" s="6"/>
      <c r="C209" s="180"/>
      <c r="D209" s="180"/>
      <c r="E209" s="190"/>
      <c r="F209" s="190"/>
      <c r="G209" s="190"/>
      <c r="H209" s="190"/>
      <c r="I209" s="171"/>
      <c r="J209" s="102"/>
    </row>
    <row r="210" spans="1:10" ht="13.5" thickBot="1">
      <c r="A210" s="157"/>
      <c r="B210" s="6"/>
      <c r="C210" s="180"/>
      <c r="D210" s="180"/>
      <c r="E210" s="190"/>
      <c r="F210" s="190"/>
      <c r="G210" s="190"/>
      <c r="H210" s="190"/>
      <c r="I210" s="171"/>
      <c r="J210" s="102"/>
    </row>
    <row r="211" spans="1:10" ht="13.5" thickBot="1">
      <c r="A211" s="157"/>
      <c r="B211" s="203" t="s">
        <v>81</v>
      </c>
      <c r="C211" s="204" t="s">
        <v>51</v>
      </c>
      <c r="D211" s="204" t="s">
        <v>5</v>
      </c>
      <c r="E211" s="205" t="s">
        <v>4</v>
      </c>
      <c r="F211" s="190"/>
      <c r="G211" s="190"/>
      <c r="H211" s="190"/>
      <c r="I211" s="171"/>
      <c r="J211" s="102"/>
    </row>
    <row r="212" spans="1:10">
      <c r="A212" s="157"/>
      <c r="B212" s="186" t="s">
        <v>82</v>
      </c>
      <c r="C212" s="181">
        <v>4.9599999999999998E-2</v>
      </c>
      <c r="D212" s="182">
        <v>500</v>
      </c>
      <c r="E212" s="202">
        <v>9175.3580000000002</v>
      </c>
      <c r="F212" s="190"/>
      <c r="G212" s="190"/>
      <c r="H212" s="190"/>
      <c r="I212" s="171"/>
      <c r="J212" s="72"/>
    </row>
    <row r="213" spans="1:10">
      <c r="A213" s="157"/>
      <c r="B213" s="186" t="s">
        <v>83</v>
      </c>
      <c r="C213" s="181">
        <v>4.1200000000000001E-2</v>
      </c>
      <c r="D213" s="182">
        <v>375</v>
      </c>
      <c r="E213" s="202">
        <v>6881.5129999999999</v>
      </c>
      <c r="F213" s="190"/>
      <c r="G213" s="190"/>
      <c r="H213" s="190"/>
      <c r="I213" s="171"/>
      <c r="J213" s="72"/>
    </row>
    <row r="214" spans="1:10">
      <c r="A214" s="157"/>
      <c r="B214" s="186" t="s">
        <v>84</v>
      </c>
      <c r="C214" s="181">
        <v>3.4799999999999998E-2</v>
      </c>
      <c r="D214" s="182">
        <v>300</v>
      </c>
      <c r="E214" s="202">
        <v>5505.21</v>
      </c>
      <c r="F214" s="190"/>
      <c r="G214" s="190"/>
      <c r="H214" s="190"/>
      <c r="I214" s="171"/>
      <c r="J214" s="72"/>
    </row>
    <row r="215" spans="1:10">
      <c r="A215" s="157"/>
      <c r="B215" s="186" t="s">
        <v>83</v>
      </c>
      <c r="C215" s="181">
        <v>3.73E-2</v>
      </c>
      <c r="D215" s="182">
        <v>70</v>
      </c>
      <c r="E215" s="202">
        <v>1284.549</v>
      </c>
      <c r="F215" s="190"/>
      <c r="G215" s="190"/>
      <c r="H215" s="190"/>
      <c r="I215" s="171"/>
      <c r="J215" s="72"/>
    </row>
    <row r="216" spans="1:10">
      <c r="A216" s="157"/>
      <c r="B216" s="186" t="s">
        <v>85</v>
      </c>
      <c r="C216" s="181">
        <v>5.1799999999999999E-2</v>
      </c>
      <c r="D216" s="182">
        <v>63.128</v>
      </c>
      <c r="E216" s="202">
        <v>1158.443</v>
      </c>
      <c r="F216" s="190"/>
      <c r="G216" s="190"/>
      <c r="H216" s="190"/>
      <c r="I216" s="171"/>
      <c r="J216" s="72"/>
    </row>
    <row r="217" spans="1:10">
      <c r="A217" s="157"/>
      <c r="B217" s="186" t="s">
        <v>86</v>
      </c>
      <c r="C217" s="181">
        <v>4.6699999999999998E-2</v>
      </c>
      <c r="D217" s="182">
        <v>50.396999999999998</v>
      </c>
      <c r="E217" s="202">
        <v>924.82</v>
      </c>
      <c r="F217" s="190"/>
      <c r="G217" s="190"/>
      <c r="H217" s="190"/>
      <c r="I217" s="171"/>
      <c r="J217" s="72"/>
    </row>
    <row r="218" spans="1:10">
      <c r="A218" s="157"/>
      <c r="B218" s="186" t="s">
        <v>87</v>
      </c>
      <c r="C218" s="181">
        <v>4.6699999999999998E-2</v>
      </c>
      <c r="D218" s="182">
        <v>50.396999999999998</v>
      </c>
      <c r="E218" s="202">
        <v>924.82</v>
      </c>
      <c r="F218" s="190"/>
      <c r="G218" s="190"/>
      <c r="H218" s="190"/>
      <c r="I218" s="171"/>
      <c r="J218" s="72"/>
    </row>
    <row r="219" spans="1:10">
      <c r="A219" s="157"/>
      <c r="B219" s="186" t="s">
        <v>88</v>
      </c>
      <c r="C219" s="210" t="s">
        <v>68</v>
      </c>
      <c r="D219" s="182">
        <v>300</v>
      </c>
      <c r="E219" s="202">
        <v>5505.21</v>
      </c>
      <c r="F219" s="190"/>
      <c r="G219" s="190"/>
      <c r="H219" s="190"/>
      <c r="I219" s="171"/>
      <c r="J219" s="72"/>
    </row>
    <row r="220" spans="1:10">
      <c r="A220" s="157"/>
      <c r="B220" s="186" t="s">
        <v>89</v>
      </c>
      <c r="C220" s="210" t="s">
        <v>90</v>
      </c>
      <c r="D220" s="182">
        <v>250</v>
      </c>
      <c r="E220" s="202">
        <v>4587.6750000000002</v>
      </c>
      <c r="F220" s="190"/>
      <c r="G220" s="190"/>
      <c r="H220" s="190"/>
      <c r="I220" s="171"/>
      <c r="J220" s="72"/>
    </row>
    <row r="221" spans="1:10">
      <c r="A221" s="157"/>
      <c r="B221" s="186" t="s">
        <v>91</v>
      </c>
      <c r="C221" s="210" t="s">
        <v>92</v>
      </c>
      <c r="D221" s="182">
        <v>267</v>
      </c>
      <c r="E221" s="202">
        <v>4899.6369999999997</v>
      </c>
      <c r="F221" s="190"/>
      <c r="G221" s="190"/>
      <c r="H221" s="190"/>
      <c r="I221" s="171"/>
      <c r="J221" s="72"/>
    </row>
    <row r="222" spans="1:10">
      <c r="A222" s="156"/>
      <c r="B222" s="211" t="s">
        <v>23</v>
      </c>
      <c r="C222" s="212"/>
      <c r="D222" s="213">
        <f>SUM(D212:D221)</f>
        <v>2225.9219999999996</v>
      </c>
      <c r="E222" s="214">
        <f>SUM(E212:E221)</f>
        <v>40847.235000000001</v>
      </c>
      <c r="F222" s="82"/>
      <c r="G222" s="82"/>
      <c r="H222" s="82"/>
      <c r="I222" s="166"/>
      <c r="J222" s="102"/>
    </row>
    <row r="223" spans="1:10">
      <c r="A223" s="157"/>
      <c r="B223" s="201" t="s">
        <v>24</v>
      </c>
      <c r="C223" s="181"/>
      <c r="D223" s="182">
        <v>17.091000000000001</v>
      </c>
      <c r="E223" s="202">
        <v>313.63499999999999</v>
      </c>
      <c r="F223" s="190"/>
      <c r="G223" s="190"/>
      <c r="H223" s="190"/>
      <c r="I223" s="171"/>
      <c r="J223" s="72"/>
    </row>
    <row r="224" spans="1:10">
      <c r="A224" s="157"/>
      <c r="B224" s="201" t="s">
        <v>70</v>
      </c>
      <c r="C224" s="181"/>
      <c r="D224" s="182">
        <v>-9.109</v>
      </c>
      <c r="E224" s="202">
        <v>-167.15700000000001</v>
      </c>
      <c r="F224" s="190"/>
      <c r="G224" s="190"/>
      <c r="H224" s="190"/>
      <c r="I224" s="171"/>
      <c r="J224" s="72"/>
    </row>
    <row r="225" spans="1:10" ht="13.5" thickBot="1">
      <c r="A225" s="157"/>
      <c r="B225" s="201" t="s">
        <v>71</v>
      </c>
      <c r="C225" s="181"/>
      <c r="D225" s="182">
        <v>-11.262</v>
      </c>
      <c r="E225" s="202">
        <v>-206.666</v>
      </c>
      <c r="F225" s="190"/>
      <c r="G225" s="190"/>
      <c r="H225" s="190"/>
      <c r="I225" s="171"/>
      <c r="J225" s="72"/>
    </row>
    <row r="226" spans="1:10" ht="13.5" thickBot="1">
      <c r="A226" s="156"/>
      <c r="B226" s="206" t="s">
        <v>72</v>
      </c>
      <c r="C226" s="207"/>
      <c r="D226" s="208">
        <f>SUM(D222:D225)</f>
        <v>2222.6419999999994</v>
      </c>
      <c r="E226" s="209">
        <f>SUM(E222:E225)</f>
        <v>40787.047000000006</v>
      </c>
      <c r="F226" s="82"/>
      <c r="G226" s="82"/>
      <c r="H226" s="82"/>
      <c r="I226" s="166"/>
      <c r="J226" s="102"/>
    </row>
    <row r="227" spans="1:10">
      <c r="A227" s="157"/>
      <c r="B227" s="73" t="s">
        <v>32</v>
      </c>
      <c r="C227" s="181"/>
      <c r="D227" s="183"/>
      <c r="E227" s="215">
        <f>E226-C194</f>
        <v>4.7000000005937181E-2</v>
      </c>
      <c r="F227" s="190"/>
      <c r="G227" s="190"/>
      <c r="H227" s="190"/>
      <c r="I227" s="171"/>
      <c r="J227" s="72"/>
    </row>
    <row r="228" spans="1:10">
      <c r="A228" s="157"/>
      <c r="B228" s="7"/>
      <c r="C228" s="181"/>
      <c r="D228" s="183"/>
      <c r="E228" s="197"/>
      <c r="F228" s="190"/>
      <c r="G228" s="190"/>
      <c r="H228" s="190"/>
      <c r="I228" s="171"/>
      <c r="J228" s="72"/>
    </row>
    <row r="229" spans="1:10" ht="13.5" thickBot="1">
      <c r="A229" s="157"/>
      <c r="B229" s="7"/>
      <c r="C229" s="181"/>
      <c r="D229" s="183"/>
      <c r="E229" s="197"/>
      <c r="F229" s="190"/>
      <c r="G229" s="190"/>
      <c r="H229" s="190"/>
      <c r="I229" s="171"/>
      <c r="J229" s="72"/>
    </row>
    <row r="230" spans="1:10" ht="13.5" thickBot="1">
      <c r="A230" s="157"/>
      <c r="B230" s="218" t="s">
        <v>93</v>
      </c>
      <c r="C230" s="226" t="s">
        <v>4</v>
      </c>
      <c r="D230" s="219" t="s">
        <v>5</v>
      </c>
      <c r="E230" s="197"/>
      <c r="F230" s="190"/>
      <c r="G230" s="190"/>
      <c r="H230" s="190"/>
      <c r="I230" s="171"/>
      <c r="J230" s="72"/>
    </row>
    <row r="231" spans="1:10">
      <c r="A231" s="157"/>
      <c r="B231" s="225"/>
      <c r="C231" s="166"/>
      <c r="D231" s="185"/>
      <c r="E231" s="197"/>
      <c r="F231" s="190"/>
      <c r="G231" s="190"/>
      <c r="H231" s="190"/>
      <c r="I231" s="171"/>
      <c r="J231" s="72"/>
    </row>
    <row r="232" spans="1:10">
      <c r="A232" s="157"/>
      <c r="B232" s="184" t="s">
        <v>46</v>
      </c>
      <c r="C232" s="166"/>
      <c r="D232" s="185"/>
      <c r="E232" s="197"/>
      <c r="F232" s="190"/>
      <c r="G232" s="190"/>
      <c r="H232" s="190"/>
      <c r="I232" s="171"/>
      <c r="J232" s="72"/>
    </row>
    <row r="233" spans="1:10">
      <c r="A233" s="157"/>
      <c r="B233" s="186">
        <v>2025</v>
      </c>
      <c r="C233" s="220">
        <v>22</v>
      </c>
      <c r="D233" s="187">
        <f>C233*$J$173</f>
        <v>1.226378281955516</v>
      </c>
      <c r="E233" s="197"/>
      <c r="F233" s="190"/>
      <c r="G233" s="190"/>
      <c r="H233" s="190"/>
      <c r="I233" s="171"/>
      <c r="J233" s="72"/>
    </row>
    <row r="234" spans="1:10">
      <c r="A234" s="157"/>
      <c r="B234" s="186">
        <v>2026</v>
      </c>
      <c r="C234" s="220">
        <v>2985</v>
      </c>
      <c r="D234" s="187">
        <f t="shared" ref="D234:D240" si="11">C234*$J$173</f>
        <v>166.39723507441886</v>
      </c>
      <c r="E234" s="197"/>
      <c r="F234" s="190"/>
      <c r="G234" s="190"/>
      <c r="H234" s="190"/>
      <c r="I234" s="171"/>
      <c r="J234" s="72"/>
    </row>
    <row r="235" spans="1:10">
      <c r="A235" s="157"/>
      <c r="B235" s="186">
        <v>2027</v>
      </c>
      <c r="C235" s="220">
        <v>0</v>
      </c>
      <c r="D235" s="187">
        <f t="shared" si="11"/>
        <v>0</v>
      </c>
      <c r="E235" s="197"/>
      <c r="F235" s="190"/>
      <c r="G235" s="190"/>
      <c r="H235" s="190"/>
      <c r="I235" s="171"/>
      <c r="J235" s="72"/>
    </row>
    <row r="236" spans="1:10">
      <c r="A236" s="157"/>
      <c r="B236" s="186">
        <v>2028</v>
      </c>
      <c r="C236" s="220">
        <v>7799</v>
      </c>
      <c r="D236" s="187">
        <f t="shared" si="11"/>
        <v>434.75110095323043</v>
      </c>
      <c r="E236" s="197"/>
      <c r="F236" s="190"/>
      <c r="G236" s="190"/>
      <c r="H236" s="190"/>
      <c r="I236" s="171"/>
      <c r="J236" s="72"/>
    </row>
    <row r="237" spans="1:10">
      <c r="A237" s="157"/>
      <c r="B237" s="186">
        <v>2029</v>
      </c>
      <c r="C237" s="220">
        <v>1835</v>
      </c>
      <c r="D237" s="187">
        <f t="shared" si="11"/>
        <v>102.29109760856235</v>
      </c>
      <c r="E237" s="197"/>
      <c r="F237" s="190"/>
      <c r="G237" s="190"/>
      <c r="H237" s="190"/>
      <c r="I237" s="171"/>
      <c r="J237" s="72"/>
    </row>
    <row r="238" spans="1:10">
      <c r="A238" s="157"/>
      <c r="B238" s="186">
        <v>2030</v>
      </c>
      <c r="C238" s="220">
        <v>2294</v>
      </c>
      <c r="D238" s="187">
        <f t="shared" si="11"/>
        <v>127.87780812754335</v>
      </c>
      <c r="E238" s="197"/>
      <c r="F238" s="190"/>
      <c r="G238" s="190"/>
      <c r="H238" s="190"/>
      <c r="I238" s="171"/>
      <c r="J238" s="72"/>
    </row>
    <row r="239" spans="1:10">
      <c r="A239" s="157"/>
      <c r="B239" s="186" t="s">
        <v>43</v>
      </c>
      <c r="C239" s="220">
        <v>7249</v>
      </c>
      <c r="D239" s="187">
        <f t="shared" si="11"/>
        <v>404.0916439043425</v>
      </c>
      <c r="E239" s="197"/>
      <c r="F239" s="190"/>
      <c r="G239" s="190"/>
      <c r="H239" s="190"/>
      <c r="I239" s="171"/>
      <c r="J239" s="72"/>
    </row>
    <row r="240" spans="1:10">
      <c r="A240" s="157"/>
      <c r="B240" s="186" t="s">
        <v>74</v>
      </c>
      <c r="C240" s="220">
        <v>17</v>
      </c>
      <c r="D240" s="187">
        <f t="shared" si="11"/>
        <v>0.94765594514744411</v>
      </c>
      <c r="E240" s="197"/>
      <c r="F240" s="190"/>
      <c r="G240" s="190"/>
      <c r="H240" s="190"/>
      <c r="I240" s="171"/>
      <c r="J240" s="72"/>
    </row>
    <row r="241" spans="1:10">
      <c r="A241" s="157"/>
      <c r="B241" s="216" t="s">
        <v>23</v>
      </c>
      <c r="C241" s="221">
        <f>SUM(C233:C240)</f>
        <v>22201</v>
      </c>
      <c r="D241" s="217">
        <f>SUM(D233:D240)</f>
        <v>1237.5829198952003</v>
      </c>
      <c r="E241" s="197"/>
      <c r="F241" s="190"/>
      <c r="G241" s="190"/>
      <c r="H241" s="190"/>
      <c r="I241" s="171"/>
      <c r="J241" s="72"/>
    </row>
    <row r="242" spans="1:10">
      <c r="A242" s="157"/>
      <c r="B242" s="188"/>
      <c r="C242" s="222"/>
      <c r="D242" s="185"/>
      <c r="E242" s="197"/>
      <c r="F242" s="190"/>
      <c r="G242" s="190"/>
      <c r="H242" s="190"/>
      <c r="I242" s="171"/>
      <c r="J242" s="72"/>
    </row>
    <row r="243" spans="1:10">
      <c r="A243" s="157"/>
      <c r="B243" s="188" t="s">
        <v>48</v>
      </c>
      <c r="C243" s="222"/>
      <c r="D243" s="185"/>
      <c r="E243" s="197"/>
      <c r="F243" s="190"/>
      <c r="G243" s="190"/>
      <c r="H243" s="190"/>
      <c r="I243" s="171"/>
      <c r="J243" s="72"/>
    </row>
    <row r="244" spans="1:10">
      <c r="A244" s="157"/>
      <c r="B244" s="186">
        <v>2025</v>
      </c>
      <c r="C244" s="220">
        <v>0</v>
      </c>
      <c r="D244" s="187">
        <f t="shared" ref="D244:D252" si="12">C244*$J$173</f>
        <v>0</v>
      </c>
      <c r="E244" s="197"/>
      <c r="F244" s="190"/>
      <c r="G244" s="190"/>
      <c r="H244" s="190"/>
      <c r="I244" s="171"/>
      <c r="J244" s="72"/>
    </row>
    <row r="245" spans="1:10">
      <c r="A245" s="157"/>
      <c r="B245" s="186">
        <v>2026</v>
      </c>
      <c r="C245" s="220">
        <v>4900</v>
      </c>
      <c r="D245" s="187">
        <f t="shared" si="12"/>
        <v>273.14789007191035</v>
      </c>
      <c r="E245" s="197"/>
      <c r="F245" s="190"/>
      <c r="G245" s="190"/>
      <c r="H245" s="190"/>
      <c r="I245" s="171"/>
      <c r="J245" s="72"/>
    </row>
    <row r="246" spans="1:10">
      <c r="A246" s="157"/>
      <c r="B246" s="186">
        <v>2027</v>
      </c>
      <c r="C246" s="220">
        <v>0</v>
      </c>
      <c r="D246" s="187">
        <f t="shared" si="12"/>
        <v>0</v>
      </c>
      <c r="E246" s="197"/>
      <c r="F246" s="190"/>
      <c r="G246" s="190"/>
      <c r="H246" s="190"/>
      <c r="I246" s="171"/>
      <c r="J246" s="72"/>
    </row>
    <row r="247" spans="1:10">
      <c r="A247" s="157"/>
      <c r="B247" s="186">
        <v>2028</v>
      </c>
      <c r="C247" s="220">
        <v>4588</v>
      </c>
      <c r="D247" s="187">
        <f t="shared" si="12"/>
        <v>255.75561625508669</v>
      </c>
      <c r="E247" s="197"/>
      <c r="F247" s="190"/>
      <c r="G247" s="190"/>
      <c r="H247" s="190"/>
      <c r="I247" s="171"/>
      <c r="J247" s="72"/>
    </row>
    <row r="248" spans="1:10">
      <c r="A248" s="157"/>
      <c r="B248" s="186">
        <v>2029</v>
      </c>
      <c r="C248" s="220">
        <v>9175</v>
      </c>
      <c r="D248" s="187">
        <f t="shared" si="12"/>
        <v>511.45548804281179</v>
      </c>
      <c r="E248" s="197"/>
      <c r="F248" s="190"/>
      <c r="G248" s="190"/>
      <c r="H248" s="190"/>
      <c r="I248" s="171"/>
      <c r="J248" s="72"/>
    </row>
    <row r="249" spans="1:10">
      <c r="A249" s="157"/>
      <c r="B249" s="186">
        <v>2030</v>
      </c>
      <c r="C249" s="220">
        <v>0</v>
      </c>
      <c r="D249" s="187">
        <f t="shared" si="12"/>
        <v>0</v>
      </c>
      <c r="E249" s="197"/>
      <c r="F249" s="190"/>
      <c r="G249" s="190"/>
      <c r="H249" s="190"/>
      <c r="I249" s="171"/>
      <c r="J249" s="72"/>
    </row>
    <row r="250" spans="1:10">
      <c r="A250" s="157"/>
      <c r="B250" s="186" t="s">
        <v>43</v>
      </c>
      <c r="C250" s="220">
        <v>0</v>
      </c>
      <c r="D250" s="187">
        <f t="shared" si="12"/>
        <v>0</v>
      </c>
      <c r="E250" s="197"/>
      <c r="F250" s="190"/>
      <c r="G250" s="190"/>
      <c r="H250" s="190"/>
      <c r="I250" s="171"/>
      <c r="J250" s="72"/>
    </row>
    <row r="251" spans="1:10">
      <c r="A251" s="157"/>
      <c r="B251" s="186" t="s">
        <v>74</v>
      </c>
      <c r="C251" s="220">
        <v>-188</v>
      </c>
      <c r="D251" s="187">
        <f t="shared" si="12"/>
        <v>-10.479959863983501</v>
      </c>
      <c r="E251" s="197"/>
      <c r="F251" s="190"/>
      <c r="G251" s="190"/>
      <c r="H251" s="190"/>
      <c r="I251" s="171"/>
      <c r="J251" s="72"/>
    </row>
    <row r="252" spans="1:10">
      <c r="A252" s="157"/>
      <c r="B252" s="186" t="s">
        <v>76</v>
      </c>
      <c r="C252" s="220">
        <v>111</v>
      </c>
      <c r="D252" s="187">
        <f t="shared" si="12"/>
        <v>6.1876358771391944</v>
      </c>
      <c r="E252" s="197"/>
      <c r="F252" s="190"/>
      <c r="G252" s="190"/>
      <c r="H252" s="190"/>
      <c r="I252" s="171"/>
      <c r="J252" s="72"/>
    </row>
    <row r="253" spans="1:10">
      <c r="A253" s="157"/>
      <c r="B253" s="216" t="s">
        <v>23</v>
      </c>
      <c r="C253" s="221">
        <f>SUM(C244:C252)</f>
        <v>18586</v>
      </c>
      <c r="D253" s="217">
        <f>SUM(D244:D252)</f>
        <v>1036.0666703829645</v>
      </c>
      <c r="E253" s="197"/>
      <c r="F253" s="190"/>
      <c r="G253" s="190"/>
      <c r="H253" s="190"/>
      <c r="I253" s="171"/>
      <c r="J253" s="72"/>
    </row>
    <row r="254" spans="1:10">
      <c r="A254" s="157"/>
      <c r="B254" s="186"/>
      <c r="C254" s="223"/>
      <c r="D254" s="185"/>
      <c r="E254" s="197"/>
      <c r="F254" s="190"/>
      <c r="G254" s="190"/>
      <c r="H254" s="190"/>
      <c r="I254" s="171"/>
      <c r="J254" s="72"/>
    </row>
    <row r="255" spans="1:10" ht="13.5" thickBot="1">
      <c r="A255" s="157"/>
      <c r="B255" s="112" t="s">
        <v>77</v>
      </c>
      <c r="C255" s="224">
        <f>C241+C253</f>
        <v>40787</v>
      </c>
      <c r="D255" s="189">
        <f>D241+D253</f>
        <v>2273.6495902781649</v>
      </c>
      <c r="E255" s="197"/>
      <c r="F255" s="190"/>
      <c r="G255" s="190"/>
      <c r="H255" s="190"/>
      <c r="I255" s="171"/>
      <c r="J255" s="72"/>
    </row>
    <row r="256" spans="1:10">
      <c r="A256" s="157"/>
      <c r="B256" s="73" t="s">
        <v>32</v>
      </c>
      <c r="C256" s="215">
        <f>C255-C194</f>
        <v>0</v>
      </c>
      <c r="D256" s="183"/>
      <c r="E256" s="215"/>
      <c r="F256" s="190"/>
      <c r="G256" s="190"/>
      <c r="H256" s="190"/>
      <c r="I256" s="171"/>
      <c r="J256" s="72"/>
    </row>
    <row r="257" spans="1:10">
      <c r="A257" s="157"/>
      <c r="B257" s="7"/>
      <c r="C257" s="181"/>
      <c r="D257" s="183"/>
      <c r="E257" s="197"/>
      <c r="F257" s="190"/>
      <c r="G257" s="190"/>
      <c r="H257" s="190"/>
      <c r="I257" s="171"/>
      <c r="J257" s="72"/>
    </row>
  </sheetData>
  <phoneticPr fontId="4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6154E-A981-49A0-81F8-1BB1F61D5074}">
  <dimension ref="B2:U320"/>
  <sheetViews>
    <sheetView showGridLines="0" tabSelected="1" zoomScale="85" zoomScaleNormal="85" workbookViewId="0">
      <pane xSplit="2" ySplit="6" topLeftCell="E7" activePane="bottomRight" state="frozen"/>
      <selection pane="bottomRight" activeCell="B2" sqref="B2"/>
      <selection pane="bottomLeft" activeCell="J65" sqref="J65"/>
      <selection pane="topRight" activeCell="J65" sqref="J65"/>
    </sheetView>
  </sheetViews>
  <sheetFormatPr defaultColWidth="11.42578125" defaultRowHeight="12.75" outlineLevelCol="1"/>
  <cols>
    <col min="1" max="1" width="2.7109375" style="18" customWidth="1"/>
    <col min="2" max="2" width="50.7109375" style="18" customWidth="1"/>
    <col min="3" max="3" width="12.7109375" style="18" hidden="1" customWidth="1" outlineLevel="1"/>
    <col min="4" max="4" width="12.7109375" style="18" customWidth="1" collapsed="1"/>
    <col min="5" max="7" width="12.7109375" style="18" customWidth="1"/>
    <col min="8" max="8" width="12.7109375" customWidth="1"/>
    <col min="9" max="18" width="12.7109375" style="18" customWidth="1"/>
    <col min="19" max="19" width="11.85546875" style="18" bestFit="1" customWidth="1"/>
    <col min="20" max="234" width="11.42578125" style="18"/>
    <col min="235" max="235" width="3.5703125" style="18" customWidth="1"/>
    <col min="236" max="236" width="13.28515625" style="18" customWidth="1"/>
    <col min="237" max="244" width="11.42578125" style="18" customWidth="1"/>
    <col min="245" max="245" width="9.7109375" style="18" bestFit="1" customWidth="1"/>
    <col min="246" max="249" width="0" style="18" hidden="1" customWidth="1"/>
    <col min="250" max="258" width="11.42578125" style="18" customWidth="1"/>
    <col min="259" max="490" width="11.42578125" style="18"/>
    <col min="491" max="491" width="3.5703125" style="18" customWidth="1"/>
    <col min="492" max="492" width="13.28515625" style="18" customWidth="1"/>
    <col min="493" max="500" width="11.42578125" style="18" customWidth="1"/>
    <col min="501" max="501" width="9.7109375" style="18" bestFit="1" customWidth="1"/>
    <col min="502" max="505" width="0" style="18" hidden="1" customWidth="1"/>
    <col min="506" max="514" width="11.42578125" style="18" customWidth="1"/>
    <col min="515" max="746" width="11.42578125" style="18"/>
    <col min="747" max="747" width="3.5703125" style="18" customWidth="1"/>
    <col min="748" max="748" width="13.28515625" style="18" customWidth="1"/>
    <col min="749" max="756" width="11.42578125" style="18" customWidth="1"/>
    <col min="757" max="757" width="9.7109375" style="18" bestFit="1" customWidth="1"/>
    <col min="758" max="761" width="0" style="18" hidden="1" customWidth="1"/>
    <col min="762" max="770" width="11.42578125" style="18" customWidth="1"/>
    <col min="771" max="1002" width="11.42578125" style="18"/>
    <col min="1003" max="1003" width="3.5703125" style="18" customWidth="1"/>
    <col min="1004" max="1004" width="13.28515625" style="18" customWidth="1"/>
    <col min="1005" max="1012" width="11.42578125" style="18" customWidth="1"/>
    <col min="1013" max="1013" width="9.7109375" style="18" bestFit="1" customWidth="1"/>
    <col min="1014" max="1017" width="0" style="18" hidden="1" customWidth="1"/>
    <col min="1018" max="1026" width="11.42578125" style="18" customWidth="1"/>
    <col min="1027" max="1258" width="11.42578125" style="18"/>
    <col min="1259" max="1259" width="3.5703125" style="18" customWidth="1"/>
    <col min="1260" max="1260" width="13.28515625" style="18" customWidth="1"/>
    <col min="1261" max="1268" width="11.42578125" style="18" customWidth="1"/>
    <col min="1269" max="1269" width="9.7109375" style="18" bestFit="1" customWidth="1"/>
    <col min="1270" max="1273" width="0" style="18" hidden="1" customWidth="1"/>
    <col min="1274" max="1282" width="11.42578125" style="18" customWidth="1"/>
    <col min="1283" max="1514" width="11.42578125" style="18"/>
    <col min="1515" max="1515" width="3.5703125" style="18" customWidth="1"/>
    <col min="1516" max="1516" width="13.28515625" style="18" customWidth="1"/>
    <col min="1517" max="1524" width="11.42578125" style="18" customWidth="1"/>
    <col min="1525" max="1525" width="9.7109375" style="18" bestFit="1" customWidth="1"/>
    <col min="1526" max="1529" width="0" style="18" hidden="1" customWidth="1"/>
    <col min="1530" max="1538" width="11.42578125" style="18" customWidth="1"/>
    <col min="1539" max="1770" width="11.42578125" style="18"/>
    <col min="1771" max="1771" width="3.5703125" style="18" customWidth="1"/>
    <col min="1772" max="1772" width="13.28515625" style="18" customWidth="1"/>
    <col min="1773" max="1780" width="11.42578125" style="18" customWidth="1"/>
    <col min="1781" max="1781" width="9.7109375" style="18" bestFit="1" customWidth="1"/>
    <col min="1782" max="1785" width="0" style="18" hidden="1" customWidth="1"/>
    <col min="1786" max="1794" width="11.42578125" style="18" customWidth="1"/>
    <col min="1795" max="2026" width="11.42578125" style="18"/>
    <col min="2027" max="2027" width="3.5703125" style="18" customWidth="1"/>
    <col min="2028" max="2028" width="13.28515625" style="18" customWidth="1"/>
    <col min="2029" max="2036" width="11.42578125" style="18" customWidth="1"/>
    <col min="2037" max="2037" width="9.7109375" style="18" bestFit="1" customWidth="1"/>
    <col min="2038" max="2041" width="0" style="18" hidden="1" customWidth="1"/>
    <col min="2042" max="2050" width="11.42578125" style="18" customWidth="1"/>
    <col min="2051" max="2282" width="11.42578125" style="18"/>
    <col min="2283" max="2283" width="3.5703125" style="18" customWidth="1"/>
    <col min="2284" max="2284" width="13.28515625" style="18" customWidth="1"/>
    <col min="2285" max="2292" width="11.42578125" style="18" customWidth="1"/>
    <col min="2293" max="2293" width="9.7109375" style="18" bestFit="1" customWidth="1"/>
    <col min="2294" max="2297" width="0" style="18" hidden="1" customWidth="1"/>
    <col min="2298" max="2306" width="11.42578125" style="18" customWidth="1"/>
    <col min="2307" max="2538" width="11.42578125" style="18"/>
    <col min="2539" max="2539" width="3.5703125" style="18" customWidth="1"/>
    <col min="2540" max="2540" width="13.28515625" style="18" customWidth="1"/>
    <col min="2541" max="2548" width="11.42578125" style="18" customWidth="1"/>
    <col min="2549" max="2549" width="9.7109375" style="18" bestFit="1" customWidth="1"/>
    <col min="2550" max="2553" width="0" style="18" hidden="1" customWidth="1"/>
    <col min="2554" max="2562" width="11.42578125" style="18" customWidth="1"/>
    <col min="2563" max="2794" width="11.42578125" style="18"/>
    <col min="2795" max="2795" width="3.5703125" style="18" customWidth="1"/>
    <col min="2796" max="2796" width="13.28515625" style="18" customWidth="1"/>
    <col min="2797" max="2804" width="11.42578125" style="18" customWidth="1"/>
    <col min="2805" max="2805" width="9.7109375" style="18" bestFit="1" customWidth="1"/>
    <col min="2806" max="2809" width="0" style="18" hidden="1" customWidth="1"/>
    <col min="2810" max="2818" width="11.42578125" style="18" customWidth="1"/>
    <col min="2819" max="3050" width="11.42578125" style="18"/>
    <col min="3051" max="3051" width="3.5703125" style="18" customWidth="1"/>
    <col min="3052" max="3052" width="13.28515625" style="18" customWidth="1"/>
    <col min="3053" max="3060" width="11.42578125" style="18" customWidth="1"/>
    <col min="3061" max="3061" width="9.7109375" style="18" bestFit="1" customWidth="1"/>
    <col min="3062" max="3065" width="0" style="18" hidden="1" customWidth="1"/>
    <col min="3066" max="3074" width="11.42578125" style="18" customWidth="1"/>
    <col min="3075" max="3306" width="11.42578125" style="18"/>
    <col min="3307" max="3307" width="3.5703125" style="18" customWidth="1"/>
    <col min="3308" max="3308" width="13.28515625" style="18" customWidth="1"/>
    <col min="3309" max="3316" width="11.42578125" style="18" customWidth="1"/>
    <col min="3317" max="3317" width="9.7109375" style="18" bestFit="1" customWidth="1"/>
    <col min="3318" max="3321" width="0" style="18" hidden="1" customWidth="1"/>
    <col min="3322" max="3330" width="11.42578125" style="18" customWidth="1"/>
    <col min="3331" max="3562" width="11.42578125" style="18"/>
    <col min="3563" max="3563" width="3.5703125" style="18" customWidth="1"/>
    <col min="3564" max="3564" width="13.28515625" style="18" customWidth="1"/>
    <col min="3565" max="3572" width="11.42578125" style="18" customWidth="1"/>
    <col min="3573" max="3573" width="9.7109375" style="18" bestFit="1" customWidth="1"/>
    <col min="3574" max="3577" width="0" style="18" hidden="1" customWidth="1"/>
    <col min="3578" max="3586" width="11.42578125" style="18" customWidth="1"/>
    <col min="3587" max="3818" width="11.42578125" style="18"/>
    <col min="3819" max="3819" width="3.5703125" style="18" customWidth="1"/>
    <col min="3820" max="3820" width="13.28515625" style="18" customWidth="1"/>
    <col min="3821" max="3828" width="11.42578125" style="18" customWidth="1"/>
    <col min="3829" max="3829" width="9.7109375" style="18" bestFit="1" customWidth="1"/>
    <col min="3830" max="3833" width="0" style="18" hidden="1" customWidth="1"/>
    <col min="3834" max="3842" width="11.42578125" style="18" customWidth="1"/>
    <col min="3843" max="4074" width="11.42578125" style="18"/>
    <col min="4075" max="4075" width="3.5703125" style="18" customWidth="1"/>
    <col min="4076" max="4076" width="13.28515625" style="18" customWidth="1"/>
    <col min="4077" max="4084" width="11.42578125" style="18" customWidth="1"/>
    <col min="4085" max="4085" width="9.7109375" style="18" bestFit="1" customWidth="1"/>
    <col min="4086" max="4089" width="0" style="18" hidden="1" customWidth="1"/>
    <col min="4090" max="4098" width="11.42578125" style="18" customWidth="1"/>
    <col min="4099" max="4330" width="11.42578125" style="18"/>
    <col min="4331" max="4331" width="3.5703125" style="18" customWidth="1"/>
    <col min="4332" max="4332" width="13.28515625" style="18" customWidth="1"/>
    <col min="4333" max="4340" width="11.42578125" style="18" customWidth="1"/>
    <col min="4341" max="4341" width="9.7109375" style="18" bestFit="1" customWidth="1"/>
    <col min="4342" max="4345" width="0" style="18" hidden="1" customWidth="1"/>
    <col min="4346" max="4354" width="11.42578125" style="18" customWidth="1"/>
    <col min="4355" max="4586" width="11.42578125" style="18"/>
    <col min="4587" max="4587" width="3.5703125" style="18" customWidth="1"/>
    <col min="4588" max="4588" width="13.28515625" style="18" customWidth="1"/>
    <col min="4589" max="4596" width="11.42578125" style="18" customWidth="1"/>
    <col min="4597" max="4597" width="9.7109375" style="18" bestFit="1" customWidth="1"/>
    <col min="4598" max="4601" width="0" style="18" hidden="1" customWidth="1"/>
    <col min="4602" max="4610" width="11.42578125" style="18" customWidth="1"/>
    <col min="4611" max="4842" width="11.42578125" style="18"/>
    <col min="4843" max="4843" width="3.5703125" style="18" customWidth="1"/>
    <col min="4844" max="4844" width="13.28515625" style="18" customWidth="1"/>
    <col min="4845" max="4852" width="11.42578125" style="18" customWidth="1"/>
    <col min="4853" max="4853" width="9.7109375" style="18" bestFit="1" customWidth="1"/>
    <col min="4854" max="4857" width="0" style="18" hidden="1" customWidth="1"/>
    <col min="4858" max="4866" width="11.42578125" style="18" customWidth="1"/>
    <col min="4867" max="5098" width="11.42578125" style="18"/>
    <col min="5099" max="5099" width="3.5703125" style="18" customWidth="1"/>
    <col min="5100" max="5100" width="13.28515625" style="18" customWidth="1"/>
    <col min="5101" max="5108" width="11.42578125" style="18" customWidth="1"/>
    <col min="5109" max="5109" width="9.7109375" style="18" bestFit="1" customWidth="1"/>
    <col min="5110" max="5113" width="0" style="18" hidden="1" customWidth="1"/>
    <col min="5114" max="5122" width="11.42578125" style="18" customWidth="1"/>
    <col min="5123" max="5354" width="11.42578125" style="18"/>
    <col min="5355" max="5355" width="3.5703125" style="18" customWidth="1"/>
    <col min="5356" max="5356" width="13.28515625" style="18" customWidth="1"/>
    <col min="5357" max="5364" width="11.42578125" style="18" customWidth="1"/>
    <col min="5365" max="5365" width="9.7109375" style="18" bestFit="1" customWidth="1"/>
    <col min="5366" max="5369" width="0" style="18" hidden="1" customWidth="1"/>
    <col min="5370" max="5378" width="11.42578125" style="18" customWidth="1"/>
    <col min="5379" max="5610" width="11.42578125" style="18"/>
    <col min="5611" max="5611" width="3.5703125" style="18" customWidth="1"/>
    <col min="5612" max="5612" width="13.28515625" style="18" customWidth="1"/>
    <col min="5613" max="5620" width="11.42578125" style="18" customWidth="1"/>
    <col min="5621" max="5621" width="9.7109375" style="18" bestFit="1" customWidth="1"/>
    <col min="5622" max="5625" width="0" style="18" hidden="1" customWidth="1"/>
    <col min="5626" max="5634" width="11.42578125" style="18" customWidth="1"/>
    <col min="5635" max="5866" width="11.42578125" style="18"/>
    <col min="5867" max="5867" width="3.5703125" style="18" customWidth="1"/>
    <col min="5868" max="5868" width="13.28515625" style="18" customWidth="1"/>
    <col min="5869" max="5876" width="11.42578125" style="18" customWidth="1"/>
    <col min="5877" max="5877" width="9.7109375" style="18" bestFit="1" customWidth="1"/>
    <col min="5878" max="5881" width="0" style="18" hidden="1" customWidth="1"/>
    <col min="5882" max="5890" width="11.42578125" style="18" customWidth="1"/>
    <col min="5891" max="6122" width="11.42578125" style="18"/>
    <col min="6123" max="6123" width="3.5703125" style="18" customWidth="1"/>
    <col min="6124" max="6124" width="13.28515625" style="18" customWidth="1"/>
    <col min="6125" max="6132" width="11.42578125" style="18" customWidth="1"/>
    <col min="6133" max="6133" width="9.7109375" style="18" bestFit="1" customWidth="1"/>
    <col min="6134" max="6137" width="0" style="18" hidden="1" customWidth="1"/>
    <col min="6138" max="6146" width="11.42578125" style="18" customWidth="1"/>
    <col min="6147" max="6378" width="11.42578125" style="18"/>
    <col min="6379" max="6379" width="3.5703125" style="18" customWidth="1"/>
    <col min="6380" max="6380" width="13.28515625" style="18" customWidth="1"/>
    <col min="6381" max="6388" width="11.42578125" style="18" customWidth="1"/>
    <col min="6389" max="6389" width="9.7109375" style="18" bestFit="1" customWidth="1"/>
    <col min="6390" max="6393" width="0" style="18" hidden="1" customWidth="1"/>
    <col min="6394" max="6402" width="11.42578125" style="18" customWidth="1"/>
    <col min="6403" max="6634" width="11.42578125" style="18"/>
    <col min="6635" max="6635" width="3.5703125" style="18" customWidth="1"/>
    <col min="6636" max="6636" width="13.28515625" style="18" customWidth="1"/>
    <col min="6637" max="6644" width="11.42578125" style="18" customWidth="1"/>
    <col min="6645" max="6645" width="9.7109375" style="18" bestFit="1" customWidth="1"/>
    <col min="6646" max="6649" width="0" style="18" hidden="1" customWidth="1"/>
    <col min="6650" max="6658" width="11.42578125" style="18" customWidth="1"/>
    <col min="6659" max="6890" width="11.42578125" style="18"/>
    <col min="6891" max="6891" width="3.5703125" style="18" customWidth="1"/>
    <col min="6892" max="6892" width="13.28515625" style="18" customWidth="1"/>
    <col min="6893" max="6900" width="11.42578125" style="18" customWidth="1"/>
    <col min="6901" max="6901" width="9.7109375" style="18" bestFit="1" customWidth="1"/>
    <col min="6902" max="6905" width="0" style="18" hidden="1" customWidth="1"/>
    <col min="6906" max="6914" width="11.42578125" style="18" customWidth="1"/>
    <col min="6915" max="7146" width="11.42578125" style="18"/>
    <col min="7147" max="7147" width="3.5703125" style="18" customWidth="1"/>
    <col min="7148" max="7148" width="13.28515625" style="18" customWidth="1"/>
    <col min="7149" max="7156" width="11.42578125" style="18" customWidth="1"/>
    <col min="7157" max="7157" width="9.7109375" style="18" bestFit="1" customWidth="1"/>
    <col min="7158" max="7161" width="0" style="18" hidden="1" customWidth="1"/>
    <col min="7162" max="7170" width="11.42578125" style="18" customWidth="1"/>
    <col min="7171" max="7402" width="11.42578125" style="18"/>
    <col min="7403" max="7403" width="3.5703125" style="18" customWidth="1"/>
    <col min="7404" max="7404" width="13.28515625" style="18" customWidth="1"/>
    <col min="7405" max="7412" width="11.42578125" style="18" customWidth="1"/>
    <col min="7413" max="7413" width="9.7109375" style="18" bestFit="1" customWidth="1"/>
    <col min="7414" max="7417" width="0" style="18" hidden="1" customWidth="1"/>
    <col min="7418" max="7426" width="11.42578125" style="18" customWidth="1"/>
    <col min="7427" max="7658" width="11.42578125" style="18"/>
    <col min="7659" max="7659" width="3.5703125" style="18" customWidth="1"/>
    <col min="7660" max="7660" width="13.28515625" style="18" customWidth="1"/>
    <col min="7661" max="7668" width="11.42578125" style="18" customWidth="1"/>
    <col min="7669" max="7669" width="9.7109375" style="18" bestFit="1" customWidth="1"/>
    <col min="7670" max="7673" width="0" style="18" hidden="1" customWidth="1"/>
    <col min="7674" max="7682" width="11.42578125" style="18" customWidth="1"/>
    <col min="7683" max="7914" width="11.42578125" style="18"/>
    <col min="7915" max="7915" width="3.5703125" style="18" customWidth="1"/>
    <col min="7916" max="7916" width="13.28515625" style="18" customWidth="1"/>
    <col min="7917" max="7924" width="11.42578125" style="18" customWidth="1"/>
    <col min="7925" max="7925" width="9.7109375" style="18" bestFit="1" customWidth="1"/>
    <col min="7926" max="7929" width="0" style="18" hidden="1" customWidth="1"/>
    <col min="7930" max="7938" width="11.42578125" style="18" customWidth="1"/>
    <col min="7939" max="8170" width="11.42578125" style="18"/>
    <col min="8171" max="8171" width="3.5703125" style="18" customWidth="1"/>
    <col min="8172" max="8172" width="13.28515625" style="18" customWidth="1"/>
    <col min="8173" max="8180" width="11.42578125" style="18" customWidth="1"/>
    <col min="8181" max="8181" width="9.7109375" style="18" bestFit="1" customWidth="1"/>
    <col min="8182" max="8185" width="0" style="18" hidden="1" customWidth="1"/>
    <col min="8186" max="8194" width="11.42578125" style="18" customWidth="1"/>
    <col min="8195" max="8426" width="11.42578125" style="18"/>
    <col min="8427" max="8427" width="3.5703125" style="18" customWidth="1"/>
    <col min="8428" max="8428" width="13.28515625" style="18" customWidth="1"/>
    <col min="8429" max="8436" width="11.42578125" style="18" customWidth="1"/>
    <col min="8437" max="8437" width="9.7109375" style="18" bestFit="1" customWidth="1"/>
    <col min="8438" max="8441" width="0" style="18" hidden="1" customWidth="1"/>
    <col min="8442" max="8450" width="11.42578125" style="18" customWidth="1"/>
    <col min="8451" max="8682" width="11.42578125" style="18"/>
    <col min="8683" max="8683" width="3.5703125" style="18" customWidth="1"/>
    <col min="8684" max="8684" width="13.28515625" style="18" customWidth="1"/>
    <col min="8685" max="8692" width="11.42578125" style="18" customWidth="1"/>
    <col min="8693" max="8693" width="9.7109375" style="18" bestFit="1" customWidth="1"/>
    <col min="8694" max="8697" width="0" style="18" hidden="1" customWidth="1"/>
    <col min="8698" max="8706" width="11.42578125" style="18" customWidth="1"/>
    <col min="8707" max="8938" width="11.42578125" style="18"/>
    <col min="8939" max="8939" width="3.5703125" style="18" customWidth="1"/>
    <col min="8940" max="8940" width="13.28515625" style="18" customWidth="1"/>
    <col min="8941" max="8948" width="11.42578125" style="18" customWidth="1"/>
    <col min="8949" max="8949" width="9.7109375" style="18" bestFit="1" customWidth="1"/>
    <col min="8950" max="8953" width="0" style="18" hidden="1" customWidth="1"/>
    <col min="8954" max="8962" width="11.42578125" style="18" customWidth="1"/>
    <col min="8963" max="9194" width="11.42578125" style="18"/>
    <col min="9195" max="9195" width="3.5703125" style="18" customWidth="1"/>
    <col min="9196" max="9196" width="13.28515625" style="18" customWidth="1"/>
    <col min="9197" max="9204" width="11.42578125" style="18" customWidth="1"/>
    <col min="9205" max="9205" width="9.7109375" style="18" bestFit="1" customWidth="1"/>
    <col min="9206" max="9209" width="0" style="18" hidden="1" customWidth="1"/>
    <col min="9210" max="9218" width="11.42578125" style="18" customWidth="1"/>
    <col min="9219" max="9450" width="11.42578125" style="18"/>
    <col min="9451" max="9451" width="3.5703125" style="18" customWidth="1"/>
    <col min="9452" max="9452" width="13.28515625" style="18" customWidth="1"/>
    <col min="9453" max="9460" width="11.42578125" style="18" customWidth="1"/>
    <col min="9461" max="9461" width="9.7109375" style="18" bestFit="1" customWidth="1"/>
    <col min="9462" max="9465" width="0" style="18" hidden="1" customWidth="1"/>
    <col min="9466" max="9474" width="11.42578125" style="18" customWidth="1"/>
    <col min="9475" max="9706" width="11.42578125" style="18"/>
    <col min="9707" max="9707" width="3.5703125" style="18" customWidth="1"/>
    <col min="9708" max="9708" width="13.28515625" style="18" customWidth="1"/>
    <col min="9709" max="9716" width="11.42578125" style="18" customWidth="1"/>
    <col min="9717" max="9717" width="9.7109375" style="18" bestFit="1" customWidth="1"/>
    <col min="9718" max="9721" width="0" style="18" hidden="1" customWidth="1"/>
    <col min="9722" max="9730" width="11.42578125" style="18" customWidth="1"/>
    <col min="9731" max="9962" width="11.42578125" style="18"/>
    <col min="9963" max="9963" width="3.5703125" style="18" customWidth="1"/>
    <col min="9964" max="9964" width="13.28515625" style="18" customWidth="1"/>
    <col min="9965" max="9972" width="11.42578125" style="18" customWidth="1"/>
    <col min="9973" max="9973" width="9.7109375" style="18" bestFit="1" customWidth="1"/>
    <col min="9974" max="9977" width="0" style="18" hidden="1" customWidth="1"/>
    <col min="9978" max="9986" width="11.42578125" style="18" customWidth="1"/>
    <col min="9987" max="10218" width="11.42578125" style="18"/>
    <col min="10219" max="10219" width="3.5703125" style="18" customWidth="1"/>
    <col min="10220" max="10220" width="13.28515625" style="18" customWidth="1"/>
    <col min="10221" max="10228" width="11.42578125" style="18" customWidth="1"/>
    <col min="10229" max="10229" width="9.7109375" style="18" bestFit="1" customWidth="1"/>
    <col min="10230" max="10233" width="0" style="18" hidden="1" customWidth="1"/>
    <col min="10234" max="10242" width="11.42578125" style="18" customWidth="1"/>
    <col min="10243" max="10474" width="11.42578125" style="18"/>
    <col min="10475" max="10475" width="3.5703125" style="18" customWidth="1"/>
    <col min="10476" max="10476" width="13.28515625" style="18" customWidth="1"/>
    <col min="10477" max="10484" width="11.42578125" style="18" customWidth="1"/>
    <col min="10485" max="10485" width="9.7109375" style="18" bestFit="1" customWidth="1"/>
    <col min="10486" max="10489" width="0" style="18" hidden="1" customWidth="1"/>
    <col min="10490" max="10498" width="11.42578125" style="18" customWidth="1"/>
    <col min="10499" max="10730" width="11.42578125" style="18"/>
    <col min="10731" max="10731" width="3.5703125" style="18" customWidth="1"/>
    <col min="10732" max="10732" width="13.28515625" style="18" customWidth="1"/>
    <col min="10733" max="10740" width="11.42578125" style="18" customWidth="1"/>
    <col min="10741" max="10741" width="9.7109375" style="18" bestFit="1" customWidth="1"/>
    <col min="10742" max="10745" width="0" style="18" hidden="1" customWidth="1"/>
    <col min="10746" max="10754" width="11.42578125" style="18" customWidth="1"/>
    <col min="10755" max="10986" width="11.42578125" style="18"/>
    <col min="10987" max="10987" width="3.5703125" style="18" customWidth="1"/>
    <col min="10988" max="10988" width="13.28515625" style="18" customWidth="1"/>
    <col min="10989" max="10996" width="11.42578125" style="18" customWidth="1"/>
    <col min="10997" max="10997" width="9.7109375" style="18" bestFit="1" customWidth="1"/>
    <col min="10998" max="11001" width="0" style="18" hidden="1" customWidth="1"/>
    <col min="11002" max="11010" width="11.42578125" style="18" customWidth="1"/>
    <col min="11011" max="11242" width="11.42578125" style="18"/>
    <col min="11243" max="11243" width="3.5703125" style="18" customWidth="1"/>
    <col min="11244" max="11244" width="13.28515625" style="18" customWidth="1"/>
    <col min="11245" max="11252" width="11.42578125" style="18" customWidth="1"/>
    <col min="11253" max="11253" width="9.7109375" style="18" bestFit="1" customWidth="1"/>
    <col min="11254" max="11257" width="0" style="18" hidden="1" customWidth="1"/>
    <col min="11258" max="11266" width="11.42578125" style="18" customWidth="1"/>
    <col min="11267" max="11498" width="11.42578125" style="18"/>
    <col min="11499" max="11499" width="3.5703125" style="18" customWidth="1"/>
    <col min="11500" max="11500" width="13.28515625" style="18" customWidth="1"/>
    <col min="11501" max="11508" width="11.42578125" style="18" customWidth="1"/>
    <col min="11509" max="11509" width="9.7109375" style="18" bestFit="1" customWidth="1"/>
    <col min="11510" max="11513" width="0" style="18" hidden="1" customWidth="1"/>
    <col min="11514" max="11522" width="11.42578125" style="18" customWidth="1"/>
    <col min="11523" max="11754" width="11.42578125" style="18"/>
    <col min="11755" max="11755" width="3.5703125" style="18" customWidth="1"/>
    <col min="11756" max="11756" width="13.28515625" style="18" customWidth="1"/>
    <col min="11757" max="11764" width="11.42578125" style="18" customWidth="1"/>
    <col min="11765" max="11765" width="9.7109375" style="18" bestFit="1" customWidth="1"/>
    <col min="11766" max="11769" width="0" style="18" hidden="1" customWidth="1"/>
    <col min="11770" max="11778" width="11.42578125" style="18" customWidth="1"/>
    <col min="11779" max="12010" width="11.42578125" style="18"/>
    <col min="12011" max="12011" width="3.5703125" style="18" customWidth="1"/>
    <col min="12012" max="12012" width="13.28515625" style="18" customWidth="1"/>
    <col min="12013" max="12020" width="11.42578125" style="18" customWidth="1"/>
    <col min="12021" max="12021" width="9.7109375" style="18" bestFit="1" customWidth="1"/>
    <col min="12022" max="12025" width="0" style="18" hidden="1" customWidth="1"/>
    <col min="12026" max="12034" width="11.42578125" style="18" customWidth="1"/>
    <col min="12035" max="12266" width="11.42578125" style="18"/>
    <col min="12267" max="12267" width="3.5703125" style="18" customWidth="1"/>
    <col min="12268" max="12268" width="13.28515625" style="18" customWidth="1"/>
    <col min="12269" max="12276" width="11.42578125" style="18" customWidth="1"/>
    <col min="12277" max="12277" width="9.7109375" style="18" bestFit="1" customWidth="1"/>
    <col min="12278" max="12281" width="0" style="18" hidden="1" customWidth="1"/>
    <col min="12282" max="12290" width="11.42578125" style="18" customWidth="1"/>
    <col min="12291" max="12522" width="11.42578125" style="18"/>
    <col min="12523" max="12523" width="3.5703125" style="18" customWidth="1"/>
    <col min="12524" max="12524" width="13.28515625" style="18" customWidth="1"/>
    <col min="12525" max="12532" width="11.42578125" style="18" customWidth="1"/>
    <col min="12533" max="12533" width="9.7109375" style="18" bestFit="1" customWidth="1"/>
    <col min="12534" max="12537" width="0" style="18" hidden="1" customWidth="1"/>
    <col min="12538" max="12546" width="11.42578125" style="18" customWidth="1"/>
    <col min="12547" max="12778" width="11.42578125" style="18"/>
    <col min="12779" max="12779" width="3.5703125" style="18" customWidth="1"/>
    <col min="12780" max="12780" width="13.28515625" style="18" customWidth="1"/>
    <col min="12781" max="12788" width="11.42578125" style="18" customWidth="1"/>
    <col min="12789" max="12789" width="9.7109375" style="18" bestFit="1" customWidth="1"/>
    <col min="12790" max="12793" width="0" style="18" hidden="1" customWidth="1"/>
    <col min="12794" max="12802" width="11.42578125" style="18" customWidth="1"/>
    <col min="12803" max="13034" width="11.42578125" style="18"/>
    <col min="13035" max="13035" width="3.5703125" style="18" customWidth="1"/>
    <col min="13036" max="13036" width="13.28515625" style="18" customWidth="1"/>
    <col min="13037" max="13044" width="11.42578125" style="18" customWidth="1"/>
    <col min="13045" max="13045" width="9.7109375" style="18" bestFit="1" customWidth="1"/>
    <col min="13046" max="13049" width="0" style="18" hidden="1" customWidth="1"/>
    <col min="13050" max="13058" width="11.42578125" style="18" customWidth="1"/>
    <col min="13059" max="13290" width="11.42578125" style="18"/>
    <col min="13291" max="13291" width="3.5703125" style="18" customWidth="1"/>
    <col min="13292" max="13292" width="13.28515625" style="18" customWidth="1"/>
    <col min="13293" max="13300" width="11.42578125" style="18" customWidth="1"/>
    <col min="13301" max="13301" width="9.7109375" style="18" bestFit="1" customWidth="1"/>
    <col min="13302" max="13305" width="0" style="18" hidden="1" customWidth="1"/>
    <col min="13306" max="13314" width="11.42578125" style="18" customWidth="1"/>
    <col min="13315" max="13546" width="11.42578125" style="18"/>
    <col min="13547" max="13547" width="3.5703125" style="18" customWidth="1"/>
    <col min="13548" max="13548" width="13.28515625" style="18" customWidth="1"/>
    <col min="13549" max="13556" width="11.42578125" style="18" customWidth="1"/>
    <col min="13557" max="13557" width="9.7109375" style="18" bestFit="1" customWidth="1"/>
    <col min="13558" max="13561" width="0" style="18" hidden="1" customWidth="1"/>
    <col min="13562" max="13570" width="11.42578125" style="18" customWidth="1"/>
    <col min="13571" max="13802" width="11.42578125" style="18"/>
    <col min="13803" max="13803" width="3.5703125" style="18" customWidth="1"/>
    <col min="13804" max="13804" width="13.28515625" style="18" customWidth="1"/>
    <col min="13805" max="13812" width="11.42578125" style="18" customWidth="1"/>
    <col min="13813" max="13813" width="9.7109375" style="18" bestFit="1" customWidth="1"/>
    <col min="13814" max="13817" width="0" style="18" hidden="1" customWidth="1"/>
    <col min="13818" max="13826" width="11.42578125" style="18" customWidth="1"/>
    <col min="13827" max="14058" width="11.42578125" style="18"/>
    <col min="14059" max="14059" width="3.5703125" style="18" customWidth="1"/>
    <col min="14060" max="14060" width="13.28515625" style="18" customWidth="1"/>
    <col min="14061" max="14068" width="11.42578125" style="18" customWidth="1"/>
    <col min="14069" max="14069" width="9.7109375" style="18" bestFit="1" customWidth="1"/>
    <col min="14070" max="14073" width="0" style="18" hidden="1" customWidth="1"/>
    <col min="14074" max="14082" width="11.42578125" style="18" customWidth="1"/>
    <col min="14083" max="14314" width="11.42578125" style="18"/>
    <col min="14315" max="14315" width="3.5703125" style="18" customWidth="1"/>
    <col min="14316" max="14316" width="13.28515625" style="18" customWidth="1"/>
    <col min="14317" max="14324" width="11.42578125" style="18" customWidth="1"/>
    <col min="14325" max="14325" width="9.7109375" style="18" bestFit="1" customWidth="1"/>
    <col min="14326" max="14329" width="0" style="18" hidden="1" customWidth="1"/>
    <col min="14330" max="14338" width="11.42578125" style="18" customWidth="1"/>
    <col min="14339" max="14570" width="11.42578125" style="18"/>
    <col min="14571" max="14571" width="3.5703125" style="18" customWidth="1"/>
    <col min="14572" max="14572" width="13.28515625" style="18" customWidth="1"/>
    <col min="14573" max="14580" width="11.42578125" style="18" customWidth="1"/>
    <col min="14581" max="14581" width="9.7109375" style="18" bestFit="1" customWidth="1"/>
    <col min="14582" max="14585" width="0" style="18" hidden="1" customWidth="1"/>
    <col min="14586" max="14594" width="11.42578125" style="18" customWidth="1"/>
    <col min="14595" max="14826" width="11.42578125" style="18"/>
    <col min="14827" max="14827" width="3.5703125" style="18" customWidth="1"/>
    <col min="14828" max="14828" width="13.28515625" style="18" customWidth="1"/>
    <col min="14829" max="14836" width="11.42578125" style="18" customWidth="1"/>
    <col min="14837" max="14837" width="9.7109375" style="18" bestFit="1" customWidth="1"/>
    <col min="14838" max="14841" width="0" style="18" hidden="1" customWidth="1"/>
    <col min="14842" max="14850" width="11.42578125" style="18" customWidth="1"/>
    <col min="14851" max="15082" width="11.42578125" style="18"/>
    <col min="15083" max="15083" width="3.5703125" style="18" customWidth="1"/>
    <col min="15084" max="15084" width="13.28515625" style="18" customWidth="1"/>
    <col min="15085" max="15092" width="11.42578125" style="18" customWidth="1"/>
    <col min="15093" max="15093" width="9.7109375" style="18" bestFit="1" customWidth="1"/>
    <col min="15094" max="15097" width="0" style="18" hidden="1" customWidth="1"/>
    <col min="15098" max="15106" width="11.42578125" style="18" customWidth="1"/>
    <col min="15107" max="15338" width="11.42578125" style="18"/>
    <col min="15339" max="15339" width="3.5703125" style="18" customWidth="1"/>
    <col min="15340" max="15340" width="13.28515625" style="18" customWidth="1"/>
    <col min="15341" max="15348" width="11.42578125" style="18" customWidth="1"/>
    <col min="15349" max="15349" width="9.7109375" style="18" bestFit="1" customWidth="1"/>
    <col min="15350" max="15353" width="0" style="18" hidden="1" customWidth="1"/>
    <col min="15354" max="15362" width="11.42578125" style="18" customWidth="1"/>
    <col min="15363" max="15594" width="11.42578125" style="18"/>
    <col min="15595" max="15595" width="3.5703125" style="18" customWidth="1"/>
    <col min="15596" max="15596" width="13.28515625" style="18" customWidth="1"/>
    <col min="15597" max="15604" width="11.42578125" style="18" customWidth="1"/>
    <col min="15605" max="15605" width="9.7109375" style="18" bestFit="1" customWidth="1"/>
    <col min="15606" max="15609" width="0" style="18" hidden="1" customWidth="1"/>
    <col min="15610" max="15618" width="11.42578125" style="18" customWidth="1"/>
    <col min="15619" max="15850" width="11.42578125" style="18"/>
    <col min="15851" max="15851" width="3.5703125" style="18" customWidth="1"/>
    <col min="15852" max="15852" width="13.28515625" style="18" customWidth="1"/>
    <col min="15853" max="15860" width="11.42578125" style="18" customWidth="1"/>
    <col min="15861" max="15861" width="9.7109375" style="18" bestFit="1" customWidth="1"/>
    <col min="15862" max="15865" width="0" style="18" hidden="1" customWidth="1"/>
    <col min="15866" max="15874" width="11.42578125" style="18" customWidth="1"/>
    <col min="15875" max="16106" width="11.42578125" style="18"/>
    <col min="16107" max="16107" width="3.5703125" style="18" customWidth="1"/>
    <col min="16108" max="16108" width="13.28515625" style="18" customWidth="1"/>
    <col min="16109" max="16116" width="11.42578125" style="18" customWidth="1"/>
    <col min="16117" max="16117" width="9.7109375" style="18" bestFit="1" customWidth="1"/>
    <col min="16118" max="16121" width="0" style="18" hidden="1" customWidth="1"/>
    <col min="16122" max="16130" width="11.42578125" style="18" customWidth="1"/>
    <col min="16131" max="16384" width="11.42578125" style="18"/>
  </cols>
  <sheetData>
    <row r="2" spans="2:21" s="9" customFormat="1" ht="21">
      <c r="B2" s="3" t="s">
        <v>94</v>
      </c>
      <c r="C2" s="8" t="s">
        <v>95</v>
      </c>
      <c r="D2" s="8" t="s">
        <v>95</v>
      </c>
      <c r="E2" s="8" t="s">
        <v>95</v>
      </c>
      <c r="F2" s="8" t="s">
        <v>95</v>
      </c>
      <c r="G2" s="8" t="s">
        <v>96</v>
      </c>
      <c r="I2" s="8" t="s">
        <v>97</v>
      </c>
      <c r="J2" s="8" t="s">
        <v>97</v>
      </c>
      <c r="K2" s="8" t="s">
        <v>97</v>
      </c>
      <c r="L2" s="8" t="s">
        <v>97</v>
      </c>
      <c r="M2" s="8" t="s">
        <v>97</v>
      </c>
      <c r="N2" s="8" t="s">
        <v>97</v>
      </c>
      <c r="O2" s="8" t="s">
        <v>97</v>
      </c>
      <c r="P2" s="8" t="s">
        <v>97</v>
      </c>
      <c r="Q2" s="8" t="s">
        <v>97</v>
      </c>
      <c r="S2" s="8" t="s">
        <v>97</v>
      </c>
    </row>
    <row r="3" spans="2:21" s="9" customFormat="1">
      <c r="B3" s="4" t="s">
        <v>98</v>
      </c>
      <c r="C3" s="10">
        <v>44926</v>
      </c>
      <c r="D3" s="10">
        <v>45291</v>
      </c>
      <c r="E3" s="10">
        <v>45657</v>
      </c>
      <c r="F3" s="10">
        <v>46022</v>
      </c>
      <c r="G3" s="10">
        <f>Q3</f>
        <v>46112</v>
      </c>
      <c r="I3" s="10">
        <v>45382</v>
      </c>
      <c r="J3" s="10">
        <v>45473</v>
      </c>
      <c r="K3" s="10">
        <v>45565</v>
      </c>
      <c r="L3" s="10">
        <v>45657</v>
      </c>
      <c r="M3" s="10">
        <v>45747</v>
      </c>
      <c r="N3" s="10">
        <v>45838</v>
      </c>
      <c r="O3" s="10">
        <v>45930</v>
      </c>
      <c r="P3" s="10">
        <v>46022</v>
      </c>
      <c r="Q3" s="10">
        <v>46112</v>
      </c>
      <c r="S3" s="10">
        <v>46112</v>
      </c>
    </row>
    <row r="4" spans="2:21" s="11" customFormat="1">
      <c r="B4" s="46"/>
      <c r="C4" s="10" t="s">
        <v>99</v>
      </c>
      <c r="D4" s="10" t="s">
        <v>99</v>
      </c>
      <c r="E4" s="10" t="s">
        <v>99</v>
      </c>
      <c r="F4" s="10" t="s">
        <v>99</v>
      </c>
      <c r="G4" s="10" t="s">
        <v>99</v>
      </c>
      <c r="I4" s="10" t="s">
        <v>99</v>
      </c>
      <c r="J4" s="10" t="s">
        <v>99</v>
      </c>
      <c r="K4" s="10" t="s">
        <v>99</v>
      </c>
      <c r="L4" s="10" t="s">
        <v>99</v>
      </c>
      <c r="M4" s="10" t="s">
        <v>99</v>
      </c>
      <c r="N4" s="10" t="s">
        <v>99</v>
      </c>
      <c r="O4" s="10" t="s">
        <v>99</v>
      </c>
      <c r="P4" s="10" t="s">
        <v>99</v>
      </c>
      <c r="Q4" s="10" t="s">
        <v>99</v>
      </c>
      <c r="S4" s="10" t="s">
        <v>99</v>
      </c>
    </row>
    <row r="5" spans="2:21" s="12" customFormat="1">
      <c r="C5" s="13" t="s">
        <v>100</v>
      </c>
      <c r="D5" s="13" t="s">
        <v>100</v>
      </c>
      <c r="E5" s="13" t="s">
        <v>100</v>
      </c>
      <c r="F5" s="13" t="s">
        <v>100</v>
      </c>
      <c r="G5" s="13" t="s">
        <v>96</v>
      </c>
      <c r="I5" s="13" t="s">
        <v>101</v>
      </c>
      <c r="J5" s="13" t="s">
        <v>102</v>
      </c>
      <c r="K5" s="13" t="s">
        <v>103</v>
      </c>
      <c r="L5" s="14" t="s">
        <v>104</v>
      </c>
      <c r="M5" s="13" t="s">
        <v>101</v>
      </c>
      <c r="N5" s="13" t="s">
        <v>102</v>
      </c>
      <c r="O5" s="13" t="s">
        <v>103</v>
      </c>
      <c r="P5" s="14" t="s">
        <v>104</v>
      </c>
      <c r="Q5" s="13" t="s">
        <v>101</v>
      </c>
      <c r="S5" s="13" t="s">
        <v>101</v>
      </c>
    </row>
    <row r="6" spans="2:21">
      <c r="B6" s="15" t="s">
        <v>105</v>
      </c>
      <c r="C6" s="16"/>
      <c r="D6" s="16"/>
      <c r="E6" s="16"/>
      <c r="F6" s="16"/>
      <c r="G6" s="16"/>
      <c r="I6" s="17"/>
      <c r="J6" s="16"/>
      <c r="K6" s="16"/>
      <c r="L6" s="17"/>
      <c r="M6" s="17"/>
      <c r="N6" s="16"/>
      <c r="O6" s="16"/>
      <c r="P6" s="17"/>
      <c r="Q6" s="17"/>
      <c r="S6" s="264" t="s">
        <v>106</v>
      </c>
    </row>
    <row r="7" spans="2:21" s="90" customFormat="1">
      <c r="B7" s="2" t="s">
        <v>107</v>
      </c>
      <c r="C7" s="24">
        <f t="shared" ref="C7:D7" si="0">SUM(C8:C10)</f>
        <v>5543.0190000000002</v>
      </c>
      <c r="D7" s="24">
        <f t="shared" si="0"/>
        <v>5606.3400000000011</v>
      </c>
      <c r="E7" s="24">
        <f>SUM(E8:E10)</f>
        <v>8432.226999999999</v>
      </c>
      <c r="F7" s="24">
        <f>SUM(F8:F10)</f>
        <v>12459.51</v>
      </c>
      <c r="G7" s="24">
        <f>SUM(G8:G10)</f>
        <v>12357.5965521</v>
      </c>
      <c r="H7" s="253"/>
      <c r="I7" s="24">
        <f t="shared" ref="I7:O7" si="1">SUM(I8:I10)</f>
        <v>1512.2429999999999</v>
      </c>
      <c r="J7" s="24">
        <f t="shared" si="1"/>
        <v>1511.9579999999999</v>
      </c>
      <c r="K7" s="24">
        <f t="shared" si="1"/>
        <v>2343.9479999999999</v>
      </c>
      <c r="L7" s="24">
        <f t="shared" si="1"/>
        <v>3064.0779999999995</v>
      </c>
      <c r="M7" s="24">
        <f t="shared" si="1"/>
        <v>3233.2640000000001</v>
      </c>
      <c r="N7" s="24">
        <f t="shared" si="1"/>
        <v>3152.0070000000005</v>
      </c>
      <c r="O7" s="24">
        <f t="shared" si="1"/>
        <v>3025.9759999999997</v>
      </c>
      <c r="P7" s="24">
        <f t="shared" ref="P7:Q7" si="2">SUM(P8:P10)</f>
        <v>3048.2629999999995</v>
      </c>
      <c r="Q7" s="24">
        <f t="shared" si="2"/>
        <v>3131.3505520999988</v>
      </c>
      <c r="R7" s="88"/>
      <c r="S7" s="24">
        <f>SUM(S8:S10)</f>
        <v>178.261</v>
      </c>
    </row>
    <row r="8" spans="2:21" s="90" customFormat="1">
      <c r="B8" s="108" t="s">
        <v>108</v>
      </c>
      <c r="C8" s="20">
        <v>4955.701</v>
      </c>
      <c r="D8" s="20">
        <v>5001.0550000000003</v>
      </c>
      <c r="E8" s="20">
        <v>7544.9939999999997</v>
      </c>
      <c r="F8" s="20">
        <v>11341.342000000001</v>
      </c>
      <c r="G8" s="21">
        <f>SUM(N8:Q8)</f>
        <v>11250.797654099999</v>
      </c>
      <c r="H8" s="254"/>
      <c r="I8" s="20">
        <v>1331.711</v>
      </c>
      <c r="J8" s="20">
        <v>1347.645</v>
      </c>
      <c r="K8" s="20">
        <v>2116.3139999999999</v>
      </c>
      <c r="L8" s="21">
        <f>E8-SUM(I8:K8)</f>
        <v>2749.3239999999996</v>
      </c>
      <c r="M8" s="20">
        <v>2867.4110000000001</v>
      </c>
      <c r="N8" s="20">
        <v>2895.9430000000002</v>
      </c>
      <c r="O8" s="20">
        <v>2782.4189999999999</v>
      </c>
      <c r="P8" s="21">
        <f>F8-SUM(M8:O8)</f>
        <v>2795.5689999999995</v>
      </c>
      <c r="Q8" s="21">
        <f>S8/$Q$239</f>
        <v>2776.8666540999993</v>
      </c>
      <c r="R8" s="88"/>
      <c r="S8" s="20">
        <v>158.08099999999999</v>
      </c>
      <c r="U8" s="2"/>
    </row>
    <row r="9" spans="2:21" s="90" customFormat="1">
      <c r="B9" s="108" t="s">
        <v>109</v>
      </c>
      <c r="C9" s="20">
        <v>543.21900000000005</v>
      </c>
      <c r="D9" s="20">
        <v>510.28300000000002</v>
      </c>
      <c r="E9" s="20">
        <v>706.47500000000002</v>
      </c>
      <c r="F9" s="20">
        <v>944.89200000000005</v>
      </c>
      <c r="G9" s="21">
        <f t="shared" ref="G9:G10" si="3">SUM(N9:Q9)</f>
        <v>907.90112879999992</v>
      </c>
      <c r="H9" s="20"/>
      <c r="I9" s="20">
        <v>141.327</v>
      </c>
      <c r="J9" s="20">
        <v>130.99299999999999</v>
      </c>
      <c r="K9" s="20">
        <v>197.142</v>
      </c>
      <c r="L9" s="21">
        <f t="shared" ref="L9:L10" si="4">E9-SUM(I9:K9)</f>
        <v>237.01300000000003</v>
      </c>
      <c r="M9" s="20">
        <v>318.18900000000002</v>
      </c>
      <c r="N9" s="20">
        <v>214.59</v>
      </c>
      <c r="O9" s="20">
        <v>193.72900000000001</v>
      </c>
      <c r="P9" s="21">
        <f t="shared" ref="P9:P10" si="5">F9-SUM(M9:O9)</f>
        <v>218.38400000000001</v>
      </c>
      <c r="Q9" s="21">
        <f t="shared" ref="Q9:Q10" si="6">S9/$Q$239</f>
        <v>281.19812879999995</v>
      </c>
      <c r="R9" s="88"/>
      <c r="S9" s="20">
        <v>16.007999999999999</v>
      </c>
    </row>
    <row r="10" spans="2:21" s="90" customFormat="1">
      <c r="B10" s="108" t="s">
        <v>110</v>
      </c>
      <c r="C10" s="20">
        <v>44.098999999999997</v>
      </c>
      <c r="D10" s="20">
        <v>95.001999999999995</v>
      </c>
      <c r="E10" s="20">
        <v>180.75800000000001</v>
      </c>
      <c r="F10" s="20">
        <v>173.27600000000001</v>
      </c>
      <c r="G10" s="21">
        <f t="shared" si="3"/>
        <v>198.89776919999997</v>
      </c>
      <c r="H10" s="20"/>
      <c r="I10" s="20">
        <v>39.204999999999998</v>
      </c>
      <c r="J10" s="20">
        <v>33.32</v>
      </c>
      <c r="K10" s="20">
        <v>30.492000000000001</v>
      </c>
      <c r="L10" s="21">
        <f t="shared" si="4"/>
        <v>77.741</v>
      </c>
      <c r="M10" s="20">
        <v>47.664000000000001</v>
      </c>
      <c r="N10" s="20">
        <v>41.473999999999997</v>
      </c>
      <c r="O10" s="20">
        <v>49.828000000000003</v>
      </c>
      <c r="P10" s="21">
        <f t="shared" si="5"/>
        <v>34.31</v>
      </c>
      <c r="Q10" s="21">
        <f t="shared" si="6"/>
        <v>73.28576919999999</v>
      </c>
      <c r="R10" s="88"/>
      <c r="S10" s="20">
        <v>4.1719999999999997</v>
      </c>
    </row>
    <row r="11" spans="2:21" s="11" customFormat="1">
      <c r="B11" s="115" t="s">
        <v>111</v>
      </c>
      <c r="C11" s="23"/>
      <c r="D11" s="23">
        <f>(D7/C7)-1</f>
        <v>1.142355817290186E-2</v>
      </c>
      <c r="E11" s="23">
        <f>(E7/D7)-1</f>
        <v>0.50405201967772162</v>
      </c>
      <c r="F11" s="23">
        <f>(F7/E7)-1</f>
        <v>0.47760609385871633</v>
      </c>
      <c r="G11" s="23"/>
      <c r="H11"/>
      <c r="I11" s="23"/>
      <c r="J11" s="23"/>
      <c r="K11" s="23"/>
      <c r="L11" s="109"/>
      <c r="M11" s="23">
        <f>(M7/I7)-1</f>
        <v>1.1380584998574967</v>
      </c>
      <c r="N11" s="23">
        <f>(N7/J7)-1</f>
        <v>1.0847186231363577</v>
      </c>
      <c r="O11" s="23">
        <f>(O7/K7)-1</f>
        <v>0.29097403184712278</v>
      </c>
      <c r="P11" s="23">
        <f>(P7/L7)-1</f>
        <v>-5.1614221308987629E-3</v>
      </c>
      <c r="Q11" s="23">
        <f>(Q7/M7)-1</f>
        <v>-3.1520298961050242E-2</v>
      </c>
      <c r="S11" s="23"/>
    </row>
    <row r="12" spans="2:21" s="11" customFormat="1">
      <c r="B12" s="84" t="s">
        <v>112</v>
      </c>
      <c r="C12" s="20"/>
      <c r="D12" s="20"/>
      <c r="E12" s="20"/>
      <c r="F12" s="20"/>
      <c r="G12" s="20"/>
      <c r="I12" s="20"/>
      <c r="J12" s="20"/>
      <c r="K12" s="20"/>
      <c r="L12" s="21"/>
      <c r="M12" s="20"/>
      <c r="N12" s="20"/>
      <c r="O12" s="20"/>
      <c r="P12" s="21"/>
      <c r="Q12" s="20"/>
      <c r="R12" s="92"/>
      <c r="S12" s="20"/>
    </row>
    <row r="13" spans="2:21">
      <c r="B13" s="108" t="s">
        <v>113</v>
      </c>
      <c r="C13" s="20">
        <v>-367.18299999999999</v>
      </c>
      <c r="D13" s="20">
        <v>-429.44299999999998</v>
      </c>
      <c r="E13" s="20">
        <v>-604.61800000000005</v>
      </c>
      <c r="F13" s="20">
        <v>-766.31600000000003</v>
      </c>
      <c r="G13" s="21">
        <f t="shared" ref="G13:G17" si="7">SUM(N13:Q13)</f>
        <v>-788.26026490000004</v>
      </c>
      <c r="H13" s="11"/>
      <c r="I13" s="20">
        <v>-94.83</v>
      </c>
      <c r="J13" s="20">
        <v>-125.40300000000001</v>
      </c>
      <c r="K13" s="20">
        <v>-166.51400000000001</v>
      </c>
      <c r="L13" s="21">
        <f t="shared" ref="L13:L17" si="8">E13-SUM(I13:K13)</f>
        <v>-217.87100000000004</v>
      </c>
      <c r="M13" s="20">
        <v>-148.60499999999999</v>
      </c>
      <c r="N13" s="20">
        <v>-190.88</v>
      </c>
      <c r="O13" s="20">
        <v>-182.28700000000001</v>
      </c>
      <c r="P13" s="21">
        <f t="shared" ref="P13:P17" si="9">F13-SUM(M13:O13)</f>
        <v>-244.54399999999998</v>
      </c>
      <c r="Q13" s="21">
        <f t="shared" ref="Q13:Q17" si="10">S13/$Q$239</f>
        <v>-170.54926489999997</v>
      </c>
      <c r="R13" s="79"/>
      <c r="S13" s="20">
        <v>-9.7089999999999996</v>
      </c>
    </row>
    <row r="14" spans="2:21">
      <c r="B14" s="108" t="s">
        <v>114</v>
      </c>
      <c r="C14" s="20">
        <v>-40.256</v>
      </c>
      <c r="D14" s="20">
        <v>-38.222999999999999</v>
      </c>
      <c r="E14" s="20">
        <v>-86.710999999999999</v>
      </c>
      <c r="F14" s="20">
        <v>-69.94</v>
      </c>
      <c r="G14" s="21">
        <f t="shared" si="7"/>
        <v>-80.994001799999992</v>
      </c>
      <c r="H14" s="11"/>
      <c r="I14" s="20">
        <v>-24.135000000000002</v>
      </c>
      <c r="J14" s="20">
        <v>-15.552</v>
      </c>
      <c r="K14" s="20">
        <v>-22.074000000000002</v>
      </c>
      <c r="L14" s="21">
        <f t="shared" si="8"/>
        <v>-24.950000000000003</v>
      </c>
      <c r="M14" s="20">
        <v>-5.423</v>
      </c>
      <c r="N14" s="20">
        <v>-19.693000000000001</v>
      </c>
      <c r="O14" s="20">
        <v>-21.529</v>
      </c>
      <c r="P14" s="21">
        <f t="shared" si="9"/>
        <v>-23.295000000000002</v>
      </c>
      <c r="Q14" s="21">
        <f t="shared" si="10"/>
        <v>-16.477001799999996</v>
      </c>
      <c r="R14" s="79"/>
      <c r="S14" s="20">
        <v>-0.93799999999999994</v>
      </c>
    </row>
    <row r="15" spans="2:21">
      <c r="B15" s="108" t="s">
        <v>115</v>
      </c>
      <c r="C15" s="20">
        <v>-154.88399999999999</v>
      </c>
      <c r="D15" s="20">
        <v>-155.97499999999999</v>
      </c>
      <c r="E15" s="20">
        <v>-186.10300000000001</v>
      </c>
      <c r="F15" s="20">
        <v>-325.35199999999998</v>
      </c>
      <c r="G15" s="21">
        <f t="shared" si="7"/>
        <v>-348.88063829999999</v>
      </c>
      <c r="H15" s="11"/>
      <c r="I15" s="20">
        <v>-41.396999999999998</v>
      </c>
      <c r="J15" s="20">
        <v>-43.753</v>
      </c>
      <c r="K15" s="20">
        <v>-49.26</v>
      </c>
      <c r="L15" s="21">
        <f t="shared" si="8"/>
        <v>-51.693000000000012</v>
      </c>
      <c r="M15" s="20">
        <v>-71.381</v>
      </c>
      <c r="N15" s="20">
        <v>-97.251999999999995</v>
      </c>
      <c r="O15" s="20">
        <v>-81.135000000000005</v>
      </c>
      <c r="P15" s="21">
        <f t="shared" si="9"/>
        <v>-75.584000000000003</v>
      </c>
      <c r="Q15" s="21">
        <f t="shared" si="10"/>
        <v>-94.909638299999983</v>
      </c>
      <c r="R15" s="79"/>
      <c r="S15" s="20">
        <v>-5.4029999999999996</v>
      </c>
    </row>
    <row r="16" spans="2:21">
      <c r="B16" s="108" t="s">
        <v>116</v>
      </c>
      <c r="C16" s="20">
        <v>-102.97499999999999</v>
      </c>
      <c r="D16" s="20">
        <v>-120.77500000000001</v>
      </c>
      <c r="E16" s="20">
        <v>-174.77199999999999</v>
      </c>
      <c r="F16" s="20">
        <v>-285.673</v>
      </c>
      <c r="G16" s="21">
        <f t="shared" si="7"/>
        <v>-280.47356569999999</v>
      </c>
      <c r="H16" s="11"/>
      <c r="I16" s="20">
        <v>-32.688000000000002</v>
      </c>
      <c r="J16" s="20">
        <v>-32.659999999999997</v>
      </c>
      <c r="K16" s="20">
        <v>-49.079000000000001</v>
      </c>
      <c r="L16" s="21">
        <f t="shared" si="8"/>
        <v>-60.344999999999999</v>
      </c>
      <c r="M16" s="20">
        <v>-79.626999999999995</v>
      </c>
      <c r="N16" s="20">
        <v>-72.644999999999996</v>
      </c>
      <c r="O16" s="20">
        <v>-67.262</v>
      </c>
      <c r="P16" s="21">
        <f t="shared" si="9"/>
        <v>-66.13900000000001</v>
      </c>
      <c r="Q16" s="21">
        <f t="shared" si="10"/>
        <v>-74.427565699999988</v>
      </c>
      <c r="R16" s="79"/>
      <c r="S16" s="20">
        <v>-4.2370000000000001</v>
      </c>
    </row>
    <row r="17" spans="2:19">
      <c r="B17" s="108" t="s">
        <v>117</v>
      </c>
      <c r="C17" s="20">
        <v>-54.289000000000001</v>
      </c>
      <c r="D17" s="20">
        <v>-59.222999999999999</v>
      </c>
      <c r="E17" s="20">
        <v>-226.911</v>
      </c>
      <c r="F17" s="20">
        <v>-168.971</v>
      </c>
      <c r="G17" s="21">
        <f t="shared" si="7"/>
        <v>-168.951931</v>
      </c>
      <c r="H17" s="11"/>
      <c r="I17" s="20">
        <v>-14.234999999999999</v>
      </c>
      <c r="J17" s="20">
        <v>-8.7710000000000008</v>
      </c>
      <c r="K17" s="20">
        <v>-76.763999999999996</v>
      </c>
      <c r="L17" s="21">
        <f t="shared" si="8"/>
        <v>-127.14100000000001</v>
      </c>
      <c r="M17" s="20">
        <v>-12.491</v>
      </c>
      <c r="N17" s="20">
        <v>-49.145000000000003</v>
      </c>
      <c r="O17" s="20">
        <v>-38.118000000000002</v>
      </c>
      <c r="P17" s="21">
        <f t="shared" si="9"/>
        <v>-69.216999999999999</v>
      </c>
      <c r="Q17" s="21">
        <f t="shared" si="10"/>
        <v>-12.471930999999998</v>
      </c>
      <c r="R17" s="79"/>
      <c r="S17" s="20">
        <v>-0.71</v>
      </c>
    </row>
    <row r="18" spans="2:19" s="11" customFormat="1" ht="13.5" customHeight="1">
      <c r="B18" s="87" t="s">
        <v>118</v>
      </c>
      <c r="C18" s="85">
        <f t="shared" ref="C18:D18" si="11">SUM(C7,C13,C14,C15,C16,C17)</f>
        <v>4823.4319999999998</v>
      </c>
      <c r="D18" s="85">
        <f t="shared" si="11"/>
        <v>4802.7010000000009</v>
      </c>
      <c r="E18" s="85">
        <f>SUM(E7,E13,E14,E15,E16,E17)</f>
        <v>7153.1119999999983</v>
      </c>
      <c r="F18" s="85">
        <f>SUM(F7,F13,F14,F15,F16,F17)</f>
        <v>10843.257999999998</v>
      </c>
      <c r="G18" s="85">
        <f t="shared" ref="G18" si="12">SUM(G7,G13,G14,G15,G16,G17)</f>
        <v>10690.036150400001</v>
      </c>
      <c r="I18" s="85">
        <f t="shared" ref="I18" si="13">SUM(I7,I13,I14,I15,I16,I17)</f>
        <v>1304.9580000000001</v>
      </c>
      <c r="J18" s="85">
        <f t="shared" ref="J18" si="14">SUM(J7,J13,J14,J15,J16,J17)</f>
        <v>1285.819</v>
      </c>
      <c r="K18" s="85">
        <f t="shared" ref="K18" si="15">SUM(K7,K13,K14,K15,K16,K17)</f>
        <v>1980.2569999999994</v>
      </c>
      <c r="L18" s="85">
        <f t="shared" ref="L18" si="16">SUM(L7,L13,L14,L15,L16,L17)</f>
        <v>2582.0779999999995</v>
      </c>
      <c r="M18" s="85">
        <f t="shared" ref="M18" si="17">SUM(M7,M13,M14,M15,M16,M17)</f>
        <v>2915.7370000000005</v>
      </c>
      <c r="N18" s="85">
        <f t="shared" ref="N18" si="18">SUM(N7,N13,N14,N15,N16,N17)</f>
        <v>2722.3920000000003</v>
      </c>
      <c r="O18" s="85">
        <f t="shared" ref="O18:Q18" si="19">SUM(O7,O13,O14,O15,O16,O17)</f>
        <v>2635.6449999999995</v>
      </c>
      <c r="P18" s="85">
        <f t="shared" si="19"/>
        <v>2569.4839999999995</v>
      </c>
      <c r="Q18" s="85">
        <f t="shared" si="19"/>
        <v>2762.5151503999991</v>
      </c>
      <c r="S18" s="85">
        <f t="shared" ref="S18" si="20">SUM(S7,S13,S14,S15,S16,S17)</f>
        <v>157.26400000000001</v>
      </c>
    </row>
    <row r="19" spans="2:19" s="11" customFormat="1" ht="13.5" customHeight="1">
      <c r="B19" s="11" t="s">
        <v>119</v>
      </c>
      <c r="C19" s="113"/>
      <c r="D19" s="113"/>
      <c r="E19" s="113"/>
      <c r="F19" s="113"/>
      <c r="G19" s="113"/>
      <c r="I19" s="113"/>
      <c r="J19" s="113"/>
      <c r="K19" s="113"/>
      <c r="L19" s="24"/>
      <c r="M19" s="113"/>
      <c r="N19" s="113"/>
      <c r="O19" s="113"/>
      <c r="P19" s="24"/>
      <c r="Q19" s="113"/>
      <c r="S19" s="113"/>
    </row>
    <row r="20" spans="2:19" s="11" customFormat="1" ht="13.5" customHeight="1">
      <c r="B20" s="108" t="s">
        <v>120</v>
      </c>
      <c r="C20" s="20">
        <v>4942.5349999999999</v>
      </c>
      <c r="D20" s="20">
        <v>12354.217000000001</v>
      </c>
      <c r="E20" s="20">
        <v>18164.628000000001</v>
      </c>
      <c r="F20" s="20">
        <v>3744.3020000000001</v>
      </c>
      <c r="G20" s="21">
        <f t="shared" ref="G20:G39" si="21">SUM(N20:Q20)</f>
        <v>4289.3491497000005</v>
      </c>
      <c r="I20" s="20">
        <v>6395.2439999999997</v>
      </c>
      <c r="J20" s="20">
        <v>670.024</v>
      </c>
      <c r="K20" s="20">
        <v>7915.6679999999997</v>
      </c>
      <c r="L20" s="21">
        <f t="shared" ref="L20:L39" si="22">E20-SUM(I20:K20)</f>
        <v>3183.6920000000009</v>
      </c>
      <c r="M20" s="20">
        <v>1381.55</v>
      </c>
      <c r="N20" s="20">
        <v>981.26700000000005</v>
      </c>
      <c r="O20" s="20">
        <v>-122.246</v>
      </c>
      <c r="P20" s="21">
        <f t="shared" ref="P20:P39" si="23">F20-SUM(M20:O20)</f>
        <v>1503.7310000000002</v>
      </c>
      <c r="Q20" s="21">
        <f t="shared" ref="Q20:Q39" si="24">S20/$Q$239</f>
        <v>1926.5971496999998</v>
      </c>
      <c r="S20" s="20">
        <v>109.67700000000001</v>
      </c>
    </row>
    <row r="21" spans="2:19" s="11" customFormat="1" ht="13.5" customHeight="1">
      <c r="B21" s="108" t="s">
        <v>121</v>
      </c>
      <c r="C21" s="20">
        <v>-561.57399999999996</v>
      </c>
      <c r="D21" s="20">
        <v>-550.99099999999999</v>
      </c>
      <c r="E21" s="20">
        <v>-864.06600000000003</v>
      </c>
      <c r="F21" s="20">
        <v>-1087.923</v>
      </c>
      <c r="G21" s="21">
        <f t="shared" si="21"/>
        <v>-1045.0744401000002</v>
      </c>
      <c r="I21" s="20">
        <v>-157.161</v>
      </c>
      <c r="J21" s="20">
        <v>-168.40600000000001</v>
      </c>
      <c r="K21" s="20">
        <v>-248.52099999999999</v>
      </c>
      <c r="L21" s="21">
        <f t="shared" si="22"/>
        <v>-289.97800000000007</v>
      </c>
      <c r="M21" s="20">
        <v>-294.76400000000001</v>
      </c>
      <c r="N21" s="20">
        <v>-261.16800000000001</v>
      </c>
      <c r="O21" s="20">
        <v>-268.12799999999999</v>
      </c>
      <c r="P21" s="21">
        <f t="shared" si="23"/>
        <v>-263.86300000000006</v>
      </c>
      <c r="Q21" s="21">
        <f t="shared" si="24"/>
        <v>-251.91544009999996</v>
      </c>
      <c r="S21" s="20">
        <v>-14.340999999999999</v>
      </c>
    </row>
    <row r="22" spans="2:19" s="11" customFormat="1" ht="13.5" customHeight="1">
      <c r="B22" s="108" t="s">
        <v>122</v>
      </c>
      <c r="C22" s="20">
        <v>-655.48800000000006</v>
      </c>
      <c r="D22" s="20">
        <v>-1028.451</v>
      </c>
      <c r="E22" s="20">
        <v>-716.39200000000005</v>
      </c>
      <c r="F22" s="20">
        <v>0</v>
      </c>
      <c r="G22" s="21">
        <f t="shared" si="21"/>
        <v>0</v>
      </c>
      <c r="I22" s="120">
        <v>0</v>
      </c>
      <c r="J22" s="20">
        <v>-716.39200000000005</v>
      </c>
      <c r="K22" s="120">
        <v>0</v>
      </c>
      <c r="L22" s="21">
        <f t="shared" si="22"/>
        <v>0</v>
      </c>
      <c r="M22" s="120">
        <v>0</v>
      </c>
      <c r="N22" s="120">
        <v>0</v>
      </c>
      <c r="O22" s="120">
        <v>0</v>
      </c>
      <c r="P22" s="21">
        <f t="shared" si="23"/>
        <v>0</v>
      </c>
      <c r="Q22" s="21">
        <f t="shared" si="24"/>
        <v>0</v>
      </c>
      <c r="S22" s="120">
        <v>0</v>
      </c>
    </row>
    <row r="23" spans="2:19" s="11" customFormat="1" ht="13.5" customHeight="1">
      <c r="B23" s="108" t="s">
        <v>123</v>
      </c>
      <c r="C23" s="20">
        <v>-89.397000000000006</v>
      </c>
      <c r="D23" s="20">
        <v>-78.768000000000001</v>
      </c>
      <c r="E23" s="20">
        <v>-228.452</v>
      </c>
      <c r="F23" s="20">
        <v>-195.988</v>
      </c>
      <c r="G23" s="21">
        <f t="shared" si="21"/>
        <v>-225.20406629999999</v>
      </c>
      <c r="I23" s="20">
        <v>-20.821999999999999</v>
      </c>
      <c r="J23" s="20">
        <v>-18.446000000000002</v>
      </c>
      <c r="K23" s="20">
        <v>-70.137</v>
      </c>
      <c r="L23" s="21">
        <f t="shared" si="22"/>
        <v>-119.047</v>
      </c>
      <c r="M23" s="20">
        <v>-21.427</v>
      </c>
      <c r="N23" s="20">
        <v>-60.683999999999997</v>
      </c>
      <c r="O23" s="20">
        <v>-43.040999999999997</v>
      </c>
      <c r="P23" s="21">
        <f t="shared" si="23"/>
        <v>-70.836000000000013</v>
      </c>
      <c r="Q23" s="21">
        <f t="shared" si="24"/>
        <v>-50.643066299999994</v>
      </c>
      <c r="S23" s="20">
        <v>-2.883</v>
      </c>
    </row>
    <row r="24" spans="2:19" s="11" customFormat="1" ht="13.5" customHeight="1">
      <c r="B24" s="108" t="s">
        <v>124</v>
      </c>
      <c r="C24" s="20">
        <v>14.193</v>
      </c>
      <c r="D24" s="20">
        <v>286.291</v>
      </c>
      <c r="E24" s="20">
        <v>338.83</v>
      </c>
      <c r="F24" s="20">
        <v>61.884999999999998</v>
      </c>
      <c r="G24" s="21">
        <f t="shared" si="21"/>
        <v>60.3347549</v>
      </c>
      <c r="I24" s="20">
        <v>73.501999999999995</v>
      </c>
      <c r="J24" s="20">
        <v>164.9</v>
      </c>
      <c r="K24" s="20">
        <v>78.400000000000006</v>
      </c>
      <c r="L24" s="21">
        <f t="shared" si="22"/>
        <v>22.027999999999963</v>
      </c>
      <c r="M24" s="20">
        <v>12.247999999999999</v>
      </c>
      <c r="N24" s="20">
        <v>16.606999999999999</v>
      </c>
      <c r="O24" s="20">
        <v>17.725000000000001</v>
      </c>
      <c r="P24" s="21">
        <f t="shared" si="23"/>
        <v>15.305</v>
      </c>
      <c r="Q24" s="21">
        <f t="shared" si="24"/>
        <v>10.697754899999998</v>
      </c>
      <c r="S24" s="20">
        <v>0.60899999999999999</v>
      </c>
    </row>
    <row r="25" spans="2:19" s="11" customFormat="1" ht="13.5" customHeight="1">
      <c r="B25" s="108" t="s">
        <v>125</v>
      </c>
      <c r="C25" s="20">
        <v>-865.89700000000005</v>
      </c>
      <c r="D25" s="20">
        <v>-671.83799999999997</v>
      </c>
      <c r="E25" s="20">
        <v>-1219.182</v>
      </c>
      <c r="F25" s="20">
        <v>-2110.6410000000001</v>
      </c>
      <c r="G25" s="21">
        <f t="shared" si="21"/>
        <v>-2099.6546386999999</v>
      </c>
      <c r="I25" s="20">
        <v>-160.44999999999999</v>
      </c>
      <c r="J25" s="20">
        <v>-162.39699999999999</v>
      </c>
      <c r="K25" s="20">
        <v>-369.99700000000001</v>
      </c>
      <c r="L25" s="21">
        <f t="shared" si="22"/>
        <v>-526.33799999999997</v>
      </c>
      <c r="M25" s="20">
        <v>-558.46900000000005</v>
      </c>
      <c r="N25" s="20">
        <v>-511.30599999999998</v>
      </c>
      <c r="O25" s="20">
        <v>-514.04399999999998</v>
      </c>
      <c r="P25" s="21">
        <f t="shared" si="23"/>
        <v>-526.82200000000012</v>
      </c>
      <c r="Q25" s="21">
        <f t="shared" si="24"/>
        <v>-547.48263869999994</v>
      </c>
      <c r="S25" s="20">
        <v>-31.167000000000002</v>
      </c>
    </row>
    <row r="26" spans="2:19" s="11" customFormat="1" ht="13.5" customHeight="1">
      <c r="B26" s="108" t="s">
        <v>126</v>
      </c>
      <c r="C26" s="20">
        <v>18.581</v>
      </c>
      <c r="D26" s="20">
        <v>15.69</v>
      </c>
      <c r="E26" s="20">
        <v>-5.5</v>
      </c>
      <c r="F26" s="20">
        <v>-33.948999999999998</v>
      </c>
      <c r="G26" s="21">
        <f t="shared" si="21"/>
        <v>-24.927999999999997</v>
      </c>
      <c r="I26" s="20">
        <v>3.7770000000000001</v>
      </c>
      <c r="J26" s="20">
        <v>3.8250000000000002</v>
      </c>
      <c r="K26" s="20">
        <v>-3.8130000000000002</v>
      </c>
      <c r="L26" s="21">
        <f t="shared" si="22"/>
        <v>-9.2889999999999997</v>
      </c>
      <c r="M26" s="20">
        <v>-9.0210000000000008</v>
      </c>
      <c r="N26" s="20">
        <v>-8.5120000000000005</v>
      </c>
      <c r="O26" s="20">
        <v>-8.33</v>
      </c>
      <c r="P26" s="21">
        <f t="shared" si="23"/>
        <v>-8.0859999999999985</v>
      </c>
      <c r="Q26" s="21">
        <f t="shared" si="24"/>
        <v>0</v>
      </c>
      <c r="S26" s="20">
        <v>0</v>
      </c>
    </row>
    <row r="27" spans="2:19" s="11" customFormat="1" ht="13.5" customHeight="1">
      <c r="B27" s="108" t="s">
        <v>127</v>
      </c>
      <c r="C27" s="20"/>
      <c r="D27" s="20"/>
      <c r="E27" s="20"/>
      <c r="F27" s="20"/>
      <c r="G27" s="21"/>
      <c r="I27" s="20"/>
      <c r="J27" s="20"/>
      <c r="K27" s="20"/>
      <c r="L27" s="21"/>
      <c r="M27" s="20"/>
      <c r="N27" s="20"/>
      <c r="O27" s="20"/>
      <c r="P27" s="21"/>
      <c r="Q27" s="21">
        <f t="shared" si="24"/>
        <v>1.7566099999999998E-2</v>
      </c>
      <c r="S27" s="20">
        <v>1E-3</v>
      </c>
    </row>
    <row r="28" spans="2:19" s="11" customFormat="1" ht="13.5" customHeight="1">
      <c r="B28" s="108" t="s">
        <v>128</v>
      </c>
      <c r="C28" s="20">
        <v>-33.493000000000002</v>
      </c>
      <c r="D28" s="20">
        <v>-24.138999999999999</v>
      </c>
      <c r="E28" s="20">
        <v>-21.681000000000001</v>
      </c>
      <c r="F28" s="20">
        <v>-66.483999999999995</v>
      </c>
      <c r="G28" s="21">
        <f t="shared" si="21"/>
        <v>-94.390020599999986</v>
      </c>
      <c r="I28" s="20">
        <v>-4.9989999999999997</v>
      </c>
      <c r="J28" s="20">
        <v>-5.0979999999999999</v>
      </c>
      <c r="K28" s="20">
        <v>-5.593</v>
      </c>
      <c r="L28" s="21">
        <f t="shared" si="22"/>
        <v>-5.9910000000000014</v>
      </c>
      <c r="M28" s="20">
        <v>-4.5209999999999999</v>
      </c>
      <c r="N28" s="20">
        <v>-10.173</v>
      </c>
      <c r="O28" s="20">
        <v>-14.983000000000001</v>
      </c>
      <c r="P28" s="21">
        <f t="shared" si="23"/>
        <v>-36.806999999999995</v>
      </c>
      <c r="Q28" s="21">
        <f t="shared" si="24"/>
        <v>-32.427020599999999</v>
      </c>
      <c r="S28" s="20">
        <v>-1.8460000000000001</v>
      </c>
    </row>
    <row r="29" spans="2:19" s="11" customFormat="1" ht="13.5" customHeight="1">
      <c r="B29" s="108" t="s">
        <v>129</v>
      </c>
      <c r="C29" s="120">
        <v>0</v>
      </c>
      <c r="D29" s="20">
        <v>-19.067</v>
      </c>
      <c r="E29" s="20">
        <v>-14.752000000000001</v>
      </c>
      <c r="F29" s="20">
        <v>-4.5789999999999997</v>
      </c>
      <c r="G29" s="21">
        <f t="shared" si="21"/>
        <v>-421.36985469999996</v>
      </c>
      <c r="I29" s="120">
        <v>0</v>
      </c>
      <c r="J29" s="120">
        <v>0</v>
      </c>
      <c r="K29" s="120">
        <v>0</v>
      </c>
      <c r="L29" s="21">
        <f t="shared" si="22"/>
        <v>-14.752000000000001</v>
      </c>
      <c r="M29" s="120">
        <v>0</v>
      </c>
      <c r="N29" s="20">
        <v>-3.9460000000000002</v>
      </c>
      <c r="O29" s="120">
        <v>0</v>
      </c>
      <c r="P29" s="21">
        <f t="shared" si="23"/>
        <v>-0.63299999999999956</v>
      </c>
      <c r="Q29" s="21">
        <f t="shared" si="24"/>
        <v>-416.79085469999995</v>
      </c>
      <c r="S29" s="20">
        <v>-23.727</v>
      </c>
    </row>
    <row r="30" spans="2:19" s="11" customFormat="1" ht="13.5" customHeight="1">
      <c r="B30" s="108" t="s">
        <v>130</v>
      </c>
      <c r="C30" s="20">
        <v>-23.927</v>
      </c>
      <c r="D30" s="20">
        <v>-25.919</v>
      </c>
      <c r="E30" s="20">
        <v>-24.31</v>
      </c>
      <c r="F30" s="20">
        <v>-25.033000000000001</v>
      </c>
      <c r="G30" s="21">
        <f t="shared" si="21"/>
        <v>-26.966928199999998</v>
      </c>
      <c r="I30" s="20">
        <v>-5.0839999999999996</v>
      </c>
      <c r="J30" s="20">
        <v>-5.4480000000000004</v>
      </c>
      <c r="K30" s="20">
        <v>-7.7439999999999998</v>
      </c>
      <c r="L30" s="21">
        <f t="shared" si="22"/>
        <v>-6.0339999999999989</v>
      </c>
      <c r="M30" s="20">
        <v>-4.4249999999999998</v>
      </c>
      <c r="N30" s="20">
        <v>-6.6</v>
      </c>
      <c r="O30" s="20">
        <v>-7.1139999999999999</v>
      </c>
      <c r="P30" s="21">
        <f t="shared" si="23"/>
        <v>-6.8940000000000019</v>
      </c>
      <c r="Q30" s="21">
        <f t="shared" si="24"/>
        <v>-6.3589281999999994</v>
      </c>
      <c r="S30" s="20">
        <v>-0.36199999999999999</v>
      </c>
    </row>
    <row r="31" spans="2:19" s="11" customFormat="1" ht="13.5" customHeight="1">
      <c r="B31" s="108" t="s">
        <v>131</v>
      </c>
      <c r="C31" s="20">
        <v>-18.911999999999999</v>
      </c>
      <c r="D31" s="20">
        <v>-47.116</v>
      </c>
      <c r="E31" s="20">
        <v>126.035</v>
      </c>
      <c r="F31" s="20">
        <v>-118.586</v>
      </c>
      <c r="G31" s="21">
        <f t="shared" si="21"/>
        <v>-85.713729000000001</v>
      </c>
      <c r="I31" s="20">
        <v>-12.516999999999999</v>
      </c>
      <c r="J31" s="20">
        <v>60.146000000000001</v>
      </c>
      <c r="K31" s="20">
        <v>38.633000000000003</v>
      </c>
      <c r="L31" s="21">
        <f t="shared" si="22"/>
        <v>39.772999999999996</v>
      </c>
      <c r="M31" s="20">
        <v>-30.94</v>
      </c>
      <c r="N31" s="20">
        <v>-66.680000000000007</v>
      </c>
      <c r="O31" s="20">
        <v>-14.401999999999999</v>
      </c>
      <c r="P31" s="21">
        <f t="shared" si="23"/>
        <v>-6.563999999999993</v>
      </c>
      <c r="Q31" s="21">
        <f t="shared" si="24"/>
        <v>1.9322709999999998</v>
      </c>
      <c r="S31" s="20">
        <v>0.11</v>
      </c>
    </row>
    <row r="32" spans="2:19" s="11" customFormat="1" ht="13.5" customHeight="1">
      <c r="B32" s="108" t="s">
        <v>132</v>
      </c>
      <c r="C32" s="120">
        <v>0</v>
      </c>
      <c r="D32" s="120">
        <v>0</v>
      </c>
      <c r="E32" s="120">
        <v>0</v>
      </c>
      <c r="F32" s="120">
        <v>0</v>
      </c>
      <c r="G32" s="21">
        <f t="shared" si="21"/>
        <v>0</v>
      </c>
      <c r="I32" s="120">
        <v>0</v>
      </c>
      <c r="J32" s="120">
        <v>0</v>
      </c>
      <c r="K32" s="120">
        <v>0</v>
      </c>
      <c r="L32" s="21">
        <f t="shared" si="22"/>
        <v>0</v>
      </c>
      <c r="M32" s="120">
        <v>0</v>
      </c>
      <c r="N32" s="120">
        <v>0</v>
      </c>
      <c r="O32" s="120">
        <v>0</v>
      </c>
      <c r="P32" s="21">
        <f t="shared" si="23"/>
        <v>0</v>
      </c>
      <c r="Q32" s="21">
        <f t="shared" si="24"/>
        <v>0</v>
      </c>
      <c r="S32" s="20">
        <v>0</v>
      </c>
    </row>
    <row r="33" spans="2:19" s="11" customFormat="1" ht="13.5" customHeight="1">
      <c r="B33" s="108" t="s">
        <v>133</v>
      </c>
      <c r="C33" s="20">
        <v>-25.407</v>
      </c>
      <c r="D33" s="20">
        <v>-31.280999999999999</v>
      </c>
      <c r="E33" s="20">
        <v>-37.530999999999999</v>
      </c>
      <c r="F33" s="20">
        <v>-35.712000000000003</v>
      </c>
      <c r="G33" s="21">
        <f t="shared" si="21"/>
        <v>-36.042860200000007</v>
      </c>
      <c r="I33" s="20">
        <v>-6.9379999999999997</v>
      </c>
      <c r="J33" s="20">
        <v>-8.7289999999999992</v>
      </c>
      <c r="K33" s="20">
        <v>-10.406000000000001</v>
      </c>
      <c r="L33" s="21">
        <f t="shared" si="22"/>
        <v>-11.457999999999998</v>
      </c>
      <c r="M33" s="20">
        <v>-8.1359999999999992</v>
      </c>
      <c r="N33" s="20">
        <v>-9.4239999999999995</v>
      </c>
      <c r="O33" s="20">
        <v>-9.1750000000000007</v>
      </c>
      <c r="P33" s="21">
        <f t="shared" si="23"/>
        <v>-8.9770000000000039</v>
      </c>
      <c r="Q33" s="21">
        <f t="shared" si="24"/>
        <v>-8.4668601999999993</v>
      </c>
      <c r="S33" s="20">
        <v>-0.48199999999999998</v>
      </c>
    </row>
    <row r="34" spans="2:19" s="11" customFormat="1" ht="13.5" customHeight="1">
      <c r="B34" s="108" t="s">
        <v>134</v>
      </c>
      <c r="C34" s="20">
        <v>21.643000000000001</v>
      </c>
      <c r="D34" s="20">
        <v>78.555000000000007</v>
      </c>
      <c r="E34" s="20">
        <v>-117.705</v>
      </c>
      <c r="F34" s="20">
        <v>83.805999999999997</v>
      </c>
      <c r="G34" s="21">
        <f t="shared" si="21"/>
        <v>203.12430119999999</v>
      </c>
      <c r="I34" s="20">
        <v>10.96</v>
      </c>
      <c r="J34" s="20">
        <v>-58.926000000000002</v>
      </c>
      <c r="K34" s="20">
        <v>-342.93200000000002</v>
      </c>
      <c r="L34" s="21">
        <f t="shared" si="22"/>
        <v>273.19300000000004</v>
      </c>
      <c r="M34" s="20">
        <v>-114.18899999999999</v>
      </c>
      <c r="N34" s="20">
        <v>169.58600000000001</v>
      </c>
      <c r="O34" s="20">
        <v>-11.629</v>
      </c>
      <c r="P34" s="21">
        <f t="shared" si="23"/>
        <v>40.037999999999975</v>
      </c>
      <c r="Q34" s="21">
        <f t="shared" si="24"/>
        <v>5.1293011999999987</v>
      </c>
      <c r="S34" s="20">
        <v>0.29199999999999998</v>
      </c>
    </row>
    <row r="35" spans="2:19" s="11" customFormat="1" ht="13.5" customHeight="1">
      <c r="B35" s="108" t="s">
        <v>135</v>
      </c>
      <c r="C35" s="20">
        <v>-0.36399999999999999</v>
      </c>
      <c r="D35" s="20">
        <v>-3.952</v>
      </c>
      <c r="E35" s="20">
        <v>3.2559999999999998</v>
      </c>
      <c r="F35" s="20">
        <v>-2.9409999999999998</v>
      </c>
      <c r="G35" s="21">
        <f t="shared" si="21"/>
        <v>-17.250858400000006</v>
      </c>
      <c r="I35" s="20">
        <v>-2.1589999999999998</v>
      </c>
      <c r="J35" s="20">
        <v>4.5039999999999996</v>
      </c>
      <c r="K35" s="20">
        <v>-6.9020000000000001</v>
      </c>
      <c r="L35" s="21">
        <f t="shared" si="22"/>
        <v>7.8130000000000006</v>
      </c>
      <c r="M35" s="20">
        <v>22.32</v>
      </c>
      <c r="N35" s="20">
        <v>-4.891</v>
      </c>
      <c r="O35" s="20">
        <v>-11.586</v>
      </c>
      <c r="P35" s="21">
        <f t="shared" si="23"/>
        <v>-8.7840000000000025</v>
      </c>
      <c r="Q35" s="21">
        <f t="shared" si="24"/>
        <v>8.010141599999999</v>
      </c>
      <c r="S35" s="20">
        <v>0.45600000000000002</v>
      </c>
    </row>
    <row r="36" spans="2:19" s="11" customFormat="1" ht="13.5" customHeight="1">
      <c r="B36" s="108" t="s">
        <v>136</v>
      </c>
      <c r="C36" s="120">
        <v>0</v>
      </c>
      <c r="D36" s="120">
        <v>0</v>
      </c>
      <c r="E36" s="120">
        <v>0</v>
      </c>
      <c r="F36" s="120">
        <v>0</v>
      </c>
      <c r="G36" s="21">
        <f t="shared" si="21"/>
        <v>0</v>
      </c>
      <c r="I36" s="120">
        <v>0</v>
      </c>
      <c r="J36" s="120">
        <v>0</v>
      </c>
      <c r="K36" s="120">
        <v>0</v>
      </c>
      <c r="L36" s="21">
        <f t="shared" si="22"/>
        <v>0</v>
      </c>
      <c r="M36" s="120">
        <v>0</v>
      </c>
      <c r="N36" s="120">
        <v>0</v>
      </c>
      <c r="O36" s="120">
        <v>0</v>
      </c>
      <c r="P36" s="21">
        <f t="shared" si="23"/>
        <v>0</v>
      </c>
      <c r="Q36" s="21">
        <f t="shared" si="24"/>
        <v>0</v>
      </c>
      <c r="S36" s="20">
        <v>0</v>
      </c>
    </row>
    <row r="37" spans="2:19" s="11" customFormat="1" ht="13.5" customHeight="1">
      <c r="B37" s="108" t="s">
        <v>137</v>
      </c>
      <c r="C37" s="120">
        <v>0</v>
      </c>
      <c r="D37" s="120">
        <v>0</v>
      </c>
      <c r="E37" s="120">
        <v>0</v>
      </c>
      <c r="F37" s="120">
        <v>0</v>
      </c>
      <c r="G37" s="21">
        <f t="shared" si="21"/>
        <v>0</v>
      </c>
      <c r="I37" s="120">
        <v>0</v>
      </c>
      <c r="J37" s="20">
        <v>-15.618</v>
      </c>
      <c r="K37" s="120">
        <v>0</v>
      </c>
      <c r="L37" s="21">
        <f t="shared" si="22"/>
        <v>15.618</v>
      </c>
      <c r="M37" s="120">
        <v>0</v>
      </c>
      <c r="N37" s="120">
        <v>0</v>
      </c>
      <c r="O37" s="120">
        <v>0</v>
      </c>
      <c r="P37" s="21">
        <f t="shared" si="23"/>
        <v>0</v>
      </c>
      <c r="Q37" s="21">
        <f t="shared" si="24"/>
        <v>0</v>
      </c>
      <c r="S37" s="20">
        <v>0</v>
      </c>
    </row>
    <row r="38" spans="2:19" s="11" customFormat="1" ht="13.5" customHeight="1">
      <c r="B38" s="108" t="s">
        <v>138</v>
      </c>
      <c r="C38" s="20">
        <v>1.806</v>
      </c>
      <c r="D38" s="20">
        <v>-23.975999999999999</v>
      </c>
      <c r="E38" s="20">
        <v>-196.649</v>
      </c>
      <c r="F38" s="20">
        <v>6.859</v>
      </c>
      <c r="G38" s="21">
        <f t="shared" si="21"/>
        <v>-133.0780393</v>
      </c>
      <c r="I38" s="20">
        <v>-8.6829999999999998</v>
      </c>
      <c r="J38" s="20">
        <v>-4.2069999999999999</v>
      </c>
      <c r="K38" s="20">
        <v>-81.486000000000004</v>
      </c>
      <c r="L38" s="21">
        <f t="shared" si="22"/>
        <v>-102.273</v>
      </c>
      <c r="M38" s="20">
        <v>-14.872999999999999</v>
      </c>
      <c r="N38" s="20">
        <v>38.334000000000003</v>
      </c>
      <c r="O38" s="20">
        <v>-28.215</v>
      </c>
      <c r="P38" s="21">
        <f t="shared" si="23"/>
        <v>11.612999999999994</v>
      </c>
      <c r="Q38" s="21">
        <f t="shared" si="24"/>
        <v>-154.8100393</v>
      </c>
      <c r="S38" s="20">
        <v>-8.8130000000000006</v>
      </c>
    </row>
    <row r="39" spans="2:19" s="11" customFormat="1" ht="13.5" customHeight="1">
      <c r="B39" s="108" t="s">
        <v>139</v>
      </c>
      <c r="C39" s="120">
        <v>0</v>
      </c>
      <c r="D39" s="120">
        <v>0</v>
      </c>
      <c r="E39" s="20">
        <v>1642.1489999999999</v>
      </c>
      <c r="F39" s="20">
        <v>202.29300000000001</v>
      </c>
      <c r="G39" s="21">
        <f t="shared" si="21"/>
        <v>45.657737400000002</v>
      </c>
      <c r="I39" s="120">
        <v>0</v>
      </c>
      <c r="J39" s="120">
        <v>0</v>
      </c>
      <c r="K39" s="20">
        <v>562.73699999999997</v>
      </c>
      <c r="L39" s="21">
        <f t="shared" si="22"/>
        <v>1079.4119999999998</v>
      </c>
      <c r="M39" s="20">
        <v>-2.6190000000000002</v>
      </c>
      <c r="N39" s="20">
        <v>11.321</v>
      </c>
      <c r="O39" s="20">
        <v>21.451000000000001</v>
      </c>
      <c r="P39" s="21">
        <f t="shared" si="23"/>
        <v>172.14000000000001</v>
      </c>
      <c r="Q39" s="21">
        <f t="shared" si="24"/>
        <v>-159.2542626</v>
      </c>
      <c r="S39" s="20">
        <v>-9.0660000000000007</v>
      </c>
    </row>
    <row r="40" spans="2:19" s="11" customFormat="1" ht="13.5" customHeight="1">
      <c r="B40" s="2" t="s">
        <v>140</v>
      </c>
      <c r="C40" s="24">
        <f>SUM(C18,SUM(C20:C39))</f>
        <v>7547.7309999999998</v>
      </c>
      <c r="D40" s="24">
        <f>SUM(D18,SUM(D20:D39))</f>
        <v>15031.956000000004</v>
      </c>
      <c r="E40" s="24">
        <f>SUM(E18,SUM(E20:E39))</f>
        <v>23981.789999999997</v>
      </c>
      <c r="F40" s="24">
        <f>SUM(F18,SUM(F20:F39))</f>
        <v>11260.566999999999</v>
      </c>
      <c r="G40" s="24">
        <f>SUM(G18,SUM(G20:G39))</f>
        <v>11078.828658100001</v>
      </c>
      <c r="I40" s="24">
        <f>SUM(I18,SUM(I20:I39))</f>
        <v>7409.6280000000006</v>
      </c>
      <c r="J40" s="24">
        <f>SUM(J18,SUM(J20:J39))</f>
        <v>1025.5509999999999</v>
      </c>
      <c r="K40" s="24">
        <f>SUM(K18,SUM(K20:K39))</f>
        <v>9428.1639999999989</v>
      </c>
      <c r="L40" s="24">
        <f>SUM(L18,SUM(L20:L39))</f>
        <v>6118.4470000000001</v>
      </c>
      <c r="M40" s="24">
        <f>SUM(M18,SUM(M20:M39))</f>
        <v>3268.4710000000005</v>
      </c>
      <c r="N40" s="24">
        <f>SUM(N18,SUM(N20:N39))</f>
        <v>2996.1230000000005</v>
      </c>
      <c r="O40" s="24">
        <f>SUM(O18,SUM(O20:O39))</f>
        <v>1621.9279999999997</v>
      </c>
      <c r="P40" s="24">
        <f>SUM(P18,SUM(P20:P39))</f>
        <v>3374.0449999999996</v>
      </c>
      <c r="Q40" s="24">
        <f>SUM(Q18,SUM(Q20:Q39))</f>
        <v>3086.7502241999991</v>
      </c>
      <c r="S40" s="24">
        <f>SUM(S18,SUM(S20:S39))</f>
        <v>175.72200000000001</v>
      </c>
    </row>
    <row r="41" spans="2:19" s="22" customFormat="1" ht="13.5" customHeight="1">
      <c r="B41" s="25" t="s">
        <v>141</v>
      </c>
      <c r="C41" s="23">
        <f>C40/C7</f>
        <v>1.3616642843908706</v>
      </c>
      <c r="D41" s="23">
        <f>D40/D7</f>
        <v>2.6812423078157943</v>
      </c>
      <c r="E41" s="23">
        <f>E40/E7</f>
        <v>2.8440636145113265</v>
      </c>
      <c r="F41" s="23">
        <f>F40/F7</f>
        <v>0.903772861051518</v>
      </c>
      <c r="G41" s="23">
        <f>G40/G7</f>
        <v>0.89651969227117312</v>
      </c>
      <c r="H41" s="11"/>
      <c r="I41" s="23">
        <f>I40/I7</f>
        <v>4.8997601575937209</v>
      </c>
      <c r="J41" s="23">
        <f>J40/J7</f>
        <v>0.67829331238037038</v>
      </c>
      <c r="K41" s="23">
        <f>K40/K7</f>
        <v>4.0223434990878637</v>
      </c>
      <c r="L41" s="109">
        <f>L40/L7</f>
        <v>1.9968313469826815</v>
      </c>
      <c r="M41" s="23">
        <f>M40/M7</f>
        <v>1.0108889963826029</v>
      </c>
      <c r="N41" s="23">
        <f>N40/N7</f>
        <v>0.95054452607497386</v>
      </c>
      <c r="O41" s="23">
        <f>O40/O7</f>
        <v>0.53600160741526037</v>
      </c>
      <c r="P41" s="109">
        <f>P40/P7</f>
        <v>1.1068746364732964</v>
      </c>
      <c r="Q41" s="23">
        <f>Q40/Q7</f>
        <v>0.9857568396901174</v>
      </c>
      <c r="S41" s="23">
        <f>S40/S7</f>
        <v>0.9857568396901174</v>
      </c>
    </row>
    <row r="42" spans="2:19" s="22" customFormat="1" ht="13.5" customHeight="1">
      <c r="B42" s="2"/>
      <c r="C42" s="39"/>
      <c r="D42" s="39"/>
      <c r="E42" s="39"/>
      <c r="F42" s="39"/>
      <c r="G42" s="39"/>
      <c r="H42" s="11"/>
      <c r="I42" s="24"/>
      <c r="J42" s="24"/>
      <c r="K42" s="24"/>
      <c r="L42" s="24"/>
      <c r="M42" s="24"/>
      <c r="N42" s="24"/>
      <c r="O42" s="24"/>
      <c r="P42" s="24"/>
      <c r="Q42" s="24"/>
      <c r="S42" s="24"/>
    </row>
    <row r="43" spans="2:19" s="22" customFormat="1" ht="13.5" customHeight="1">
      <c r="B43" s="108" t="s">
        <v>142</v>
      </c>
      <c r="C43" s="116"/>
      <c r="D43" s="20">
        <v>15031.956</v>
      </c>
      <c r="E43" s="20">
        <v>23835.615000000002</v>
      </c>
      <c r="F43" s="20">
        <v>11117.28</v>
      </c>
      <c r="G43" s="21">
        <f t="shared" ref="G43:G44" si="25">SUM(N43:Q43)</f>
        <v>10961.1607327</v>
      </c>
      <c r="H43" s="11"/>
      <c r="I43" s="20">
        <v>7409.6279999999997</v>
      </c>
      <c r="J43" s="20">
        <v>1025.5509999999999</v>
      </c>
      <c r="K43" s="20">
        <v>9359.6290000000008</v>
      </c>
      <c r="L43" s="21">
        <f t="shared" ref="L43:L44" si="26">E43-SUM(I43:K43)</f>
        <v>6040.8070000000007</v>
      </c>
      <c r="M43" s="20">
        <v>3242.6060000000002</v>
      </c>
      <c r="N43" s="20">
        <v>2893.51</v>
      </c>
      <c r="O43" s="20">
        <v>1610.0070000000001</v>
      </c>
      <c r="P43" s="21">
        <f>F43-SUM(M43:O43)</f>
        <v>3371.1570000000011</v>
      </c>
      <c r="Q43" s="21">
        <f t="shared" ref="Q43:Q44" si="27">S43/$Q$239</f>
        <v>3086.4867326999993</v>
      </c>
      <c r="S43" s="20">
        <v>175.70699999999999</v>
      </c>
    </row>
    <row r="44" spans="2:19" s="22" customFormat="1" ht="13.5" customHeight="1">
      <c r="B44" s="108" t="s">
        <v>143</v>
      </c>
      <c r="C44" s="116"/>
      <c r="D44" s="120">
        <v>0</v>
      </c>
      <c r="E44" s="20">
        <v>146.17500000000001</v>
      </c>
      <c r="F44" s="20">
        <v>143.28700000000001</v>
      </c>
      <c r="G44" s="21">
        <f t="shared" si="25"/>
        <v>117.6854915</v>
      </c>
      <c r="H44" s="11"/>
      <c r="I44" s="120">
        <v>0</v>
      </c>
      <c r="J44" s="120">
        <v>0</v>
      </c>
      <c r="K44" s="20">
        <v>68.534999999999997</v>
      </c>
      <c r="L44" s="21">
        <f t="shared" si="26"/>
        <v>77.640000000000015</v>
      </c>
      <c r="M44" s="20">
        <v>25.864999999999998</v>
      </c>
      <c r="N44" s="20">
        <v>102.613</v>
      </c>
      <c r="O44" s="20">
        <v>11.920999999999999</v>
      </c>
      <c r="P44" s="21">
        <f>F44-SUM(M44:O44)</f>
        <v>2.8880000000000052</v>
      </c>
      <c r="Q44" s="21">
        <f t="shared" si="27"/>
        <v>0.26349149999999993</v>
      </c>
      <c r="S44" s="20">
        <v>1.4999999999999999E-2</v>
      </c>
    </row>
    <row r="45" spans="2:19" s="22" customFormat="1" ht="13.5" customHeight="1">
      <c r="B45" s="2" t="s">
        <v>144</v>
      </c>
      <c r="C45" s="116"/>
      <c r="D45" s="24">
        <f t="shared" ref="D45" si="28">SUM(D43:D44)</f>
        <v>15031.956</v>
      </c>
      <c r="E45" s="24">
        <f>SUM(E43:E44)</f>
        <v>23981.79</v>
      </c>
      <c r="F45" s="24">
        <f>SUM(F43:F44)</f>
        <v>11260.567000000001</v>
      </c>
      <c r="G45" s="24">
        <f>SUM(G43:G44)</f>
        <v>11078.846224200001</v>
      </c>
      <c r="H45" s="11"/>
      <c r="I45" s="24">
        <f t="shared" ref="I45:J45" si="29">SUM(I43:I44)</f>
        <v>7409.6279999999997</v>
      </c>
      <c r="J45" s="24">
        <f t="shared" si="29"/>
        <v>1025.5509999999999</v>
      </c>
      <c r="K45" s="24">
        <f>SUM(K43:K44)</f>
        <v>9428.1640000000007</v>
      </c>
      <c r="L45" s="24">
        <f t="shared" ref="L45:O45" si="30">SUM(L43:L44)</f>
        <v>6118.447000000001</v>
      </c>
      <c r="M45" s="24">
        <f t="shared" si="30"/>
        <v>3268.471</v>
      </c>
      <c r="N45" s="24">
        <f t="shared" si="30"/>
        <v>2996.123</v>
      </c>
      <c r="O45" s="24">
        <f t="shared" si="30"/>
        <v>1621.9280000000001</v>
      </c>
      <c r="P45" s="24">
        <f t="shared" ref="P45" si="31">SUM(P43:P44)</f>
        <v>3374.045000000001</v>
      </c>
      <c r="Q45" s="24">
        <f>SUM(Q43:Q44)</f>
        <v>3086.7502241999991</v>
      </c>
      <c r="S45" s="24">
        <f t="shared" ref="S45" si="32">SUM(S43:S44)</f>
        <v>175.72199999999998</v>
      </c>
    </row>
    <row r="46" spans="2:19" s="22" customFormat="1" ht="13.5" customHeight="1">
      <c r="B46" s="117" t="s">
        <v>32</v>
      </c>
      <c r="C46" s="118"/>
      <c r="D46" s="119">
        <f>D45-D40</f>
        <v>0</v>
      </c>
      <c r="E46" s="119">
        <f>E45-E40</f>
        <v>0</v>
      </c>
      <c r="F46" s="119">
        <f>F45-F40</f>
        <v>0</v>
      </c>
      <c r="G46" s="119">
        <f>G45-G40</f>
        <v>1.7566099999385187E-2</v>
      </c>
      <c r="H46" s="11"/>
      <c r="I46" s="119">
        <f t="shared" ref="I46:J46" si="33">I45-I40</f>
        <v>0</v>
      </c>
      <c r="J46" s="119">
        <f t="shared" si="33"/>
        <v>0</v>
      </c>
      <c r="K46" s="119">
        <f>K45-K40</f>
        <v>0</v>
      </c>
      <c r="L46" s="119">
        <f t="shared" ref="L46:O46" si="34">L45-L40</f>
        <v>0</v>
      </c>
      <c r="M46" s="119">
        <f t="shared" si="34"/>
        <v>0</v>
      </c>
      <c r="N46" s="119">
        <f t="shared" si="34"/>
        <v>0</v>
      </c>
      <c r="O46" s="119">
        <f t="shared" si="34"/>
        <v>0</v>
      </c>
      <c r="P46" s="119">
        <f t="shared" ref="P46" si="35">P45-P40</f>
        <v>0</v>
      </c>
      <c r="Q46" s="119">
        <f>Q45-Q40</f>
        <v>0</v>
      </c>
      <c r="S46" s="119">
        <f t="shared" ref="S46" si="36">S45-S40</f>
        <v>0</v>
      </c>
    </row>
    <row r="47" spans="2:19" s="11" customFormat="1" ht="13.5" customHeight="1"/>
    <row r="48" spans="2:19" s="11" customFormat="1" ht="13.5" customHeight="1">
      <c r="B48" s="104" t="s">
        <v>145</v>
      </c>
      <c r="C48" s="105"/>
      <c r="D48" s="105"/>
      <c r="E48" s="105"/>
      <c r="F48" s="105"/>
      <c r="G48" s="106"/>
      <c r="I48" s="107"/>
      <c r="J48" s="107"/>
      <c r="K48" s="107"/>
      <c r="L48" s="107"/>
      <c r="M48" s="107"/>
      <c r="N48" s="107"/>
      <c r="O48" s="107"/>
      <c r="P48" s="107"/>
      <c r="Q48" s="107"/>
      <c r="S48" s="107"/>
    </row>
    <row r="49" spans="2:19" s="11" customFormat="1" ht="13.5" customHeight="1">
      <c r="B49" s="259" t="s">
        <v>113</v>
      </c>
      <c r="C49" s="27">
        <f>-C13/C$7</f>
        <v>6.6242421323109299E-2</v>
      </c>
      <c r="D49" s="27">
        <f>-D13/D$7</f>
        <v>7.6599528391071522E-2</v>
      </c>
      <c r="E49" s="27">
        <f>-E13/E$7</f>
        <v>7.1703240436956944E-2</v>
      </c>
      <c r="F49" s="27">
        <f>-F13/F$7</f>
        <v>6.1504505393871832E-2</v>
      </c>
      <c r="G49" s="27">
        <f>-G13/G$7</f>
        <v>6.3787506055621015E-2</v>
      </c>
      <c r="I49" s="27">
        <f>-I13/I$7</f>
        <v>6.2708175868560811E-2</v>
      </c>
      <c r="J49" s="27">
        <f>-J13/J$7</f>
        <v>8.294079597449136E-2</v>
      </c>
      <c r="K49" s="27">
        <f>-K13/K$7</f>
        <v>7.103997187650922E-2</v>
      </c>
      <c r="L49" s="27">
        <f>-L13/L$7</f>
        <v>7.1104913125579719E-2</v>
      </c>
      <c r="M49" s="27">
        <f>-M13/M$7</f>
        <v>4.5961294840136772E-2</v>
      </c>
      <c r="N49" s="27">
        <f>-N13/N$7</f>
        <v>6.0558241146038055E-2</v>
      </c>
      <c r="O49" s="27">
        <f>-O13/O$7</f>
        <v>6.0240728941670402E-2</v>
      </c>
      <c r="P49" s="27">
        <f>-P13/P$7</f>
        <v>8.0224048909165652E-2</v>
      </c>
      <c r="Q49" s="27">
        <f>-Q13/Q$7</f>
        <v>5.4465082098720426E-2</v>
      </c>
      <c r="S49" s="27">
        <f>-S13/S$7</f>
        <v>5.4465082098720412E-2</v>
      </c>
    </row>
    <row r="50" spans="2:19" s="11" customFormat="1" ht="13.5" customHeight="1">
      <c r="B50" s="259" t="s">
        <v>114</v>
      </c>
      <c r="C50" s="27">
        <f>-C14/C$7</f>
        <v>7.2624683408085014E-3</v>
      </c>
      <c r="D50" s="27">
        <f>-D14/D$7</f>
        <v>6.8178169715001216E-3</v>
      </c>
      <c r="E50" s="27">
        <f>-E14/E$7</f>
        <v>1.028328577966414E-2</v>
      </c>
      <c r="F50" s="27">
        <f>-F14/F$7</f>
        <v>5.6133828697918298E-3</v>
      </c>
      <c r="G50" s="27">
        <f>-G14/G$7</f>
        <v>6.5541872530412238E-3</v>
      </c>
      <c r="I50" s="27">
        <f>-I14/I$7</f>
        <v>1.5959736629628969E-2</v>
      </c>
      <c r="J50" s="27">
        <f>-J14/J$7</f>
        <v>1.0286000007936729E-2</v>
      </c>
      <c r="K50" s="27">
        <f>-K14/K$7</f>
        <v>9.4174444142958811E-3</v>
      </c>
      <c r="L50" s="27">
        <f>-L14/L$7</f>
        <v>8.1427431024928242E-3</v>
      </c>
      <c r="M50" s="27">
        <f>-M14/M$7</f>
        <v>1.6772524606713216E-3</v>
      </c>
      <c r="N50" s="27">
        <f>-N14/N$7</f>
        <v>6.2477653127039371E-3</v>
      </c>
      <c r="O50" s="27">
        <f>-O14/O$7</f>
        <v>7.1147292642109528E-3</v>
      </c>
      <c r="P50" s="27">
        <f>-P14/P$7</f>
        <v>7.6420571322093943E-3</v>
      </c>
      <c r="Q50" s="27">
        <f>-Q14/Q$7</f>
        <v>5.2619473693068042E-3</v>
      </c>
      <c r="S50" s="27">
        <f>-S14/S$7</f>
        <v>5.2619473693068025E-3</v>
      </c>
    </row>
    <row r="51" spans="2:19" s="22" customFormat="1" ht="13.5" customHeight="1">
      <c r="B51" s="259" t="s">
        <v>115</v>
      </c>
      <c r="C51" s="27">
        <f>-C15/C$7</f>
        <v>2.7942173750441768E-2</v>
      </c>
      <c r="D51" s="27">
        <f>-D15/D$7</f>
        <v>2.7821181020059427E-2</v>
      </c>
      <c r="E51" s="27">
        <f>-E15/E$7</f>
        <v>2.2070444735418061E-2</v>
      </c>
      <c r="F51" s="27">
        <f>-F15/F$7</f>
        <v>2.6112744401665874E-2</v>
      </c>
      <c r="G51" s="27">
        <f>-G15/G$7</f>
        <v>2.8232078691767342E-2</v>
      </c>
      <c r="I51" s="27">
        <f>-I15/I$7</f>
        <v>2.7374568769701693E-2</v>
      </c>
      <c r="J51" s="27">
        <f>-J15/J$7</f>
        <v>2.8937973144756671E-2</v>
      </c>
      <c r="K51" s="27">
        <f>-K15/K$7</f>
        <v>2.1015824583139216E-2</v>
      </c>
      <c r="L51" s="27">
        <f>-L15/L$7</f>
        <v>1.6870654076038542E-2</v>
      </c>
      <c r="M51" s="27">
        <f>-M15/M$7</f>
        <v>2.2077071343385508E-2</v>
      </c>
      <c r="N51" s="27">
        <f>-N15/N$7</f>
        <v>3.0853992392783386E-2</v>
      </c>
      <c r="O51" s="27">
        <f>-O15/O$7</f>
        <v>2.6812836585617339E-2</v>
      </c>
      <c r="P51" s="27">
        <f>-P15/P$7</f>
        <v>2.4795760733243823E-2</v>
      </c>
      <c r="Q51" s="27">
        <f>-Q15/Q$7</f>
        <v>3.0309490017446334E-2</v>
      </c>
      <c r="S51" s="27">
        <f>-S15/S$7</f>
        <v>3.0309490017446327E-2</v>
      </c>
    </row>
    <row r="52" spans="2:19" s="22" customFormat="1" ht="13.5" customHeight="1">
      <c r="B52" s="259" t="s">
        <v>116</v>
      </c>
      <c r="C52" s="27">
        <f>-C16/C$7</f>
        <v>1.8577421437667812E-2</v>
      </c>
      <c r="D52" s="27">
        <f>-D16/D$7</f>
        <v>2.1542575013288524E-2</v>
      </c>
      <c r="E52" s="27">
        <f>-E16/E$7</f>
        <v>2.072667161356069E-2</v>
      </c>
      <c r="F52" s="27">
        <f>-F16/F$7</f>
        <v>2.2928108729797558E-2</v>
      </c>
      <c r="G52" s="27">
        <f>-G16/G$7</f>
        <v>2.2696449468755108E-2</v>
      </c>
      <c r="I52" s="27">
        <f>-I16/I$7</f>
        <v>2.1615573687562121E-2</v>
      </c>
      <c r="J52" s="27">
        <f>-J16/J$7</f>
        <v>2.1601129131893874E-2</v>
      </c>
      <c r="K52" s="27">
        <f>-K16/K$7</f>
        <v>2.0938604440030241E-2</v>
      </c>
      <c r="L52" s="27">
        <f>-L16/L$7</f>
        <v>1.969434198476671E-2</v>
      </c>
      <c r="M52" s="27">
        <f>-M16/M$7</f>
        <v>2.4627435309953035E-2</v>
      </c>
      <c r="N52" s="27">
        <f>-N16/N$7</f>
        <v>2.3047220390056234E-2</v>
      </c>
      <c r="O52" s="27">
        <f>-O16/O$7</f>
        <v>2.222820009147462E-2</v>
      </c>
      <c r="P52" s="27">
        <f>-P16/P$7</f>
        <v>2.1697274808636927E-2</v>
      </c>
      <c r="Q52" s="27">
        <f>-Q16/Q$7</f>
        <v>2.3768519193766449E-2</v>
      </c>
      <c r="S52" s="27">
        <f>-S16/S$7</f>
        <v>2.3768519193766446E-2</v>
      </c>
    </row>
    <row r="53" spans="2:19" s="22" customFormat="1" ht="13.5" customHeight="1">
      <c r="B53" s="259" t="s">
        <v>117</v>
      </c>
      <c r="C53" s="27">
        <f>-C17/C$7</f>
        <v>9.7941212180582462E-3</v>
      </c>
      <c r="D53" s="27">
        <f>-D17/D$7</f>
        <v>1.0563576236903217E-2</v>
      </c>
      <c r="E53" s="27">
        <f>-E17/E$7</f>
        <v>2.6909972893281932E-2</v>
      </c>
      <c r="F53" s="27">
        <f>-F17/F$7</f>
        <v>1.3561608763105451E-2</v>
      </c>
      <c r="G53" s="27">
        <f>-G17/G$7</f>
        <v>1.3671908634311985E-2</v>
      </c>
      <c r="I53" s="27">
        <f>-I17/I$7</f>
        <v>9.4131697088364764E-3</v>
      </c>
      <c r="J53" s="27">
        <f>-J17/J$7</f>
        <v>5.8010870672333499E-3</v>
      </c>
      <c r="K53" s="27">
        <f>-K17/K$7</f>
        <v>3.2749873290704404E-2</v>
      </c>
      <c r="L53" s="27">
        <f>-L17/L$7</f>
        <v>4.1494048128017637E-2</v>
      </c>
      <c r="M53" s="27">
        <f>-M17/M$7</f>
        <v>3.8632787177292046E-3</v>
      </c>
      <c r="N53" s="27">
        <f>-N17/N$7</f>
        <v>1.5591653191125526E-2</v>
      </c>
      <c r="O53" s="27">
        <f>-O17/O$7</f>
        <v>1.259692740457955E-2</v>
      </c>
      <c r="P53" s="27">
        <f>-P17/P$7</f>
        <v>2.2707030200478113E-2</v>
      </c>
      <c r="Q53" s="27">
        <f>-Q17/Q$7</f>
        <v>3.9829239149337219E-3</v>
      </c>
      <c r="S53" s="27">
        <f>-S17/S$7</f>
        <v>3.982923914933721E-3</v>
      </c>
    </row>
    <row r="54" spans="2:19" s="22" customFormat="1" ht="13.5" customHeight="1">
      <c r="B54" s="259" t="s">
        <v>120</v>
      </c>
      <c r="C54" s="27">
        <f>C20/C$7</f>
        <v>0.89166842112574385</v>
      </c>
      <c r="D54" s="27">
        <f>D20/D$7</f>
        <v>2.2036153711690689</v>
      </c>
      <c r="E54" s="27">
        <f>E20/E$7</f>
        <v>2.1541910577122749</v>
      </c>
      <c r="F54" s="27">
        <f>F20/F$7</f>
        <v>0.30051759659890315</v>
      </c>
      <c r="G54" s="27">
        <f>G20/G$7</f>
        <v>0.34710221616444387</v>
      </c>
      <c r="I54" s="27">
        <f>I20/I$7</f>
        <v>4.2289790728077428</v>
      </c>
      <c r="J54" s="27">
        <f>J20/J$7</f>
        <v>0.44314987585633997</v>
      </c>
      <c r="K54" s="27">
        <f>K20/K$7</f>
        <v>3.3770663854317586</v>
      </c>
      <c r="L54" s="27">
        <f>L20/L$7</f>
        <v>1.0390375179744122</v>
      </c>
      <c r="M54" s="27">
        <f>M20/M$7</f>
        <v>0.42729266771906033</v>
      </c>
      <c r="N54" s="27">
        <f>N20/N$7</f>
        <v>0.31131498121672951</v>
      </c>
      <c r="O54" s="27">
        <f>O20/O$7</f>
        <v>-4.0398866349237408E-2</v>
      </c>
      <c r="P54" s="27">
        <f>P20/P$7</f>
        <v>0.49330750004182727</v>
      </c>
      <c r="Q54" s="27">
        <f>Q20/Q$7</f>
        <v>0.61526076932138851</v>
      </c>
      <c r="S54" s="27">
        <f>S20/S$7</f>
        <v>0.6152607693213884</v>
      </c>
    </row>
    <row r="55" spans="2:19" s="22" customFormat="1" ht="13.5" customHeight="1">
      <c r="B55" s="259" t="s">
        <v>121</v>
      </c>
      <c r="C55" s="27">
        <f>-C21/C$7</f>
        <v>0.10131193849416716</v>
      </c>
      <c r="D55" s="27">
        <f>-D21/D$7</f>
        <v>9.8279983019224637E-2</v>
      </c>
      <c r="E55" s="27">
        <f>-E21/E$7</f>
        <v>0.10247186182250551</v>
      </c>
      <c r="F55" s="27">
        <f>-F21/F$7</f>
        <v>8.7316676177474073E-2</v>
      </c>
      <c r="G55" s="27">
        <f>-G21/G$7</f>
        <v>8.4569393060692249E-2</v>
      </c>
      <c r="I55" s="27">
        <f>-I21/I$7</f>
        <v>0.1039257579635019</v>
      </c>
      <c r="J55" s="27">
        <f>-J21/J$7</f>
        <v>0.11138272359417392</v>
      </c>
      <c r="K55" s="27">
        <f>-K21/K$7</f>
        <v>0.10602666953362447</v>
      </c>
      <c r="L55" s="27">
        <f>-L21/L$7</f>
        <v>9.4637930235457482E-2</v>
      </c>
      <c r="M55" s="27">
        <f>-M21/M$7</f>
        <v>9.1166078612819737E-2</v>
      </c>
      <c r="N55" s="27">
        <f>-N21/N$7</f>
        <v>8.285768400895048E-2</v>
      </c>
      <c r="O55" s="27">
        <f>-O21/O$7</f>
        <v>8.8608766229474403E-2</v>
      </c>
      <c r="P55" s="27">
        <f>-P21/P$7</f>
        <v>8.6561756646326149E-2</v>
      </c>
      <c r="Q55" s="27">
        <f>-Q21/Q$7</f>
        <v>8.0449453329668311E-2</v>
      </c>
      <c r="S55" s="27">
        <f>-S21/S$7</f>
        <v>8.0449453329668297E-2</v>
      </c>
    </row>
    <row r="56" spans="2:19" s="22" customFormat="1" ht="13.5" customHeight="1">
      <c r="B56" s="259" t="s">
        <v>122</v>
      </c>
      <c r="C56" s="27">
        <f>-C22/C$7</f>
        <v>0.11825469117100267</v>
      </c>
      <c r="D56" s="27">
        <f>-D22/D$7</f>
        <v>0.18344427915538478</v>
      </c>
      <c r="E56" s="27">
        <f>-E22/E$7</f>
        <v>8.4958813371603978E-2</v>
      </c>
      <c r="F56" s="27">
        <f>-F22/F$7</f>
        <v>0</v>
      </c>
      <c r="G56" s="27">
        <f>-G22/G$7</f>
        <v>0</v>
      </c>
      <c r="I56" s="27">
        <f>-I22/I$7</f>
        <v>0</v>
      </c>
      <c r="J56" s="27">
        <f>-J22/J$7</f>
        <v>0.47381739439852172</v>
      </c>
      <c r="K56" s="27">
        <f>-K22/K$7</f>
        <v>0</v>
      </c>
      <c r="L56" s="27">
        <f>-L22/L$7</f>
        <v>0</v>
      </c>
      <c r="M56" s="27">
        <f>-M22/M$7</f>
        <v>0</v>
      </c>
      <c r="N56" s="27">
        <f>-N22/N$7</f>
        <v>0</v>
      </c>
      <c r="O56" s="27">
        <f>-O22/O$7</f>
        <v>0</v>
      </c>
      <c r="P56" s="27">
        <f>-P22/P$7</f>
        <v>0</v>
      </c>
      <c r="Q56" s="27">
        <f>-Q22/Q$7</f>
        <v>0</v>
      </c>
      <c r="S56" s="27">
        <f>-S22/S$7</f>
        <v>0</v>
      </c>
    </row>
    <row r="57" spans="2:19" s="22" customFormat="1" ht="13.5" customHeight="1">
      <c r="B57" s="259" t="s">
        <v>123</v>
      </c>
      <c r="C57" s="27">
        <f>-C23/C$7</f>
        <v>1.6127853792310652E-2</v>
      </c>
      <c r="D57" s="27">
        <f>-D23/D$7</f>
        <v>1.4049807896060529E-2</v>
      </c>
      <c r="E57" s="27">
        <f>-E23/E$7</f>
        <v>2.709272414037241E-2</v>
      </c>
      <c r="F57" s="27">
        <f>-F23/F$7</f>
        <v>1.572999259200402E-2</v>
      </c>
      <c r="G57" s="27">
        <f>-G23/G$7</f>
        <v>1.8223937425900973E-2</v>
      </c>
      <c r="I57" s="27">
        <f>-I23/I$7</f>
        <v>1.3768951154014268E-2</v>
      </c>
      <c r="J57" s="27">
        <f>-J23/J$7</f>
        <v>1.220007434068936E-2</v>
      </c>
      <c r="K57" s="27">
        <f>-K23/K$7</f>
        <v>2.9922592139416063E-2</v>
      </c>
      <c r="L57" s="27">
        <f>-L23/L$7</f>
        <v>3.885247046583018E-2</v>
      </c>
      <c r="M57" s="27">
        <f>-M23/M$7</f>
        <v>6.6270493222947459E-3</v>
      </c>
      <c r="N57" s="27">
        <f>-N23/N$7</f>
        <v>1.9252495314889841E-2</v>
      </c>
      <c r="O57" s="27">
        <f>-O23/O$7</f>
        <v>1.4223840506335808E-2</v>
      </c>
      <c r="P57" s="27">
        <f>-P23/P$7</f>
        <v>2.3238152351027462E-2</v>
      </c>
      <c r="Q57" s="27">
        <f>-Q23/Q$7</f>
        <v>1.6172914995428056E-2</v>
      </c>
      <c r="S57" s="27">
        <f>-S23/S$7</f>
        <v>1.6172914995428053E-2</v>
      </c>
    </row>
    <row r="58" spans="2:19" s="22" customFormat="1" ht="13.5" customHeight="1">
      <c r="B58" s="259" t="s">
        <v>146</v>
      </c>
      <c r="C58" s="27">
        <f>C24/C$149</f>
        <v>5.2477707234809727E-3</v>
      </c>
      <c r="D58" s="27">
        <f>D24/D$149</f>
        <v>8.6159175277588429E-2</v>
      </c>
      <c r="E58" s="27">
        <f>E24/E$149</f>
        <v>0.14839655687403264</v>
      </c>
      <c r="F58" s="27">
        <f>F24/F$149</f>
        <v>3.01442501127639E-2</v>
      </c>
      <c r="G58" s="27">
        <f>G24/G$149</f>
        <v>4.407108306638257E-2</v>
      </c>
      <c r="I58" s="27"/>
      <c r="J58" s="27"/>
      <c r="K58" s="27"/>
      <c r="L58" s="27">
        <f>SUM(I24:L24)/L$149</f>
        <v>0.14839655687403264</v>
      </c>
      <c r="M58" s="27">
        <f>SUM(J24:M24)/M$149</f>
        <v>0.16695306565203033</v>
      </c>
      <c r="N58" s="27">
        <f>SUM(K24:N24)/N$149</f>
        <v>7.0720337314177414E-2</v>
      </c>
      <c r="O58" s="27">
        <f>SUM(L24:O24)/O$149</f>
        <v>3.148577155927261E-2</v>
      </c>
      <c r="P58" s="27">
        <f>SUM(M24:P24)/P$149</f>
        <v>3.01442501127639E-2</v>
      </c>
      <c r="Q58" s="27">
        <f>SUM(N24:Q24)/Q$149</f>
        <v>4.407108306638257E-2</v>
      </c>
      <c r="S58" s="27"/>
    </row>
    <row r="59" spans="2:19" s="22" customFormat="1" ht="13.5" customHeight="1">
      <c r="B59" s="259" t="s">
        <v>147</v>
      </c>
      <c r="C59" s="27">
        <f>-C25/C$136</f>
        <v>4.8372028949131202E-2</v>
      </c>
      <c r="D59" s="27">
        <f>-D25/D$136</f>
        <v>4.3245925888734618E-2</v>
      </c>
      <c r="E59" s="27">
        <f>-E25/E$136</f>
        <v>2.6262729921833618E-2</v>
      </c>
      <c r="F59" s="27">
        <f>-F25/F$136</f>
        <v>4.8041731989838916E-2</v>
      </c>
      <c r="G59" s="27">
        <f>-G25/G$136</f>
        <v>4.7490844002980787E-2</v>
      </c>
      <c r="I59" s="27"/>
      <c r="J59" s="27"/>
      <c r="K59" s="27"/>
      <c r="L59" s="27">
        <f>-SUM(I25:L25)/L$136</f>
        <v>2.6262729921833618E-2</v>
      </c>
      <c r="M59" s="27">
        <f>-SUM(J25:M25)/M$136</f>
        <v>3.5755112036005191E-2</v>
      </c>
      <c r="N59" s="27">
        <f>-SUM(K25:N25)/N$136</f>
        <v>4.6677862870818085E-2</v>
      </c>
      <c r="O59" s="27">
        <f>-SUM(L25:O25)/O$136</f>
        <v>5.1735959212737326E-2</v>
      </c>
      <c r="P59" s="27">
        <f>-SUM(M25:P25)/P$136</f>
        <v>4.8041731989838916E-2</v>
      </c>
      <c r="Q59" s="27">
        <f>-SUM(N25:Q25)/Q$136</f>
        <v>4.7490844002980787E-2</v>
      </c>
      <c r="S59" s="27"/>
    </row>
    <row r="60" spans="2:19" s="22" customFormat="1" ht="13.5" customHeight="1">
      <c r="B60" s="259" t="s">
        <v>138</v>
      </c>
      <c r="C60" s="27">
        <f>C38/C$7</f>
        <v>3.258152281274879E-4</v>
      </c>
      <c r="D60" s="27">
        <f t="shared" ref="D60:G60" si="37">D38/D$7</f>
        <v>-4.2765868641573635E-3</v>
      </c>
      <c r="E60" s="27">
        <f t="shared" si="37"/>
        <v>-2.3321122640555102E-2</v>
      </c>
      <c r="F60" s="27">
        <f t="shared" ref="F60" si="38">F38/F$7</f>
        <v>5.5050318993283046E-4</v>
      </c>
      <c r="G60" s="27">
        <f t="shared" si="37"/>
        <v>-1.076892571617296E-2</v>
      </c>
      <c r="I60" s="27">
        <f t="shared" ref="I60:O60" si="39">I38/I$7</f>
        <v>-5.7418020781051723E-3</v>
      </c>
      <c r="J60" s="27">
        <f t="shared" si="39"/>
        <v>-2.7824846986490366E-3</v>
      </c>
      <c r="K60" s="27">
        <f t="shared" si="39"/>
        <v>-3.4764423101536386E-2</v>
      </c>
      <c r="L60" s="27">
        <f t="shared" si="39"/>
        <v>-3.3378066746342624E-2</v>
      </c>
      <c r="M60" s="27">
        <f t="shared" si="39"/>
        <v>-4.5999955462962504E-3</v>
      </c>
      <c r="N60" s="27">
        <f t="shared" si="39"/>
        <v>1.216177502143872E-2</v>
      </c>
      <c r="O60" s="27">
        <f t="shared" si="39"/>
        <v>-9.324264303484233E-3</v>
      </c>
      <c r="P60" s="27">
        <f t="shared" ref="P60" si="40">P38/P$7</f>
        <v>3.8097106450460461E-3</v>
      </c>
      <c r="Q60" s="27">
        <f>Q38/Q$7</f>
        <v>-4.9438744313113937E-2</v>
      </c>
      <c r="S60" s="27">
        <f t="shared" ref="S60" si="41">S38/S$7</f>
        <v>-4.9438744313113923E-2</v>
      </c>
    </row>
    <row r="61" spans="2:19" s="22" customFormat="1" ht="13.5" customHeight="1">
      <c r="B61" s="259" t="s">
        <v>139</v>
      </c>
      <c r="C61" s="27">
        <f>C39/C$7</f>
        <v>0</v>
      </c>
      <c r="D61" s="27">
        <f t="shared" ref="D61:G61" si="42">D39/D$7</f>
        <v>0</v>
      </c>
      <c r="E61" s="27">
        <f t="shared" si="42"/>
        <v>0.19474677330199958</v>
      </c>
      <c r="F61" s="27">
        <f t="shared" ref="F61" si="43">F39/F$7</f>
        <v>1.6236031754057745E-2</v>
      </c>
      <c r="G61" s="27">
        <f t="shared" si="42"/>
        <v>3.6947101491382733E-3</v>
      </c>
      <c r="I61" s="27">
        <f t="shared" ref="I61:O61" si="44">I39/I$7</f>
        <v>0</v>
      </c>
      <c r="J61" s="27">
        <f t="shared" si="44"/>
        <v>0</v>
      </c>
      <c r="K61" s="27">
        <f t="shared" si="44"/>
        <v>0.24008083797080823</v>
      </c>
      <c r="L61" s="27">
        <f t="shared" si="44"/>
        <v>0.35227954379751431</v>
      </c>
      <c r="M61" s="27">
        <f t="shared" si="44"/>
        <v>-8.1001736944462323E-4</v>
      </c>
      <c r="N61" s="27">
        <f t="shared" si="44"/>
        <v>3.5916798408125354E-3</v>
      </c>
      <c r="O61" s="27">
        <f t="shared" si="44"/>
        <v>7.0889524569923892E-3</v>
      </c>
      <c r="P61" s="27">
        <f t="shared" ref="P61" si="45">P39/P$7</f>
        <v>5.6471505247414691E-2</v>
      </c>
      <c r="Q61" s="27">
        <f>Q39/Q$7</f>
        <v>-5.0858011567308632E-2</v>
      </c>
      <c r="S61" s="27">
        <f t="shared" ref="S61" si="46">S39/S$7</f>
        <v>-5.0858011567308611E-2</v>
      </c>
    </row>
    <row r="62" spans="2:19" s="22" customFormat="1" ht="13.5" customHeight="1">
      <c r="B62" s="108"/>
      <c r="C62" s="260"/>
      <c r="D62" s="260"/>
      <c r="E62" s="260"/>
      <c r="F62" s="260"/>
      <c r="G62" s="260"/>
      <c r="I62" s="260"/>
      <c r="J62" s="260"/>
      <c r="K62" s="260"/>
      <c r="L62" s="260"/>
      <c r="M62" s="260"/>
      <c r="N62" s="260"/>
      <c r="O62" s="260"/>
      <c r="P62" s="260"/>
      <c r="Q62" s="260"/>
      <c r="S62" s="260"/>
    </row>
    <row r="63" spans="2:19" ht="13.5" customHeight="1">
      <c r="B63" s="55" t="s">
        <v>148</v>
      </c>
      <c r="C63" s="261">
        <f>C83/C7</f>
        <v>6.9947441998665346E-3</v>
      </c>
      <c r="D63" s="261">
        <f>D83/D7</f>
        <v>-6.0847718832607353E-2</v>
      </c>
      <c r="E63" s="261">
        <f>E83/E7</f>
        <v>5.7391125737008747E-2</v>
      </c>
      <c r="F63" s="261">
        <f>F83/F7</f>
        <v>-7.1396066137432357E-3</v>
      </c>
      <c r="G63" s="261">
        <f>G83/G7</f>
        <v>6.4723846229150402E-3</v>
      </c>
      <c r="H63" s="22"/>
      <c r="I63" s="261">
        <f>I83/I7</f>
        <v>-3.1091563988062766E-2</v>
      </c>
      <c r="J63" s="261">
        <f>J83/J7</f>
        <v>0.61878702979844691</v>
      </c>
      <c r="K63" s="261">
        <f>K83/K7</f>
        <v>-0.29430815018080614</v>
      </c>
      <c r="L63" s="261">
        <f>L83/L7</f>
        <v>9.3083792253330438E-2</v>
      </c>
      <c r="M63" s="261">
        <f>M83/M7</f>
        <v>-1.7267689863865135E-2</v>
      </c>
      <c r="N63" s="261">
        <f>N83/N7</f>
        <v>-9.1010901942793876E-2</v>
      </c>
      <c r="O63" s="261">
        <f>O83/O7</f>
        <v>2.9887877498036945E-3</v>
      </c>
      <c r="P63" s="261">
        <f>P83/P7</f>
        <v>8.0274569484326014E-2</v>
      </c>
      <c r="Q63" s="261">
        <f>Q83/Q7</f>
        <v>3.6121193082053832E-2</v>
      </c>
      <c r="S63" s="261">
        <f>S83/S7</f>
        <v>3.6121193082053825E-2</v>
      </c>
    </row>
    <row r="64" spans="2:19" s="22" customFormat="1" ht="13.5" customHeight="1">
      <c r="B64" s="55" t="s">
        <v>149</v>
      </c>
      <c r="C64" s="27">
        <f>-C87/C7</f>
        <v>0.60202896652528159</v>
      </c>
      <c r="D64" s="27">
        <f>-D87/D7</f>
        <v>1.0727178515751807</v>
      </c>
      <c r="E64" s="27">
        <f>-E87/E7</f>
        <v>0.7493857791067533</v>
      </c>
      <c r="F64" s="27">
        <f>-F87/F7</f>
        <v>0.17583339954781529</v>
      </c>
      <c r="G64" s="27">
        <f>-G87/G7</f>
        <v>0.17525466046485919</v>
      </c>
      <c r="I64" s="27">
        <f>-I87/I7</f>
        <v>0.18062903911606798</v>
      </c>
      <c r="J64" s="27">
        <f>-J87/J7</f>
        <v>9.7008647065593145E-2</v>
      </c>
      <c r="K64" s="27">
        <f>-K87/K7</f>
        <v>1.8599252201840657</v>
      </c>
      <c r="L64" s="27">
        <f>-L87/L7</f>
        <v>0.5024659946646266</v>
      </c>
      <c r="M64" s="27">
        <f>-M87/M7</f>
        <v>-7.7893422869273901E-3</v>
      </c>
      <c r="N64" s="27">
        <f>-N87/N7</f>
        <v>8.3957300856248085E-2</v>
      </c>
      <c r="O64" s="27">
        <f>-O87/O7</f>
        <v>6.9025332653001897E-2</v>
      </c>
      <c r="P64" s="27">
        <f>-P87/P7</f>
        <v>0.57163046626882275</v>
      </c>
      <c r="Q64" s="27">
        <f>-Q87/Q7</f>
        <v>-1.6049500451585041E-2</v>
      </c>
      <c r="S64" s="27">
        <f>-S87/S7</f>
        <v>-1.6049500451585038E-2</v>
      </c>
    </row>
    <row r="65" spans="2:19" s="28" customFormat="1" ht="13.5" customHeight="1">
      <c r="H65" s="22"/>
    </row>
    <row r="66" spans="2:19" ht="13.5" customHeight="1">
      <c r="B66" s="15" t="s">
        <v>150</v>
      </c>
      <c r="C66" s="29">
        <f>C3</f>
        <v>44926</v>
      </c>
      <c r="D66" s="29">
        <f>D3</f>
        <v>45291</v>
      </c>
      <c r="E66" s="29">
        <f>E3</f>
        <v>45657</v>
      </c>
      <c r="F66" s="29">
        <f>F3</f>
        <v>46022</v>
      </c>
      <c r="G66" s="29" t="str">
        <f>G2</f>
        <v>LTM</v>
      </c>
      <c r="H66" s="22"/>
      <c r="I66" s="29">
        <f>I3</f>
        <v>45382</v>
      </c>
      <c r="J66" s="29">
        <f>J3</f>
        <v>45473</v>
      </c>
      <c r="K66" s="29">
        <f>K3</f>
        <v>45565</v>
      </c>
      <c r="L66" s="29">
        <f>L3</f>
        <v>45657</v>
      </c>
      <c r="M66" s="29">
        <f>M3</f>
        <v>45747</v>
      </c>
      <c r="N66" s="29">
        <f>N3</f>
        <v>45838</v>
      </c>
      <c r="O66" s="29">
        <f>O3</f>
        <v>45930</v>
      </c>
      <c r="P66" s="29">
        <f>P3</f>
        <v>46022</v>
      </c>
      <c r="Q66" s="29">
        <f>Q3</f>
        <v>46112</v>
      </c>
      <c r="S66" s="29">
        <f>S3</f>
        <v>46112</v>
      </c>
    </row>
    <row r="67" spans="2:19" s="11" customFormat="1" ht="13.5" customHeight="1">
      <c r="B67" s="34" t="s">
        <v>151</v>
      </c>
      <c r="C67" s="24">
        <f>C18</f>
        <v>4823.4319999999998</v>
      </c>
      <c r="D67" s="24">
        <f>D18</f>
        <v>4802.7010000000009</v>
      </c>
      <c r="E67" s="24">
        <f>E18</f>
        <v>7153.1119999999983</v>
      </c>
      <c r="F67" s="24">
        <f>F18</f>
        <v>10843.257999999998</v>
      </c>
      <c r="G67" s="24">
        <f>G18</f>
        <v>10690.036150400001</v>
      </c>
      <c r="H67" s="22"/>
      <c r="I67" s="24">
        <f>I18</f>
        <v>1304.9580000000001</v>
      </c>
      <c r="J67" s="24">
        <f>J18</f>
        <v>1285.819</v>
      </c>
      <c r="K67" s="24">
        <f>K18</f>
        <v>1980.2569999999994</v>
      </c>
      <c r="L67" s="24">
        <f>L18</f>
        <v>2582.0779999999995</v>
      </c>
      <c r="M67" s="24">
        <f>M18</f>
        <v>2915.7370000000005</v>
      </c>
      <c r="N67" s="24">
        <f>N18</f>
        <v>2722.3920000000003</v>
      </c>
      <c r="O67" s="24">
        <f>O18</f>
        <v>2635.6449999999995</v>
      </c>
      <c r="P67" s="24">
        <f>P18</f>
        <v>2569.4839999999995</v>
      </c>
      <c r="Q67" s="24">
        <f>Q18</f>
        <v>2762.5151503999991</v>
      </c>
      <c r="S67" s="24">
        <f>S18</f>
        <v>157.26400000000001</v>
      </c>
    </row>
    <row r="68" spans="2:19" ht="13.5" customHeight="1">
      <c r="B68" s="19" t="s">
        <v>152</v>
      </c>
      <c r="C68" s="20">
        <v>0</v>
      </c>
      <c r="D68" s="20">
        <v>0</v>
      </c>
      <c r="E68" s="20">
        <v>0</v>
      </c>
      <c r="F68" s="20">
        <v>0</v>
      </c>
      <c r="G68" s="21">
        <f>SUM(N68:Q68)</f>
        <v>0</v>
      </c>
      <c r="H68" s="22"/>
      <c r="I68" s="91">
        <v>0</v>
      </c>
      <c r="J68" s="91">
        <v>0</v>
      </c>
      <c r="K68" s="91">
        <v>0</v>
      </c>
      <c r="L68" s="21">
        <f t="shared" ref="L68" si="47">E68-SUM(I68:K68)</f>
        <v>0</v>
      </c>
      <c r="M68" s="91">
        <v>0</v>
      </c>
      <c r="N68" s="91">
        <v>0</v>
      </c>
      <c r="O68" s="91">
        <v>0</v>
      </c>
      <c r="P68" s="21">
        <f>F68-SUM(M68:O68)</f>
        <v>0</v>
      </c>
      <c r="Q68" s="21">
        <f t="shared" ref="Q68" si="48">S68/$Q$239</f>
        <v>0</v>
      </c>
      <c r="S68" s="91">
        <v>0</v>
      </c>
    </row>
    <row r="69" spans="2:19" s="11" customFormat="1" ht="13.5" customHeight="1">
      <c r="B69" s="11" t="s">
        <v>150</v>
      </c>
      <c r="C69" s="24">
        <f t="shared" ref="C69" si="49">SUM(C67:C68)</f>
        <v>4823.4319999999998</v>
      </c>
      <c r="D69" s="24">
        <f t="shared" ref="D69:E69" si="50">SUM(D67:D68)</f>
        <v>4802.7010000000009</v>
      </c>
      <c r="E69" s="24">
        <f t="shared" si="50"/>
        <v>7153.1119999999983</v>
      </c>
      <c r="F69" s="24">
        <f t="shared" ref="F69" si="51">SUM(F67:F68)</f>
        <v>10843.257999999998</v>
      </c>
      <c r="G69" s="24">
        <f>SUM(G67:G68)</f>
        <v>10690.036150400001</v>
      </c>
      <c r="H69" s="110"/>
      <c r="I69" s="24">
        <f t="shared" ref="I69:K69" si="52">SUM(I67:I68)</f>
        <v>1304.9580000000001</v>
      </c>
      <c r="J69" s="24">
        <f t="shared" si="52"/>
        <v>1285.819</v>
      </c>
      <c r="K69" s="24">
        <f t="shared" si="52"/>
        <v>1980.2569999999994</v>
      </c>
      <c r="L69" s="24">
        <f t="shared" ref="L69:O69" si="53">SUM(L67:L68)</f>
        <v>2582.0779999999995</v>
      </c>
      <c r="M69" s="24">
        <f t="shared" si="53"/>
        <v>2915.7370000000005</v>
      </c>
      <c r="N69" s="24">
        <f t="shared" si="53"/>
        <v>2722.3920000000003</v>
      </c>
      <c r="O69" s="24">
        <f t="shared" si="53"/>
        <v>2635.6449999999995</v>
      </c>
      <c r="P69" s="24">
        <f t="shared" ref="P69:Q69" si="54">SUM(P67:P68)</f>
        <v>2569.4839999999995</v>
      </c>
      <c r="Q69" s="24">
        <f t="shared" si="54"/>
        <v>2762.5151503999991</v>
      </c>
      <c r="S69" s="24">
        <f t="shared" ref="S69" si="55">SUM(S67:S68)</f>
        <v>157.26400000000001</v>
      </c>
    </row>
    <row r="70" spans="2:19" s="22" customFormat="1" ht="13.5" customHeight="1">
      <c r="B70" s="25" t="s">
        <v>153</v>
      </c>
      <c r="C70" s="30"/>
      <c r="D70" s="30">
        <f>+D69/C69-1</f>
        <v>-4.297977042072687E-3</v>
      </c>
      <c r="E70" s="30">
        <f>+E69/D69-1</f>
        <v>0.4893935724918117</v>
      </c>
      <c r="F70" s="30">
        <f>+F69/E69-1</f>
        <v>0.51587980168631509</v>
      </c>
      <c r="G70" s="30"/>
      <c r="I70" s="30"/>
      <c r="J70" s="30"/>
      <c r="K70" s="30"/>
      <c r="L70" s="30"/>
      <c r="M70" s="30">
        <f t="shared" ref="M70" si="56">M69/I69-1</f>
        <v>1.2343531362695201</v>
      </c>
      <c r="N70" s="30">
        <f t="shared" ref="N70" si="57">N69/J69-1</f>
        <v>1.1172435622743171</v>
      </c>
      <c r="O70" s="30">
        <f t="shared" ref="O70:P70" si="58">O69/K69-1</f>
        <v>0.3309610823241631</v>
      </c>
      <c r="P70" s="30">
        <f t="shared" si="58"/>
        <v>-4.8774669084358235E-3</v>
      </c>
      <c r="Q70" s="30">
        <f>Q69/M69-1</f>
        <v>-5.2549955500102108E-2</v>
      </c>
      <c r="R70" s="18"/>
      <c r="S70" s="30"/>
    </row>
    <row r="71" spans="2:19" s="22" customFormat="1" ht="13.5" customHeight="1">
      <c r="B71" s="25" t="s">
        <v>141</v>
      </c>
      <c r="C71" s="30">
        <f>+C69/C7</f>
        <v>0.87018139392991434</v>
      </c>
      <c r="D71" s="30">
        <f>+D69/D7</f>
        <v>0.85665532236717712</v>
      </c>
      <c r="E71" s="30">
        <f>+E69/E7</f>
        <v>0.84830638454111817</v>
      </c>
      <c r="F71" s="30">
        <f>+F69/F7</f>
        <v>0.87027964984176731</v>
      </c>
      <c r="G71" s="30">
        <f>+G69/G7</f>
        <v>0.86505786989650346</v>
      </c>
      <c r="I71" s="30">
        <f>+I69/I7</f>
        <v>0.86292877533571</v>
      </c>
      <c r="J71" s="30">
        <f>+J69/J7</f>
        <v>0.85043301467368804</v>
      </c>
      <c r="K71" s="30">
        <f>+K69/K7</f>
        <v>0.8448382813953208</v>
      </c>
      <c r="L71" s="30">
        <f>+L69/L7</f>
        <v>0.84269329958310457</v>
      </c>
      <c r="M71" s="30">
        <f>+M69/M7</f>
        <v>0.90179366732812427</v>
      </c>
      <c r="N71" s="30">
        <f>+N69/N7</f>
        <v>0.86370112756729278</v>
      </c>
      <c r="O71" s="30">
        <f>+O69/O7</f>
        <v>0.87100657771244705</v>
      </c>
      <c r="P71" s="30">
        <f>+P69/P7</f>
        <v>0.84293382821626606</v>
      </c>
      <c r="Q71" s="30">
        <f>+Q69/Q7</f>
        <v>0.88221203740582632</v>
      </c>
      <c r="R71" s="18"/>
      <c r="S71" s="30">
        <f>+S69/S7</f>
        <v>0.88221203740582632</v>
      </c>
    </row>
    <row r="72" spans="2:19" s="22" customFormat="1" ht="13.5" customHeight="1">
      <c r="E72" s="114"/>
      <c r="F72" s="114"/>
      <c r="R72" s="18"/>
    </row>
    <row r="73" spans="2:19" ht="13.5" customHeight="1">
      <c r="B73" s="106" t="s">
        <v>154</v>
      </c>
      <c r="C73" s="106">
        <f t="shared" ref="C73:G73" si="59">C74-C69</f>
        <v>-673.3090000000002</v>
      </c>
      <c r="D73" s="106">
        <f t="shared" si="59"/>
        <v>-365.73600000000079</v>
      </c>
      <c r="E73" s="106">
        <f t="shared" si="59"/>
        <v>-968.96999999999844</v>
      </c>
      <c r="F73" s="106">
        <f t="shared" ref="F73" si="60">F74-F69</f>
        <v>-1539.8029999999981</v>
      </c>
      <c r="G73" s="106">
        <f t="shared" si="59"/>
        <v>-1597.5803391000009</v>
      </c>
      <c r="H73" s="22"/>
      <c r="I73" s="106">
        <f t="shared" ref="I73:K73" si="61">I74-I69</f>
        <v>-195.76300000000015</v>
      </c>
      <c r="J73" s="106">
        <f t="shared" si="61"/>
        <v>-195.28399999999988</v>
      </c>
      <c r="K73" s="106">
        <f t="shared" si="61"/>
        <v>-25.548999999999296</v>
      </c>
      <c r="L73" s="106">
        <f t="shared" ref="L73:O73" si="62">L74-L69</f>
        <v>-552.3739999999998</v>
      </c>
      <c r="M73" s="106">
        <f t="shared" si="62"/>
        <v>-362.59700000000066</v>
      </c>
      <c r="N73" s="106">
        <f t="shared" si="62"/>
        <v>-329.18700000000035</v>
      </c>
      <c r="O73" s="106">
        <f t="shared" si="62"/>
        <v>-454.53899999999931</v>
      </c>
      <c r="P73" s="106">
        <f t="shared" ref="P73:Q73" si="63">P74-P69</f>
        <v>-393.47999999999865</v>
      </c>
      <c r="Q73" s="106">
        <f t="shared" si="63"/>
        <v>-420.37433909999936</v>
      </c>
      <c r="S73" s="106">
        <f t="shared" ref="S73" si="64">S74-S69</f>
        <v>-23.931000000000012</v>
      </c>
    </row>
    <row r="74" spans="2:19" s="11" customFormat="1" ht="13.5" customHeight="1">
      <c r="B74" s="11" t="s">
        <v>155</v>
      </c>
      <c r="C74" s="32">
        <v>4150.1229999999996</v>
      </c>
      <c r="D74" s="32">
        <v>4436.9650000000001</v>
      </c>
      <c r="E74" s="32">
        <v>6184.1419999999998</v>
      </c>
      <c r="F74" s="32">
        <v>9303.4549999999999</v>
      </c>
      <c r="G74" s="24">
        <f>SUM(N74:Q74)</f>
        <v>9092.4558113000003</v>
      </c>
      <c r="H74" s="22"/>
      <c r="I74" s="77">
        <v>1109.1949999999999</v>
      </c>
      <c r="J74" s="77">
        <v>1090.5350000000001</v>
      </c>
      <c r="K74" s="77">
        <v>1954.7080000000001</v>
      </c>
      <c r="L74" s="24">
        <f t="shared" ref="L74" si="65">E74-SUM(I74:K74)</f>
        <v>2029.7039999999997</v>
      </c>
      <c r="M74" s="77">
        <v>2553.14</v>
      </c>
      <c r="N74" s="77">
        <v>2393.2049999999999</v>
      </c>
      <c r="O74" s="77">
        <v>2181.1060000000002</v>
      </c>
      <c r="P74" s="24">
        <f>F74-SUM(M74:O74)</f>
        <v>2176.0040000000008</v>
      </c>
      <c r="Q74" s="24">
        <f t="shared" ref="Q74" si="66">S74/$Q$239</f>
        <v>2342.1408112999998</v>
      </c>
      <c r="S74" s="77">
        <v>133.333</v>
      </c>
    </row>
    <row r="75" spans="2:19" s="22" customFormat="1" ht="13.5" customHeight="1">
      <c r="B75" s="25" t="s">
        <v>153</v>
      </c>
      <c r="C75" s="30"/>
      <c r="D75" s="30">
        <f>+D74/C74-1</f>
        <v>6.9116505703566089E-2</v>
      </c>
      <c r="E75" s="30">
        <f>+E74/D74-1</f>
        <v>0.39377750331589256</v>
      </c>
      <c r="F75" s="30">
        <f>+F74/E74-1</f>
        <v>0.50440513817438215</v>
      </c>
      <c r="G75" s="30"/>
      <c r="I75" s="30"/>
      <c r="J75" s="30"/>
      <c r="K75" s="30"/>
      <c r="L75" s="30"/>
      <c r="M75" s="30">
        <f t="shared" ref="M75" si="67">M74/I74-1</f>
        <v>1.3017954462470529</v>
      </c>
      <c r="N75" s="30">
        <f t="shared" ref="N75" si="68">N74/J74-1</f>
        <v>1.1945237887825697</v>
      </c>
      <c r="O75" s="30">
        <f t="shared" ref="O75:P75" si="69">O74/K74-1</f>
        <v>0.11582190281105942</v>
      </c>
      <c r="P75" s="30">
        <f t="shared" si="69"/>
        <v>7.2079475627973899E-2</v>
      </c>
      <c r="Q75" s="30">
        <f>Q74/M74-1</f>
        <v>-8.2643015541646769E-2</v>
      </c>
      <c r="R75" s="18"/>
      <c r="S75" s="30"/>
    </row>
    <row r="76" spans="2:19" s="22" customFormat="1" ht="13.5" customHeight="1">
      <c r="B76" s="25" t="s">
        <v>141</v>
      </c>
      <c r="C76" s="30">
        <f>+C74/C7</f>
        <v>0.74871166777526821</v>
      </c>
      <c r="D76" s="30">
        <f>+D74/D7</f>
        <v>0.79141917900091674</v>
      </c>
      <c r="E76" s="30">
        <f>+E74/E7</f>
        <v>0.73339368117105963</v>
      </c>
      <c r="F76" s="30">
        <f>+F74/F7</f>
        <v>0.74669509475091711</v>
      </c>
      <c r="G76" s="30">
        <f>+G74/G7</f>
        <v>0.73577865833100575</v>
      </c>
      <c r="I76" s="30">
        <f>+I74/I7</f>
        <v>0.73347669653620484</v>
      </c>
      <c r="J76" s="30">
        <f>+J74/J7</f>
        <v>0.72127334224892503</v>
      </c>
      <c r="K76" s="30">
        <f>+K74/K7</f>
        <v>0.83393829555945787</v>
      </c>
      <c r="L76" s="30">
        <f>+L74/L7</f>
        <v>0.66241916818044455</v>
      </c>
      <c r="M76" s="30">
        <f>+M74/M7</f>
        <v>0.7896478604902043</v>
      </c>
      <c r="N76" s="30">
        <f>+N74/N7</f>
        <v>0.75926385950284991</v>
      </c>
      <c r="O76" s="30">
        <f>+O74/O7</f>
        <v>0.72079421647759279</v>
      </c>
      <c r="P76" s="30">
        <f>+P74/P7</f>
        <v>0.71385047812475533</v>
      </c>
      <c r="Q76" s="30">
        <f>+Q74/Q7</f>
        <v>0.7479650624645886</v>
      </c>
      <c r="R76" s="18"/>
      <c r="S76" s="30">
        <f>+S74/S7</f>
        <v>0.74796506246458849</v>
      </c>
    </row>
    <row r="77" spans="2:19" s="22" customFormat="1" ht="13.5" customHeight="1">
      <c r="B77" s="262"/>
      <c r="C77" s="31"/>
      <c r="D77" s="31"/>
      <c r="E77" s="31"/>
      <c r="F77" s="31"/>
      <c r="G77" s="31"/>
      <c r="I77" s="31"/>
      <c r="J77" s="31"/>
      <c r="K77" s="31"/>
      <c r="L77" s="31"/>
      <c r="M77" s="31"/>
      <c r="N77" s="31"/>
      <c r="O77" s="31"/>
      <c r="P77" s="31"/>
      <c r="Q77" s="31"/>
      <c r="R77" s="18"/>
      <c r="S77" s="31"/>
    </row>
    <row r="78" spans="2:19" s="22" customFormat="1" ht="13.5" customHeight="1">
      <c r="B78" s="25" t="s">
        <v>156</v>
      </c>
      <c r="C78" s="30">
        <f>-C87/C7</f>
        <v>0.60202896652528159</v>
      </c>
      <c r="D78" s="30">
        <f>-D87/D7</f>
        <v>1.0727178515751807</v>
      </c>
      <c r="E78" s="30">
        <f>-E87/E7</f>
        <v>0.7493857791067533</v>
      </c>
      <c r="F78" s="30">
        <f>-F87/F7</f>
        <v>0.17583339954781529</v>
      </c>
      <c r="G78" s="30">
        <f>-G87/G7</f>
        <v>0.17525466046485919</v>
      </c>
      <c r="I78" s="30">
        <f>-I87/I7</f>
        <v>0.18062903911606798</v>
      </c>
      <c r="J78" s="30">
        <f>-J87/J7</f>
        <v>9.7008647065593145E-2</v>
      </c>
      <c r="K78" s="30">
        <f>-K87/K7</f>
        <v>1.8599252201840657</v>
      </c>
      <c r="L78" s="30">
        <f>-L87/L7</f>
        <v>0.5024659946646266</v>
      </c>
      <c r="M78" s="30">
        <f>-M87/M7</f>
        <v>-7.7893422869273901E-3</v>
      </c>
      <c r="N78" s="30">
        <f>-N87/N7</f>
        <v>8.3957300856248085E-2</v>
      </c>
      <c r="O78" s="30">
        <f>-O87/O7</f>
        <v>6.9025332653001897E-2</v>
      </c>
      <c r="P78" s="30">
        <f>-P87/P7</f>
        <v>0.57163046626882275</v>
      </c>
      <c r="Q78" s="30">
        <f>-Q87/Q7</f>
        <v>-1.6049500451585041E-2</v>
      </c>
      <c r="S78" s="30">
        <f>-S87/S7</f>
        <v>-1.6049500451585038E-2</v>
      </c>
    </row>
    <row r="79" spans="2:19" s="22" customFormat="1" ht="13.5" customHeight="1">
      <c r="B79" s="25" t="s">
        <v>157</v>
      </c>
      <c r="C79" s="30">
        <f>C83/C7</f>
        <v>6.9947441998665346E-3</v>
      </c>
      <c r="D79" s="30">
        <f>D83/D7</f>
        <v>-6.0847718832607353E-2</v>
      </c>
      <c r="E79" s="30">
        <f>E83/E7</f>
        <v>5.7391125737008747E-2</v>
      </c>
      <c r="F79" s="30">
        <f>F83/F7</f>
        <v>-7.1396066137432357E-3</v>
      </c>
      <c r="G79" s="30">
        <f>G83/G7</f>
        <v>6.4723846229150402E-3</v>
      </c>
      <c r="I79" s="30">
        <f>I83/I7</f>
        <v>-3.1091563988062766E-2</v>
      </c>
      <c r="J79" s="30">
        <f>J83/J7</f>
        <v>0.61878702979844691</v>
      </c>
      <c r="K79" s="30">
        <f>K83/K7</f>
        <v>-0.29430815018080614</v>
      </c>
      <c r="L79" s="30">
        <f>L83/L7</f>
        <v>9.3083792253330438E-2</v>
      </c>
      <c r="M79" s="30">
        <f>M83/M7</f>
        <v>-1.7267689863865135E-2</v>
      </c>
      <c r="N79" s="30">
        <f>N83/N7</f>
        <v>-9.1010901942793876E-2</v>
      </c>
      <c r="O79" s="30">
        <f>O83/O7</f>
        <v>2.9887877498036945E-3</v>
      </c>
      <c r="P79" s="30">
        <f>P83/P7</f>
        <v>8.0274569484326014E-2</v>
      </c>
      <c r="Q79" s="30">
        <f>Q83/Q7</f>
        <v>3.6121193082053832E-2</v>
      </c>
      <c r="S79" s="30">
        <f>S83/S7</f>
        <v>3.6121193082053825E-2</v>
      </c>
    </row>
    <row r="80" spans="2:19" ht="13.5" customHeight="1"/>
    <row r="81" spans="2:19" ht="13.5" customHeight="1">
      <c r="B81" s="15" t="s">
        <v>158</v>
      </c>
      <c r="C81" s="29">
        <f>C3</f>
        <v>44926</v>
      </c>
      <c r="D81" s="29">
        <f>D3</f>
        <v>45291</v>
      </c>
      <c r="E81" s="29">
        <f>E3</f>
        <v>45657</v>
      </c>
      <c r="F81" s="29">
        <f>F3</f>
        <v>46022</v>
      </c>
      <c r="G81" s="29" t="str">
        <f>G2</f>
        <v>LTM</v>
      </c>
      <c r="I81" s="29">
        <f>I3</f>
        <v>45382</v>
      </c>
      <c r="J81" s="29">
        <f>J3</f>
        <v>45473</v>
      </c>
      <c r="K81" s="29">
        <f>K3</f>
        <v>45565</v>
      </c>
      <c r="L81" s="29">
        <f>L3</f>
        <v>45657</v>
      </c>
      <c r="M81" s="29">
        <f>M3</f>
        <v>45747</v>
      </c>
      <c r="N81" s="29">
        <f>N3</f>
        <v>45838</v>
      </c>
      <c r="O81" s="29">
        <f>O3</f>
        <v>45930</v>
      </c>
      <c r="P81" s="29">
        <f>P3</f>
        <v>46022</v>
      </c>
      <c r="Q81" s="29">
        <f>Q3</f>
        <v>46112</v>
      </c>
      <c r="R81" s="258"/>
      <c r="S81" s="29">
        <f>S3</f>
        <v>46112</v>
      </c>
    </row>
    <row r="82" spans="2:19" s="11" customFormat="1" ht="13.5" customHeight="1">
      <c r="B82" s="11" t="s">
        <v>155</v>
      </c>
      <c r="C82" s="24">
        <f t="shared" ref="C82" si="70">C74</f>
        <v>4150.1229999999996</v>
      </c>
      <c r="D82" s="24">
        <f t="shared" ref="D82:E82" si="71">D74</f>
        <v>4436.9650000000001</v>
      </c>
      <c r="E82" s="24">
        <f t="shared" si="71"/>
        <v>6184.1419999999998</v>
      </c>
      <c r="F82" s="24">
        <f t="shared" ref="F82" si="72">F74</f>
        <v>9303.4549999999999</v>
      </c>
      <c r="G82" s="24">
        <f>G74</f>
        <v>9092.4558113000003</v>
      </c>
      <c r="H82" s="92"/>
      <c r="I82" s="24">
        <f t="shared" ref="I82:L82" si="73">I74</f>
        <v>1109.1949999999999</v>
      </c>
      <c r="J82" s="24">
        <f t="shared" si="73"/>
        <v>1090.5350000000001</v>
      </c>
      <c r="K82" s="24">
        <f t="shared" si="73"/>
        <v>1954.7080000000001</v>
      </c>
      <c r="L82" s="24">
        <f t="shared" si="73"/>
        <v>2029.7039999999997</v>
      </c>
      <c r="M82" s="24">
        <f t="shared" ref="M82:P82" si="74">M74</f>
        <v>2553.14</v>
      </c>
      <c r="N82" s="24">
        <f t="shared" si="74"/>
        <v>2393.2049999999999</v>
      </c>
      <c r="O82" s="24">
        <f t="shared" si="74"/>
        <v>2181.1060000000002</v>
      </c>
      <c r="P82" s="24">
        <f t="shared" si="74"/>
        <v>2176.0040000000008</v>
      </c>
      <c r="Q82" s="24">
        <f t="shared" ref="Q82" si="75">Q74</f>
        <v>2342.1408112999998</v>
      </c>
      <c r="R82" s="89"/>
      <c r="S82" s="24">
        <f t="shared" ref="S82" si="76">S74</f>
        <v>133.333</v>
      </c>
    </row>
    <row r="83" spans="2:19" ht="13.5" customHeight="1">
      <c r="B83" s="19" t="s">
        <v>159</v>
      </c>
      <c r="C83" s="20">
        <f>(-16119+47552+4047+10165-103603+49469+37987+9274)/1000</f>
        <v>38.771999999999998</v>
      </c>
      <c r="D83" s="20">
        <f>(-29547-384868-1301+13261+88623-37352+25661-15610)/1000</f>
        <v>-341.13299999999998</v>
      </c>
      <c r="E83" s="20">
        <f>(-378523-282099-20408-20326+650874-1538+521249+14706)/1000</f>
        <v>483.935</v>
      </c>
      <c r="F83" s="20">
        <f>-246.079+306.562-35.403+6.714-202.219+18.473+73.804-10.808</f>
        <v>-88.955999999999989</v>
      </c>
      <c r="G83" s="21">
        <f>SUM(N83:Q83)</f>
        <v>79.983117899999954</v>
      </c>
      <c r="H83" s="92"/>
      <c r="I83" s="20">
        <f>(-30907+80938-88694+2602+3169-1584+20447-32989)/1000</f>
        <v>-47.018000000000001</v>
      </c>
      <c r="J83" s="20">
        <f>32.877+161.72-107.029+3.051-35.946+863.788+3.878-33.777-I83</f>
        <v>935.58</v>
      </c>
      <c r="K83" s="20">
        <f>-270.68-391.171-125.512-63.69+563.616-2.616+503.387-14.615-I83-J83</f>
        <v>-689.84300000000019</v>
      </c>
      <c r="L83" s="21">
        <f>E83-SUM(I83:K83)</f>
        <v>285.21600000000018</v>
      </c>
      <c r="M83" s="20">
        <f>-90.574+180.522-276.975+21.584+22.808+113.018+2.897-29.111</f>
        <v>-55.831000000000046</v>
      </c>
      <c r="N83" s="20">
        <f>-47.328+205.409-245.706+17.454-285.212+6.691+28.97-22.976-M83</f>
        <v>-286.86699999999996</v>
      </c>
      <c r="O83" s="20">
        <f>-46.079+199.986-239.22+16.993-277.683+6.514+28.205-22.37-M83-N83</f>
        <v>9.0439999999999827</v>
      </c>
      <c r="P83" s="21">
        <f>F83-SUM(M83:O83)</f>
        <v>244.69800000000001</v>
      </c>
      <c r="Q83" s="21">
        <f t="shared" ref="Q83:Q100" si="77">S83/$Q$239</f>
        <v>113.10811789999993</v>
      </c>
      <c r="S83" s="20">
        <f>10.168+17.894-14.336-3.39-5.999+0.011+2.969-0.878</f>
        <v>6.4389999999999965</v>
      </c>
    </row>
    <row r="84" spans="2:19" ht="13.5" customHeight="1">
      <c r="B84" s="19" t="s">
        <v>160</v>
      </c>
      <c r="C84" s="20">
        <v>0</v>
      </c>
      <c r="D84" s="20">
        <v>0</v>
      </c>
      <c r="E84" s="20">
        <v>0</v>
      </c>
      <c r="F84" s="20">
        <v>0</v>
      </c>
      <c r="G84" s="21">
        <f t="shared" ref="G84:G85" si="78">SUM(N84:Q84)</f>
        <v>0</v>
      </c>
      <c r="H84" s="79"/>
      <c r="I84" s="20">
        <v>0</v>
      </c>
      <c r="J84" s="20">
        <f t="shared" ref="J84" si="79">0-I84</f>
        <v>0</v>
      </c>
      <c r="K84" s="20">
        <f>0-I84-J84</f>
        <v>0</v>
      </c>
      <c r="L84" s="21">
        <f t="shared" ref="L84:L85" si="80">E84-SUM(I84:K84)</f>
        <v>0</v>
      </c>
      <c r="M84" s="20">
        <v>0</v>
      </c>
      <c r="N84" s="20">
        <f t="shared" ref="N84" si="81">0-M84</f>
        <v>0</v>
      </c>
      <c r="O84" s="20">
        <f t="shared" ref="O84" si="82">0-M84-N84</f>
        <v>0</v>
      </c>
      <c r="P84" s="21">
        <f t="shared" ref="P84:P85" si="83">F84-SUM(M84:O84)</f>
        <v>0</v>
      </c>
      <c r="Q84" s="21">
        <f t="shared" si="77"/>
        <v>0</v>
      </c>
      <c r="R84" s="21"/>
      <c r="S84" s="20">
        <v>0</v>
      </c>
    </row>
    <row r="85" spans="2:19" ht="13.5" customHeight="1">
      <c r="B85" s="19" t="s">
        <v>161</v>
      </c>
      <c r="C85" s="20">
        <v>-854.07600000000002</v>
      </c>
      <c r="D85" s="20">
        <v>-658.72500000000002</v>
      </c>
      <c r="E85" s="20">
        <v>-909.06700000000001</v>
      </c>
      <c r="F85" s="20">
        <v>-2136.5540000000001</v>
      </c>
      <c r="G85" s="21">
        <f t="shared" si="78"/>
        <v>-2034.1521674999999</v>
      </c>
      <c r="H85" s="79"/>
      <c r="I85" s="20">
        <v>-129.50299999999999</v>
      </c>
      <c r="J85" s="20">
        <f>-320.198-I85</f>
        <v>-190.69499999999999</v>
      </c>
      <c r="K85" s="20">
        <f>-491.665-I85-J85</f>
        <v>-171.46700000000004</v>
      </c>
      <c r="L85" s="21">
        <f t="shared" si="80"/>
        <v>-417.40199999999999</v>
      </c>
      <c r="M85" s="20">
        <v>-650.02499999999998</v>
      </c>
      <c r="N85" s="20">
        <f>-1120.752-M85</f>
        <v>-470.72699999999998</v>
      </c>
      <c r="O85" s="20">
        <f>-1696.646-M85-N85</f>
        <v>-575.89400000000012</v>
      </c>
      <c r="P85" s="21">
        <f t="shared" si="83"/>
        <v>-439.9079999999999</v>
      </c>
      <c r="Q85" s="21">
        <f t="shared" si="77"/>
        <v>-547.62316749999991</v>
      </c>
      <c r="S85" s="20">
        <v>-31.175000000000001</v>
      </c>
    </row>
    <row r="86" spans="2:19" s="11" customFormat="1" ht="13.5" customHeight="1">
      <c r="B86" s="11" t="s">
        <v>162</v>
      </c>
      <c r="C86" s="33">
        <f t="shared" ref="C86:D86" si="84">SUM(C82:C85)</f>
        <v>3334.8189999999995</v>
      </c>
      <c r="D86" s="33">
        <f t="shared" si="84"/>
        <v>3437.1070000000004</v>
      </c>
      <c r="E86" s="33">
        <f t="shared" ref="E86:F86" si="85">SUM(E82:E85)</f>
        <v>5759.01</v>
      </c>
      <c r="F86" s="33">
        <f t="shared" si="85"/>
        <v>7077.9449999999997</v>
      </c>
      <c r="G86" s="24">
        <f>SUM(G82:G85)</f>
        <v>7138.2867616999993</v>
      </c>
      <c r="H86" s="79"/>
      <c r="I86" s="33">
        <f t="shared" ref="I86:K86" si="86">SUM(I82:I85)</f>
        <v>932.67399999999998</v>
      </c>
      <c r="J86" s="33">
        <f t="shared" si="86"/>
        <v>1835.4200000000003</v>
      </c>
      <c r="K86" s="33">
        <f t="shared" si="86"/>
        <v>1093.3979999999997</v>
      </c>
      <c r="L86" s="33">
        <f t="shared" ref="L86:O86" si="87">SUM(L82:L85)</f>
        <v>1897.518</v>
      </c>
      <c r="M86" s="33">
        <f t="shared" si="87"/>
        <v>1847.2839999999997</v>
      </c>
      <c r="N86" s="33">
        <f t="shared" si="87"/>
        <v>1635.6109999999999</v>
      </c>
      <c r="O86" s="33">
        <f t="shared" si="87"/>
        <v>1614.2559999999999</v>
      </c>
      <c r="P86" s="33">
        <f t="shared" ref="P86:Q86" si="88">SUM(P82:P85)</f>
        <v>1980.7940000000008</v>
      </c>
      <c r="Q86" s="33">
        <f t="shared" si="88"/>
        <v>1907.6257616999997</v>
      </c>
      <c r="S86" s="33">
        <f t="shared" ref="S86" si="89">SUM(S82:S85)</f>
        <v>108.59699999999999</v>
      </c>
    </row>
    <row r="87" spans="2:19" ht="13.5" customHeight="1">
      <c r="B87" s="19" t="s">
        <v>163</v>
      </c>
      <c r="C87" s="20">
        <f>(-2683146-653912)/1000</f>
        <v>-3337.058</v>
      </c>
      <c r="D87" s="20">
        <f>(-5868486+478856-624391)/1000</f>
        <v>-6014.0209999999997</v>
      </c>
      <c r="E87" s="20">
        <f>(-5454474-864517)/1000</f>
        <v>-6318.991</v>
      </c>
      <c r="F87" s="20">
        <f>-1221.933-1144.108+175.243</f>
        <v>-2190.7980000000002</v>
      </c>
      <c r="G87" s="21">
        <f t="shared" ref="G87:G89" si="90">SUM(N87:Q87)</f>
        <v>-2165.7263879000002</v>
      </c>
      <c r="H87" s="79"/>
      <c r="I87" s="20">
        <f>(-171629-101526)/1000</f>
        <v>-273.15499999999997</v>
      </c>
      <c r="J87" s="20">
        <f>-318.302-101.526-I87</f>
        <v>-146.67300000000006</v>
      </c>
      <c r="K87" s="20">
        <f>-4208.357-571.039-I87-J87</f>
        <v>-4359.5680000000002</v>
      </c>
      <c r="L87" s="21">
        <f t="shared" ref="L87:L89" si="91">E87-SUM(I87:K87)</f>
        <v>-1539.5949999999993</v>
      </c>
      <c r="M87" s="20">
        <f>-150.058+175.243</f>
        <v>25.185000000000002</v>
      </c>
      <c r="N87" s="20">
        <f>-414.692+175.243-M87</f>
        <v>-264.63400000000001</v>
      </c>
      <c r="O87" s="20">
        <f>175.243-623.561-M87-N87</f>
        <v>-208.86900000000003</v>
      </c>
      <c r="P87" s="21">
        <f t="shared" ref="P87:P89" si="92">F87-SUM(M87:O87)</f>
        <v>-1742.4800000000002</v>
      </c>
      <c r="Q87" s="21">
        <f t="shared" si="77"/>
        <v>50.256612100000005</v>
      </c>
      <c r="S87" s="20">
        <f>19.64-16.779</f>
        <v>2.8610000000000007</v>
      </c>
    </row>
    <row r="88" spans="2:19" ht="13.5" customHeight="1">
      <c r="B88" s="19" t="s">
        <v>164</v>
      </c>
      <c r="C88" s="20">
        <v>0</v>
      </c>
      <c r="D88" s="20">
        <v>0</v>
      </c>
      <c r="E88" s="20">
        <v>0</v>
      </c>
      <c r="F88" s="20">
        <v>0</v>
      </c>
      <c r="G88" s="21">
        <f t="shared" si="90"/>
        <v>0</v>
      </c>
      <c r="H88" s="79"/>
      <c r="I88" s="20">
        <v>0</v>
      </c>
      <c r="J88" s="20">
        <f t="shared" ref="J88:J89" si="93">0-I88</f>
        <v>0</v>
      </c>
      <c r="K88" s="20">
        <f t="shared" ref="K88" si="94">0-I88-J88</f>
        <v>0</v>
      </c>
      <c r="L88" s="21">
        <f t="shared" si="91"/>
        <v>0</v>
      </c>
      <c r="M88" s="20">
        <v>0</v>
      </c>
      <c r="N88" s="20">
        <f t="shared" ref="N88" si="95">0-M88</f>
        <v>0</v>
      </c>
      <c r="O88" s="20">
        <f t="shared" ref="O88:O89" si="96">0-M88-N88</f>
        <v>0</v>
      </c>
      <c r="P88" s="21">
        <f t="shared" si="92"/>
        <v>0</v>
      </c>
      <c r="Q88" s="21">
        <f t="shared" si="77"/>
        <v>0</v>
      </c>
      <c r="S88" s="20">
        <v>0</v>
      </c>
    </row>
    <row r="89" spans="2:19" ht="13.5" customHeight="1">
      <c r="B89" s="19" t="s">
        <v>165</v>
      </c>
      <c r="C89" s="20">
        <v>0</v>
      </c>
      <c r="D89" s="20">
        <v>0</v>
      </c>
      <c r="E89" s="20">
        <f>(-11279567)/1000</f>
        <v>-11279.566999999999</v>
      </c>
      <c r="F89" s="20">
        <v>0</v>
      </c>
      <c r="G89" s="21">
        <f t="shared" si="90"/>
        <v>29.536999999999999</v>
      </c>
      <c r="H89" s="79"/>
      <c r="I89" s="20">
        <v>0</v>
      </c>
      <c r="J89" s="20">
        <f t="shared" si="93"/>
        <v>0</v>
      </c>
      <c r="K89" s="20">
        <f>-11782.14-I89-J89</f>
        <v>-11782.14</v>
      </c>
      <c r="L89" s="21">
        <f t="shared" si="91"/>
        <v>502.57300000000032</v>
      </c>
      <c r="M89" s="20">
        <v>-29.536999999999999</v>
      </c>
      <c r="N89" s="20">
        <f>-36.594-M89</f>
        <v>-7.0570000000000022</v>
      </c>
      <c r="O89" s="20">
        <f t="shared" si="96"/>
        <v>36.594000000000001</v>
      </c>
      <c r="P89" s="21">
        <f t="shared" si="92"/>
        <v>0</v>
      </c>
      <c r="Q89" s="21">
        <f t="shared" si="77"/>
        <v>0</v>
      </c>
      <c r="S89" s="20">
        <v>0</v>
      </c>
    </row>
    <row r="90" spans="2:19" s="11" customFormat="1" ht="13.5" customHeight="1">
      <c r="B90" s="34" t="s">
        <v>166</v>
      </c>
      <c r="C90" s="24">
        <f t="shared" ref="C90" si="97">SUM(C86:C89)</f>
        <v>-2.2390000000004875</v>
      </c>
      <c r="D90" s="24">
        <f t="shared" ref="D90:E90" si="98">SUM(D86:D89)</f>
        <v>-2576.9139999999993</v>
      </c>
      <c r="E90" s="24">
        <f t="shared" si="98"/>
        <v>-11839.547999999999</v>
      </c>
      <c r="F90" s="24">
        <f t="shared" ref="F90" si="99">SUM(F86:F89)</f>
        <v>4887.146999999999</v>
      </c>
      <c r="G90" s="24">
        <f>SUM(G86:G89)</f>
        <v>5002.0973737999993</v>
      </c>
      <c r="H90" s="79"/>
      <c r="I90" s="24">
        <f t="shared" ref="I90:K90" si="100">SUM(I86:I89)</f>
        <v>659.51900000000001</v>
      </c>
      <c r="J90" s="24">
        <f t="shared" si="100"/>
        <v>1688.7470000000003</v>
      </c>
      <c r="K90" s="24">
        <f t="shared" si="100"/>
        <v>-15048.31</v>
      </c>
      <c r="L90" s="24">
        <f t="shared" ref="L90:O90" si="101">SUM(L86:L89)</f>
        <v>860.496000000001</v>
      </c>
      <c r="M90" s="24">
        <f t="shared" si="101"/>
        <v>1842.9319999999996</v>
      </c>
      <c r="N90" s="24">
        <f t="shared" si="101"/>
        <v>1363.9199999999998</v>
      </c>
      <c r="O90" s="24">
        <f t="shared" si="101"/>
        <v>1441.9809999999998</v>
      </c>
      <c r="P90" s="24">
        <f t="shared" ref="P90:Q90" si="102">SUM(P86:P89)</f>
        <v>238.31400000000053</v>
      </c>
      <c r="Q90" s="24">
        <f t="shared" si="102"/>
        <v>1957.8823737999996</v>
      </c>
      <c r="S90" s="24">
        <f t="shared" ref="S90" si="103">SUM(S86:S89)</f>
        <v>111.458</v>
      </c>
    </row>
    <row r="91" spans="2:19" s="11" customFormat="1" ht="13.5" customHeight="1">
      <c r="B91" s="19" t="s">
        <v>167</v>
      </c>
      <c r="C91" s="20">
        <v>14.193</v>
      </c>
      <c r="D91" s="20">
        <v>286.291</v>
      </c>
      <c r="E91" s="20">
        <f>(338830+5337-200472)/1000</f>
        <v>143.69499999999999</v>
      </c>
      <c r="F91" s="20">
        <f>2.889+61.885+350.543-231.657</f>
        <v>183.66</v>
      </c>
      <c r="G91" s="21">
        <f t="shared" ref="G91:G95" si="104">SUM(N91:Q91)</f>
        <v>314.67275489999997</v>
      </c>
      <c r="H91" s="79"/>
      <c r="I91" s="20">
        <v>73.501999999999995</v>
      </c>
      <c r="J91" s="20">
        <f>238.402-I91</f>
        <v>164.89999999999998</v>
      </c>
      <c r="K91" s="20">
        <f>316.802-212.923-I91-J91</f>
        <v>-134.52299999999997</v>
      </c>
      <c r="L91" s="21">
        <f t="shared" ref="L91:L94" si="105">E91-SUM(I91:K91)</f>
        <v>39.815999999999974</v>
      </c>
      <c r="M91" s="20">
        <f>12.248-132.563</f>
        <v>-120.31499999999998</v>
      </c>
      <c r="N91" s="20">
        <f>28.855-132.563-M91</f>
        <v>16.606999999999999</v>
      </c>
      <c r="O91" s="20">
        <f>46.58-231.657-M91-N91</f>
        <v>-81.369000000000014</v>
      </c>
      <c r="P91" s="21">
        <f t="shared" ref="P91:P95" si="106">F91-SUM(M91:O91)</f>
        <v>368.73699999999997</v>
      </c>
      <c r="Q91" s="21">
        <f t="shared" si="77"/>
        <v>10.697754899999998</v>
      </c>
      <c r="S91" s="20">
        <v>0.60899999999999999</v>
      </c>
    </row>
    <row r="92" spans="2:19" ht="13.5" customHeight="1">
      <c r="B92" s="19" t="s">
        <v>168</v>
      </c>
      <c r="C92" s="20">
        <f>(7955263)/1000</f>
        <v>7955.2629999999999</v>
      </c>
      <c r="D92" s="20">
        <v>6877.8310000000001</v>
      </c>
      <c r="E92" s="20">
        <f>(9660000)/1000</f>
        <v>9660</v>
      </c>
      <c r="F92" s="20">
        <v>0</v>
      </c>
      <c r="G92" s="21">
        <f t="shared" si="104"/>
        <v>0</v>
      </c>
      <c r="H92" s="79"/>
      <c r="I92" s="20">
        <f>(9660000)/1000</f>
        <v>9660</v>
      </c>
      <c r="J92" s="20">
        <f>9660-I92</f>
        <v>0</v>
      </c>
      <c r="K92" s="20">
        <f>9660-I92-J92</f>
        <v>0</v>
      </c>
      <c r="L92" s="21">
        <f t="shared" si="105"/>
        <v>0</v>
      </c>
      <c r="M92" s="20">
        <v>0</v>
      </c>
      <c r="N92" s="20">
        <f t="shared" ref="N92" si="107">0-M92</f>
        <v>0</v>
      </c>
      <c r="O92" s="20">
        <f t="shared" ref="O92" si="108">0-M92-N92</f>
        <v>0</v>
      </c>
      <c r="P92" s="21">
        <f t="shared" si="106"/>
        <v>0</v>
      </c>
      <c r="Q92" s="21">
        <f t="shared" si="77"/>
        <v>0</v>
      </c>
      <c r="S92" s="20">
        <v>0</v>
      </c>
    </row>
    <row r="93" spans="2:19" ht="13.5" customHeight="1">
      <c r="B93" s="19" t="s">
        <v>169</v>
      </c>
      <c r="C93" s="20">
        <v>-2113.8359999999998</v>
      </c>
      <c r="D93" s="20">
        <v>-2572.6640000000002</v>
      </c>
      <c r="E93" s="20">
        <v>-2665.4450000000002</v>
      </c>
      <c r="F93" s="20">
        <f>-3406.306-2.489</f>
        <v>-3408.7950000000001</v>
      </c>
      <c r="G93" s="21">
        <f t="shared" si="104"/>
        <v>-5775.9323715999999</v>
      </c>
      <c r="H93" s="79"/>
      <c r="I93" s="20">
        <v>-838.23599999999999</v>
      </c>
      <c r="J93" s="20">
        <f>-1615.959-I93</f>
        <v>-777.72300000000007</v>
      </c>
      <c r="K93" s="20">
        <f>-2665.445-I93-J93</f>
        <v>-1049.4860000000003</v>
      </c>
      <c r="L93" s="21">
        <f t="shared" si="105"/>
        <v>0</v>
      </c>
      <c r="M93" s="20">
        <v>0</v>
      </c>
      <c r="N93" s="20">
        <f>-1178.932-M93</f>
        <v>-1178.932</v>
      </c>
      <c r="O93" s="20">
        <f>-2296.118-M93-N93</f>
        <v>-1117.1859999999999</v>
      </c>
      <c r="P93" s="21">
        <f t="shared" si="106"/>
        <v>-1112.6770000000001</v>
      </c>
      <c r="Q93" s="21">
        <f t="shared" si="77"/>
        <v>-2367.1373715999998</v>
      </c>
      <c r="S93" s="20">
        <v>-134.756</v>
      </c>
    </row>
    <row r="94" spans="2:19" ht="13.5" customHeight="1">
      <c r="B94" s="19" t="s">
        <v>170</v>
      </c>
      <c r="C94" s="20">
        <f>(5671268-8379355)/1000</f>
        <v>-2708.087</v>
      </c>
      <c r="D94" s="20">
        <f>(-67776)/1000</f>
        <v>-67.775999999999996</v>
      </c>
      <c r="E94" s="20">
        <f>(13997571-8064258)/1000</f>
        <v>5933.3130000000001</v>
      </c>
      <c r="F94" s="20">
        <f>29770.384-26354.642</f>
        <v>3415.7419999999984</v>
      </c>
      <c r="G94" s="21">
        <f t="shared" si="104"/>
        <v>4113.4621669999988</v>
      </c>
      <c r="H94" s="79"/>
      <c r="I94" s="20">
        <f>(-18485)/1000</f>
        <v>-18.484999999999999</v>
      </c>
      <c r="J94" s="20">
        <f>-36.979-I94</f>
        <v>-18.494</v>
      </c>
      <c r="K94" s="20">
        <f>5836.548-3033.335-I94-J94</f>
        <v>2840.192</v>
      </c>
      <c r="L94" s="21">
        <f t="shared" si="105"/>
        <v>3130.1</v>
      </c>
      <c r="M94" s="20">
        <f>802.647-1650.206</f>
        <v>-847.55899999999986</v>
      </c>
      <c r="N94" s="20">
        <f>9284.831-9854.759-M94</f>
        <v>277.63099999999997</v>
      </c>
      <c r="O94" s="20">
        <f>18894.154-19577.434-M94-N94</f>
        <v>-113.35200000000259</v>
      </c>
      <c r="P94" s="21">
        <f t="shared" si="106"/>
        <v>4099.0220000000008</v>
      </c>
      <c r="Q94" s="21">
        <f t="shared" si="77"/>
        <v>-149.83883299999951</v>
      </c>
      <c r="S94" s="20">
        <f>804.78-813.31</f>
        <v>-8.5299999999999727</v>
      </c>
    </row>
    <row r="95" spans="2:19" ht="13.5" customHeight="1">
      <c r="B95" s="19" t="s">
        <v>171</v>
      </c>
      <c r="C95" s="20">
        <f>(-50953-149744)/1000</f>
        <v>-200.697</v>
      </c>
      <c r="D95" s="20">
        <f>(-37246-196985)/1000</f>
        <v>-234.23099999999999</v>
      </c>
      <c r="E95" s="20">
        <f>-1083.701-267.059</f>
        <v>-1350.76</v>
      </c>
      <c r="F95" s="20">
        <f>-38.159+15.337-1158.003-3313.085-93.693</f>
        <v>-4587.6030000000001</v>
      </c>
      <c r="G95" s="21">
        <f t="shared" si="104"/>
        <v>-3422.9424481000001</v>
      </c>
      <c r="H95" s="79"/>
      <c r="I95" s="20">
        <v>-264.90300000000002</v>
      </c>
      <c r="J95" s="20">
        <f>-267.06-I95</f>
        <v>-2.1569999999999823</v>
      </c>
      <c r="K95" s="20">
        <f>-267.06-I95-J95</f>
        <v>0</v>
      </c>
      <c r="L95" s="21">
        <f>E95-SUM(I95:K95)</f>
        <v>-1083.7</v>
      </c>
      <c r="M95" s="20">
        <f>-1158.003</f>
        <v>-1158.0029999999999</v>
      </c>
      <c r="N95" s="20">
        <f>-1158.003-38.159-M95</f>
        <v>-38.159000000000106</v>
      </c>
      <c r="O95" s="20">
        <f>-1158.003-36.594-38.159-M95-N95</f>
        <v>-36.594000000000051</v>
      </c>
      <c r="P95" s="21">
        <f t="shared" si="106"/>
        <v>-3354.8469999999998</v>
      </c>
      <c r="Q95" s="21">
        <f t="shared" si="77"/>
        <v>6.6575518999999987</v>
      </c>
      <c r="S95" s="20">
        <f>0.529-0.15</f>
        <v>0.379</v>
      </c>
    </row>
    <row r="96" spans="2:19" ht="13.5" customHeight="1">
      <c r="B96" s="34" t="s">
        <v>172</v>
      </c>
      <c r="C96" s="24">
        <f t="shared" ref="C96" si="109">SUM(C90:C95)</f>
        <v>2944.5969999999993</v>
      </c>
      <c r="D96" s="24">
        <f t="shared" ref="D96:E96" si="110">SUM(D90:D95)</f>
        <v>1712.5370000000003</v>
      </c>
      <c r="E96" s="24">
        <f t="shared" si="110"/>
        <v>-118.74499999999875</v>
      </c>
      <c r="F96" s="24">
        <f t="shared" ref="F96" si="111">SUM(F90:F95)</f>
        <v>490.15099999999711</v>
      </c>
      <c r="G96" s="24">
        <f>SUM(G90:G95)</f>
        <v>231.35747599999786</v>
      </c>
      <c r="H96" s="79"/>
      <c r="I96" s="24">
        <f>SUM(I90:I95)</f>
        <v>9271.396999999999</v>
      </c>
      <c r="J96" s="24">
        <f t="shared" ref="J96:L96" si="112">SUM(J90:J95)</f>
        <v>1055.2730000000006</v>
      </c>
      <c r="K96" s="24">
        <f t="shared" si="112"/>
        <v>-13392.127</v>
      </c>
      <c r="L96" s="24">
        <f t="shared" si="112"/>
        <v>2946.7120000000014</v>
      </c>
      <c r="M96" s="24">
        <f>SUM(M90:M95)</f>
        <v>-282.94500000000028</v>
      </c>
      <c r="N96" s="24">
        <f t="shared" ref="N96:P96" si="113">SUM(N90:N95)</f>
        <v>441.06699999999967</v>
      </c>
      <c r="O96" s="24">
        <f t="shared" si="113"/>
        <v>93.47999999999729</v>
      </c>
      <c r="P96" s="24">
        <f t="shared" si="113"/>
        <v>238.54900000000134</v>
      </c>
      <c r="Q96" s="24">
        <f>SUM(Q90:Q95)</f>
        <v>-541.73852399999964</v>
      </c>
      <c r="S96" s="24">
        <f>SUM(S90:S95)</f>
        <v>-30.839999999999979</v>
      </c>
    </row>
    <row r="97" spans="2:20" ht="13.5" customHeight="1">
      <c r="B97" s="19" t="s">
        <v>173</v>
      </c>
      <c r="C97" s="121">
        <f>2878.797-C96</f>
        <v>-65.799999999999272</v>
      </c>
      <c r="D97" s="121">
        <f>1351.531-D96</f>
        <v>-361.00600000000031</v>
      </c>
      <c r="E97" s="121">
        <f>-485.335-E96</f>
        <v>-366.59000000000123</v>
      </c>
      <c r="F97" s="121">
        <f>351.501 -F96</f>
        <v>-138.64999999999714</v>
      </c>
      <c r="G97" s="121">
        <f>SUM(N97:Q97)</f>
        <v>-92.013317599997848</v>
      </c>
      <c r="H97" s="263"/>
      <c r="I97" s="121">
        <f>9284.29-I96</f>
        <v>12.893000000001848</v>
      </c>
      <c r="J97" s="121">
        <f>10338.544-J96-I96-I97</f>
        <v>-1.0190000000020518</v>
      </c>
      <c r="K97" s="121">
        <f>-3473.845-K96-J96-I96-I97-J97</f>
        <v>-420.26199999999881</v>
      </c>
      <c r="L97" s="121">
        <f>E97-SUM(I97:K97)</f>
        <v>41.797999999997785</v>
      </c>
      <c r="M97" s="121">
        <f>-445.799-M96</f>
        <v>-162.8539999999997</v>
      </c>
      <c r="N97" s="121">
        <f>-42.089-N96-M96-M97</f>
        <v>-37.356999999999687</v>
      </c>
      <c r="O97" s="121">
        <f>115.34-O96-N96-M96-M97-N97</f>
        <v>63.949000000002741</v>
      </c>
      <c r="P97" s="121">
        <f>F97-SUM(M97:O97)</f>
        <v>-2.3880000000004884</v>
      </c>
      <c r="Q97" s="21">
        <f t="shared" si="77"/>
        <v>-116.21731760000041</v>
      </c>
      <c r="S97" s="121">
        <f>-37.456-S96</f>
        <v>-6.6160000000000245</v>
      </c>
    </row>
    <row r="98" spans="2:20" ht="13.5" customHeight="1">
      <c r="B98" s="19" t="s">
        <v>174</v>
      </c>
      <c r="C98" s="20">
        <v>-516.721</v>
      </c>
      <c r="D98" s="20">
        <v>-733.29300000000001</v>
      </c>
      <c r="E98" s="20">
        <v>-554.20600000000002</v>
      </c>
      <c r="F98" s="20">
        <v>-581.81299999999999</v>
      </c>
      <c r="G98" s="21">
        <f>SUM(N98:Q98)</f>
        <v>-417.14290410000001</v>
      </c>
      <c r="H98" s="79"/>
      <c r="I98" s="20">
        <v>-195.92500000000001</v>
      </c>
      <c r="J98" s="20">
        <f>37.837-I98</f>
        <v>233.762</v>
      </c>
      <c r="K98" s="20">
        <f>1316.111-I98-J98</f>
        <v>1278.2740000000001</v>
      </c>
      <c r="L98" s="21">
        <f t="shared" ref="L98" si="114">E98-SUM(I98:K98)</f>
        <v>-1870.317</v>
      </c>
      <c r="M98" s="20">
        <v>-174.876</v>
      </c>
      <c r="N98" s="20">
        <f>-413.097-M98</f>
        <v>-238.22099999999998</v>
      </c>
      <c r="O98" s="20">
        <f>-219.598-M98-N98</f>
        <v>193.49899999999997</v>
      </c>
      <c r="P98" s="21">
        <f>F98-SUM(M98:O98)</f>
        <v>-362.21499999999997</v>
      </c>
      <c r="Q98" s="21">
        <f t="shared" si="77"/>
        <v>-10.205904099999998</v>
      </c>
      <c r="S98" s="20">
        <v>-0.58099999999999996</v>
      </c>
    </row>
    <row r="99" spans="2:20" s="11" customFormat="1" ht="13.5" customHeight="1">
      <c r="B99" s="34" t="s">
        <v>175</v>
      </c>
      <c r="C99" s="24">
        <f t="shared" ref="C99:G99" si="115">SUM(C96:C98)</f>
        <v>2362.076</v>
      </c>
      <c r="D99" s="24">
        <f t="shared" si="115"/>
        <v>618.23799999999994</v>
      </c>
      <c r="E99" s="24">
        <f t="shared" si="115"/>
        <v>-1039.5409999999999</v>
      </c>
      <c r="F99" s="24">
        <f t="shared" ref="F99" si="116">SUM(F96:F98)</f>
        <v>-230.31200000000001</v>
      </c>
      <c r="G99" s="24">
        <f t="shared" si="115"/>
        <v>-277.79874569999998</v>
      </c>
      <c r="H99" s="79"/>
      <c r="I99" s="24">
        <f t="shared" ref="I99:M99" si="117">SUM(I96:I98)</f>
        <v>9088.3650000000016</v>
      </c>
      <c r="J99" s="24">
        <f t="shared" si="117"/>
        <v>1288.0159999999985</v>
      </c>
      <c r="K99" s="24">
        <f t="shared" si="117"/>
        <v>-12534.115</v>
      </c>
      <c r="L99" s="24">
        <f t="shared" si="117"/>
        <v>1118.1929999999993</v>
      </c>
      <c r="M99" s="24">
        <f t="shared" si="117"/>
        <v>-620.67499999999995</v>
      </c>
      <c r="N99" s="24">
        <f t="shared" ref="N99:Q99" si="118">SUM(N96:N98)</f>
        <v>165.489</v>
      </c>
      <c r="O99" s="24">
        <f t="shared" si="118"/>
        <v>350.928</v>
      </c>
      <c r="P99" s="24">
        <f t="shared" si="118"/>
        <v>-126.05399999999912</v>
      </c>
      <c r="Q99" s="24">
        <f t="shared" si="118"/>
        <v>-668.1617457000001</v>
      </c>
      <c r="R99" s="18"/>
      <c r="S99" s="24">
        <f t="shared" ref="S99" si="119">SUM(S96:S98)</f>
        <v>-38.037000000000006</v>
      </c>
    </row>
    <row r="100" spans="2:20" ht="13.5" customHeight="1">
      <c r="B100" s="34" t="s">
        <v>176</v>
      </c>
      <c r="C100" s="24">
        <f>342.501+C99</f>
        <v>2704.5770000000002</v>
      </c>
      <c r="D100" s="24">
        <f>C100+D99</f>
        <v>3322.8150000000001</v>
      </c>
      <c r="E100" s="24">
        <f>D100+E99</f>
        <v>2283.2740000000003</v>
      </c>
      <c r="F100" s="24">
        <f>E100+F99</f>
        <v>2052.9620000000004</v>
      </c>
      <c r="G100" s="24">
        <f>Q100</f>
        <v>1340.5744875999997</v>
      </c>
      <c r="H100" s="79"/>
      <c r="I100" s="24">
        <f>I99+D100</f>
        <v>12411.180000000002</v>
      </c>
      <c r="J100" s="24">
        <f t="shared" ref="J100:Q100" si="120">J99+I100</f>
        <v>13699.196</v>
      </c>
      <c r="K100" s="24">
        <f t="shared" si="120"/>
        <v>1165.0810000000001</v>
      </c>
      <c r="L100" s="24">
        <f t="shared" si="120"/>
        <v>2283.2739999999994</v>
      </c>
      <c r="M100" s="24">
        <f t="shared" si="120"/>
        <v>1662.5989999999995</v>
      </c>
      <c r="N100" s="24">
        <f t="shared" si="120"/>
        <v>1828.0879999999995</v>
      </c>
      <c r="O100" s="24">
        <f t="shared" si="120"/>
        <v>2179.0159999999996</v>
      </c>
      <c r="P100" s="24">
        <f t="shared" si="120"/>
        <v>2052.9620000000004</v>
      </c>
      <c r="Q100" s="24">
        <f t="shared" si="77"/>
        <v>1340.5744875999997</v>
      </c>
      <c r="S100" s="24">
        <f>114.353+S99</f>
        <v>76.315999999999988</v>
      </c>
      <c r="T100" s="21"/>
    </row>
    <row r="101" spans="2:20" ht="13.5" customHeight="1">
      <c r="B101" s="34"/>
      <c r="C101" s="20"/>
      <c r="D101" s="20"/>
      <c r="E101" s="20"/>
      <c r="F101" s="20"/>
      <c r="G101" s="21"/>
      <c r="H101" s="79"/>
      <c r="I101" s="20"/>
      <c r="J101" s="20"/>
      <c r="K101" s="20"/>
      <c r="L101" s="20"/>
      <c r="M101" s="20"/>
      <c r="N101" s="20"/>
      <c r="O101" s="20"/>
      <c r="P101" s="20"/>
      <c r="Q101" s="20"/>
      <c r="S101" s="20"/>
    </row>
    <row r="102" spans="2:20" ht="11.25" customHeight="1">
      <c r="B102" s="35" t="s">
        <v>32</v>
      </c>
      <c r="C102" s="237">
        <f>+C100-C147</f>
        <v>0</v>
      </c>
      <c r="D102" s="237">
        <f>+D100-D147</f>
        <v>0</v>
      </c>
      <c r="E102" s="237">
        <f>+E100-E147</f>
        <v>0</v>
      </c>
      <c r="F102" s="237">
        <f>+F100-F147</f>
        <v>0</v>
      </c>
      <c r="G102" s="237">
        <f>+G100-G147</f>
        <v>-28.45823640000026</v>
      </c>
      <c r="H102" s="238"/>
      <c r="I102" s="237">
        <f t="shared" ref="I102:O102" si="121">+I100-I147</f>
        <v>0</v>
      </c>
      <c r="J102" s="237">
        <f t="shared" si="121"/>
        <v>0</v>
      </c>
      <c r="K102" s="237">
        <f t="shared" si="121"/>
        <v>0</v>
      </c>
      <c r="L102" s="237">
        <f t="shared" si="121"/>
        <v>0</v>
      </c>
      <c r="M102" s="237">
        <f t="shared" si="121"/>
        <v>0</v>
      </c>
      <c r="N102" s="237">
        <f t="shared" si="121"/>
        <v>0</v>
      </c>
      <c r="O102" s="237">
        <f t="shared" si="121"/>
        <v>0</v>
      </c>
      <c r="P102" s="237">
        <f t="shared" ref="P102:Q102" si="122">+P100-P147</f>
        <v>0</v>
      </c>
      <c r="Q102" s="237">
        <f t="shared" si="122"/>
        <v>-28.45823640000026</v>
      </c>
      <c r="S102" s="237">
        <f t="shared" ref="S102" si="123">+S100-S147</f>
        <v>0</v>
      </c>
    </row>
    <row r="103" spans="2:20" ht="13.5" customHeight="1">
      <c r="B103" s="239"/>
      <c r="C103" s="119">
        <f>4123.095-C97-C86+C85</f>
        <v>0</v>
      </c>
      <c r="D103" s="119">
        <f>3734.826-D97-D86+D85</f>
        <v>0</v>
      </c>
      <c r="E103" s="119">
        <f>6301.487-E97-E86+E85</f>
        <v>9.0949470177292824E-13</v>
      </c>
      <c r="F103" s="119">
        <f>9075.849-F97-F86+F85</f>
        <v>0</v>
      </c>
      <c r="G103" s="119"/>
      <c r="H103" s="238"/>
      <c r="I103" s="119">
        <f>1075.07-I97-I86+I85</f>
        <v>-1.8758328224066645E-12</v>
      </c>
      <c r="J103" s="119">
        <f>3100.166-J97-J86-I97-I86+J85+I85</f>
        <v>0</v>
      </c>
      <c r="K103" s="119">
        <f>3944.769-K97-K86-J97-J86+K85+J85-I97-I86+I85</f>
        <v>-7.3896444519050419E-13</v>
      </c>
      <c r="L103" s="119"/>
      <c r="M103" s="119">
        <f>2334.455-M97-M86+M85</f>
        <v>0</v>
      </c>
      <c r="N103" s="119">
        <f>4403.436-N97-N86-M97-M86+N85+M85</f>
        <v>0</v>
      </c>
      <c r="O103" s="119">
        <f>6657.535-O97-O86-N97-N86+O85+N85-M97-M86+M85</f>
        <v>-1.7053025658242404E-12</v>
      </c>
      <c r="P103" s="119"/>
      <c r="Q103" s="119">
        <f>(133.156/$Q$239)-Q97-Q86+Q85</f>
        <v>9.0949470177292824E-13</v>
      </c>
      <c r="S103" s="119">
        <f>133.156-S97-S86+S85</f>
        <v>0</v>
      </c>
    </row>
    <row r="104" spans="2:20" ht="11.25" customHeight="1">
      <c r="G104" s="37"/>
      <c r="H104" s="79"/>
    </row>
    <row r="105" spans="2:20" ht="13.5" customHeight="1">
      <c r="B105" s="15" t="s">
        <v>177</v>
      </c>
      <c r="C105" s="29">
        <f>C3</f>
        <v>44926</v>
      </c>
      <c r="D105" s="29">
        <f>D3</f>
        <v>45291</v>
      </c>
      <c r="E105" s="29">
        <f>E3</f>
        <v>45657</v>
      </c>
      <c r="F105" s="29">
        <f>F3</f>
        <v>46022</v>
      </c>
      <c r="G105" s="29" t="str">
        <f>G2</f>
        <v>LTM</v>
      </c>
      <c r="H105" s="79"/>
      <c r="I105" s="29">
        <f>I3</f>
        <v>45382</v>
      </c>
      <c r="J105" s="29">
        <f>J3</f>
        <v>45473</v>
      </c>
      <c r="K105" s="29">
        <f>K3</f>
        <v>45565</v>
      </c>
      <c r="L105" s="29">
        <f>L3</f>
        <v>45657</v>
      </c>
      <c r="M105" s="29">
        <f>M3</f>
        <v>45747</v>
      </c>
      <c r="N105" s="29">
        <f>N3</f>
        <v>45838</v>
      </c>
      <c r="O105" s="29">
        <f>O3</f>
        <v>45930</v>
      </c>
      <c r="P105" s="29">
        <f>P3</f>
        <v>46022</v>
      </c>
      <c r="Q105" s="29">
        <f>Q3</f>
        <v>46112</v>
      </c>
      <c r="S105" s="29">
        <f>S3</f>
        <v>46112</v>
      </c>
    </row>
    <row r="106" spans="2:20" ht="13.5" customHeight="1">
      <c r="B106" s="18" t="str">
        <f>B7</f>
        <v xml:space="preserve">Net revenue </v>
      </c>
      <c r="C106" s="21">
        <f>C7</f>
        <v>5543.0190000000002</v>
      </c>
      <c r="D106" s="21">
        <f>D7</f>
        <v>5606.3400000000011</v>
      </c>
      <c r="E106" s="21">
        <f>E7</f>
        <v>8432.226999999999</v>
      </c>
      <c r="F106" s="21">
        <f>F7</f>
        <v>12459.51</v>
      </c>
      <c r="G106" s="21">
        <f>G7</f>
        <v>12357.5965521</v>
      </c>
      <c r="H106" s="79"/>
      <c r="I106" s="95"/>
      <c r="J106" s="95"/>
      <c r="K106" s="95"/>
      <c r="L106" s="21">
        <f>SUM(I7:L7)</f>
        <v>8432.226999999999</v>
      </c>
      <c r="M106" s="21">
        <f>SUM(J7:M7)</f>
        <v>10153.248</v>
      </c>
      <c r="N106" s="21">
        <f>SUM(K7:N7)</f>
        <v>11793.297000000002</v>
      </c>
      <c r="O106" s="21">
        <f>SUM(L7:O7)</f>
        <v>12475.325000000001</v>
      </c>
      <c r="P106" s="21">
        <f>SUM(M7:P7)</f>
        <v>12459.509999999998</v>
      </c>
      <c r="Q106" s="21">
        <f>SUM(N7:Q7)</f>
        <v>12357.596552099998</v>
      </c>
      <c r="S106" s="95"/>
    </row>
    <row r="107" spans="2:20" ht="13.5" customHeight="1">
      <c r="B107" s="1" t="str">
        <f>B12</f>
        <v>Operating expenses, other income and expenses</v>
      </c>
      <c r="C107" s="21">
        <f>C12</f>
        <v>0</v>
      </c>
      <c r="D107" s="21">
        <f>D12</f>
        <v>0</v>
      </c>
      <c r="E107" s="21">
        <f>E12</f>
        <v>0</v>
      </c>
      <c r="F107" s="21">
        <f>F12</f>
        <v>0</v>
      </c>
      <c r="G107" s="21">
        <f>G12</f>
        <v>0</v>
      </c>
      <c r="H107" s="79"/>
      <c r="I107" s="95"/>
      <c r="J107" s="95"/>
      <c r="K107" s="95"/>
      <c r="L107" s="21">
        <f>SUM(I12:L12)</f>
        <v>0</v>
      </c>
      <c r="M107" s="21">
        <f>SUM(J12:M12)</f>
        <v>0</v>
      </c>
      <c r="N107" s="21">
        <f>SUM(K12:N12)</f>
        <v>0</v>
      </c>
      <c r="O107" s="21">
        <f>SUM(L12:O12)</f>
        <v>0</v>
      </c>
      <c r="P107" s="21">
        <f>SUM(M12:P12)</f>
        <v>0</v>
      </c>
      <c r="Q107" s="21">
        <f>SUM(N12:Q12)</f>
        <v>0</v>
      </c>
      <c r="S107" s="95"/>
    </row>
    <row r="108" spans="2:20" ht="13.5" customHeight="1">
      <c r="B108" s="18" t="s">
        <v>151</v>
      </c>
      <c r="C108" s="21">
        <f>C18</f>
        <v>4823.4319999999998</v>
      </c>
      <c r="D108" s="21">
        <f>D18</f>
        <v>4802.7010000000009</v>
      </c>
      <c r="E108" s="21">
        <f>E18</f>
        <v>7153.1119999999983</v>
      </c>
      <c r="F108" s="21">
        <f>F18</f>
        <v>10843.257999999998</v>
      </c>
      <c r="G108" s="21">
        <f>G18</f>
        <v>10690.036150400001</v>
      </c>
      <c r="I108" s="95"/>
      <c r="J108" s="95"/>
      <c r="K108" s="95"/>
      <c r="L108" s="21">
        <f>SUM(I18:L18)</f>
        <v>7153.1119999999992</v>
      </c>
      <c r="M108" s="21">
        <f>SUM(J18:M18)</f>
        <v>8763.8909999999996</v>
      </c>
      <c r="N108" s="21">
        <f>SUM(K18:N18)</f>
        <v>10200.464</v>
      </c>
      <c r="O108" s="21">
        <f>SUM(L18:O18)</f>
        <v>10855.851999999999</v>
      </c>
      <c r="P108" s="21">
        <f>SUM(M18:P18)</f>
        <v>10843.258000000002</v>
      </c>
      <c r="Q108" s="21">
        <f>SUM(N18:Q18)</f>
        <v>10690.036150399999</v>
      </c>
      <c r="S108" s="95"/>
    </row>
    <row r="109" spans="2:20" ht="13.5" customHeight="1">
      <c r="B109" s="18" t="s">
        <v>178</v>
      </c>
      <c r="C109" s="21">
        <f t="shared" ref="C109:G109" si="124">+C69</f>
        <v>4823.4319999999998</v>
      </c>
      <c r="D109" s="21">
        <f t="shared" si="124"/>
        <v>4802.7010000000009</v>
      </c>
      <c r="E109" s="21">
        <f t="shared" si="124"/>
        <v>7153.1119999999983</v>
      </c>
      <c r="F109" s="21">
        <f t="shared" ref="F109" si="125">+F69</f>
        <v>10843.257999999998</v>
      </c>
      <c r="G109" s="21">
        <f t="shared" si="124"/>
        <v>10690.036150400001</v>
      </c>
      <c r="I109" s="95"/>
      <c r="J109" s="95"/>
      <c r="K109" s="95"/>
      <c r="L109" s="21">
        <f t="shared" ref="L109" si="126">SUM(I69:L69)</f>
        <v>7153.1119999999992</v>
      </c>
      <c r="M109" s="21">
        <f t="shared" ref="M109" si="127">SUM(J69:M69)</f>
        <v>8763.8909999999996</v>
      </c>
      <c r="N109" s="21">
        <f t="shared" ref="N109" si="128">SUM(K69:N69)</f>
        <v>10200.464</v>
      </c>
      <c r="O109" s="21">
        <f t="shared" ref="O109:P109" si="129">SUM(L69:O69)</f>
        <v>10855.851999999999</v>
      </c>
      <c r="P109" s="21">
        <f t="shared" si="129"/>
        <v>10843.258000000002</v>
      </c>
      <c r="Q109" s="21">
        <f>SUM(N69:Q69)</f>
        <v>10690.036150399999</v>
      </c>
      <c r="S109" s="95"/>
    </row>
    <row r="110" spans="2:20" s="11" customFormat="1" ht="13.5" customHeight="1">
      <c r="B110" s="18" t="s">
        <v>179</v>
      </c>
      <c r="C110" s="21">
        <f t="shared" ref="C110:G110" si="130">+C74</f>
        <v>4150.1229999999996</v>
      </c>
      <c r="D110" s="21">
        <f t="shared" si="130"/>
        <v>4436.9650000000001</v>
      </c>
      <c r="E110" s="21">
        <f t="shared" si="130"/>
        <v>6184.1419999999998</v>
      </c>
      <c r="F110" s="21">
        <f t="shared" ref="F110" si="131">+F74</f>
        <v>9303.4549999999999</v>
      </c>
      <c r="G110" s="21">
        <f t="shared" si="130"/>
        <v>9092.4558113000003</v>
      </c>
      <c r="I110" s="95"/>
      <c r="J110" s="95"/>
      <c r="K110" s="95"/>
      <c r="L110" s="21">
        <f t="shared" ref="L110" si="132">SUM(I74:L74)</f>
        <v>6184.1419999999998</v>
      </c>
      <c r="M110" s="21">
        <f t="shared" ref="M110" si="133">SUM(J74:M74)</f>
        <v>7628.0869999999995</v>
      </c>
      <c r="N110" s="21">
        <f t="shared" ref="N110" si="134">SUM(K74:N74)</f>
        <v>8930.7569999999996</v>
      </c>
      <c r="O110" s="21">
        <f t="shared" ref="O110:P110" si="135">SUM(L74:O74)</f>
        <v>9157.1549999999988</v>
      </c>
      <c r="P110" s="21">
        <f t="shared" si="135"/>
        <v>9303.4549999999999</v>
      </c>
      <c r="Q110" s="21">
        <f>SUM(N74:Q74)</f>
        <v>9092.4558113000003</v>
      </c>
      <c r="S110" s="95"/>
    </row>
    <row r="111" spans="2:20" ht="13.5" customHeight="1">
      <c r="B111" s="18" t="s">
        <v>161</v>
      </c>
      <c r="C111" s="21">
        <f t="shared" ref="C111:G111" si="136">-C85</f>
        <v>854.07600000000002</v>
      </c>
      <c r="D111" s="21">
        <f t="shared" si="136"/>
        <v>658.72500000000002</v>
      </c>
      <c r="E111" s="21">
        <f t="shared" si="136"/>
        <v>909.06700000000001</v>
      </c>
      <c r="F111" s="21">
        <f t="shared" ref="F111" si="137">-F85</f>
        <v>2136.5540000000001</v>
      </c>
      <c r="G111" s="21">
        <f t="shared" si="136"/>
        <v>2034.1521674999999</v>
      </c>
      <c r="I111" s="95"/>
      <c r="J111" s="95"/>
      <c r="K111" s="95"/>
      <c r="L111" s="21">
        <f t="shared" ref="L111" si="138">-SUM(I85:L85)</f>
        <v>909.06700000000001</v>
      </c>
      <c r="M111" s="21">
        <f t="shared" ref="M111" si="139">-SUM(J85:M85)</f>
        <v>1429.5889999999999</v>
      </c>
      <c r="N111" s="21">
        <f t="shared" ref="N111" si="140">-SUM(K85:N85)</f>
        <v>1709.6210000000001</v>
      </c>
      <c r="O111" s="21">
        <f t="shared" ref="O111" si="141">-SUM(L85:O85)</f>
        <v>2114.0480000000002</v>
      </c>
      <c r="P111" s="21">
        <f t="shared" ref="P111" si="142">-SUM(M85:P85)</f>
        <v>2136.5540000000001</v>
      </c>
      <c r="Q111" s="21">
        <f>-SUM(N85:Q85)</f>
        <v>2034.1521674999999</v>
      </c>
      <c r="S111" s="95"/>
    </row>
    <row r="112" spans="2:20" ht="13.5" customHeight="1">
      <c r="B112" s="18" t="s">
        <v>180</v>
      </c>
      <c r="C112" s="21">
        <f>C40</f>
        <v>7547.7309999999998</v>
      </c>
      <c r="D112" s="21">
        <f>D40</f>
        <v>15031.956000000004</v>
      </c>
      <c r="E112" s="21">
        <f>E40</f>
        <v>23981.789999999997</v>
      </c>
      <c r="F112" s="21">
        <f>F40</f>
        <v>11260.566999999999</v>
      </c>
      <c r="G112" s="21">
        <f>G40</f>
        <v>11078.828658100001</v>
      </c>
      <c r="I112" s="95"/>
      <c r="J112" s="95"/>
      <c r="K112" s="95"/>
      <c r="L112" s="21">
        <f>SUM(I40:L40)</f>
        <v>23981.79</v>
      </c>
      <c r="M112" s="21">
        <f>SUM(J40:M40)</f>
        <v>19840.632999999998</v>
      </c>
      <c r="N112" s="21">
        <f>SUM(K40:N40)</f>
        <v>21811.204999999998</v>
      </c>
      <c r="O112" s="21">
        <f>SUM(L40:O40)</f>
        <v>14004.969000000001</v>
      </c>
      <c r="P112" s="21">
        <f>SUM(M40:P40)</f>
        <v>11260.567000000001</v>
      </c>
      <c r="Q112" s="21">
        <f>SUM(N40:Q40)</f>
        <v>11078.846224199999</v>
      </c>
      <c r="S112" s="95"/>
    </row>
    <row r="113" spans="2:19" ht="13.5" customHeight="1">
      <c r="B113" s="18" t="s">
        <v>181</v>
      </c>
      <c r="C113" s="21">
        <f t="shared" ref="C113:G113" si="143">-C87</f>
        <v>3337.058</v>
      </c>
      <c r="D113" s="21">
        <f t="shared" si="143"/>
        <v>6014.0209999999997</v>
      </c>
      <c r="E113" s="21">
        <f t="shared" si="143"/>
        <v>6318.991</v>
      </c>
      <c r="F113" s="21">
        <f t="shared" ref="F113" si="144">-F87</f>
        <v>2190.7980000000002</v>
      </c>
      <c r="G113" s="21">
        <f t="shared" si="143"/>
        <v>2165.7263879000002</v>
      </c>
      <c r="I113" s="95"/>
      <c r="J113" s="95"/>
      <c r="K113" s="95"/>
      <c r="L113" s="21">
        <f t="shared" ref="L113" si="145">-SUM(I87:L87)</f>
        <v>6318.991</v>
      </c>
      <c r="M113" s="21">
        <f t="shared" ref="M113" si="146">-SUM(J87:M87)</f>
        <v>6020.6509999999989</v>
      </c>
      <c r="N113" s="21">
        <f t="shared" ref="N113" si="147">-SUM(K87:N87)</f>
        <v>6138.6119999999992</v>
      </c>
      <c r="O113" s="21">
        <f t="shared" ref="O113:P113" si="148">-SUM(L87:O87)</f>
        <v>1987.9129999999996</v>
      </c>
      <c r="P113" s="21">
        <f t="shared" si="148"/>
        <v>2190.7980000000002</v>
      </c>
      <c r="Q113" s="21">
        <f>-SUM(N87:Q87)</f>
        <v>2165.7263879000002</v>
      </c>
      <c r="S113" s="95"/>
    </row>
    <row r="114" spans="2:19" ht="13.5" customHeight="1">
      <c r="B114" s="18" t="s">
        <v>166</v>
      </c>
      <c r="C114" s="21">
        <f t="shared" ref="C114:G114" si="149">+C90</f>
        <v>-2.2390000000004875</v>
      </c>
      <c r="D114" s="21">
        <f t="shared" si="149"/>
        <v>-2576.9139999999993</v>
      </c>
      <c r="E114" s="21">
        <f t="shared" si="149"/>
        <v>-11839.547999999999</v>
      </c>
      <c r="F114" s="21">
        <f t="shared" ref="F114" si="150">+F90</f>
        <v>4887.146999999999</v>
      </c>
      <c r="G114" s="21">
        <f t="shared" si="149"/>
        <v>5002.0973737999993</v>
      </c>
      <c r="I114" s="95"/>
      <c r="J114" s="95"/>
      <c r="K114" s="95"/>
      <c r="L114" s="21">
        <f t="shared" ref="L114" si="151">SUM(I90:L90)</f>
        <v>-11839.547999999997</v>
      </c>
      <c r="M114" s="21">
        <f t="shared" ref="M114" si="152">SUM(J90:M90)</f>
        <v>-10656.134999999998</v>
      </c>
      <c r="N114" s="21">
        <f t="shared" ref="N114" si="153">SUM(K90:N90)</f>
        <v>-10980.962</v>
      </c>
      <c r="O114" s="21">
        <f t="shared" ref="O114:P114" si="154">SUM(L90:O90)</f>
        <v>5509.3290000000006</v>
      </c>
      <c r="P114" s="21">
        <f t="shared" si="154"/>
        <v>4887.146999999999</v>
      </c>
      <c r="Q114" s="21">
        <f>SUM(N90:Q90)</f>
        <v>5002.0973737999993</v>
      </c>
      <c r="S114" s="95"/>
    </row>
    <row r="115" spans="2:19" ht="13.5" customHeight="1">
      <c r="C115" s="21"/>
      <c r="D115" s="21"/>
      <c r="E115" s="21"/>
      <c r="F115" s="21"/>
      <c r="G115" s="21"/>
    </row>
    <row r="116" spans="2:19" ht="13.5" customHeight="1">
      <c r="B116" s="15" t="s">
        <v>182</v>
      </c>
      <c r="C116" s="29">
        <f>C3</f>
        <v>44926</v>
      </c>
      <c r="D116" s="29">
        <f>D3</f>
        <v>45291</v>
      </c>
      <c r="E116" s="29">
        <f>E3</f>
        <v>45657</v>
      </c>
      <c r="F116" s="29">
        <f>F3</f>
        <v>46022</v>
      </c>
      <c r="G116" s="29" t="str">
        <f>G2</f>
        <v>LTM</v>
      </c>
      <c r="I116" s="29">
        <f>I3</f>
        <v>45382</v>
      </c>
      <c r="J116" s="29">
        <f>J3</f>
        <v>45473</v>
      </c>
      <c r="K116" s="29">
        <f>K3</f>
        <v>45565</v>
      </c>
      <c r="L116" s="29">
        <f>L3</f>
        <v>45657</v>
      </c>
      <c r="M116" s="29">
        <f>M3</f>
        <v>45747</v>
      </c>
      <c r="N116" s="29">
        <f>N3</f>
        <v>45838</v>
      </c>
      <c r="O116" s="29">
        <f>O3</f>
        <v>45930</v>
      </c>
      <c r="P116" s="29">
        <f>P3</f>
        <v>46022</v>
      </c>
      <c r="Q116" s="29">
        <f>Q3</f>
        <v>46112</v>
      </c>
      <c r="S116" s="29">
        <f>S3</f>
        <v>46112</v>
      </c>
    </row>
    <row r="117" spans="2:19" ht="13.5" customHeight="1"/>
    <row r="118" spans="2:19" s="11" customFormat="1" ht="13.5" customHeight="1">
      <c r="B118" s="18" t="s">
        <v>183</v>
      </c>
      <c r="C118" s="20">
        <f>74733.756+55.994</f>
        <v>74789.75</v>
      </c>
      <c r="D118" s="20">
        <f>83406.806+58.658</f>
        <v>83465.463999999993</v>
      </c>
      <c r="E118" s="20">
        <f>155982.612+29066.073</f>
        <v>185048.685</v>
      </c>
      <c r="F118" s="20">
        <f>141474.463+26220.328</f>
        <v>167694.791</v>
      </c>
      <c r="G118" s="21">
        <f>Q118</f>
        <v>169902.88809399999</v>
      </c>
      <c r="I118" s="20">
        <f>88674.208+61.342</f>
        <v>88735.55</v>
      </c>
      <c r="J118" s="20">
        <f>98559.469+66.632</f>
        <v>98626.100999999995</v>
      </c>
      <c r="K118" s="20">
        <f>145170.872+27606.357</f>
        <v>172777.22899999999</v>
      </c>
      <c r="L118" s="21">
        <f>E118</f>
        <v>185048.685</v>
      </c>
      <c r="M118" s="20">
        <f>156443.491+29194.608</f>
        <v>185638.09900000002</v>
      </c>
      <c r="N118" s="20">
        <f>145389.739+27444.056</f>
        <v>172833.79500000001</v>
      </c>
      <c r="O118" s="20">
        <f>140710.034+27698.915</f>
        <v>168408.94900000002</v>
      </c>
      <c r="P118" s="21">
        <f>F118</f>
        <v>167694.791</v>
      </c>
      <c r="Q118" s="21">
        <f>S118/$Q$240</f>
        <v>169902.88809399999</v>
      </c>
      <c r="R118" s="18"/>
      <c r="S118" s="20">
        <f>7935.845+1535.301</f>
        <v>9471.1460000000006</v>
      </c>
    </row>
    <row r="119" spans="2:19" s="11" customFormat="1" ht="13.5" customHeight="1">
      <c r="B119" s="19" t="s">
        <v>184</v>
      </c>
      <c r="C119" s="20">
        <v>0</v>
      </c>
      <c r="D119" s="20">
        <v>0</v>
      </c>
      <c r="E119" s="20">
        <v>0</v>
      </c>
      <c r="F119" s="20">
        <v>0</v>
      </c>
      <c r="G119" s="21">
        <f t="shared" ref="G119:G121" si="155">Q119</f>
        <v>0</v>
      </c>
      <c r="H119" s="18"/>
      <c r="I119" s="20">
        <v>0</v>
      </c>
      <c r="J119" s="20">
        <v>0</v>
      </c>
      <c r="K119" s="20">
        <v>0</v>
      </c>
      <c r="L119" s="21">
        <f t="shared" ref="L119:L121" si="156">E119</f>
        <v>0</v>
      </c>
      <c r="M119" s="20">
        <v>0</v>
      </c>
      <c r="N119" s="20">
        <v>0</v>
      </c>
      <c r="O119" s="20">
        <v>0</v>
      </c>
      <c r="P119" s="21">
        <f t="shared" ref="P119:P121" si="157">F119</f>
        <v>0</v>
      </c>
      <c r="Q119" s="21">
        <f t="shared" ref="Q119:Q121" si="158">S119/$Q$240</f>
        <v>0</v>
      </c>
      <c r="R119" s="18"/>
      <c r="S119" s="20">
        <v>0</v>
      </c>
    </row>
    <row r="120" spans="2:19" s="11" customFormat="1" ht="13.5" customHeight="1">
      <c r="B120" s="19" t="s">
        <v>185</v>
      </c>
      <c r="C120" s="20">
        <v>71.361000000000004</v>
      </c>
      <c r="D120" s="20">
        <v>100.52800000000001</v>
      </c>
      <c r="E120" s="20">
        <v>500.21800000000002</v>
      </c>
      <c r="F120" s="20">
        <v>683.91499999999996</v>
      </c>
      <c r="G120" s="21">
        <f t="shared" si="155"/>
        <v>513.41417999999999</v>
      </c>
      <c r="I120" s="20">
        <v>126.23699999999999</v>
      </c>
      <c r="J120" s="20">
        <v>76.453000000000003</v>
      </c>
      <c r="K120" s="20">
        <v>388.03500000000003</v>
      </c>
      <c r="L120" s="21">
        <f t="shared" si="156"/>
        <v>500.21800000000002</v>
      </c>
      <c r="M120" s="20">
        <v>577.59</v>
      </c>
      <c r="N120" s="20">
        <v>507.02300000000002</v>
      </c>
      <c r="O120" s="20">
        <v>530.63599999999997</v>
      </c>
      <c r="P120" s="21">
        <f t="shared" si="157"/>
        <v>683.91499999999996</v>
      </c>
      <c r="Q120" s="21">
        <f t="shared" si="158"/>
        <v>513.41417999999999</v>
      </c>
      <c r="R120" s="18"/>
      <c r="S120" s="20">
        <v>28.62</v>
      </c>
    </row>
    <row r="121" spans="2:19" s="11" customFormat="1" ht="13.5" customHeight="1">
      <c r="B121" s="19" t="s">
        <v>186</v>
      </c>
      <c r="C121" s="20">
        <v>89.25</v>
      </c>
      <c r="D121" s="20">
        <v>166.482</v>
      </c>
      <c r="E121" s="20">
        <v>852.99699999999996</v>
      </c>
      <c r="F121" s="20">
        <v>547.31299999999999</v>
      </c>
      <c r="G121" s="21">
        <f t="shared" si="155"/>
        <v>439.25435399999998</v>
      </c>
      <c r="I121" s="20">
        <v>167.51400000000001</v>
      </c>
      <c r="J121" s="20">
        <v>145.148</v>
      </c>
      <c r="K121" s="20">
        <v>757.44500000000005</v>
      </c>
      <c r="L121" s="21">
        <f t="shared" si="156"/>
        <v>852.99699999999996</v>
      </c>
      <c r="M121" s="20">
        <v>871.21400000000006</v>
      </c>
      <c r="N121" s="20">
        <v>498.66899999999998</v>
      </c>
      <c r="O121" s="20">
        <v>523.83699999999999</v>
      </c>
      <c r="P121" s="21">
        <f t="shared" si="157"/>
        <v>547.31299999999999</v>
      </c>
      <c r="Q121" s="21">
        <f t="shared" si="158"/>
        <v>439.25435399999998</v>
      </c>
      <c r="R121" s="18"/>
      <c r="S121" s="20">
        <v>24.486000000000001</v>
      </c>
    </row>
    <row r="122" spans="2:19" s="11" customFormat="1" ht="13.5" customHeight="1">
      <c r="B122" s="11" t="s">
        <v>187</v>
      </c>
      <c r="C122" s="24">
        <f t="shared" ref="C122:G122" si="159">+C119+C120-C121</f>
        <v>-17.888999999999996</v>
      </c>
      <c r="D122" s="24">
        <f t="shared" si="159"/>
        <v>-65.953999999999994</v>
      </c>
      <c r="E122" s="24">
        <f t="shared" si="159"/>
        <v>-352.77899999999994</v>
      </c>
      <c r="F122" s="24">
        <f t="shared" ref="F122" si="160">+F119+F120-F121</f>
        <v>136.60199999999998</v>
      </c>
      <c r="G122" s="24">
        <f t="shared" si="159"/>
        <v>74.15982600000001</v>
      </c>
      <c r="I122" s="24">
        <f t="shared" ref="I122:K122" si="161">+I119+I120-I121</f>
        <v>-41.277000000000015</v>
      </c>
      <c r="J122" s="24">
        <f t="shared" si="161"/>
        <v>-68.694999999999993</v>
      </c>
      <c r="K122" s="24">
        <f t="shared" si="161"/>
        <v>-369.41</v>
      </c>
      <c r="L122" s="24">
        <f t="shared" ref="L122:O122" si="162">+L119+L120-L121</f>
        <v>-352.77899999999994</v>
      </c>
      <c r="M122" s="24">
        <f t="shared" si="162"/>
        <v>-293.62400000000002</v>
      </c>
      <c r="N122" s="24">
        <f t="shared" si="162"/>
        <v>8.3540000000000418</v>
      </c>
      <c r="O122" s="24">
        <f t="shared" si="162"/>
        <v>6.7989999999999782</v>
      </c>
      <c r="P122" s="24">
        <f t="shared" ref="P122:Q122" si="163">+P119+P120-P121</f>
        <v>136.60199999999998</v>
      </c>
      <c r="Q122" s="24">
        <f t="shared" si="163"/>
        <v>74.15982600000001</v>
      </c>
      <c r="S122" s="24">
        <f t="shared" ref="S122" si="164">+S119+S120-S121</f>
        <v>4.1340000000000003</v>
      </c>
    </row>
    <row r="123" spans="2:19" s="22" customFormat="1" ht="13.5" customHeight="1">
      <c r="B123" s="38" t="s">
        <v>188</v>
      </c>
      <c r="C123" s="30">
        <f t="shared" ref="C123:G123" si="165">+C122/C106</f>
        <v>-3.2273026666515114E-3</v>
      </c>
      <c r="D123" s="30">
        <f t="shared" si="165"/>
        <v>-1.1764181266209324E-2</v>
      </c>
      <c r="E123" s="30">
        <f t="shared" si="165"/>
        <v>-4.1836990394115335E-2</v>
      </c>
      <c r="F123" s="30">
        <f t="shared" ref="F123" si="166">+F122/F106</f>
        <v>1.0963673531302592E-2</v>
      </c>
      <c r="G123" s="30">
        <f t="shared" si="165"/>
        <v>6.001152868791269E-3</v>
      </c>
      <c r="H123" s="11"/>
      <c r="I123" s="30"/>
      <c r="J123" s="23"/>
      <c r="K123" s="23"/>
      <c r="L123" s="30">
        <f t="shared" ref="L123:O123" si="167">+L122/L106</f>
        <v>-4.1836990394115335E-2</v>
      </c>
      <c r="M123" s="23">
        <f t="shared" si="167"/>
        <v>-2.8919218756401896E-2</v>
      </c>
      <c r="N123" s="23">
        <f t="shared" si="167"/>
        <v>7.0836849101655285E-4</v>
      </c>
      <c r="O123" s="23">
        <f t="shared" si="167"/>
        <v>5.4499582175213698E-4</v>
      </c>
      <c r="P123" s="30">
        <f t="shared" ref="P123:Q123" si="168">+P122/P106</f>
        <v>1.0963673531302594E-2</v>
      </c>
      <c r="Q123" s="23">
        <f t="shared" si="168"/>
        <v>6.0011528687912699E-3</v>
      </c>
      <c r="S123" s="23"/>
    </row>
    <row r="124" spans="2:19" s="22" customFormat="1" ht="13.5" customHeight="1">
      <c r="B124" s="67"/>
      <c r="C124" s="31"/>
      <c r="D124" s="31"/>
      <c r="E124" s="31"/>
      <c r="F124" s="31"/>
      <c r="G124" s="31"/>
      <c r="I124" s="39"/>
      <c r="J124" s="39"/>
      <c r="K124" s="31"/>
      <c r="L124" s="31"/>
      <c r="M124" s="39"/>
      <c r="N124" s="31"/>
      <c r="O124" s="31"/>
      <c r="P124" s="31"/>
      <c r="Q124" s="39"/>
    </row>
    <row r="125" spans="2:19" s="11" customFormat="1" ht="13.5" customHeight="1">
      <c r="B125" s="22" t="s">
        <v>189</v>
      </c>
      <c r="C125" s="240"/>
      <c r="D125" s="240"/>
      <c r="E125" s="240"/>
      <c r="F125" s="240"/>
      <c r="G125" s="240"/>
      <c r="H125" s="81"/>
      <c r="I125" s="240"/>
      <c r="J125" s="240"/>
      <c r="K125" s="240"/>
      <c r="L125" s="240"/>
      <c r="M125" s="240"/>
      <c r="N125" s="240"/>
      <c r="O125" s="240"/>
      <c r="P125" s="240"/>
      <c r="Q125" s="240"/>
    </row>
    <row r="126" spans="2:19" s="11" customFormat="1" ht="13.5" customHeight="1">
      <c r="B126" s="22" t="s">
        <v>190</v>
      </c>
      <c r="C126" s="241">
        <f t="shared" ref="C126" si="169">C120/C106*365</f>
        <v>4.6990214177508687</v>
      </c>
      <c r="D126" s="241">
        <f t="shared" ref="D126:E126" si="170">D120/D106*365</f>
        <v>6.5448617101353106</v>
      </c>
      <c r="E126" s="241">
        <f t="shared" si="170"/>
        <v>21.652591895355762</v>
      </c>
      <c r="F126" s="241">
        <f t="shared" ref="F126" si="171">F120/F106*365</f>
        <v>20.035216071900098</v>
      </c>
      <c r="G126" s="241">
        <f t="shared" ref="G126" si="172">G120/G106*365</f>
        <v>15.164451672291783</v>
      </c>
      <c r="H126" s="81"/>
      <c r="I126" s="240"/>
      <c r="J126" s="240"/>
      <c r="K126" s="240"/>
      <c r="L126" s="241">
        <f>L120/L106*365</f>
        <v>21.652591895355762</v>
      </c>
      <c r="M126" s="241">
        <f t="shared" ref="M126:O126" si="173">M120/M106*365</f>
        <v>20.763833405822457</v>
      </c>
      <c r="N126" s="241">
        <f t="shared" si="173"/>
        <v>15.692252556685377</v>
      </c>
      <c r="O126" s="241">
        <f t="shared" si="173"/>
        <v>15.525217980293096</v>
      </c>
      <c r="P126" s="241">
        <f>P120/P106*365</f>
        <v>20.035216071900102</v>
      </c>
      <c r="Q126" s="241">
        <f t="shared" ref="Q126" si="174">Q120/Q106*365</f>
        <v>15.164451672291783</v>
      </c>
    </row>
    <row r="127" spans="2:19" s="11" customFormat="1" ht="13.5" customHeight="1">
      <c r="B127" s="22" t="s">
        <v>191</v>
      </c>
      <c r="C127" s="241">
        <f>-C121/SUM(C13,C14,C15,C16,C17)*365</f>
        <v>45.270759477311287</v>
      </c>
      <c r="D127" s="241">
        <f>-D121/SUM(D13,D14,D15,D16,D17)*365</f>
        <v>75.613465747680252</v>
      </c>
      <c r="E127" s="241">
        <f>-E121/SUM(E13,E14,E15,E16,E17)*365</f>
        <v>243.40571801597196</v>
      </c>
      <c r="F127" s="241">
        <f>-F121/SUM(F13,F14,F15,F16,F17)*365</f>
        <v>123.60030799652527</v>
      </c>
      <c r="G127" s="241">
        <f>-G121/SUM(G13,G14,G15,G16,G17)*365</f>
        <v>96.145146554543544</v>
      </c>
      <c r="H127" s="81"/>
      <c r="I127" s="240"/>
      <c r="J127" s="240"/>
      <c r="K127" s="240"/>
      <c r="L127" s="241">
        <f>-L121/SUM(L13,L14,L15,L16,L17)*365/4</f>
        <v>161.48542790456429</v>
      </c>
      <c r="M127" s="241">
        <f>-M121/SUM(M13,M14,M15,M16,M17)*365/4</f>
        <v>250.36698453989743</v>
      </c>
      <c r="N127" s="241">
        <f>-N121/SUM(N13,N14,N15,N16,N17)*365/4</f>
        <v>105.91703327397786</v>
      </c>
      <c r="O127" s="241">
        <f>-O121/SUM(O13,O14,O15,O16,O17)*365/4</f>
        <v>122.46049186459695</v>
      </c>
      <c r="P127" s="241">
        <f>-P121/SUM(P13,P14,P15,P16,P17)*365/4</f>
        <v>104.31182497561505</v>
      </c>
      <c r="Q127" s="241">
        <f>-Q121/SUM(Q13,Q14,Q15,Q16,Q17)*365/4</f>
        <v>108.67167201889559</v>
      </c>
    </row>
    <row r="128" spans="2:19" ht="13.5" customHeight="1">
      <c r="C128" s="36"/>
      <c r="D128" s="36"/>
      <c r="E128" s="36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</row>
    <row r="129" spans="2:19" ht="13.5" customHeight="1">
      <c r="B129" s="6" t="s">
        <v>192</v>
      </c>
      <c r="C129" s="36"/>
      <c r="D129" s="36"/>
      <c r="E129" s="36"/>
      <c r="F129" s="11"/>
      <c r="R129" s="22"/>
    </row>
    <row r="130" spans="2:19" s="11" customFormat="1" ht="13.5" customHeight="1">
      <c r="B130" s="94" t="s">
        <v>193</v>
      </c>
      <c r="C130" s="24">
        <f>SUM(C131:C131)</f>
        <v>115.685</v>
      </c>
      <c r="D130" s="24">
        <f>SUM(D131:D131)</f>
        <v>62.219000000000001</v>
      </c>
      <c r="E130" s="24">
        <f>SUM(E131:E131)</f>
        <v>11025.183999999999</v>
      </c>
      <c r="F130" s="24">
        <f>SUM(F131:F131)</f>
        <v>8408.39</v>
      </c>
      <c r="G130" s="24">
        <f>SUM(G131:G131)</f>
        <v>8209.3886919999986</v>
      </c>
      <c r="H130" s="18"/>
      <c r="I130" s="24">
        <f t="shared" ref="I130:S130" si="175">SUM(I131:I131)</f>
        <v>70.781000000000006</v>
      </c>
      <c r="J130" s="24">
        <f t="shared" si="175"/>
        <v>43.517000000000003</v>
      </c>
      <c r="K130" s="24">
        <f t="shared" si="175"/>
        <v>5534.3850000000002</v>
      </c>
      <c r="L130" s="24">
        <f t="shared" si="175"/>
        <v>11025.183999999999</v>
      </c>
      <c r="M130" s="24">
        <f t="shared" si="175"/>
        <v>11995.563</v>
      </c>
      <c r="N130" s="24">
        <f t="shared" si="175"/>
        <v>7439.3860000000004</v>
      </c>
      <c r="O130" s="24">
        <f t="shared" si="175"/>
        <v>12312.09</v>
      </c>
      <c r="P130" s="24">
        <f t="shared" si="175"/>
        <v>8408.39</v>
      </c>
      <c r="Q130" s="24">
        <f t="shared" si="175"/>
        <v>8209.3886919999986</v>
      </c>
      <c r="S130" s="24">
        <f t="shared" si="175"/>
        <v>457.62799999999999</v>
      </c>
    </row>
    <row r="131" spans="2:19" ht="13.5" customHeight="1">
      <c r="B131" s="93" t="s">
        <v>194</v>
      </c>
      <c r="C131" s="20">
        <v>115.685</v>
      </c>
      <c r="D131" s="20">
        <v>62.219000000000001</v>
      </c>
      <c r="E131" s="20">
        <v>11025.183999999999</v>
      </c>
      <c r="F131" s="20">
        <v>8408.39</v>
      </c>
      <c r="G131" s="21">
        <f>Q131</f>
        <v>8209.3886919999986</v>
      </c>
      <c r="H131" s="18"/>
      <c r="I131" s="20">
        <f>70.781</f>
        <v>70.781000000000006</v>
      </c>
      <c r="J131" s="20">
        <v>43.517000000000003</v>
      </c>
      <c r="K131" s="20">
        <v>5534.3850000000002</v>
      </c>
      <c r="L131" s="21">
        <f t="shared" ref="L131" si="176">E131</f>
        <v>11025.183999999999</v>
      </c>
      <c r="M131" s="20">
        <v>11995.563</v>
      </c>
      <c r="N131" s="20">
        <v>7439.3860000000004</v>
      </c>
      <c r="O131" s="20">
        <f>12312.09</f>
        <v>12312.09</v>
      </c>
      <c r="P131" s="21">
        <f>F131</f>
        <v>8408.39</v>
      </c>
      <c r="Q131" s="21">
        <f>S131/$Q$240</f>
        <v>8209.3886919999986</v>
      </c>
      <c r="S131" s="20">
        <v>457.62799999999999</v>
      </c>
    </row>
    <row r="132" spans="2:19" ht="13.5" customHeight="1">
      <c r="B132" s="93"/>
      <c r="C132" s="20"/>
      <c r="D132" s="20"/>
      <c r="E132" s="20"/>
      <c r="F132" s="20"/>
      <c r="G132" s="21"/>
      <c r="I132" s="20"/>
      <c r="J132" s="20"/>
      <c r="K132" s="20"/>
      <c r="L132" s="21"/>
      <c r="M132" s="20"/>
      <c r="N132" s="20"/>
      <c r="O132" s="20"/>
      <c r="P132" s="21"/>
      <c r="Q132" s="20"/>
      <c r="S132" s="20"/>
    </row>
    <row r="133" spans="2:19" s="11" customFormat="1" ht="13.5" customHeight="1">
      <c r="B133" s="94" t="s">
        <v>195</v>
      </c>
      <c r="C133" s="24">
        <f>SUM(C134:C134)</f>
        <v>17785.094000000001</v>
      </c>
      <c r="D133" s="24">
        <f>SUM(D134:D134)</f>
        <v>15473.071</v>
      </c>
      <c r="E133" s="24">
        <f>SUM(E134:E134)</f>
        <v>35397.332000000002</v>
      </c>
      <c r="F133" s="24">
        <f>SUM(F134:F134)</f>
        <v>35525.101000000002</v>
      </c>
      <c r="G133" s="24">
        <f>SUM(G134:G134)</f>
        <v>36002.389025999997</v>
      </c>
      <c r="H133" s="24"/>
      <c r="I133" s="24">
        <f t="shared" ref="I133:S133" si="177">SUM(I134:I134)</f>
        <v>15279.814</v>
      </c>
      <c r="J133" s="24">
        <f t="shared" si="177"/>
        <v>16818.875</v>
      </c>
      <c r="K133" s="24">
        <f t="shared" si="177"/>
        <v>37034.296999999999</v>
      </c>
      <c r="L133" s="24">
        <f t="shared" si="177"/>
        <v>35397.332000000002</v>
      </c>
      <c r="M133" s="24">
        <f t="shared" si="177"/>
        <v>33234.360999999997</v>
      </c>
      <c r="N133" s="24">
        <f t="shared" si="177"/>
        <v>34681.436999999998</v>
      </c>
      <c r="O133" s="24">
        <f t="shared" si="177"/>
        <v>28474.956999999999</v>
      </c>
      <c r="P133" s="24">
        <f t="shared" si="177"/>
        <v>35525.101000000002</v>
      </c>
      <c r="Q133" s="24">
        <f t="shared" si="177"/>
        <v>36002.389025999997</v>
      </c>
      <c r="S133" s="24">
        <f t="shared" si="177"/>
        <v>2006.934</v>
      </c>
    </row>
    <row r="134" spans="2:19" ht="13.5" customHeight="1">
      <c r="B134" s="93" t="s">
        <v>196</v>
      </c>
      <c r="C134" s="20">
        <v>17785.094000000001</v>
      </c>
      <c r="D134" s="20">
        <v>15473.071</v>
      </c>
      <c r="E134" s="20">
        <v>35397.332000000002</v>
      </c>
      <c r="F134" s="20">
        <v>35525.101000000002</v>
      </c>
      <c r="G134" s="21">
        <f>Q134</f>
        <v>36002.389025999997</v>
      </c>
      <c r="I134" s="20">
        <f>15279.814</f>
        <v>15279.814</v>
      </c>
      <c r="J134" s="20">
        <v>16818.875</v>
      </c>
      <c r="K134" s="20">
        <v>37034.296999999999</v>
      </c>
      <c r="L134" s="21">
        <f t="shared" ref="L134" si="178">E134</f>
        <v>35397.332000000002</v>
      </c>
      <c r="M134" s="20">
        <v>33234.360999999997</v>
      </c>
      <c r="N134" s="20">
        <v>34681.436999999998</v>
      </c>
      <c r="O134" s="20">
        <v>28474.956999999999</v>
      </c>
      <c r="P134" s="21">
        <f>F134</f>
        <v>35525.101000000002</v>
      </c>
      <c r="Q134" s="21">
        <f>S134/$Q$240</f>
        <v>36002.389025999997</v>
      </c>
      <c r="S134" s="20">
        <v>2006.934</v>
      </c>
    </row>
    <row r="135" spans="2:19" ht="13.5" customHeight="1">
      <c r="B135" s="93"/>
      <c r="C135" s="20"/>
      <c r="D135" s="20"/>
      <c r="E135" s="20"/>
      <c r="F135" s="20"/>
      <c r="G135" s="21"/>
      <c r="H135" s="21"/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</row>
    <row r="136" spans="2:19" ht="13.5" customHeight="1">
      <c r="B136" s="6" t="s">
        <v>72</v>
      </c>
      <c r="C136" s="24">
        <f>SUM(C130,C133)</f>
        <v>17900.779000000002</v>
      </c>
      <c r="D136" s="24">
        <f>SUM(D130,D133)</f>
        <v>15535.289999999999</v>
      </c>
      <c r="E136" s="24">
        <f>SUM(E130,E133)</f>
        <v>46422.516000000003</v>
      </c>
      <c r="F136" s="24">
        <f>SUM(F130,F133)</f>
        <v>43933.491000000002</v>
      </c>
      <c r="G136" s="24">
        <f>SUM(G130,G133)</f>
        <v>44211.777717999998</v>
      </c>
      <c r="H136" s="24"/>
      <c r="I136" s="24">
        <f t="shared" ref="I136:O136" si="179">SUM(I130,I133)</f>
        <v>15350.595000000001</v>
      </c>
      <c r="J136" s="24">
        <f t="shared" si="179"/>
        <v>16862.392</v>
      </c>
      <c r="K136" s="24">
        <f t="shared" si="179"/>
        <v>42568.682000000001</v>
      </c>
      <c r="L136" s="24">
        <f t="shared" si="179"/>
        <v>46422.516000000003</v>
      </c>
      <c r="M136" s="24">
        <f t="shared" si="179"/>
        <v>45229.923999999999</v>
      </c>
      <c r="N136" s="24">
        <f t="shared" si="179"/>
        <v>42120.822999999997</v>
      </c>
      <c r="O136" s="24">
        <f t="shared" si="179"/>
        <v>40787.046999999999</v>
      </c>
      <c r="P136" s="24">
        <f t="shared" ref="P136:Q136" si="180">SUM(P130,P133)</f>
        <v>43933.491000000002</v>
      </c>
      <c r="Q136" s="24">
        <f t="shared" si="180"/>
        <v>44211.777717999998</v>
      </c>
      <c r="S136" s="24">
        <f t="shared" ref="S136" si="181">SUM(S130,S133)</f>
        <v>2464.5619999999999</v>
      </c>
    </row>
    <row r="137" spans="2:19" ht="13.5" customHeight="1">
      <c r="C137" s="20"/>
      <c r="D137" s="20"/>
      <c r="E137" s="20"/>
      <c r="F137" s="20"/>
      <c r="G137" s="20"/>
      <c r="I137" s="20"/>
      <c r="J137" s="20"/>
      <c r="K137" s="20"/>
      <c r="L137" s="36"/>
      <c r="M137" s="20"/>
      <c r="N137" s="20"/>
      <c r="O137" s="20"/>
      <c r="P137" s="36"/>
      <c r="Q137" s="20"/>
      <c r="S137" s="20"/>
    </row>
    <row r="138" spans="2:19" ht="13.5" customHeight="1">
      <c r="B138" s="6" t="s">
        <v>197</v>
      </c>
      <c r="C138" s="20"/>
      <c r="D138" s="20"/>
      <c r="E138" s="20"/>
      <c r="F138" s="20"/>
      <c r="G138" s="21"/>
      <c r="I138" s="20"/>
      <c r="J138" s="20"/>
      <c r="K138" s="20"/>
      <c r="L138" s="36"/>
      <c r="M138" s="20"/>
      <c r="N138" s="20"/>
      <c r="O138" s="20"/>
      <c r="P138" s="36"/>
      <c r="Q138" s="20"/>
      <c r="S138" s="20"/>
    </row>
    <row r="139" spans="2:19" ht="13.5" customHeight="1">
      <c r="B139" s="7" t="s">
        <v>198</v>
      </c>
      <c r="C139" s="20">
        <v>0</v>
      </c>
      <c r="D139" s="20">
        <v>0</v>
      </c>
      <c r="E139" s="20">
        <v>0</v>
      </c>
      <c r="F139" s="20">
        <v>0</v>
      </c>
      <c r="G139" s="21">
        <f t="shared" ref="G139:G140" si="182">Q139</f>
        <v>0</v>
      </c>
      <c r="I139" s="20">
        <v>0</v>
      </c>
      <c r="J139" s="20">
        <v>0</v>
      </c>
      <c r="K139" s="20">
        <v>0</v>
      </c>
      <c r="L139" s="21">
        <f t="shared" ref="L139:L140" si="183">E139</f>
        <v>0</v>
      </c>
      <c r="M139" s="20">
        <v>0</v>
      </c>
      <c r="N139" s="20">
        <v>0</v>
      </c>
      <c r="O139" s="20">
        <v>0</v>
      </c>
      <c r="P139" s="21">
        <f t="shared" ref="P139:P140" si="184">F139</f>
        <v>0</v>
      </c>
      <c r="Q139" s="21">
        <f t="shared" ref="Q139:Q140" si="185">S139/$Q$240</f>
        <v>0</v>
      </c>
      <c r="S139" s="20">
        <v>0</v>
      </c>
    </row>
    <row r="140" spans="2:19" ht="13.5" customHeight="1">
      <c r="B140" s="7" t="s">
        <v>199</v>
      </c>
      <c r="C140" s="20">
        <v>0</v>
      </c>
      <c r="D140" s="20">
        <v>0</v>
      </c>
      <c r="E140" s="20">
        <v>0</v>
      </c>
      <c r="F140" s="20">
        <v>0</v>
      </c>
      <c r="G140" s="21">
        <f t="shared" si="182"/>
        <v>0</v>
      </c>
      <c r="I140" s="20">
        <v>0</v>
      </c>
      <c r="J140" s="20">
        <v>0</v>
      </c>
      <c r="K140" s="20">
        <v>0</v>
      </c>
      <c r="L140" s="21">
        <f t="shared" si="183"/>
        <v>0</v>
      </c>
      <c r="M140" s="20">
        <v>0</v>
      </c>
      <c r="N140" s="20">
        <v>0</v>
      </c>
      <c r="O140" s="20">
        <v>0</v>
      </c>
      <c r="P140" s="21">
        <f t="shared" si="184"/>
        <v>0</v>
      </c>
      <c r="Q140" s="21">
        <f t="shared" si="185"/>
        <v>0</v>
      </c>
      <c r="S140" s="20">
        <v>0</v>
      </c>
    </row>
    <row r="141" spans="2:19" ht="13.5" customHeight="1">
      <c r="B141" s="6" t="s">
        <v>200</v>
      </c>
      <c r="C141" s="24">
        <f t="shared" ref="C141:O141" si="186">SUM(C139:C140)</f>
        <v>0</v>
      </c>
      <c r="D141" s="24">
        <f t="shared" ref="D141:E141" si="187">SUM(D139:D140)</f>
        <v>0</v>
      </c>
      <c r="E141" s="24">
        <f t="shared" si="187"/>
        <v>0</v>
      </c>
      <c r="F141" s="24">
        <f t="shared" ref="F141" si="188">SUM(F139:F140)</f>
        <v>0</v>
      </c>
      <c r="G141" s="24">
        <f t="shared" si="186"/>
        <v>0</v>
      </c>
      <c r="H141" s="24"/>
      <c r="I141" s="24">
        <f t="shared" si="186"/>
        <v>0</v>
      </c>
      <c r="J141" s="24">
        <f t="shared" si="186"/>
        <v>0</v>
      </c>
      <c r="K141" s="24">
        <f t="shared" si="186"/>
        <v>0</v>
      </c>
      <c r="L141" s="24">
        <f t="shared" si="186"/>
        <v>0</v>
      </c>
      <c r="M141" s="24">
        <f t="shared" si="186"/>
        <v>0</v>
      </c>
      <c r="N141" s="24">
        <f t="shared" si="186"/>
        <v>0</v>
      </c>
      <c r="O141" s="24">
        <f t="shared" si="186"/>
        <v>0</v>
      </c>
      <c r="P141" s="24">
        <f t="shared" ref="P141" si="189">SUM(P139:P140)</f>
        <v>0</v>
      </c>
      <c r="Q141" s="24">
        <f t="shared" ref="Q141:S141" si="190">SUM(Q139:Q140)</f>
        <v>0</v>
      </c>
      <c r="S141" s="24">
        <f t="shared" si="190"/>
        <v>0</v>
      </c>
    </row>
    <row r="142" spans="2:19" ht="13.5" customHeight="1">
      <c r="B142" s="11"/>
      <c r="C142" s="76"/>
      <c r="D142" s="76"/>
      <c r="E142" s="76"/>
      <c r="F142" s="76"/>
      <c r="G142" s="21"/>
      <c r="I142" s="76"/>
      <c r="J142" s="76"/>
      <c r="K142" s="76"/>
      <c r="L142" s="36"/>
      <c r="M142" s="76"/>
      <c r="N142" s="76"/>
      <c r="O142" s="76"/>
      <c r="P142" s="36"/>
      <c r="Q142" s="76"/>
      <c r="S142" s="76"/>
    </row>
    <row r="143" spans="2:19" ht="13.5" customHeight="1">
      <c r="B143" s="6" t="s">
        <v>201</v>
      </c>
      <c r="C143" s="20"/>
      <c r="D143" s="20"/>
      <c r="E143" s="20"/>
      <c r="F143" s="20"/>
      <c r="G143" s="20"/>
      <c r="I143" s="20"/>
      <c r="J143" s="20"/>
      <c r="K143" s="20"/>
      <c r="L143" s="36"/>
      <c r="M143" s="20"/>
      <c r="N143" s="20"/>
      <c r="O143" s="20"/>
      <c r="P143" s="36"/>
      <c r="Q143" s="20"/>
      <c r="S143" s="20"/>
    </row>
    <row r="144" spans="2:19" ht="13.5" customHeight="1">
      <c r="B144" s="7" t="s">
        <v>193</v>
      </c>
      <c r="C144" s="21">
        <f>C130+C139</f>
        <v>115.685</v>
      </c>
      <c r="D144" s="21">
        <f>D130+D139</f>
        <v>62.219000000000001</v>
      </c>
      <c r="E144" s="21">
        <f>E130+E139</f>
        <v>11025.183999999999</v>
      </c>
      <c r="F144" s="21">
        <f>F130+F139</f>
        <v>8408.39</v>
      </c>
      <c r="G144" s="21">
        <f>G130+G139</f>
        <v>8209.3886919999986</v>
      </c>
      <c r="I144" s="21">
        <f t="shared" ref="I144:O144" si="191">I130+I139</f>
        <v>70.781000000000006</v>
      </c>
      <c r="J144" s="21">
        <f t="shared" si="191"/>
        <v>43.517000000000003</v>
      </c>
      <c r="K144" s="21">
        <f t="shared" si="191"/>
        <v>5534.3850000000002</v>
      </c>
      <c r="L144" s="21">
        <f t="shared" si="191"/>
        <v>11025.183999999999</v>
      </c>
      <c r="M144" s="21">
        <f t="shared" si="191"/>
        <v>11995.563</v>
      </c>
      <c r="N144" s="21">
        <f t="shared" si="191"/>
        <v>7439.3860000000004</v>
      </c>
      <c r="O144" s="21">
        <f t="shared" si="191"/>
        <v>12312.09</v>
      </c>
      <c r="P144" s="21">
        <f t="shared" ref="P144:Q144" si="192">P130+P139</f>
        <v>8408.39</v>
      </c>
      <c r="Q144" s="21">
        <f t="shared" si="192"/>
        <v>8209.3886919999986</v>
      </c>
      <c r="S144" s="21">
        <f t="shared" ref="S144" si="193">S130+S139</f>
        <v>457.62799999999999</v>
      </c>
    </row>
    <row r="145" spans="2:21" ht="13.5" customHeight="1">
      <c r="B145" s="7" t="s">
        <v>195</v>
      </c>
      <c r="C145" s="21">
        <f>C133+C140</f>
        <v>17785.094000000001</v>
      </c>
      <c r="D145" s="21">
        <f>D133+D140</f>
        <v>15473.071</v>
      </c>
      <c r="E145" s="21">
        <f>E133+E140</f>
        <v>35397.332000000002</v>
      </c>
      <c r="F145" s="21">
        <f>F133+F140</f>
        <v>35525.101000000002</v>
      </c>
      <c r="G145" s="21">
        <f>G133+G140</f>
        <v>36002.389025999997</v>
      </c>
      <c r="I145" s="21">
        <f t="shared" ref="I145:O145" si="194">I133+I140</f>
        <v>15279.814</v>
      </c>
      <c r="J145" s="21">
        <f t="shared" si="194"/>
        <v>16818.875</v>
      </c>
      <c r="K145" s="21">
        <f t="shared" si="194"/>
        <v>37034.296999999999</v>
      </c>
      <c r="L145" s="21">
        <f t="shared" si="194"/>
        <v>35397.332000000002</v>
      </c>
      <c r="M145" s="21">
        <f t="shared" si="194"/>
        <v>33234.360999999997</v>
      </c>
      <c r="N145" s="21">
        <f t="shared" si="194"/>
        <v>34681.436999999998</v>
      </c>
      <c r="O145" s="21">
        <f t="shared" si="194"/>
        <v>28474.956999999999</v>
      </c>
      <c r="P145" s="21">
        <f t="shared" ref="P145:Q145" si="195">P133+P140</f>
        <v>35525.101000000002</v>
      </c>
      <c r="Q145" s="21">
        <f t="shared" si="195"/>
        <v>36002.389025999997</v>
      </c>
      <c r="S145" s="21">
        <f t="shared" ref="S145" si="196">S133+S140</f>
        <v>2006.934</v>
      </c>
    </row>
    <row r="146" spans="2:21" s="11" customFormat="1" ht="13.5" customHeight="1">
      <c r="B146" s="11" t="s">
        <v>202</v>
      </c>
      <c r="C146" s="24">
        <f t="shared" ref="C146:O146" si="197">SUM(C144:C145)</f>
        <v>17900.779000000002</v>
      </c>
      <c r="D146" s="24">
        <f t="shared" ref="D146:E146" si="198">SUM(D144:D145)</f>
        <v>15535.289999999999</v>
      </c>
      <c r="E146" s="24">
        <f t="shared" si="198"/>
        <v>46422.516000000003</v>
      </c>
      <c r="F146" s="24">
        <f t="shared" ref="F146" si="199">SUM(F144:F145)</f>
        <v>43933.491000000002</v>
      </c>
      <c r="G146" s="24">
        <f t="shared" si="197"/>
        <v>44211.777717999998</v>
      </c>
      <c r="H146"/>
      <c r="I146" s="24">
        <f t="shared" si="197"/>
        <v>15350.595000000001</v>
      </c>
      <c r="J146" s="24">
        <f t="shared" si="197"/>
        <v>16862.392</v>
      </c>
      <c r="K146" s="24">
        <f t="shared" si="197"/>
        <v>42568.682000000001</v>
      </c>
      <c r="L146" s="24">
        <f t="shared" si="197"/>
        <v>46422.516000000003</v>
      </c>
      <c r="M146" s="24">
        <f t="shared" si="197"/>
        <v>45229.923999999999</v>
      </c>
      <c r="N146" s="24">
        <f t="shared" si="197"/>
        <v>42120.822999999997</v>
      </c>
      <c r="O146" s="24">
        <f t="shared" si="197"/>
        <v>40787.046999999999</v>
      </c>
      <c r="P146" s="24">
        <f t="shared" ref="P146:Q146" si="200">SUM(P144:P145)</f>
        <v>43933.491000000002</v>
      </c>
      <c r="Q146" s="24">
        <f t="shared" si="200"/>
        <v>44211.777717999998</v>
      </c>
      <c r="S146" s="24">
        <f t="shared" ref="S146" si="201">SUM(S144:S145)</f>
        <v>2464.5619999999999</v>
      </c>
    </row>
    <row r="147" spans="2:21" ht="13.5" customHeight="1">
      <c r="B147" s="108" t="s">
        <v>176</v>
      </c>
      <c r="C147" s="20">
        <v>2704.5770000000002</v>
      </c>
      <c r="D147" s="20">
        <v>3322.8150000000001</v>
      </c>
      <c r="E147" s="20">
        <v>2283.2739999999999</v>
      </c>
      <c r="F147" s="20">
        <v>2052.962</v>
      </c>
      <c r="G147" s="21">
        <f t="shared" ref="G147:G148" si="202">Q147</f>
        <v>1369.0327239999999</v>
      </c>
      <c r="I147" s="20">
        <v>12411.18</v>
      </c>
      <c r="J147" s="20">
        <v>13699.196</v>
      </c>
      <c r="K147" s="20">
        <v>1165.0809999999999</v>
      </c>
      <c r="L147" s="21">
        <f t="shared" ref="L147:L148" si="203">E147</f>
        <v>2283.2739999999999</v>
      </c>
      <c r="M147" s="20">
        <v>1662.5989999999999</v>
      </c>
      <c r="N147" s="20">
        <v>1828.088</v>
      </c>
      <c r="O147" s="20">
        <v>2179.0160000000001</v>
      </c>
      <c r="P147" s="21">
        <f>F147</f>
        <v>2052.962</v>
      </c>
      <c r="Q147" s="21">
        <f>S147/$Q$240</f>
        <v>1369.0327239999999</v>
      </c>
      <c r="S147" s="20">
        <v>76.316000000000003</v>
      </c>
    </row>
    <row r="148" spans="2:21" ht="13.5" customHeight="1">
      <c r="B148" s="108" t="s">
        <v>203</v>
      </c>
      <c r="C148" s="20">
        <v>0</v>
      </c>
      <c r="D148" s="20">
        <v>0</v>
      </c>
      <c r="E148" s="20">
        <v>0</v>
      </c>
      <c r="F148" s="20">
        <v>0</v>
      </c>
      <c r="G148" s="21">
        <f t="shared" si="202"/>
        <v>0</v>
      </c>
      <c r="I148" s="20">
        <v>0</v>
      </c>
      <c r="J148" s="20">
        <v>0</v>
      </c>
      <c r="K148" s="20">
        <v>0</v>
      </c>
      <c r="L148" s="21">
        <f t="shared" si="203"/>
        <v>0</v>
      </c>
      <c r="M148" s="20">
        <v>0</v>
      </c>
      <c r="N148" s="20">
        <v>0</v>
      </c>
      <c r="O148" s="20">
        <v>0</v>
      </c>
      <c r="P148" s="21">
        <f>F148</f>
        <v>0</v>
      </c>
      <c r="Q148" s="21">
        <f>S148/$Q$240</f>
        <v>0</v>
      </c>
      <c r="S148" s="20">
        <v>0</v>
      </c>
    </row>
    <row r="149" spans="2:21" ht="13.5" customHeight="1">
      <c r="B149" s="19" t="s">
        <v>204</v>
      </c>
      <c r="C149" s="21">
        <f t="shared" ref="C149" si="204">SUM(C147:C148)</f>
        <v>2704.5770000000002</v>
      </c>
      <c r="D149" s="21">
        <f t="shared" ref="D149:G149" si="205">SUM(D147:D148)</f>
        <v>3322.8150000000001</v>
      </c>
      <c r="E149" s="21">
        <f t="shared" si="205"/>
        <v>2283.2739999999999</v>
      </c>
      <c r="F149" s="21">
        <f t="shared" ref="F149" si="206">SUM(F147:F148)</f>
        <v>2052.962</v>
      </c>
      <c r="G149" s="21">
        <f t="shared" si="205"/>
        <v>1369.0327239999999</v>
      </c>
      <c r="I149" s="21">
        <f t="shared" ref="I149" si="207">SUM(I147:I148)</f>
        <v>12411.18</v>
      </c>
      <c r="J149" s="21">
        <f t="shared" ref="J149" si="208">SUM(J147:J148)</f>
        <v>13699.196</v>
      </c>
      <c r="K149" s="21">
        <f t="shared" ref="K149" si="209">SUM(K147:K148)</f>
        <v>1165.0809999999999</v>
      </c>
      <c r="L149" s="21">
        <f t="shared" ref="L149" si="210">SUM(L147:L148)</f>
        <v>2283.2739999999999</v>
      </c>
      <c r="M149" s="21">
        <f t="shared" ref="M149" si="211">SUM(M147:M148)</f>
        <v>1662.5989999999999</v>
      </c>
      <c r="N149" s="21">
        <f t="shared" ref="N149" si="212">SUM(N147:N148)</f>
        <v>1828.088</v>
      </c>
      <c r="O149" s="21">
        <f t="shared" ref="O149:Q149" si="213">SUM(O147:O148)</f>
        <v>2179.0160000000001</v>
      </c>
      <c r="P149" s="21">
        <f t="shared" si="213"/>
        <v>2052.962</v>
      </c>
      <c r="Q149" s="21">
        <f t="shared" si="213"/>
        <v>1369.0327239999999</v>
      </c>
      <c r="S149" s="21">
        <f t="shared" ref="S149" si="214">SUM(S147:S148)</f>
        <v>76.316000000000003</v>
      </c>
    </row>
    <row r="150" spans="2:21" ht="13.5" customHeight="1">
      <c r="B150" s="11" t="s">
        <v>205</v>
      </c>
      <c r="C150" s="24">
        <f t="shared" ref="C150:O150" si="215">C146-C149</f>
        <v>15196.202000000001</v>
      </c>
      <c r="D150" s="24">
        <f t="shared" ref="D150:E150" si="216">D146-D149</f>
        <v>12212.474999999999</v>
      </c>
      <c r="E150" s="24">
        <f t="shared" si="216"/>
        <v>44139.242000000006</v>
      </c>
      <c r="F150" s="24">
        <f t="shared" ref="F150" si="217">F146-F149</f>
        <v>41880.529000000002</v>
      </c>
      <c r="G150" s="24">
        <f t="shared" si="215"/>
        <v>42842.744994000001</v>
      </c>
      <c r="I150" s="24">
        <f t="shared" si="215"/>
        <v>2939.4150000000009</v>
      </c>
      <c r="J150" s="24">
        <f t="shared" si="215"/>
        <v>3163.1959999999999</v>
      </c>
      <c r="K150" s="24">
        <f t="shared" si="215"/>
        <v>41403.601000000002</v>
      </c>
      <c r="L150" s="24">
        <f t="shared" si="215"/>
        <v>44139.242000000006</v>
      </c>
      <c r="M150" s="24">
        <f t="shared" si="215"/>
        <v>43567.324999999997</v>
      </c>
      <c r="N150" s="24">
        <f t="shared" si="215"/>
        <v>40292.734999999993</v>
      </c>
      <c r="O150" s="24">
        <f t="shared" si="215"/>
        <v>38608.030999999995</v>
      </c>
      <c r="P150" s="24">
        <f t="shared" ref="P150:Q150" si="218">P146-P149</f>
        <v>41880.529000000002</v>
      </c>
      <c r="Q150" s="24">
        <f t="shared" si="218"/>
        <v>42842.744994000001</v>
      </c>
      <c r="S150" s="24">
        <f t="shared" ref="S150" si="219">S146-S149</f>
        <v>2388.2460000000001</v>
      </c>
    </row>
    <row r="151" spans="2:21" ht="13.5" customHeight="1">
      <c r="B151" s="11"/>
      <c r="C151" s="21"/>
      <c r="D151" s="21"/>
      <c r="E151" s="21"/>
      <c r="F151" s="21"/>
      <c r="G151" s="21"/>
      <c r="I151" s="21"/>
      <c r="J151" s="21"/>
      <c r="K151" s="21"/>
      <c r="L151" s="21"/>
      <c r="M151" s="21"/>
      <c r="N151" s="21"/>
      <c r="O151" s="21"/>
      <c r="P151" s="21"/>
      <c r="Q151" s="21"/>
      <c r="R151"/>
      <c r="S151" s="21"/>
      <c r="T151"/>
      <c r="U151"/>
    </row>
    <row r="152" spans="2:21" ht="13.5" customHeight="1">
      <c r="B152" s="11" t="s">
        <v>206</v>
      </c>
      <c r="C152" s="24">
        <f>C150</f>
        <v>15196.202000000001</v>
      </c>
      <c r="D152" s="24">
        <f>D150</f>
        <v>12212.474999999999</v>
      </c>
      <c r="E152" s="86">
        <v>44139.241999999998</v>
      </c>
      <c r="F152" s="86">
        <v>41924.002</v>
      </c>
      <c r="G152" s="24">
        <f>Q152</f>
        <v>42743.649958000002</v>
      </c>
      <c r="H152" s="111"/>
      <c r="I152" s="24">
        <f>I150</f>
        <v>2939.4150000000009</v>
      </c>
      <c r="J152" s="24">
        <f>J150</f>
        <v>3163.1959999999999</v>
      </c>
      <c r="K152" s="86">
        <v>41355.008000000002</v>
      </c>
      <c r="L152" s="24">
        <f>E152</f>
        <v>44139.241999999998</v>
      </c>
      <c r="M152" s="86">
        <v>43488.122000000003</v>
      </c>
      <c r="N152" s="86">
        <v>40242.875999999997</v>
      </c>
      <c r="O152" s="86">
        <v>38668.218999999997</v>
      </c>
      <c r="P152" s="24">
        <f>F152</f>
        <v>41924.002</v>
      </c>
      <c r="Q152" s="24">
        <f>S152/$Q$240</f>
        <v>42743.649958000002</v>
      </c>
      <c r="S152" s="86">
        <v>2382.7220000000002</v>
      </c>
    </row>
    <row r="153" spans="2:21" ht="13.5" customHeight="1">
      <c r="B153" s="18" t="s">
        <v>207</v>
      </c>
      <c r="C153" s="20">
        <v>59992.345999999998</v>
      </c>
      <c r="D153" s="20">
        <v>71475.02</v>
      </c>
      <c r="E153" s="20">
        <v>144450.223</v>
      </c>
      <c r="F153" s="20">
        <v>129500.163</v>
      </c>
      <c r="G153" s="21">
        <f>Q153</f>
        <v>130118.90405099999</v>
      </c>
      <c r="I153" s="20">
        <v>86071.986000000004</v>
      </c>
      <c r="J153" s="20">
        <v>94882.168000000005</v>
      </c>
      <c r="K153" s="20">
        <v>133905.573</v>
      </c>
      <c r="L153" s="21">
        <f t="shared" ref="L153" si="220">E153</f>
        <v>144450.223</v>
      </c>
      <c r="M153" s="121">
        <v>145651.74900000001</v>
      </c>
      <c r="N153" s="20">
        <v>135780.90299999999</v>
      </c>
      <c r="O153" s="20">
        <v>132984.769</v>
      </c>
      <c r="P153" s="21">
        <f>F153</f>
        <v>129500.163</v>
      </c>
      <c r="Q153" s="21">
        <f>S153/$Q$240</f>
        <v>130118.90405099999</v>
      </c>
      <c r="S153" s="121">
        <v>7253.4089999999997</v>
      </c>
    </row>
    <row r="154" spans="2:21" s="11" customFormat="1" ht="13.5" customHeight="1">
      <c r="B154" s="11" t="s">
        <v>208</v>
      </c>
      <c r="C154" s="24">
        <f t="shared" ref="C154:O154" si="221">+C146+C153</f>
        <v>77893.125</v>
      </c>
      <c r="D154" s="24">
        <f t="shared" si="221"/>
        <v>87010.31</v>
      </c>
      <c r="E154" s="24">
        <f t="shared" si="221"/>
        <v>190872.739</v>
      </c>
      <c r="F154" s="24">
        <f t="shared" ref="F154" si="222">+F146+F153</f>
        <v>173433.65400000001</v>
      </c>
      <c r="G154" s="24">
        <f t="shared" si="221"/>
        <v>174330.68176899999</v>
      </c>
      <c r="H154" s="24"/>
      <c r="I154" s="24">
        <f t="shared" si="221"/>
        <v>101422.58100000001</v>
      </c>
      <c r="J154" s="24">
        <f t="shared" si="221"/>
        <v>111744.56</v>
      </c>
      <c r="K154" s="24">
        <f t="shared" si="221"/>
        <v>176474.255</v>
      </c>
      <c r="L154" s="24">
        <f t="shared" si="221"/>
        <v>190872.739</v>
      </c>
      <c r="M154" s="24">
        <f t="shared" si="221"/>
        <v>190881.67300000001</v>
      </c>
      <c r="N154" s="24">
        <f t="shared" si="221"/>
        <v>177901.726</v>
      </c>
      <c r="O154" s="24">
        <f t="shared" si="221"/>
        <v>173771.81599999999</v>
      </c>
      <c r="P154" s="24">
        <f t="shared" ref="P154:Q154" si="223">+P146+P153</f>
        <v>173433.65400000001</v>
      </c>
      <c r="Q154" s="24">
        <f t="shared" si="223"/>
        <v>174330.68176899999</v>
      </c>
      <c r="S154" s="24">
        <f t="shared" ref="S154" si="224">+S146+S153</f>
        <v>9717.9709999999995</v>
      </c>
    </row>
    <row r="155" spans="2:21" s="11" customFormat="1" ht="13.5" customHeight="1">
      <c r="C155" s="24"/>
      <c r="D155" s="24"/>
      <c r="E155" s="24"/>
      <c r="F155" s="24"/>
      <c r="G155" s="24"/>
      <c r="I155" s="24"/>
      <c r="J155" s="24"/>
      <c r="K155" s="24"/>
      <c r="L155" s="24"/>
      <c r="M155" s="24"/>
      <c r="N155" s="24"/>
      <c r="O155" s="24"/>
      <c r="P155" s="24"/>
      <c r="Q155" s="24"/>
      <c r="S155" s="24"/>
    </row>
    <row r="156" spans="2:21" s="11" customFormat="1" ht="13.5" customHeight="1">
      <c r="B156" s="18" t="s">
        <v>209</v>
      </c>
      <c r="C156" s="85"/>
      <c r="D156" s="85"/>
      <c r="E156" s="86">
        <v>8181.7039999999997</v>
      </c>
      <c r="F156" s="86">
        <v>8731.9560000000001</v>
      </c>
      <c r="G156" s="24">
        <f>Q156</f>
        <v>9567.4427479999995</v>
      </c>
      <c r="I156" s="85"/>
      <c r="J156" s="85"/>
      <c r="K156" s="85"/>
      <c r="L156" s="86">
        <f>E156</f>
        <v>8181.7039999999997</v>
      </c>
      <c r="M156" s="86">
        <v>10212.56</v>
      </c>
      <c r="N156" s="86">
        <v>9572.8179999999993</v>
      </c>
      <c r="O156" s="86">
        <v>8724.4240000000009</v>
      </c>
      <c r="P156" s="86">
        <f>F156</f>
        <v>8731.9560000000001</v>
      </c>
      <c r="Q156" s="24">
        <f>S156/$Q$240</f>
        <v>9567.4427479999995</v>
      </c>
      <c r="S156" s="86">
        <v>533.33199999999999</v>
      </c>
    </row>
    <row r="157" spans="2:21" ht="13.5" customHeight="1"/>
    <row r="158" spans="2:21" ht="13.5" customHeight="1">
      <c r="B158" s="15" t="s">
        <v>210</v>
      </c>
      <c r="C158" s="29">
        <f>C3</f>
        <v>44926</v>
      </c>
      <c r="D158" s="29">
        <f>D3</f>
        <v>45291</v>
      </c>
      <c r="E158" s="29">
        <f>E3</f>
        <v>45657</v>
      </c>
      <c r="F158" s="29">
        <f>F3</f>
        <v>46022</v>
      </c>
      <c r="G158" s="29" t="str">
        <f>G2</f>
        <v>LTM</v>
      </c>
      <c r="I158" s="29">
        <f>I3</f>
        <v>45382</v>
      </c>
      <c r="J158" s="29">
        <f>J3</f>
        <v>45473</v>
      </c>
      <c r="K158" s="29">
        <f>K3</f>
        <v>45565</v>
      </c>
      <c r="L158" s="29">
        <f>L3</f>
        <v>45657</v>
      </c>
      <c r="M158" s="29">
        <f>M3</f>
        <v>45747</v>
      </c>
      <c r="N158" s="29">
        <f>N3</f>
        <v>45838</v>
      </c>
      <c r="O158" s="29">
        <f>O3</f>
        <v>45930</v>
      </c>
      <c r="P158" s="29">
        <f>P3</f>
        <v>46022</v>
      </c>
      <c r="Q158" s="29">
        <f>Q3</f>
        <v>46112</v>
      </c>
    </row>
    <row r="159" spans="2:21" ht="13.5" customHeight="1">
      <c r="B159" s="11"/>
    </row>
    <row r="160" spans="2:21" s="11" customFormat="1" ht="13.5" customHeight="1">
      <c r="B160" s="6" t="s">
        <v>211</v>
      </c>
      <c r="C160" s="40">
        <f>IF(C150&lt;0,"net cash", C150/C110)</f>
        <v>3.6616268963594578</v>
      </c>
      <c r="D160" s="40">
        <f>IF(D150&lt;0,"net cash", D150/D110)</f>
        <v>2.7524388855895863</v>
      </c>
      <c r="E160" s="40">
        <f>IF(E150&lt;0,"net cash", E150/E110)</f>
        <v>7.1374884341271603</v>
      </c>
      <c r="F160" s="40">
        <f>IF(F150&lt;0,"net cash", F150/F110)</f>
        <v>4.5016103157375404</v>
      </c>
      <c r="G160" s="40">
        <f>IF(G150&lt;0,"net cash", G150/G110)</f>
        <v>4.7119002701949375</v>
      </c>
      <c r="I160" s="68"/>
      <c r="J160" s="68"/>
      <c r="K160" s="68"/>
      <c r="L160" s="40">
        <f>IF(L150&lt;0,"net cash", L150/L110)</f>
        <v>7.1374884341271603</v>
      </c>
      <c r="M160" s="40">
        <f>IF(M150&lt;0,"net cash", M150/M110)</f>
        <v>5.7114352523771688</v>
      </c>
      <c r="N160" s="40">
        <f>IF(N150&lt;0,"net cash", N150/N110)</f>
        <v>4.5116819324498465</v>
      </c>
      <c r="O160" s="40">
        <f>IF(O150&lt;0,"net cash", O150/O110)</f>
        <v>4.216160040973425</v>
      </c>
      <c r="P160" s="40">
        <f>IF(P150&lt;0,"net cash", P150/P110)</f>
        <v>4.5016103157375404</v>
      </c>
      <c r="Q160" s="40">
        <f>IF(Q150&lt;0,"net cash", Q150/Q110)</f>
        <v>4.7119002701949375</v>
      </c>
    </row>
    <row r="161" spans="2:17" ht="13.5" customHeight="1">
      <c r="B161" s="7" t="s">
        <v>212</v>
      </c>
      <c r="C161" s="41">
        <f>+C146/C110</f>
        <v>4.313312882533844</v>
      </c>
      <c r="D161" s="41">
        <f>+D146/D110</f>
        <v>3.5013325550235348</v>
      </c>
      <c r="E161" s="41">
        <f>+E146/E110</f>
        <v>7.5067027891662264</v>
      </c>
      <c r="F161" s="41">
        <f>+F146/F110</f>
        <v>4.7222769390511381</v>
      </c>
      <c r="G161" s="41">
        <f>+G146/G110</f>
        <v>4.8624682523124392</v>
      </c>
      <c r="I161" s="68"/>
      <c r="J161" s="68"/>
      <c r="K161" s="68"/>
      <c r="L161" s="41">
        <f>+L146/L110</f>
        <v>7.5067027891662264</v>
      </c>
      <c r="M161" s="41">
        <f>+M146/M110</f>
        <v>5.9293927822270511</v>
      </c>
      <c r="N161" s="41">
        <f>+N146/N110</f>
        <v>4.7163776822054393</v>
      </c>
      <c r="O161" s="41">
        <f>+O146/O110</f>
        <v>4.4541177909514476</v>
      </c>
      <c r="P161" s="41">
        <f>+P146/P110</f>
        <v>4.7222769390511381</v>
      </c>
      <c r="Q161" s="41">
        <f>+Q146/Q110</f>
        <v>4.8624682523124392</v>
      </c>
    </row>
    <row r="162" spans="2:17" ht="13.5" customHeight="1">
      <c r="B162" s="7"/>
      <c r="C162" s="41"/>
      <c r="D162" s="41"/>
      <c r="E162" s="41"/>
      <c r="F162" s="41"/>
      <c r="G162" s="41"/>
      <c r="I162"/>
      <c r="J162"/>
      <c r="K162"/>
      <c r="L162"/>
      <c r="M162" s="41"/>
      <c r="N162" s="41"/>
      <c r="O162" s="41"/>
      <c r="P162"/>
      <c r="Q162" s="41"/>
    </row>
    <row r="163" spans="2:17" s="11" customFormat="1" ht="13.5" customHeight="1">
      <c r="B163" s="6" t="s">
        <v>213</v>
      </c>
      <c r="C163" s="40">
        <f>IF((C150-C141)&lt;0,"net cash", (C150-C141)/C110)</f>
        <v>3.6616268963594578</v>
      </c>
      <c r="D163" s="40">
        <f>IF((D150-D141)&lt;0,"net cash", (D150-D141)/D110)</f>
        <v>2.7524388855895863</v>
      </c>
      <c r="E163" s="40">
        <f>IF((E150-E141)&lt;0,"net cash", (E150-E141)/E110)</f>
        <v>7.1374884341271603</v>
      </c>
      <c r="F163" s="40">
        <f>IF((F150-F141)&lt;0,"net cash", (F150-F141)/F110)</f>
        <v>4.5016103157375404</v>
      </c>
      <c r="G163" s="40">
        <f>IF((G150-G141)&lt;0,"net cash", (G150-G141)/G110)</f>
        <v>4.7119002701949375</v>
      </c>
      <c r="I163" s="68"/>
      <c r="J163" s="68"/>
      <c r="K163" s="68"/>
      <c r="L163" s="40">
        <f>IF((L150-L141)&lt;0,"net cash", (L150-L141)/L110)</f>
        <v>7.1374884341271603</v>
      </c>
      <c r="M163" s="40">
        <f>IF((M150-M141)&lt;0,"net cash", (M150-M141)/M110)</f>
        <v>5.7114352523771688</v>
      </c>
      <c r="N163" s="40">
        <f>IF((N150-N141)&lt;0,"net cash", (N150-N141)/N110)</f>
        <v>4.5116819324498465</v>
      </c>
      <c r="O163" s="40">
        <f>IF((O150-O141)&lt;0,"net cash", (O150-O141)/O110)</f>
        <v>4.216160040973425</v>
      </c>
      <c r="P163" s="40">
        <f>IF((P150-P141)&lt;0,"net cash", (P150-P141)/P110)</f>
        <v>4.5016103157375404</v>
      </c>
      <c r="Q163" s="40">
        <f>IF((Q150-Q141)&lt;0,"net cash", (Q150-Q141)/Q110)</f>
        <v>4.7119002701949375</v>
      </c>
    </row>
    <row r="164" spans="2:17" ht="13.5" customHeight="1">
      <c r="B164" s="7" t="s">
        <v>214</v>
      </c>
      <c r="C164" s="41">
        <f>IF((C146-C141)&lt;0,"net cash", (C146-C141)/C110)</f>
        <v>4.313312882533844</v>
      </c>
      <c r="D164" s="41">
        <f>IF((D146-D141)&lt;0,"net cash", (D146-D141)/D110)</f>
        <v>3.5013325550235348</v>
      </c>
      <c r="E164" s="41">
        <f>IF((E146-E141)&lt;0,"net cash", (E146-E141)/E110)</f>
        <v>7.5067027891662264</v>
      </c>
      <c r="F164" s="41">
        <f>IF((F146-F141)&lt;0,"net cash", (F146-F141)/F110)</f>
        <v>4.7222769390511381</v>
      </c>
      <c r="G164" s="41">
        <f>IF((G146-G141)&lt;0,"net cash", (G146-G141)/G110)</f>
        <v>4.8624682523124392</v>
      </c>
      <c r="I164" s="68"/>
      <c r="J164" s="68"/>
      <c r="K164" s="68"/>
      <c r="L164" s="41">
        <f>IF((L146-L141)&lt;0,"net cash", (L146-L141)/L110)</f>
        <v>7.5067027891662264</v>
      </c>
      <c r="M164" s="41">
        <f>IF((M146-M141)&lt;0,"net cash", (M146-M141)/M110)</f>
        <v>5.9293927822270511</v>
      </c>
      <c r="N164" s="41">
        <f>IF((N146-N141)&lt;0,"net cash", (N146-N141)/N110)</f>
        <v>4.7163776822054393</v>
      </c>
      <c r="O164" s="41">
        <f>IF((O146-O141)&lt;0,"net cash", (O146-O141)/O110)</f>
        <v>4.4541177909514476</v>
      </c>
      <c r="P164" s="41">
        <f>IF((P146-P141)&lt;0,"net cash", (P146-P141)/P110)</f>
        <v>4.7222769390511381</v>
      </c>
      <c r="Q164" s="41">
        <f>IF((Q146-Q141)&lt;0,"net cash", (Q146-Q141)/Q110)</f>
        <v>4.8624682523124392</v>
      </c>
    </row>
    <row r="165" spans="2:17" ht="13.5" customHeight="1">
      <c r="B165" s="19"/>
      <c r="C165" s="26"/>
      <c r="D165" s="26"/>
      <c r="E165" s="26"/>
      <c r="F165" s="26"/>
      <c r="G165" s="26"/>
      <c r="I165" s="41"/>
      <c r="J165" s="41"/>
      <c r="K165" s="41"/>
      <c r="L165" s="41"/>
      <c r="M165" s="41"/>
      <c r="N165" s="41"/>
      <c r="O165" s="41"/>
      <c r="P165" s="41"/>
      <c r="Q165" s="41"/>
    </row>
    <row r="166" spans="2:17" ht="13.5" customHeight="1">
      <c r="B166" s="11" t="s">
        <v>215</v>
      </c>
      <c r="C166" s="40">
        <f>C152/C110</f>
        <v>3.6616268963594578</v>
      </c>
      <c r="D166" s="40">
        <f>D152/D110</f>
        <v>2.7524388855895863</v>
      </c>
      <c r="E166" s="40">
        <f>E152/E110</f>
        <v>7.1374884341271594</v>
      </c>
      <c r="F166" s="40">
        <f>F152/F110</f>
        <v>4.5062830959036191</v>
      </c>
      <c r="G166" s="40">
        <f>G152/G110</f>
        <v>4.7010016705144366</v>
      </c>
      <c r="I166" s="69"/>
      <c r="J166" s="69"/>
      <c r="K166" s="68"/>
      <c r="L166" s="40">
        <f>L152/L110</f>
        <v>7.1374884341271594</v>
      </c>
      <c r="M166" s="40">
        <f>M152/M110</f>
        <v>5.7010521773021212</v>
      </c>
      <c r="N166" s="40">
        <f>N152/N110</f>
        <v>4.5060990910400989</v>
      </c>
      <c r="O166" s="40">
        <f>O152/O110</f>
        <v>4.222732824769265</v>
      </c>
      <c r="P166" s="40">
        <f>P152/P110</f>
        <v>4.5062830959036191</v>
      </c>
      <c r="Q166" s="40">
        <f>Q152/Q110</f>
        <v>4.7010016705144366</v>
      </c>
    </row>
    <row r="167" spans="2:17" ht="13.5" customHeight="1">
      <c r="B167" s="18" t="s">
        <v>216</v>
      </c>
      <c r="C167" s="68"/>
      <c r="D167" s="68"/>
      <c r="E167" s="122">
        <f>E152/E156</f>
        <v>5.3948715328738368</v>
      </c>
      <c r="F167" s="122">
        <f>F152/F156</f>
        <v>4.8012154435959138</v>
      </c>
      <c r="G167" s="122">
        <f>G152/G156</f>
        <v>4.467614919037298</v>
      </c>
      <c r="H167" s="123"/>
      <c r="I167" s="124"/>
      <c r="J167" s="124"/>
      <c r="K167" s="124"/>
      <c r="L167" s="122">
        <f>L152/L156</f>
        <v>5.3948715328738368</v>
      </c>
      <c r="M167" s="122">
        <f t="shared" ref="M167:O167" si="225">M152/M156</f>
        <v>4.2582978215060674</v>
      </c>
      <c r="N167" s="122">
        <f t="shared" si="225"/>
        <v>4.2038693308490771</v>
      </c>
      <c r="O167" s="122">
        <f t="shared" si="225"/>
        <v>4.432180164558714</v>
      </c>
      <c r="P167" s="122">
        <f>P152/P156</f>
        <v>4.8012154435959138</v>
      </c>
      <c r="Q167" s="122">
        <f t="shared" ref="Q167" si="226">Q152/Q156</f>
        <v>4.467614919037298</v>
      </c>
    </row>
    <row r="168" spans="2:17" ht="13.5" customHeight="1">
      <c r="C168" s="41"/>
      <c r="D168" s="41"/>
      <c r="E168" s="41"/>
      <c r="F168" s="41"/>
      <c r="G168" s="41"/>
      <c r="I168" s="41"/>
      <c r="J168" s="41"/>
      <c r="K168" s="41"/>
      <c r="L168" s="41"/>
      <c r="M168" s="41"/>
      <c r="N168" s="41"/>
      <c r="O168" s="41"/>
      <c r="P168" s="41"/>
      <c r="Q168" s="41"/>
    </row>
    <row r="169" spans="2:17" s="11" customFormat="1" ht="13.5" customHeight="1">
      <c r="B169" s="11" t="s">
        <v>217</v>
      </c>
      <c r="C169" s="40">
        <f>+(C110-C113)/C111</f>
        <v>0.95198202501885032</v>
      </c>
      <c r="D169" s="40">
        <f>+(D110-D113)/D111</f>
        <v>-2.3941037610535498</v>
      </c>
      <c r="E169" s="40">
        <f>+(E110-E113)/E111</f>
        <v>-0.14833780128417395</v>
      </c>
      <c r="F169" s="40">
        <f>+(F110-F113)/F111</f>
        <v>3.3290321704951054</v>
      </c>
      <c r="G169" s="40">
        <f>+(G110-G113)/G111</f>
        <v>3.4052169420112963</v>
      </c>
      <c r="I169" s="97"/>
      <c r="J169" s="97"/>
      <c r="K169" s="97"/>
      <c r="L169" s="40">
        <f>+(L110-L113)/L111</f>
        <v>-0.14833780128417395</v>
      </c>
      <c r="M169" s="40">
        <f>+(M110-M113)/M111</f>
        <v>1.1244042868264938</v>
      </c>
      <c r="N169" s="40">
        <f>+(N110-N113)/N111</f>
        <v>1.6331953105395876</v>
      </c>
      <c r="O169" s="40">
        <f>+(O110-O113)/O111</f>
        <v>3.3912389879510769</v>
      </c>
      <c r="P169" s="40">
        <f>+(P110-P113)/P111</f>
        <v>3.3290321704951054</v>
      </c>
      <c r="Q169" s="40">
        <f>+(Q110-Q113)/Q111</f>
        <v>3.4052169420112963</v>
      </c>
    </row>
    <row r="170" spans="2:17" ht="13.5" customHeight="1">
      <c r="B170" s="18" t="s">
        <v>218</v>
      </c>
      <c r="C170" s="41">
        <f>+(C110)/C111</f>
        <v>4.859196371283117</v>
      </c>
      <c r="D170" s="41">
        <f>+(D110)/D111</f>
        <v>6.7356863638088731</v>
      </c>
      <c r="E170" s="41">
        <f>+(E110)/E111</f>
        <v>6.802735111933444</v>
      </c>
      <c r="F170" s="41">
        <f>+(F110)/F111</f>
        <v>4.3544207167242206</v>
      </c>
      <c r="G170" s="41">
        <f>+(G110)/G111</f>
        <v>4.4698995269733182</v>
      </c>
      <c r="I170" s="69"/>
      <c r="J170" s="69"/>
      <c r="K170" s="69"/>
      <c r="L170" s="41">
        <f>+(L110)/L111</f>
        <v>6.802735111933444</v>
      </c>
      <c r="M170" s="41">
        <f>+(M110)/M111</f>
        <v>5.3358601668031858</v>
      </c>
      <c r="N170" s="41">
        <f>+(N110)/N111</f>
        <v>5.2238227069040439</v>
      </c>
      <c r="O170" s="41">
        <f>+(O110)/O111</f>
        <v>4.3315738337067078</v>
      </c>
      <c r="P170" s="41">
        <f>+(P110)/P111</f>
        <v>4.3544207167242206</v>
      </c>
      <c r="Q170" s="41">
        <f>+(Q110)/Q111</f>
        <v>4.4698995269733182</v>
      </c>
    </row>
    <row r="171" spans="2:17" ht="13.5" customHeight="1">
      <c r="C171" s="42"/>
      <c r="D171" s="42"/>
      <c r="E171" s="42"/>
      <c r="F171" s="42"/>
      <c r="G171" s="42"/>
      <c r="I171" s="42"/>
      <c r="J171" s="42"/>
      <c r="K171" s="42"/>
      <c r="L171" s="42"/>
      <c r="M171" s="42"/>
      <c r="N171" s="42"/>
      <c r="O171" s="42"/>
      <c r="P171" s="42"/>
      <c r="Q171" s="42"/>
    </row>
    <row r="172" spans="2:17" s="11" customFormat="1" ht="13.5" customHeight="1">
      <c r="B172" s="43" t="s">
        <v>219</v>
      </c>
      <c r="C172" s="44">
        <f>C150/C153</f>
        <v>0.25330234626930576</v>
      </c>
      <c r="D172" s="44">
        <f>D150/D153</f>
        <v>0.1708635408566517</v>
      </c>
      <c r="E172" s="44">
        <f>E150/E153</f>
        <v>0.30556714336121177</v>
      </c>
      <c r="F172" s="44">
        <f>F150/F153</f>
        <v>0.32340136127859548</v>
      </c>
      <c r="G172" s="44">
        <f>G150/G153</f>
        <v>0.32925842179863291</v>
      </c>
      <c r="I172" s="44">
        <f t="shared" ref="I172:O172" si="227">I150/I153</f>
        <v>3.4150658496482245E-2</v>
      </c>
      <c r="J172" s="44">
        <f t="shared" si="227"/>
        <v>3.3338150536357893E-2</v>
      </c>
      <c r="K172" s="44">
        <f t="shared" si="227"/>
        <v>0.30919998378260177</v>
      </c>
      <c r="L172" s="44">
        <f t="shared" si="227"/>
        <v>0.30556714336121177</v>
      </c>
      <c r="M172" s="44">
        <f t="shared" si="227"/>
        <v>0.29911982038746404</v>
      </c>
      <c r="N172" s="44">
        <f t="shared" si="227"/>
        <v>0.2967481737840556</v>
      </c>
      <c r="O172" s="44">
        <f t="shared" si="227"/>
        <v>0.2903191943733045</v>
      </c>
      <c r="P172" s="44">
        <f t="shared" ref="P172:Q172" si="228">P150/P153</f>
        <v>0.32340136127859548</v>
      </c>
      <c r="Q172" s="44">
        <f t="shared" si="228"/>
        <v>0.32925842179863291</v>
      </c>
    </row>
    <row r="173" spans="2:17" s="11" customFormat="1" ht="13.5" customHeight="1">
      <c r="C173" s="45"/>
      <c r="D173" s="45"/>
      <c r="E173" s="45"/>
      <c r="F173" s="45"/>
      <c r="G173" s="45"/>
      <c r="I173" s="45"/>
      <c r="J173" s="45"/>
      <c r="K173" s="45"/>
      <c r="L173" s="45"/>
      <c r="M173" s="45"/>
      <c r="N173" s="45"/>
      <c r="O173" s="45"/>
      <c r="P173" s="45"/>
      <c r="Q173" s="45"/>
    </row>
    <row r="174" spans="2:17" s="11" customFormat="1" ht="13.5" customHeight="1">
      <c r="C174" s="45"/>
      <c r="D174" s="45"/>
      <c r="E174" s="45"/>
      <c r="F174" s="45"/>
      <c r="G174" s="45"/>
      <c r="J174" s="45"/>
      <c r="K174" s="45"/>
      <c r="N174" s="45"/>
      <c r="O174" s="45"/>
    </row>
    <row r="175" spans="2:17" ht="13.5" customHeight="1">
      <c r="B175" s="46" t="s">
        <v>220</v>
      </c>
      <c r="C175" s="29">
        <f>C3</f>
        <v>44926</v>
      </c>
      <c r="D175" s="29">
        <f>D3</f>
        <v>45291</v>
      </c>
      <c r="E175" s="29">
        <f>E3</f>
        <v>45657</v>
      </c>
      <c r="F175" s="29">
        <f>F3</f>
        <v>46022</v>
      </c>
      <c r="G175" s="29" t="str">
        <f>G2</f>
        <v>LTM</v>
      </c>
      <c r="I175" s="29">
        <f>I3</f>
        <v>45382</v>
      </c>
      <c r="J175" s="29">
        <f>J3</f>
        <v>45473</v>
      </c>
      <c r="K175" s="29">
        <f>K3</f>
        <v>45565</v>
      </c>
      <c r="L175" s="29">
        <f>L3</f>
        <v>45657</v>
      </c>
      <c r="M175" s="29">
        <f>M3</f>
        <v>45747</v>
      </c>
      <c r="N175" s="29">
        <f>N3</f>
        <v>45838</v>
      </c>
      <c r="O175" s="29">
        <f>O3</f>
        <v>45930</v>
      </c>
      <c r="P175" s="29">
        <f>P3</f>
        <v>46022</v>
      </c>
      <c r="Q175" s="29">
        <f>Q3</f>
        <v>46112</v>
      </c>
    </row>
    <row r="176" spans="2:17" ht="13.5" customHeight="1">
      <c r="B176" s="18" t="s">
        <v>221</v>
      </c>
      <c r="C176" s="21">
        <f>C106</f>
        <v>5543.0190000000002</v>
      </c>
      <c r="D176" s="21">
        <f>D106</f>
        <v>5606.3400000000011</v>
      </c>
      <c r="E176" s="21">
        <f>E106</f>
        <v>8432.226999999999</v>
      </c>
      <c r="F176" s="21">
        <f>F106</f>
        <v>12459.51</v>
      </c>
      <c r="G176" s="21">
        <f>G106</f>
        <v>12357.5965521</v>
      </c>
      <c r="I176" s="95"/>
      <c r="J176" s="95"/>
      <c r="K176" s="95"/>
      <c r="L176" s="21">
        <f>L106</f>
        <v>8432.226999999999</v>
      </c>
      <c r="M176" s="21">
        <f>M106</f>
        <v>10153.248</v>
      </c>
      <c r="N176" s="21">
        <f>N106</f>
        <v>11793.297000000002</v>
      </c>
      <c r="O176" s="21">
        <f>O106</f>
        <v>12475.325000000001</v>
      </c>
      <c r="P176" s="21">
        <f>P106</f>
        <v>12459.509999999998</v>
      </c>
      <c r="Q176" s="21">
        <f>Q106</f>
        <v>12357.596552099998</v>
      </c>
    </row>
    <row r="177" spans="2:17" ht="13.5" customHeight="1">
      <c r="B177" s="18" t="s">
        <v>222</v>
      </c>
      <c r="C177" s="21">
        <f>C110</f>
        <v>4150.1229999999996</v>
      </c>
      <c r="D177" s="21">
        <f>D110</f>
        <v>4436.9650000000001</v>
      </c>
      <c r="E177" s="21">
        <f>E110</f>
        <v>6184.1419999999998</v>
      </c>
      <c r="F177" s="21">
        <f>F110</f>
        <v>9303.4549999999999</v>
      </c>
      <c r="G177" s="21">
        <f>G110</f>
        <v>9092.4558113000003</v>
      </c>
      <c r="I177" s="95"/>
      <c r="J177" s="95"/>
      <c r="K177" s="95"/>
      <c r="L177" s="21">
        <f>L110</f>
        <v>6184.1419999999998</v>
      </c>
      <c r="M177" s="21">
        <f>M110</f>
        <v>7628.0869999999995</v>
      </c>
      <c r="N177" s="21">
        <f>N110</f>
        <v>8930.7569999999996</v>
      </c>
      <c r="O177" s="21">
        <f>O110</f>
        <v>9157.1549999999988</v>
      </c>
      <c r="P177" s="21">
        <f>P110</f>
        <v>9303.4549999999999</v>
      </c>
      <c r="Q177" s="21">
        <f>Q110</f>
        <v>9092.4558113000003</v>
      </c>
    </row>
    <row r="178" spans="2:17" ht="13.5" customHeight="1">
      <c r="B178" s="18" t="s">
        <v>223</v>
      </c>
      <c r="C178" s="47">
        <f t="shared" ref="C178" si="229">C177/C176</f>
        <v>0.74871166777526821</v>
      </c>
      <c r="D178" s="47">
        <f t="shared" ref="D178:E178" si="230">D177/D176</f>
        <v>0.79141917900091674</v>
      </c>
      <c r="E178" s="47">
        <f t="shared" si="230"/>
        <v>0.73339368117105963</v>
      </c>
      <c r="F178" s="47">
        <f t="shared" ref="F178" si="231">F177/F176</f>
        <v>0.74669509475091711</v>
      </c>
      <c r="G178" s="47">
        <f>G177/G176</f>
        <v>0.73577865833100575</v>
      </c>
      <c r="I178" s="98"/>
      <c r="J178" s="98"/>
      <c r="K178" s="98"/>
      <c r="L178" s="47">
        <f t="shared" ref="L178:O178" si="232">L177/L176</f>
        <v>0.73339368117105963</v>
      </c>
      <c r="M178" s="47">
        <f t="shared" si="232"/>
        <v>0.75129525054445634</v>
      </c>
      <c r="N178" s="47">
        <f t="shared" si="232"/>
        <v>0.7572739836875132</v>
      </c>
      <c r="O178" s="47">
        <f t="shared" si="232"/>
        <v>0.73402135816100966</v>
      </c>
      <c r="P178" s="47">
        <f t="shared" ref="P178:Q178" si="233">P177/P176</f>
        <v>0.74669509475091722</v>
      </c>
      <c r="Q178" s="47">
        <f t="shared" si="233"/>
        <v>0.73577865833100586</v>
      </c>
    </row>
    <row r="179" spans="2:17" ht="13.5" customHeight="1">
      <c r="B179" s="18" t="str">
        <f t="shared" ref="B179:G179" si="234">B111</f>
        <v>Cash interest paid</v>
      </c>
      <c r="C179" s="21">
        <f t="shared" si="234"/>
        <v>854.07600000000002</v>
      </c>
      <c r="D179" s="21">
        <f t="shared" si="234"/>
        <v>658.72500000000002</v>
      </c>
      <c r="E179" s="21">
        <f t="shared" si="234"/>
        <v>909.06700000000001</v>
      </c>
      <c r="F179" s="21">
        <f t="shared" si="234"/>
        <v>2136.5540000000001</v>
      </c>
      <c r="G179" s="21">
        <f t="shared" si="234"/>
        <v>2034.1521674999999</v>
      </c>
      <c r="I179" s="95"/>
      <c r="J179" s="95"/>
      <c r="K179" s="95"/>
      <c r="L179" s="21">
        <f>L111</f>
        <v>909.06700000000001</v>
      </c>
      <c r="M179" s="21">
        <f>M111</f>
        <v>1429.5889999999999</v>
      </c>
      <c r="N179" s="21">
        <f>N111</f>
        <v>1709.6210000000001</v>
      </c>
      <c r="O179" s="21">
        <f>O111</f>
        <v>2114.0480000000002</v>
      </c>
      <c r="P179" s="21">
        <f>P111</f>
        <v>2136.5540000000001</v>
      </c>
      <c r="Q179" s="21">
        <f>Q111</f>
        <v>2034.1521674999999</v>
      </c>
    </row>
    <row r="180" spans="2:17" ht="13.5" customHeight="1">
      <c r="B180" s="18" t="str">
        <f t="shared" ref="B180:G181" si="235">B113</f>
        <v>Capex</v>
      </c>
      <c r="C180" s="21">
        <f t="shared" si="235"/>
        <v>3337.058</v>
      </c>
      <c r="D180" s="21">
        <f t="shared" si="235"/>
        <v>6014.0209999999997</v>
      </c>
      <c r="E180" s="21">
        <f t="shared" si="235"/>
        <v>6318.991</v>
      </c>
      <c r="F180" s="21">
        <f t="shared" ref="F180" si="236">F113</f>
        <v>2190.7980000000002</v>
      </c>
      <c r="G180" s="21">
        <f t="shared" si="235"/>
        <v>2165.7263879000002</v>
      </c>
      <c r="I180" s="95"/>
      <c r="J180" s="95"/>
      <c r="K180" s="95"/>
      <c r="L180" s="21">
        <f t="shared" ref="L180:O181" si="237">L113</f>
        <v>6318.991</v>
      </c>
      <c r="M180" s="21">
        <f t="shared" si="237"/>
        <v>6020.6509999999989</v>
      </c>
      <c r="N180" s="21">
        <f t="shared" si="237"/>
        <v>6138.6119999999992</v>
      </c>
      <c r="O180" s="21">
        <f t="shared" si="237"/>
        <v>1987.9129999999996</v>
      </c>
      <c r="P180" s="21">
        <f t="shared" ref="P180:Q180" si="238">P113</f>
        <v>2190.7980000000002</v>
      </c>
      <c r="Q180" s="21">
        <f t="shared" si="238"/>
        <v>2165.7263879000002</v>
      </c>
    </row>
    <row r="181" spans="2:17" ht="13.5" customHeight="1">
      <c r="B181" s="18" t="str">
        <f t="shared" si="235"/>
        <v xml:space="preserve">Free cash flow </v>
      </c>
      <c r="C181" s="21">
        <f t="shared" si="235"/>
        <v>-2.2390000000004875</v>
      </c>
      <c r="D181" s="21">
        <f t="shared" si="235"/>
        <v>-2576.9139999999993</v>
      </c>
      <c r="E181" s="21">
        <f t="shared" si="235"/>
        <v>-11839.547999999999</v>
      </c>
      <c r="F181" s="21">
        <f t="shared" ref="F181" si="239">F114</f>
        <v>4887.146999999999</v>
      </c>
      <c r="G181" s="21">
        <f t="shared" si="235"/>
        <v>5002.0973737999993</v>
      </c>
      <c r="I181" s="95"/>
      <c r="J181" s="95"/>
      <c r="K181" s="95"/>
      <c r="L181" s="21">
        <f t="shared" si="237"/>
        <v>-11839.547999999997</v>
      </c>
      <c r="M181" s="21">
        <f t="shared" si="237"/>
        <v>-10656.134999999998</v>
      </c>
      <c r="N181" s="21">
        <f t="shared" si="237"/>
        <v>-10980.962</v>
      </c>
      <c r="O181" s="21">
        <f t="shared" si="237"/>
        <v>5509.3290000000006</v>
      </c>
      <c r="P181" s="21">
        <f t="shared" ref="P181:Q181" si="240">P114</f>
        <v>4887.146999999999</v>
      </c>
      <c r="Q181" s="21">
        <f t="shared" si="240"/>
        <v>5002.0973737999993</v>
      </c>
    </row>
    <row r="182" spans="2:17" ht="13.5" customHeight="1">
      <c r="B182" s="18" t="s">
        <v>34</v>
      </c>
      <c r="C182" s="21">
        <f>C147</f>
        <v>2704.5770000000002</v>
      </c>
      <c r="D182" s="21">
        <f>D147</f>
        <v>3322.8150000000001</v>
      </c>
      <c r="E182" s="21">
        <f>E147</f>
        <v>2283.2739999999999</v>
      </c>
      <c r="F182" s="21">
        <f>F147</f>
        <v>2052.962</v>
      </c>
      <c r="G182" s="21">
        <f>G147</f>
        <v>1369.0327239999999</v>
      </c>
      <c r="I182" s="21">
        <f t="shared" ref="I182:O182" si="241">I147</f>
        <v>12411.18</v>
      </c>
      <c r="J182" s="21">
        <f t="shared" si="241"/>
        <v>13699.196</v>
      </c>
      <c r="K182" s="21">
        <f t="shared" si="241"/>
        <v>1165.0809999999999</v>
      </c>
      <c r="L182" s="21">
        <f t="shared" si="241"/>
        <v>2283.2739999999999</v>
      </c>
      <c r="M182" s="21">
        <f t="shared" si="241"/>
        <v>1662.5989999999999</v>
      </c>
      <c r="N182" s="21">
        <f t="shared" si="241"/>
        <v>1828.088</v>
      </c>
      <c r="O182" s="21">
        <f t="shared" si="241"/>
        <v>2179.0160000000001</v>
      </c>
      <c r="P182" s="21">
        <f t="shared" ref="P182:Q182" si="242">P147</f>
        <v>2052.962</v>
      </c>
      <c r="Q182" s="21">
        <f t="shared" si="242"/>
        <v>1369.0327239999999</v>
      </c>
    </row>
    <row r="183" spans="2:17" ht="13.5" customHeight="1">
      <c r="B183" s="18" t="s">
        <v>72</v>
      </c>
      <c r="C183" s="21">
        <f>C146</f>
        <v>17900.779000000002</v>
      </c>
      <c r="D183" s="21">
        <f>D146</f>
        <v>15535.289999999999</v>
      </c>
      <c r="E183" s="21">
        <f>E146</f>
        <v>46422.516000000003</v>
      </c>
      <c r="F183" s="21">
        <f>F146</f>
        <v>43933.491000000002</v>
      </c>
      <c r="G183" s="21">
        <f>G146</f>
        <v>44211.777717999998</v>
      </c>
      <c r="I183" s="21">
        <f t="shared" ref="I183:O183" si="243">I146</f>
        <v>15350.595000000001</v>
      </c>
      <c r="J183" s="21">
        <f t="shared" si="243"/>
        <v>16862.392</v>
      </c>
      <c r="K183" s="21">
        <f t="shared" si="243"/>
        <v>42568.682000000001</v>
      </c>
      <c r="L183" s="21">
        <f t="shared" si="243"/>
        <v>46422.516000000003</v>
      </c>
      <c r="M183" s="21">
        <f t="shared" si="243"/>
        <v>45229.923999999999</v>
      </c>
      <c r="N183" s="21">
        <f t="shared" si="243"/>
        <v>42120.822999999997</v>
      </c>
      <c r="O183" s="21">
        <f t="shared" si="243"/>
        <v>40787.046999999999</v>
      </c>
      <c r="P183" s="21">
        <f t="shared" ref="P183:Q183" si="244">P146</f>
        <v>43933.491000000002</v>
      </c>
      <c r="Q183" s="21">
        <f t="shared" si="244"/>
        <v>44211.777717999998</v>
      </c>
    </row>
    <row r="184" spans="2:17" ht="13.5" customHeight="1">
      <c r="B184" s="18" t="s">
        <v>224</v>
      </c>
      <c r="C184" s="21">
        <f t="shared" ref="C184:G184" si="245">C183-C182</f>
        <v>15196.202000000001</v>
      </c>
      <c r="D184" s="21">
        <f t="shared" si="245"/>
        <v>12212.474999999999</v>
      </c>
      <c r="E184" s="21">
        <f t="shared" si="245"/>
        <v>44139.242000000006</v>
      </c>
      <c r="F184" s="21">
        <f t="shared" ref="F184" si="246">F183-F182</f>
        <v>41880.529000000002</v>
      </c>
      <c r="G184" s="21">
        <f t="shared" si="245"/>
        <v>42842.744994000001</v>
      </c>
      <c r="I184" s="21">
        <f t="shared" ref="I184:K184" si="247">I183-I182</f>
        <v>2939.4150000000009</v>
      </c>
      <c r="J184" s="21">
        <f t="shared" si="247"/>
        <v>3163.1959999999999</v>
      </c>
      <c r="K184" s="21">
        <f t="shared" si="247"/>
        <v>41403.601000000002</v>
      </c>
      <c r="L184" s="21">
        <f t="shared" ref="L184:O184" si="248">L183-L182</f>
        <v>44139.242000000006</v>
      </c>
      <c r="M184" s="21">
        <f t="shared" si="248"/>
        <v>43567.324999999997</v>
      </c>
      <c r="N184" s="21">
        <f t="shared" si="248"/>
        <v>40292.734999999993</v>
      </c>
      <c r="O184" s="21">
        <f t="shared" si="248"/>
        <v>38608.030999999995</v>
      </c>
      <c r="P184" s="21">
        <f t="shared" ref="P184:Q184" si="249">P183-P182</f>
        <v>41880.529000000002</v>
      </c>
      <c r="Q184" s="21">
        <f t="shared" si="249"/>
        <v>42842.744994000001</v>
      </c>
    </row>
    <row r="185" spans="2:17" ht="13.5" customHeight="1">
      <c r="B185" s="18" t="s">
        <v>225</v>
      </c>
      <c r="C185" s="48">
        <f>C161</f>
        <v>4.313312882533844</v>
      </c>
      <c r="D185" s="48">
        <f>D161</f>
        <v>3.5013325550235348</v>
      </c>
      <c r="E185" s="48">
        <f>E161</f>
        <v>7.5067027891662264</v>
      </c>
      <c r="F185" s="48">
        <f>F161</f>
        <v>4.7222769390511381</v>
      </c>
      <c r="G185" s="48">
        <f>G161</f>
        <v>4.8624682523124392</v>
      </c>
      <c r="I185" s="99"/>
      <c r="J185" s="99"/>
      <c r="K185" s="99"/>
      <c r="L185" s="48">
        <f>L161</f>
        <v>7.5067027891662264</v>
      </c>
      <c r="M185" s="48">
        <f>M161</f>
        <v>5.9293927822270511</v>
      </c>
      <c r="N185" s="48">
        <f>N161</f>
        <v>4.7163776822054393</v>
      </c>
      <c r="O185" s="48">
        <f>O161</f>
        <v>4.4541177909514476</v>
      </c>
      <c r="P185" s="48">
        <f>P161</f>
        <v>4.7222769390511381</v>
      </c>
      <c r="Q185" s="48">
        <f>Q161</f>
        <v>4.8624682523124392</v>
      </c>
    </row>
    <row r="186" spans="2:17" ht="13.5" customHeight="1">
      <c r="B186" s="18" t="s">
        <v>226</v>
      </c>
      <c r="C186" s="48">
        <f>C160</f>
        <v>3.6616268963594578</v>
      </c>
      <c r="D186" s="48">
        <f>D160</f>
        <v>2.7524388855895863</v>
      </c>
      <c r="E186" s="48">
        <f>E160</f>
        <v>7.1374884341271603</v>
      </c>
      <c r="F186" s="48">
        <f>F160</f>
        <v>4.5016103157375404</v>
      </c>
      <c r="G186" s="48">
        <f>G160</f>
        <v>4.7119002701949375</v>
      </c>
      <c r="I186" s="99"/>
      <c r="J186" s="99"/>
      <c r="K186" s="99"/>
      <c r="L186" s="48">
        <f>L160</f>
        <v>7.1374884341271603</v>
      </c>
      <c r="M186" s="48">
        <f>M160</f>
        <v>5.7114352523771688</v>
      </c>
      <c r="N186" s="48">
        <f>N160</f>
        <v>4.5116819324498465</v>
      </c>
      <c r="O186" s="48">
        <f>O160</f>
        <v>4.216160040973425</v>
      </c>
      <c r="P186" s="48">
        <f>P160</f>
        <v>4.5016103157375404</v>
      </c>
      <c r="Q186" s="48">
        <f>Q160</f>
        <v>4.7119002701949375</v>
      </c>
    </row>
    <row r="187" spans="2:17" ht="13.5" customHeight="1">
      <c r="C187" s="21"/>
      <c r="D187" s="21"/>
      <c r="E187" s="21"/>
      <c r="F187" s="21"/>
      <c r="G187" s="21"/>
      <c r="I187" s="21"/>
      <c r="J187" s="21"/>
      <c r="K187" s="21"/>
      <c r="L187" s="21"/>
      <c r="M187" s="21"/>
      <c r="N187" s="21"/>
      <c r="O187" s="21"/>
      <c r="P187" s="21"/>
      <c r="Q187" s="21"/>
    </row>
    <row r="188" spans="2:17" ht="13.5" customHeight="1">
      <c r="B188" s="15" t="s">
        <v>227</v>
      </c>
      <c r="C188" s="49"/>
      <c r="D188" s="49"/>
      <c r="E188" s="49"/>
      <c r="F188" s="49"/>
      <c r="G188" s="49"/>
      <c r="I188" s="49"/>
      <c r="J188" s="49"/>
      <c r="K188" s="49"/>
      <c r="L188" s="49"/>
      <c r="M188" s="49"/>
      <c r="N188" s="49"/>
      <c r="O188" s="49"/>
      <c r="P188" s="49"/>
      <c r="Q188" s="49"/>
    </row>
    <row r="189" spans="2:17" s="9" customFormat="1" ht="13.5" customHeight="1">
      <c r="B189" s="46" t="str">
        <f>B3</f>
        <v>(Mexican pesos in millions)</v>
      </c>
      <c r="C189" s="10">
        <f>C3</f>
        <v>44926</v>
      </c>
      <c r="D189" s="10">
        <f>D3</f>
        <v>45291</v>
      </c>
      <c r="E189" s="10">
        <f>E3</f>
        <v>45657</v>
      </c>
      <c r="F189" s="10">
        <f>F3</f>
        <v>46022</v>
      </c>
      <c r="G189" s="10" t="str">
        <f>G2</f>
        <v>LTM</v>
      </c>
      <c r="I189" s="10">
        <f>I3</f>
        <v>45382</v>
      </c>
      <c r="J189" s="10">
        <f>J3</f>
        <v>45473</v>
      </c>
      <c r="K189" s="10">
        <f>K3</f>
        <v>45565</v>
      </c>
      <c r="L189" s="10">
        <f>L3</f>
        <v>45657</v>
      </c>
      <c r="M189" s="10">
        <f>M3</f>
        <v>45747</v>
      </c>
      <c r="N189" s="10">
        <f>N3</f>
        <v>45838</v>
      </c>
      <c r="O189" s="10">
        <f>O3</f>
        <v>45930</v>
      </c>
      <c r="P189" s="10">
        <f>P3</f>
        <v>46022</v>
      </c>
      <c r="Q189" s="10">
        <f>Q3</f>
        <v>46112</v>
      </c>
    </row>
    <row r="190" spans="2:17" s="11" customFormat="1" ht="13.5" customHeight="1">
      <c r="B190" s="46"/>
      <c r="C190" s="10" t="s">
        <v>99</v>
      </c>
      <c r="D190" s="10" t="s">
        <v>99</v>
      </c>
      <c r="E190" s="10" t="s">
        <v>99</v>
      </c>
      <c r="F190" s="10" t="s">
        <v>99</v>
      </c>
      <c r="G190" s="10" t="s">
        <v>99</v>
      </c>
      <c r="I190" s="10" t="s">
        <v>99</v>
      </c>
      <c r="J190" s="10" t="s">
        <v>99</v>
      </c>
      <c r="K190" s="10" t="s">
        <v>99</v>
      </c>
      <c r="L190" s="10" t="s">
        <v>99</v>
      </c>
      <c r="M190" s="10" t="s">
        <v>99</v>
      </c>
      <c r="N190" s="10" t="s">
        <v>99</v>
      </c>
      <c r="O190" s="10" t="s">
        <v>99</v>
      </c>
      <c r="P190" s="10" t="s">
        <v>99</v>
      </c>
      <c r="Q190" s="10" t="s">
        <v>99</v>
      </c>
    </row>
    <row r="191" spans="2:17" ht="13.5" customHeight="1"/>
    <row r="192" spans="2:17" s="11" customFormat="1" ht="13.5" customHeight="1">
      <c r="B192" s="11" t="str">
        <f>B7</f>
        <v xml:space="preserve">Net revenue </v>
      </c>
      <c r="C192" s="24">
        <f>C7</f>
        <v>5543.0190000000002</v>
      </c>
      <c r="D192" s="24">
        <f>D7</f>
        <v>5606.3400000000011</v>
      </c>
      <c r="E192" s="24">
        <f>E7</f>
        <v>8432.226999999999</v>
      </c>
      <c r="F192" s="24">
        <f>F7</f>
        <v>12459.51</v>
      </c>
      <c r="G192" s="24">
        <f>G7</f>
        <v>12357.5965521</v>
      </c>
      <c r="I192" s="24">
        <f>I7</f>
        <v>1512.2429999999999</v>
      </c>
      <c r="J192" s="24">
        <f>J7</f>
        <v>1511.9579999999999</v>
      </c>
      <c r="K192" s="24">
        <f>K7</f>
        <v>2343.9479999999999</v>
      </c>
      <c r="L192" s="24">
        <f>L7</f>
        <v>3064.0779999999995</v>
      </c>
      <c r="M192" s="24">
        <f>M7</f>
        <v>3233.2640000000001</v>
      </c>
      <c r="N192" s="24">
        <f>N7</f>
        <v>3152.0070000000005</v>
      </c>
      <c r="O192" s="24">
        <f>O7</f>
        <v>3025.9759999999997</v>
      </c>
      <c r="P192" s="24">
        <f>P7</f>
        <v>3048.2629999999995</v>
      </c>
      <c r="Q192" s="24">
        <f>Q7</f>
        <v>3131.3505520999988</v>
      </c>
    </row>
    <row r="193" spans="2:21" s="22" customFormat="1" ht="13.5" customHeight="1">
      <c r="B193" s="25" t="s">
        <v>228</v>
      </c>
      <c r="C193" s="51"/>
      <c r="D193" s="51">
        <f>D192/C192-1</f>
        <v>1.142355817290186E-2</v>
      </c>
      <c r="E193" s="51">
        <f>E192/D192-1</f>
        <v>0.50405201967772162</v>
      </c>
      <c r="F193" s="51">
        <f>F192/E192-1</f>
        <v>0.47760609385871633</v>
      </c>
      <c r="G193" s="51"/>
      <c r="I193" s="51"/>
      <c r="J193" s="51"/>
      <c r="K193" s="51"/>
      <c r="L193" s="51"/>
      <c r="M193" s="51">
        <f t="shared" ref="M193" si="250">M192/I192-1</f>
        <v>1.1380584998574967</v>
      </c>
      <c r="N193" s="51">
        <f>N192/J192-1</f>
        <v>1.0847186231363577</v>
      </c>
      <c r="O193" s="51">
        <f t="shared" ref="O193:P193" si="251">O192/K192-1</f>
        <v>0.29097403184712278</v>
      </c>
      <c r="P193" s="51">
        <f t="shared" si="251"/>
        <v>-5.1614221308987629E-3</v>
      </c>
      <c r="Q193" s="51">
        <f>Q192/M192-1</f>
        <v>-3.1520298961050242E-2</v>
      </c>
    </row>
    <row r="194" spans="2:21" ht="13.5" customHeight="1">
      <c r="I194" s="52"/>
      <c r="J194" s="52"/>
      <c r="K194" s="52"/>
      <c r="L194" s="52"/>
      <c r="M194" s="52"/>
      <c r="N194" s="52"/>
      <c r="O194" s="52"/>
      <c r="P194" s="52"/>
      <c r="Q194" s="52"/>
    </row>
    <row r="195" spans="2:21" s="11" customFormat="1" ht="13.5" customHeight="1" thickBot="1">
      <c r="B195" s="53" t="str">
        <f t="shared" ref="B195:G195" si="252">B74</f>
        <v xml:space="preserve">Adj. EBITDA </v>
      </c>
      <c r="C195" s="54">
        <f t="shared" si="252"/>
        <v>4150.1229999999996</v>
      </c>
      <c r="D195" s="54">
        <f t="shared" si="252"/>
        <v>4436.9650000000001</v>
      </c>
      <c r="E195" s="54">
        <f t="shared" si="252"/>
        <v>6184.1419999999998</v>
      </c>
      <c r="F195" s="54">
        <f t="shared" si="252"/>
        <v>9303.4549999999999</v>
      </c>
      <c r="G195" s="54">
        <f t="shared" si="252"/>
        <v>9092.4558113000003</v>
      </c>
      <c r="I195" s="54">
        <f t="shared" ref="I195:O195" si="253">I74</f>
        <v>1109.1949999999999</v>
      </c>
      <c r="J195" s="54">
        <f t="shared" si="253"/>
        <v>1090.5350000000001</v>
      </c>
      <c r="K195" s="54">
        <f t="shared" si="253"/>
        <v>1954.7080000000001</v>
      </c>
      <c r="L195" s="54">
        <f t="shared" si="253"/>
        <v>2029.7039999999997</v>
      </c>
      <c r="M195" s="54">
        <f t="shared" si="253"/>
        <v>2553.14</v>
      </c>
      <c r="N195" s="54">
        <f t="shared" si="253"/>
        <v>2393.2049999999999</v>
      </c>
      <c r="O195" s="54">
        <f t="shared" si="253"/>
        <v>2181.1060000000002</v>
      </c>
      <c r="P195" s="54">
        <f t="shared" ref="P195:Q195" si="254">P74</f>
        <v>2176.0040000000008</v>
      </c>
      <c r="Q195" s="54">
        <f t="shared" si="254"/>
        <v>2342.1408112999998</v>
      </c>
      <c r="R195" s="45"/>
      <c r="S195" s="45"/>
      <c r="T195" s="45"/>
      <c r="U195" s="45"/>
    </row>
    <row r="196" spans="2:21" s="22" customFormat="1" ht="13.5" customHeight="1" thickTop="1">
      <c r="B196" s="55" t="str">
        <f t="shared" ref="B196:E197" si="255">B75</f>
        <v xml:space="preserve">% growth </v>
      </c>
      <c r="C196" s="51">
        <f t="shared" si="255"/>
        <v>0</v>
      </c>
      <c r="D196" s="51">
        <f t="shared" si="255"/>
        <v>6.9116505703566089E-2</v>
      </c>
      <c r="E196" s="51">
        <f t="shared" si="255"/>
        <v>0.39377750331589256</v>
      </c>
      <c r="F196" s="51">
        <f t="shared" ref="F196" si="256">F75</f>
        <v>0.50440513817438215</v>
      </c>
      <c r="G196" s="51"/>
      <c r="I196" s="51"/>
      <c r="J196" s="51"/>
      <c r="K196" s="51"/>
      <c r="L196" s="51"/>
      <c r="M196" s="51">
        <f t="shared" ref="M196:O197" si="257">M75</f>
        <v>1.3017954462470529</v>
      </c>
      <c r="N196" s="51">
        <f t="shared" si="257"/>
        <v>1.1945237887825697</v>
      </c>
      <c r="O196" s="51">
        <f t="shared" si="257"/>
        <v>0.11582190281105942</v>
      </c>
      <c r="P196" s="51"/>
      <c r="Q196" s="51">
        <f t="shared" ref="Q196" si="258">Q75</f>
        <v>-8.2643015541646769E-2</v>
      </c>
    </row>
    <row r="197" spans="2:21" s="22" customFormat="1" ht="13.5" customHeight="1">
      <c r="B197" s="55" t="str">
        <f t="shared" si="255"/>
        <v>% margin</v>
      </c>
      <c r="C197" s="51">
        <f t="shared" si="255"/>
        <v>0.74871166777526821</v>
      </c>
      <c r="D197" s="51">
        <f t="shared" si="255"/>
        <v>0.79141917900091674</v>
      </c>
      <c r="E197" s="51">
        <f t="shared" si="255"/>
        <v>0.73339368117105963</v>
      </c>
      <c r="F197" s="51">
        <f t="shared" ref="F197" si="259">F76</f>
        <v>0.74669509475091711</v>
      </c>
      <c r="G197" s="51">
        <f>G76</f>
        <v>0.73577865833100575</v>
      </c>
      <c r="I197" s="51">
        <f>I76</f>
        <v>0.73347669653620484</v>
      </c>
      <c r="J197" s="51">
        <f>J76</f>
        <v>0.72127334224892503</v>
      </c>
      <c r="K197" s="51">
        <f>K76</f>
        <v>0.83393829555945787</v>
      </c>
      <c r="L197" s="51">
        <f>L76</f>
        <v>0.66241916818044455</v>
      </c>
      <c r="M197" s="51">
        <f t="shared" si="257"/>
        <v>0.7896478604902043</v>
      </c>
      <c r="N197" s="51">
        <f t="shared" si="257"/>
        <v>0.75926385950284991</v>
      </c>
      <c r="O197" s="51">
        <f t="shared" si="257"/>
        <v>0.72079421647759279</v>
      </c>
      <c r="P197" s="51">
        <f>P76</f>
        <v>0.71385047812475533</v>
      </c>
      <c r="Q197" s="51">
        <f t="shared" ref="Q197" si="260">Q76</f>
        <v>0.7479650624645886</v>
      </c>
    </row>
    <row r="198" spans="2:21" ht="13.5" customHeight="1">
      <c r="I198" s="52"/>
      <c r="J198" s="52"/>
      <c r="K198" s="52"/>
      <c r="L198" s="52"/>
      <c r="M198" s="52"/>
      <c r="N198" s="52"/>
      <c r="O198" s="52"/>
      <c r="P198" s="52"/>
      <c r="Q198" s="52"/>
    </row>
    <row r="199" spans="2:21" s="11" customFormat="1" ht="13.5" customHeight="1">
      <c r="B199" s="11" t="str">
        <f t="shared" ref="B199:G208" si="261">B82</f>
        <v xml:space="preserve">Adj. EBITDA </v>
      </c>
      <c r="C199" s="56">
        <f t="shared" si="261"/>
        <v>4150.1229999999996</v>
      </c>
      <c r="D199" s="56">
        <f t="shared" si="261"/>
        <v>4436.9650000000001</v>
      </c>
      <c r="E199" s="56">
        <f t="shared" si="261"/>
        <v>6184.1419999999998</v>
      </c>
      <c r="F199" s="56">
        <f t="shared" ref="F199" si="262">F82</f>
        <v>9303.4549999999999</v>
      </c>
      <c r="G199" s="56">
        <f t="shared" si="261"/>
        <v>9092.4558113000003</v>
      </c>
      <c r="I199" s="56">
        <f t="shared" ref="I199:O208" si="263">I82</f>
        <v>1109.1949999999999</v>
      </c>
      <c r="J199" s="56">
        <f t="shared" si="263"/>
        <v>1090.5350000000001</v>
      </c>
      <c r="K199" s="56">
        <f t="shared" si="263"/>
        <v>1954.7080000000001</v>
      </c>
      <c r="L199" s="56">
        <f t="shared" si="263"/>
        <v>2029.7039999999997</v>
      </c>
      <c r="M199" s="56">
        <f t="shared" si="263"/>
        <v>2553.14</v>
      </c>
      <c r="N199" s="56">
        <f t="shared" si="263"/>
        <v>2393.2049999999999</v>
      </c>
      <c r="O199" s="56">
        <f t="shared" si="263"/>
        <v>2181.1060000000002</v>
      </c>
      <c r="P199" s="56">
        <f t="shared" ref="P199:Q199" si="264">P82</f>
        <v>2176.0040000000008</v>
      </c>
      <c r="Q199" s="56">
        <f t="shared" si="264"/>
        <v>2342.1408112999998</v>
      </c>
    </row>
    <row r="200" spans="2:21" ht="13.5" customHeight="1">
      <c r="B200" s="18" t="str">
        <f t="shared" si="261"/>
        <v>Working Capital</v>
      </c>
      <c r="C200" s="57">
        <f t="shared" si="261"/>
        <v>38.771999999999998</v>
      </c>
      <c r="D200" s="57">
        <f t="shared" si="261"/>
        <v>-341.13299999999998</v>
      </c>
      <c r="E200" s="57">
        <f t="shared" si="261"/>
        <v>483.935</v>
      </c>
      <c r="F200" s="57">
        <f t="shared" ref="F200" si="265">F83</f>
        <v>-88.955999999999989</v>
      </c>
      <c r="G200" s="57">
        <f t="shared" si="261"/>
        <v>79.983117899999954</v>
      </c>
      <c r="I200" s="57">
        <f t="shared" si="263"/>
        <v>-47.018000000000001</v>
      </c>
      <c r="J200" s="57">
        <f t="shared" si="263"/>
        <v>935.58</v>
      </c>
      <c r="K200" s="57">
        <f t="shared" si="263"/>
        <v>-689.84300000000019</v>
      </c>
      <c r="L200" s="57">
        <f t="shared" si="263"/>
        <v>285.21600000000018</v>
      </c>
      <c r="M200" s="57">
        <f t="shared" si="263"/>
        <v>-55.831000000000046</v>
      </c>
      <c r="N200" s="57">
        <f t="shared" si="263"/>
        <v>-286.86699999999996</v>
      </c>
      <c r="O200" s="57">
        <f t="shared" si="263"/>
        <v>9.0439999999999827</v>
      </c>
      <c r="P200" s="57">
        <f t="shared" ref="P200:Q200" si="266">P83</f>
        <v>244.69800000000001</v>
      </c>
      <c r="Q200" s="57">
        <f t="shared" si="266"/>
        <v>113.10811789999993</v>
      </c>
    </row>
    <row r="201" spans="2:21" ht="13.5" customHeight="1">
      <c r="B201" s="18" t="str">
        <f t="shared" si="261"/>
        <v>Taxes</v>
      </c>
      <c r="C201" s="57">
        <f t="shared" si="261"/>
        <v>0</v>
      </c>
      <c r="D201" s="57">
        <f t="shared" si="261"/>
        <v>0</v>
      </c>
      <c r="E201" s="57">
        <f t="shared" si="261"/>
        <v>0</v>
      </c>
      <c r="F201" s="57">
        <f t="shared" ref="F201" si="267">F84</f>
        <v>0</v>
      </c>
      <c r="G201" s="57">
        <f t="shared" si="261"/>
        <v>0</v>
      </c>
      <c r="I201" s="57">
        <f t="shared" si="263"/>
        <v>0</v>
      </c>
      <c r="J201" s="57">
        <f t="shared" si="263"/>
        <v>0</v>
      </c>
      <c r="K201" s="57">
        <f t="shared" si="263"/>
        <v>0</v>
      </c>
      <c r="L201" s="57">
        <f t="shared" si="263"/>
        <v>0</v>
      </c>
      <c r="M201" s="57">
        <f t="shared" si="263"/>
        <v>0</v>
      </c>
      <c r="N201" s="57">
        <f t="shared" si="263"/>
        <v>0</v>
      </c>
      <c r="O201" s="57">
        <f t="shared" si="263"/>
        <v>0</v>
      </c>
      <c r="P201" s="57">
        <f t="shared" ref="P201:Q201" si="268">P84</f>
        <v>0</v>
      </c>
      <c r="Q201" s="57">
        <f t="shared" si="268"/>
        <v>0</v>
      </c>
    </row>
    <row r="202" spans="2:21" ht="13.5" customHeight="1">
      <c r="B202" s="18" t="str">
        <f t="shared" si="261"/>
        <v>Cash interest paid</v>
      </c>
      <c r="C202" s="57">
        <f t="shared" si="261"/>
        <v>-854.07600000000002</v>
      </c>
      <c r="D202" s="57">
        <f t="shared" si="261"/>
        <v>-658.72500000000002</v>
      </c>
      <c r="E202" s="57">
        <f t="shared" si="261"/>
        <v>-909.06700000000001</v>
      </c>
      <c r="F202" s="57">
        <f t="shared" ref="F202" si="269">F85</f>
        <v>-2136.5540000000001</v>
      </c>
      <c r="G202" s="57">
        <f t="shared" si="261"/>
        <v>-2034.1521674999999</v>
      </c>
      <c r="I202" s="57">
        <f t="shared" si="263"/>
        <v>-129.50299999999999</v>
      </c>
      <c r="J202" s="57">
        <f t="shared" si="263"/>
        <v>-190.69499999999999</v>
      </c>
      <c r="K202" s="57">
        <f t="shared" si="263"/>
        <v>-171.46700000000004</v>
      </c>
      <c r="L202" s="57">
        <f t="shared" si="263"/>
        <v>-417.40199999999999</v>
      </c>
      <c r="M202" s="57">
        <f t="shared" si="263"/>
        <v>-650.02499999999998</v>
      </c>
      <c r="N202" s="57">
        <f t="shared" si="263"/>
        <v>-470.72699999999998</v>
      </c>
      <c r="O202" s="57">
        <f t="shared" si="263"/>
        <v>-575.89400000000012</v>
      </c>
      <c r="P202" s="57">
        <f t="shared" ref="P202:Q202" si="270">P85</f>
        <v>-439.9079999999999</v>
      </c>
      <c r="Q202" s="57">
        <f t="shared" si="270"/>
        <v>-547.62316749999991</v>
      </c>
    </row>
    <row r="203" spans="2:21" s="11" customFormat="1" ht="13.5" customHeight="1" thickBot="1">
      <c r="B203" s="53" t="str">
        <f t="shared" si="261"/>
        <v xml:space="preserve">Net cash from operations </v>
      </c>
      <c r="C203" s="58">
        <f t="shared" si="261"/>
        <v>3334.8189999999995</v>
      </c>
      <c r="D203" s="58">
        <f t="shared" si="261"/>
        <v>3437.1070000000004</v>
      </c>
      <c r="E203" s="58">
        <f t="shared" si="261"/>
        <v>5759.01</v>
      </c>
      <c r="F203" s="58">
        <f t="shared" ref="F203" si="271">F86</f>
        <v>7077.9449999999997</v>
      </c>
      <c r="G203" s="58">
        <f t="shared" si="261"/>
        <v>7138.2867616999993</v>
      </c>
      <c r="I203" s="58">
        <f t="shared" si="263"/>
        <v>932.67399999999998</v>
      </c>
      <c r="J203" s="58">
        <f t="shared" si="263"/>
        <v>1835.4200000000003</v>
      </c>
      <c r="K203" s="58">
        <f t="shared" si="263"/>
        <v>1093.3979999999997</v>
      </c>
      <c r="L203" s="58">
        <f t="shared" si="263"/>
        <v>1897.518</v>
      </c>
      <c r="M203" s="58">
        <f t="shared" si="263"/>
        <v>1847.2839999999997</v>
      </c>
      <c r="N203" s="58">
        <f t="shared" si="263"/>
        <v>1635.6109999999999</v>
      </c>
      <c r="O203" s="58">
        <f t="shared" si="263"/>
        <v>1614.2559999999999</v>
      </c>
      <c r="P203" s="58">
        <f t="shared" ref="P203:Q203" si="272">P86</f>
        <v>1980.7940000000008</v>
      </c>
      <c r="Q203" s="58">
        <f t="shared" si="272"/>
        <v>1907.6257616999997</v>
      </c>
    </row>
    <row r="204" spans="2:21" ht="13.5" customHeight="1" thickTop="1">
      <c r="B204" s="18" t="str">
        <f t="shared" si="261"/>
        <v>Net Capex</v>
      </c>
      <c r="C204" s="60">
        <f t="shared" si="261"/>
        <v>-3337.058</v>
      </c>
      <c r="D204" s="60">
        <f t="shared" si="261"/>
        <v>-6014.0209999999997</v>
      </c>
      <c r="E204" s="60">
        <f t="shared" si="261"/>
        <v>-6318.991</v>
      </c>
      <c r="F204" s="60">
        <f t="shared" ref="F204" si="273">F87</f>
        <v>-2190.7980000000002</v>
      </c>
      <c r="G204" s="60">
        <f t="shared" si="261"/>
        <v>-2165.7263879000002</v>
      </c>
      <c r="I204" s="60">
        <f t="shared" si="263"/>
        <v>-273.15499999999997</v>
      </c>
      <c r="J204" s="60">
        <f t="shared" si="263"/>
        <v>-146.67300000000006</v>
      </c>
      <c r="K204" s="60">
        <f t="shared" si="263"/>
        <v>-4359.5680000000002</v>
      </c>
      <c r="L204" s="60">
        <f t="shared" si="263"/>
        <v>-1539.5949999999993</v>
      </c>
      <c r="M204" s="60">
        <f t="shared" si="263"/>
        <v>25.185000000000002</v>
      </c>
      <c r="N204" s="60">
        <f t="shared" si="263"/>
        <v>-264.63400000000001</v>
      </c>
      <c r="O204" s="60">
        <f t="shared" si="263"/>
        <v>-208.86900000000003</v>
      </c>
      <c r="P204" s="60">
        <f t="shared" ref="P204:Q204" si="274">P87</f>
        <v>-1742.4800000000002</v>
      </c>
      <c r="Q204" s="60">
        <f t="shared" si="274"/>
        <v>50.256612100000005</v>
      </c>
    </row>
    <row r="205" spans="2:21" ht="13.5" customHeight="1">
      <c r="B205" s="18" t="str">
        <f t="shared" si="261"/>
        <v>Purchase of intangible assets</v>
      </c>
      <c r="C205" s="60">
        <f t="shared" si="261"/>
        <v>0</v>
      </c>
      <c r="D205" s="60">
        <f t="shared" si="261"/>
        <v>0</v>
      </c>
      <c r="E205" s="60">
        <f t="shared" si="261"/>
        <v>0</v>
      </c>
      <c r="F205" s="60">
        <f t="shared" ref="F205" si="275">F88</f>
        <v>0</v>
      </c>
      <c r="G205" s="60">
        <f t="shared" si="261"/>
        <v>0</v>
      </c>
      <c r="I205" s="60">
        <f t="shared" si="263"/>
        <v>0</v>
      </c>
      <c r="J205" s="60">
        <f t="shared" si="263"/>
        <v>0</v>
      </c>
      <c r="K205" s="60">
        <f t="shared" si="263"/>
        <v>0</v>
      </c>
      <c r="L205" s="60">
        <f t="shared" si="263"/>
        <v>0</v>
      </c>
      <c r="M205" s="60">
        <f t="shared" si="263"/>
        <v>0</v>
      </c>
      <c r="N205" s="60">
        <f t="shared" si="263"/>
        <v>0</v>
      </c>
      <c r="O205" s="60">
        <f t="shared" si="263"/>
        <v>0</v>
      </c>
      <c r="P205" s="60">
        <f t="shared" ref="P205:Q205" si="276">P88</f>
        <v>0</v>
      </c>
      <c r="Q205" s="60">
        <f t="shared" si="276"/>
        <v>0</v>
      </c>
    </row>
    <row r="206" spans="2:21" ht="13.5" customHeight="1">
      <c r="B206" s="18" t="str">
        <f t="shared" si="261"/>
        <v>Disposals/ Acquistion, of subsidiaries, businesses</v>
      </c>
      <c r="C206" s="60">
        <f t="shared" si="261"/>
        <v>0</v>
      </c>
      <c r="D206" s="60">
        <f t="shared" si="261"/>
        <v>0</v>
      </c>
      <c r="E206" s="60">
        <f t="shared" si="261"/>
        <v>-11279.566999999999</v>
      </c>
      <c r="F206" s="60">
        <f t="shared" ref="F206" si="277">F89</f>
        <v>0</v>
      </c>
      <c r="G206" s="60">
        <f t="shared" si="261"/>
        <v>29.536999999999999</v>
      </c>
      <c r="I206" s="60">
        <f t="shared" si="263"/>
        <v>0</v>
      </c>
      <c r="J206" s="60">
        <f t="shared" si="263"/>
        <v>0</v>
      </c>
      <c r="K206" s="60">
        <f t="shared" si="263"/>
        <v>-11782.14</v>
      </c>
      <c r="L206" s="60">
        <f t="shared" si="263"/>
        <v>502.57300000000032</v>
      </c>
      <c r="M206" s="60">
        <f t="shared" si="263"/>
        <v>-29.536999999999999</v>
      </c>
      <c r="N206" s="60">
        <f t="shared" si="263"/>
        <v>-7.0570000000000022</v>
      </c>
      <c r="O206" s="60">
        <f t="shared" si="263"/>
        <v>36.594000000000001</v>
      </c>
      <c r="P206" s="60">
        <f t="shared" ref="P206:Q206" si="278">P89</f>
        <v>0</v>
      </c>
      <c r="Q206" s="60">
        <f t="shared" si="278"/>
        <v>0</v>
      </c>
    </row>
    <row r="207" spans="2:21" s="11" customFormat="1" ht="13.5" customHeight="1" thickBot="1">
      <c r="B207" s="53" t="str">
        <f t="shared" si="261"/>
        <v xml:space="preserve">Free cash flow </v>
      </c>
      <c r="C207" s="58">
        <f t="shared" si="261"/>
        <v>-2.2390000000004875</v>
      </c>
      <c r="D207" s="58">
        <f t="shared" si="261"/>
        <v>-2576.9139999999993</v>
      </c>
      <c r="E207" s="58">
        <f t="shared" si="261"/>
        <v>-11839.547999999999</v>
      </c>
      <c r="F207" s="58">
        <f t="shared" ref="F207" si="279">F90</f>
        <v>4887.146999999999</v>
      </c>
      <c r="G207" s="58">
        <f t="shared" si="261"/>
        <v>5002.0973737999993</v>
      </c>
      <c r="I207" s="58">
        <f t="shared" si="263"/>
        <v>659.51900000000001</v>
      </c>
      <c r="J207" s="58">
        <f t="shared" si="263"/>
        <v>1688.7470000000003</v>
      </c>
      <c r="K207" s="58">
        <f t="shared" si="263"/>
        <v>-15048.31</v>
      </c>
      <c r="L207" s="58">
        <f t="shared" si="263"/>
        <v>860.496000000001</v>
      </c>
      <c r="M207" s="58">
        <f t="shared" si="263"/>
        <v>1842.9319999999996</v>
      </c>
      <c r="N207" s="58">
        <f t="shared" si="263"/>
        <v>1363.9199999999998</v>
      </c>
      <c r="O207" s="58">
        <f t="shared" si="263"/>
        <v>1441.9809999999998</v>
      </c>
      <c r="P207" s="58">
        <f t="shared" ref="P207:Q207" si="280">P90</f>
        <v>238.31400000000053</v>
      </c>
      <c r="Q207" s="58">
        <f t="shared" si="280"/>
        <v>1957.8823737999996</v>
      </c>
    </row>
    <row r="208" spans="2:21" s="11" customFormat="1" ht="13.5" customHeight="1" thickTop="1">
      <c r="B208" s="18" t="str">
        <f t="shared" si="261"/>
        <v xml:space="preserve">Other Investing </v>
      </c>
      <c r="C208" s="60">
        <f t="shared" si="261"/>
        <v>14.193</v>
      </c>
      <c r="D208" s="60">
        <f t="shared" si="261"/>
        <v>286.291</v>
      </c>
      <c r="E208" s="60">
        <f t="shared" si="261"/>
        <v>143.69499999999999</v>
      </c>
      <c r="F208" s="60">
        <f t="shared" ref="F208" si="281">F91</f>
        <v>183.66</v>
      </c>
      <c r="G208" s="60">
        <f t="shared" si="261"/>
        <v>314.67275489999997</v>
      </c>
      <c r="I208" s="60">
        <f t="shared" si="263"/>
        <v>73.501999999999995</v>
      </c>
      <c r="J208" s="60">
        <f t="shared" si="263"/>
        <v>164.89999999999998</v>
      </c>
      <c r="K208" s="60">
        <f t="shared" si="263"/>
        <v>-134.52299999999997</v>
      </c>
      <c r="L208" s="60">
        <f t="shared" si="263"/>
        <v>39.815999999999974</v>
      </c>
      <c r="M208" s="60">
        <f t="shared" si="263"/>
        <v>-120.31499999999998</v>
      </c>
      <c r="N208" s="60">
        <f t="shared" si="263"/>
        <v>16.606999999999999</v>
      </c>
      <c r="O208" s="60">
        <f t="shared" si="263"/>
        <v>-81.369000000000014</v>
      </c>
      <c r="P208" s="60">
        <f t="shared" ref="P208:Q208" si="282">P91</f>
        <v>368.73699999999997</v>
      </c>
      <c r="Q208" s="60">
        <f t="shared" si="282"/>
        <v>10.697754899999998</v>
      </c>
    </row>
    <row r="209" spans="2:17" ht="13.5" customHeight="1">
      <c r="B209" s="18" t="str">
        <f t="shared" ref="B209:G216" si="283">B92</f>
        <v>Equity Issuance / Buyback</v>
      </c>
      <c r="C209" s="60">
        <f t="shared" si="283"/>
        <v>7955.2629999999999</v>
      </c>
      <c r="D209" s="60">
        <f t="shared" si="283"/>
        <v>6877.8310000000001</v>
      </c>
      <c r="E209" s="60">
        <f t="shared" si="283"/>
        <v>9660</v>
      </c>
      <c r="F209" s="60">
        <f t="shared" ref="F209" si="284">F92</f>
        <v>0</v>
      </c>
      <c r="G209" s="60">
        <f t="shared" si="283"/>
        <v>0</v>
      </c>
      <c r="I209" s="60">
        <f t="shared" ref="I209:O216" si="285">I92</f>
        <v>9660</v>
      </c>
      <c r="J209" s="60">
        <f t="shared" si="285"/>
        <v>0</v>
      </c>
      <c r="K209" s="60">
        <f t="shared" si="285"/>
        <v>0</v>
      </c>
      <c r="L209" s="60">
        <f t="shared" si="285"/>
        <v>0</v>
      </c>
      <c r="M209" s="60">
        <f t="shared" si="285"/>
        <v>0</v>
      </c>
      <c r="N209" s="60">
        <f t="shared" si="285"/>
        <v>0</v>
      </c>
      <c r="O209" s="60">
        <f t="shared" si="285"/>
        <v>0</v>
      </c>
      <c r="P209" s="60">
        <f t="shared" ref="P209:Q209" si="286">P92</f>
        <v>0</v>
      </c>
      <c r="Q209" s="60">
        <f t="shared" si="286"/>
        <v>0</v>
      </c>
    </row>
    <row r="210" spans="2:17" ht="13.5" customHeight="1">
      <c r="B210" s="18" t="str">
        <f t="shared" si="283"/>
        <v>Dividends</v>
      </c>
      <c r="C210" s="60">
        <f t="shared" si="283"/>
        <v>-2113.8359999999998</v>
      </c>
      <c r="D210" s="60">
        <f t="shared" si="283"/>
        <v>-2572.6640000000002</v>
      </c>
      <c r="E210" s="60">
        <f t="shared" si="283"/>
        <v>-2665.4450000000002</v>
      </c>
      <c r="F210" s="60">
        <f t="shared" ref="F210" si="287">F93</f>
        <v>-3408.7950000000001</v>
      </c>
      <c r="G210" s="60">
        <f t="shared" si="283"/>
        <v>-5775.9323715999999</v>
      </c>
      <c r="I210" s="60">
        <f t="shared" si="285"/>
        <v>-838.23599999999999</v>
      </c>
      <c r="J210" s="60">
        <f t="shared" si="285"/>
        <v>-777.72300000000007</v>
      </c>
      <c r="K210" s="60">
        <f t="shared" si="285"/>
        <v>-1049.4860000000003</v>
      </c>
      <c r="L210" s="60">
        <f t="shared" si="285"/>
        <v>0</v>
      </c>
      <c r="M210" s="60">
        <f t="shared" si="285"/>
        <v>0</v>
      </c>
      <c r="N210" s="60">
        <f t="shared" si="285"/>
        <v>-1178.932</v>
      </c>
      <c r="O210" s="60">
        <f t="shared" si="285"/>
        <v>-1117.1859999999999</v>
      </c>
      <c r="P210" s="60">
        <f t="shared" ref="P210:Q210" si="288">P93</f>
        <v>-1112.6770000000001</v>
      </c>
      <c r="Q210" s="60">
        <f t="shared" si="288"/>
        <v>-2367.1373715999998</v>
      </c>
    </row>
    <row r="211" spans="2:17" ht="13.5" customHeight="1">
      <c r="B211" s="18" t="str">
        <f t="shared" si="283"/>
        <v>Net Change in debt</v>
      </c>
      <c r="C211" s="60">
        <f t="shared" si="283"/>
        <v>-2708.087</v>
      </c>
      <c r="D211" s="60">
        <f t="shared" si="283"/>
        <v>-67.775999999999996</v>
      </c>
      <c r="E211" s="60">
        <f t="shared" si="283"/>
        <v>5933.3130000000001</v>
      </c>
      <c r="F211" s="60">
        <f t="shared" ref="F211" si="289">F94</f>
        <v>3415.7419999999984</v>
      </c>
      <c r="G211" s="60">
        <f t="shared" si="283"/>
        <v>4113.4621669999988</v>
      </c>
      <c r="I211" s="60">
        <f t="shared" si="285"/>
        <v>-18.484999999999999</v>
      </c>
      <c r="J211" s="60">
        <f t="shared" si="285"/>
        <v>-18.494</v>
      </c>
      <c r="K211" s="60">
        <f t="shared" si="285"/>
        <v>2840.192</v>
      </c>
      <c r="L211" s="60">
        <f t="shared" si="285"/>
        <v>3130.1</v>
      </c>
      <c r="M211" s="60">
        <f t="shared" si="285"/>
        <v>-847.55899999999986</v>
      </c>
      <c r="N211" s="60">
        <f t="shared" si="285"/>
        <v>277.63099999999997</v>
      </c>
      <c r="O211" s="60">
        <f t="shared" si="285"/>
        <v>-113.35200000000259</v>
      </c>
      <c r="P211" s="60">
        <f t="shared" ref="P211:Q211" si="290">P94</f>
        <v>4099.0220000000008</v>
      </c>
      <c r="Q211" s="60">
        <f t="shared" si="290"/>
        <v>-149.83883299999951</v>
      </c>
    </row>
    <row r="212" spans="2:17" ht="13.5" customHeight="1">
      <c r="B212" s="18" t="str">
        <f t="shared" si="283"/>
        <v>Other financing activities</v>
      </c>
      <c r="C212" s="60">
        <f t="shared" si="283"/>
        <v>-200.697</v>
      </c>
      <c r="D212" s="60">
        <f t="shared" si="283"/>
        <v>-234.23099999999999</v>
      </c>
      <c r="E212" s="60">
        <f t="shared" si="283"/>
        <v>-1350.76</v>
      </c>
      <c r="F212" s="60">
        <f t="shared" ref="F212" si="291">F95</f>
        <v>-4587.6030000000001</v>
      </c>
      <c r="G212" s="60">
        <f t="shared" si="283"/>
        <v>-3422.9424481000001</v>
      </c>
      <c r="I212" s="60">
        <f t="shared" si="285"/>
        <v>-264.90300000000002</v>
      </c>
      <c r="J212" s="60">
        <f t="shared" si="285"/>
        <v>-2.1569999999999823</v>
      </c>
      <c r="K212" s="60">
        <f t="shared" si="285"/>
        <v>0</v>
      </c>
      <c r="L212" s="60">
        <f t="shared" si="285"/>
        <v>-1083.7</v>
      </c>
      <c r="M212" s="60">
        <f t="shared" si="285"/>
        <v>-1158.0029999999999</v>
      </c>
      <c r="N212" s="60">
        <f t="shared" si="285"/>
        <v>-38.159000000000106</v>
      </c>
      <c r="O212" s="60">
        <f t="shared" si="285"/>
        <v>-36.594000000000051</v>
      </c>
      <c r="P212" s="60">
        <f t="shared" ref="P212:Q212" si="292">P95</f>
        <v>-3354.8469999999998</v>
      </c>
      <c r="Q212" s="60">
        <f t="shared" si="292"/>
        <v>6.6575518999999987</v>
      </c>
    </row>
    <row r="213" spans="2:17" s="11" customFormat="1" ht="13.5" customHeight="1" thickBot="1">
      <c r="B213" s="53" t="str">
        <f t="shared" si="283"/>
        <v>Cash flow after financing activities</v>
      </c>
      <c r="C213" s="58">
        <f t="shared" si="283"/>
        <v>2944.5969999999993</v>
      </c>
      <c r="D213" s="58">
        <f t="shared" si="283"/>
        <v>1712.5370000000003</v>
      </c>
      <c r="E213" s="58">
        <f t="shared" si="283"/>
        <v>-118.74499999999875</v>
      </c>
      <c r="F213" s="58">
        <f t="shared" ref="F213" si="293">F96</f>
        <v>490.15099999999711</v>
      </c>
      <c r="G213" s="58">
        <f t="shared" si="283"/>
        <v>231.35747599999786</v>
      </c>
      <c r="I213" s="58">
        <f t="shared" si="285"/>
        <v>9271.396999999999</v>
      </c>
      <c r="J213" s="58">
        <f t="shared" si="285"/>
        <v>1055.2730000000006</v>
      </c>
      <c r="K213" s="58">
        <f t="shared" si="285"/>
        <v>-13392.127</v>
      </c>
      <c r="L213" s="58">
        <f t="shared" si="285"/>
        <v>2946.7120000000014</v>
      </c>
      <c r="M213" s="58">
        <f t="shared" si="285"/>
        <v>-282.94500000000028</v>
      </c>
      <c r="N213" s="58">
        <f t="shared" si="285"/>
        <v>441.06699999999967</v>
      </c>
      <c r="O213" s="58">
        <f t="shared" si="285"/>
        <v>93.47999999999729</v>
      </c>
      <c r="P213" s="58">
        <f t="shared" ref="P213:Q213" si="294">P96</f>
        <v>238.54900000000134</v>
      </c>
      <c r="Q213" s="58">
        <f t="shared" si="294"/>
        <v>-541.73852399999964</v>
      </c>
    </row>
    <row r="214" spans="2:17" s="11" customFormat="1" ht="13.5" customHeight="1" thickTop="1">
      <c r="B214" s="18" t="str">
        <f t="shared" si="283"/>
        <v>Balancing figure</v>
      </c>
      <c r="C214" s="60">
        <f t="shared" si="283"/>
        <v>-65.799999999999272</v>
      </c>
      <c r="D214" s="60">
        <f t="shared" si="283"/>
        <v>-361.00600000000031</v>
      </c>
      <c r="E214" s="60">
        <f t="shared" si="283"/>
        <v>-366.59000000000123</v>
      </c>
      <c r="F214" s="60">
        <f t="shared" ref="F214" si="295">F97</f>
        <v>-138.64999999999714</v>
      </c>
      <c r="G214" s="60">
        <f t="shared" si="283"/>
        <v>-92.013317599997848</v>
      </c>
      <c r="I214" s="60">
        <f t="shared" si="285"/>
        <v>12.893000000001848</v>
      </c>
      <c r="J214" s="60">
        <f t="shared" si="285"/>
        <v>-1.0190000000020518</v>
      </c>
      <c r="K214" s="60">
        <f t="shared" si="285"/>
        <v>-420.26199999999881</v>
      </c>
      <c r="L214" s="60">
        <f t="shared" si="285"/>
        <v>41.797999999997785</v>
      </c>
      <c r="M214" s="60">
        <f t="shared" si="285"/>
        <v>-162.8539999999997</v>
      </c>
      <c r="N214" s="60">
        <f t="shared" si="285"/>
        <v>-37.356999999999687</v>
      </c>
      <c r="O214" s="60">
        <f t="shared" si="285"/>
        <v>63.949000000002741</v>
      </c>
      <c r="P214" s="60">
        <f t="shared" ref="P214:Q214" si="296">P97</f>
        <v>-2.3880000000004884</v>
      </c>
      <c r="Q214" s="60">
        <f t="shared" si="296"/>
        <v>-116.21731760000041</v>
      </c>
    </row>
    <row r="215" spans="2:17" ht="13.5" customHeight="1">
      <c r="B215" s="18" t="str">
        <f t="shared" si="283"/>
        <v xml:space="preserve">FX </v>
      </c>
      <c r="C215" s="60">
        <f t="shared" si="283"/>
        <v>-516.721</v>
      </c>
      <c r="D215" s="60">
        <f t="shared" si="283"/>
        <v>-733.29300000000001</v>
      </c>
      <c r="E215" s="60">
        <f t="shared" si="283"/>
        <v>-554.20600000000002</v>
      </c>
      <c r="F215" s="60">
        <f t="shared" ref="F215" si="297">F98</f>
        <v>-581.81299999999999</v>
      </c>
      <c r="G215" s="60">
        <f t="shared" si="283"/>
        <v>-417.14290410000001</v>
      </c>
      <c r="I215" s="60">
        <f t="shared" si="285"/>
        <v>-195.92500000000001</v>
      </c>
      <c r="J215" s="60">
        <f t="shared" si="285"/>
        <v>233.762</v>
      </c>
      <c r="K215" s="60">
        <f t="shared" si="285"/>
        <v>1278.2740000000001</v>
      </c>
      <c r="L215" s="60">
        <f t="shared" si="285"/>
        <v>-1870.317</v>
      </c>
      <c r="M215" s="60">
        <f t="shared" si="285"/>
        <v>-174.876</v>
      </c>
      <c r="N215" s="60">
        <f t="shared" si="285"/>
        <v>-238.22099999999998</v>
      </c>
      <c r="O215" s="60">
        <f t="shared" si="285"/>
        <v>193.49899999999997</v>
      </c>
      <c r="P215" s="60">
        <f t="shared" ref="P215:Q215" si="298">P98</f>
        <v>-362.21499999999997</v>
      </c>
      <c r="Q215" s="60">
        <f t="shared" si="298"/>
        <v>-10.205904099999998</v>
      </c>
    </row>
    <row r="216" spans="2:17" s="11" customFormat="1" ht="13.5" customHeight="1" thickBot="1">
      <c r="B216" s="53" t="str">
        <f t="shared" si="283"/>
        <v xml:space="preserve">Net change in cash </v>
      </c>
      <c r="C216" s="58">
        <f t="shared" si="283"/>
        <v>2362.076</v>
      </c>
      <c r="D216" s="58">
        <f t="shared" si="283"/>
        <v>618.23799999999994</v>
      </c>
      <c r="E216" s="58">
        <f t="shared" si="283"/>
        <v>-1039.5409999999999</v>
      </c>
      <c r="F216" s="58">
        <f t="shared" ref="F216" si="299">F99</f>
        <v>-230.31200000000001</v>
      </c>
      <c r="G216" s="58">
        <f t="shared" si="283"/>
        <v>-277.79874569999998</v>
      </c>
      <c r="I216" s="58">
        <f t="shared" si="285"/>
        <v>9088.3650000000016</v>
      </c>
      <c r="J216" s="58">
        <f t="shared" si="285"/>
        <v>1288.0159999999985</v>
      </c>
      <c r="K216" s="58">
        <f t="shared" si="285"/>
        <v>-12534.115</v>
      </c>
      <c r="L216" s="58">
        <f t="shared" si="285"/>
        <v>1118.1929999999993</v>
      </c>
      <c r="M216" s="58">
        <f t="shared" si="285"/>
        <v>-620.67499999999995</v>
      </c>
      <c r="N216" s="58">
        <f t="shared" si="285"/>
        <v>165.489</v>
      </c>
      <c r="O216" s="58">
        <f t="shared" si="285"/>
        <v>350.928</v>
      </c>
      <c r="P216" s="58">
        <f t="shared" ref="P216:Q216" si="300">P99</f>
        <v>-126.05399999999912</v>
      </c>
      <c r="Q216" s="58">
        <f t="shared" si="300"/>
        <v>-668.1617457000001</v>
      </c>
    </row>
    <row r="217" spans="2:17" ht="13.5" customHeight="1" thickTop="1">
      <c r="C217" s="61"/>
      <c r="D217" s="61"/>
      <c r="E217" s="61"/>
      <c r="F217" s="61"/>
      <c r="G217" s="61"/>
      <c r="I217" s="61"/>
      <c r="J217" s="61"/>
      <c r="K217" s="61"/>
      <c r="L217" s="61"/>
      <c r="M217" s="61"/>
      <c r="N217" s="61"/>
      <c r="O217" s="61"/>
      <c r="P217" s="61"/>
      <c r="Q217" s="61"/>
    </row>
    <row r="218" spans="2:17" s="11" customFormat="1" ht="13.5" customHeight="1">
      <c r="B218" s="11" t="str">
        <f>+B146</f>
        <v>Total debt including lease obligations</v>
      </c>
      <c r="C218" s="59">
        <f t="shared" ref="C218:G219" si="301">C146</f>
        <v>17900.779000000002</v>
      </c>
      <c r="D218" s="59">
        <f t="shared" si="301"/>
        <v>15535.289999999999</v>
      </c>
      <c r="E218" s="59">
        <f t="shared" si="301"/>
        <v>46422.516000000003</v>
      </c>
      <c r="F218" s="59">
        <f t="shared" ref="F218" si="302">F146</f>
        <v>43933.491000000002</v>
      </c>
      <c r="G218" s="59">
        <f t="shared" si="301"/>
        <v>44211.777717999998</v>
      </c>
      <c r="I218" s="59">
        <f t="shared" ref="I218:O219" si="303">I146</f>
        <v>15350.595000000001</v>
      </c>
      <c r="J218" s="59">
        <f t="shared" si="303"/>
        <v>16862.392</v>
      </c>
      <c r="K218" s="59">
        <f t="shared" si="303"/>
        <v>42568.682000000001</v>
      </c>
      <c r="L218" s="59">
        <f t="shared" si="303"/>
        <v>46422.516000000003</v>
      </c>
      <c r="M218" s="59">
        <f t="shared" si="303"/>
        <v>45229.923999999999</v>
      </c>
      <c r="N218" s="59">
        <f t="shared" si="303"/>
        <v>42120.822999999997</v>
      </c>
      <c r="O218" s="59">
        <f t="shared" si="303"/>
        <v>40787.046999999999</v>
      </c>
      <c r="P218" s="59">
        <f t="shared" ref="P218:Q218" si="304">P146</f>
        <v>43933.491000000002</v>
      </c>
      <c r="Q218" s="59">
        <f t="shared" si="304"/>
        <v>44211.777717999998</v>
      </c>
    </row>
    <row r="219" spans="2:17" ht="13.5" customHeight="1">
      <c r="B219" s="18" t="str">
        <f>+B147</f>
        <v>Cash and cash equivalents</v>
      </c>
      <c r="C219" s="61">
        <f t="shared" si="301"/>
        <v>2704.5770000000002</v>
      </c>
      <c r="D219" s="61">
        <f t="shared" si="301"/>
        <v>3322.8150000000001</v>
      </c>
      <c r="E219" s="61">
        <f t="shared" si="301"/>
        <v>2283.2739999999999</v>
      </c>
      <c r="F219" s="61">
        <f t="shared" ref="F219" si="305">F147</f>
        <v>2052.962</v>
      </c>
      <c r="G219" s="61">
        <f t="shared" si="301"/>
        <v>1369.0327239999999</v>
      </c>
      <c r="I219" s="61">
        <f t="shared" si="303"/>
        <v>12411.18</v>
      </c>
      <c r="J219" s="61">
        <f t="shared" si="303"/>
        <v>13699.196</v>
      </c>
      <c r="K219" s="61">
        <f t="shared" si="303"/>
        <v>1165.0809999999999</v>
      </c>
      <c r="L219" s="61">
        <f t="shared" si="303"/>
        <v>2283.2739999999999</v>
      </c>
      <c r="M219" s="61">
        <f t="shared" si="303"/>
        <v>1662.5989999999999</v>
      </c>
      <c r="N219" s="61">
        <f t="shared" si="303"/>
        <v>1828.088</v>
      </c>
      <c r="O219" s="61">
        <f t="shared" si="303"/>
        <v>2179.0160000000001</v>
      </c>
      <c r="P219" s="61">
        <f t="shared" ref="P219:Q219" si="306">P147</f>
        <v>2052.962</v>
      </c>
      <c r="Q219" s="61">
        <f t="shared" si="306"/>
        <v>1369.0327239999999</v>
      </c>
    </row>
    <row r="220" spans="2:17" s="11" customFormat="1" ht="13.5" customHeight="1" thickBot="1">
      <c r="B220" s="53" t="str">
        <f>+B150</f>
        <v xml:space="preserve">Net debt </v>
      </c>
      <c r="C220" s="58">
        <f>C150</f>
        <v>15196.202000000001</v>
      </c>
      <c r="D220" s="58">
        <f>D150</f>
        <v>12212.474999999999</v>
      </c>
      <c r="E220" s="58">
        <f>E150</f>
        <v>44139.242000000006</v>
      </c>
      <c r="F220" s="58">
        <f>F150</f>
        <v>41880.529000000002</v>
      </c>
      <c r="G220" s="58">
        <f>G150</f>
        <v>42842.744994000001</v>
      </c>
      <c r="I220" s="58">
        <f t="shared" ref="I220:O220" si="307">I150</f>
        <v>2939.4150000000009</v>
      </c>
      <c r="J220" s="58">
        <f t="shared" si="307"/>
        <v>3163.1959999999999</v>
      </c>
      <c r="K220" s="58">
        <f t="shared" si="307"/>
        <v>41403.601000000002</v>
      </c>
      <c r="L220" s="58">
        <f t="shared" si="307"/>
        <v>44139.242000000006</v>
      </c>
      <c r="M220" s="58">
        <f t="shared" si="307"/>
        <v>43567.324999999997</v>
      </c>
      <c r="N220" s="58">
        <f t="shared" si="307"/>
        <v>40292.734999999993</v>
      </c>
      <c r="O220" s="58">
        <f t="shared" si="307"/>
        <v>38608.030999999995</v>
      </c>
      <c r="P220" s="58">
        <f t="shared" ref="P220:Q220" si="308">P150</f>
        <v>41880.529000000002</v>
      </c>
      <c r="Q220" s="58">
        <f t="shared" si="308"/>
        <v>42842.744994000001</v>
      </c>
    </row>
    <row r="221" spans="2:17" ht="13.5" customHeight="1" thickTop="1">
      <c r="C221" s="62"/>
      <c r="D221" s="62"/>
      <c r="E221" s="62"/>
      <c r="F221" s="62"/>
      <c r="G221" s="62"/>
      <c r="I221" s="62"/>
      <c r="J221" s="62"/>
      <c r="K221" s="62"/>
      <c r="L221" s="62"/>
      <c r="M221" s="62"/>
      <c r="N221" s="62"/>
      <c r="O221" s="62"/>
      <c r="P221" s="62"/>
      <c r="Q221" s="62"/>
    </row>
    <row r="222" spans="2:17" ht="13.5" customHeight="1">
      <c r="B222" s="11" t="str">
        <f t="shared" ref="B222:G222" si="309">B152</f>
        <v>Company reported net debt</v>
      </c>
      <c r="C222" s="63">
        <f t="shared" si="309"/>
        <v>15196.202000000001</v>
      </c>
      <c r="D222" s="63">
        <f t="shared" si="309"/>
        <v>12212.474999999999</v>
      </c>
      <c r="E222" s="63">
        <f t="shared" si="309"/>
        <v>44139.241999999998</v>
      </c>
      <c r="F222" s="63">
        <f t="shared" si="309"/>
        <v>41924.002</v>
      </c>
      <c r="G222" s="63">
        <f t="shared" si="309"/>
        <v>42743.649958000002</v>
      </c>
      <c r="I222" s="63">
        <f t="shared" ref="I222:O222" si="310">I152</f>
        <v>2939.4150000000009</v>
      </c>
      <c r="J222" s="63">
        <f t="shared" si="310"/>
        <v>3163.1959999999999</v>
      </c>
      <c r="K222" s="63">
        <f t="shared" si="310"/>
        <v>41355.008000000002</v>
      </c>
      <c r="L222" s="63">
        <f t="shared" si="310"/>
        <v>44139.241999999998</v>
      </c>
      <c r="M222" s="63">
        <f t="shared" si="310"/>
        <v>43488.122000000003</v>
      </c>
      <c r="N222" s="63">
        <f t="shared" si="310"/>
        <v>40242.875999999997</v>
      </c>
      <c r="O222" s="63">
        <f t="shared" si="310"/>
        <v>38668.218999999997</v>
      </c>
      <c r="P222" s="63">
        <f t="shared" ref="P222:Q222" si="311">P152</f>
        <v>41924.002</v>
      </c>
      <c r="Q222" s="63">
        <f t="shared" si="311"/>
        <v>42743.649958000002</v>
      </c>
    </row>
    <row r="223" spans="2:17" ht="13.5" customHeight="1">
      <c r="C223" s="62"/>
      <c r="D223" s="62"/>
      <c r="E223" s="62"/>
      <c r="F223" s="62"/>
      <c r="G223" s="62"/>
      <c r="H223" s="62"/>
      <c r="I223" s="62"/>
      <c r="J223" s="62"/>
      <c r="K223" s="62"/>
      <c r="L223" s="62"/>
      <c r="M223" s="62"/>
      <c r="N223" s="62"/>
      <c r="O223" s="62"/>
      <c r="P223" s="62"/>
      <c r="Q223" s="62"/>
    </row>
    <row r="224" spans="2:17" s="11" customFormat="1" ht="13.5" customHeight="1">
      <c r="B224" s="11" t="str">
        <f>+B160</f>
        <v>Net Leverage including lease obligations</v>
      </c>
      <c r="C224" s="64">
        <f t="shared" ref="C224:G225" si="312">C160</f>
        <v>3.6616268963594578</v>
      </c>
      <c r="D224" s="64">
        <f t="shared" si="312"/>
        <v>2.7524388855895863</v>
      </c>
      <c r="E224" s="64">
        <f t="shared" si="312"/>
        <v>7.1374884341271603</v>
      </c>
      <c r="F224" s="64">
        <f t="shared" ref="F224" si="313">F160</f>
        <v>4.5016103157375404</v>
      </c>
      <c r="G224" s="64">
        <f t="shared" si="312"/>
        <v>4.7119002701949375</v>
      </c>
      <c r="H224" s="64"/>
      <c r="I224" s="100"/>
      <c r="J224" s="100"/>
      <c r="K224" s="100"/>
      <c r="L224" s="64">
        <f t="shared" ref="L224:O225" si="314">L160</f>
        <v>7.1374884341271603</v>
      </c>
      <c r="M224" s="64">
        <f t="shared" si="314"/>
        <v>5.7114352523771688</v>
      </c>
      <c r="N224" s="64">
        <f t="shared" si="314"/>
        <v>4.5116819324498465</v>
      </c>
      <c r="O224" s="64">
        <f t="shared" si="314"/>
        <v>4.216160040973425</v>
      </c>
      <c r="P224" s="64">
        <f t="shared" ref="P224:Q224" si="315">P160</f>
        <v>4.5016103157375404</v>
      </c>
      <c r="Q224" s="64">
        <f t="shared" si="315"/>
        <v>4.7119002701949375</v>
      </c>
    </row>
    <row r="225" spans="2:18" ht="13.5" customHeight="1">
      <c r="B225" s="18" t="str">
        <f>+B161</f>
        <v>Gross Leverage including lease obligations</v>
      </c>
      <c r="C225" s="48">
        <f t="shared" si="312"/>
        <v>4.313312882533844</v>
      </c>
      <c r="D225" s="48">
        <f t="shared" si="312"/>
        <v>3.5013325550235348</v>
      </c>
      <c r="E225" s="48">
        <f t="shared" si="312"/>
        <v>7.5067027891662264</v>
      </c>
      <c r="F225" s="48">
        <f t="shared" ref="F225" si="316">F161</f>
        <v>4.7222769390511381</v>
      </c>
      <c r="G225" s="48">
        <f t="shared" si="312"/>
        <v>4.8624682523124392</v>
      </c>
      <c r="H225" s="48"/>
      <c r="I225" s="99"/>
      <c r="J225" s="99"/>
      <c r="K225" s="99"/>
      <c r="L225" s="48">
        <f t="shared" si="314"/>
        <v>7.5067027891662264</v>
      </c>
      <c r="M225" s="48">
        <f t="shared" si="314"/>
        <v>5.9293927822270511</v>
      </c>
      <c r="N225" s="48">
        <f t="shared" si="314"/>
        <v>4.7163776822054393</v>
      </c>
      <c r="O225" s="48">
        <f t="shared" si="314"/>
        <v>4.4541177909514476</v>
      </c>
      <c r="P225" s="48">
        <f t="shared" ref="P225:Q225" si="317">P161</f>
        <v>4.7222769390511381</v>
      </c>
      <c r="Q225" s="48">
        <f t="shared" si="317"/>
        <v>4.8624682523124392</v>
      </c>
    </row>
    <row r="226" spans="2:18" ht="13.5" customHeight="1"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</row>
    <row r="227" spans="2:18" ht="13.5" customHeight="1">
      <c r="B227" s="11" t="str">
        <f t="shared" ref="B227:G228" si="318">B163</f>
        <v>Net Leverage excluding lease obligations</v>
      </c>
      <c r="C227" s="64">
        <f t="shared" si="318"/>
        <v>3.6616268963594578</v>
      </c>
      <c r="D227" s="64">
        <f t="shared" si="318"/>
        <v>2.7524388855895863</v>
      </c>
      <c r="E227" s="64">
        <f t="shared" si="318"/>
        <v>7.1374884341271603</v>
      </c>
      <c r="F227" s="64">
        <f t="shared" ref="F227" si="319">F163</f>
        <v>4.5016103157375404</v>
      </c>
      <c r="G227" s="64">
        <f t="shared" si="318"/>
        <v>4.7119002701949375</v>
      </c>
      <c r="H227" s="48"/>
      <c r="I227" s="99"/>
      <c r="J227" s="99"/>
      <c r="K227" s="99"/>
      <c r="L227" s="64">
        <f t="shared" ref="L227:O228" si="320">L163</f>
        <v>7.1374884341271603</v>
      </c>
      <c r="M227" s="64">
        <f t="shared" si="320"/>
        <v>5.7114352523771688</v>
      </c>
      <c r="N227" s="64">
        <f t="shared" si="320"/>
        <v>4.5116819324498465</v>
      </c>
      <c r="O227" s="64">
        <f t="shared" si="320"/>
        <v>4.216160040973425</v>
      </c>
      <c r="P227" s="64">
        <f t="shared" ref="P227:Q227" si="321">P163</f>
        <v>4.5016103157375404</v>
      </c>
      <c r="Q227" s="64">
        <f t="shared" si="321"/>
        <v>4.7119002701949375</v>
      </c>
    </row>
    <row r="228" spans="2:18" ht="13.5" customHeight="1">
      <c r="B228" s="18" t="str">
        <f t="shared" si="318"/>
        <v>Gross Leverage excluding lease obligations</v>
      </c>
      <c r="C228" s="48">
        <f t="shared" si="318"/>
        <v>4.313312882533844</v>
      </c>
      <c r="D228" s="48">
        <f t="shared" si="318"/>
        <v>3.5013325550235348</v>
      </c>
      <c r="E228" s="48">
        <f t="shared" si="318"/>
        <v>7.5067027891662264</v>
      </c>
      <c r="F228" s="48">
        <f t="shared" ref="F228" si="322">F164</f>
        <v>4.7222769390511381</v>
      </c>
      <c r="G228" s="48">
        <f t="shared" si="318"/>
        <v>4.8624682523124392</v>
      </c>
      <c r="H228" s="48"/>
      <c r="I228" s="99"/>
      <c r="J228" s="99"/>
      <c r="K228" s="99"/>
      <c r="L228" s="48">
        <f t="shared" si="320"/>
        <v>7.5067027891662264</v>
      </c>
      <c r="M228" s="48">
        <f t="shared" si="320"/>
        <v>5.9293927822270511</v>
      </c>
      <c r="N228" s="48">
        <f t="shared" si="320"/>
        <v>4.7163776822054393</v>
      </c>
      <c r="O228" s="48">
        <f t="shared" si="320"/>
        <v>4.4541177909514476</v>
      </c>
      <c r="P228" s="48">
        <f t="shared" ref="P228:Q228" si="323">P164</f>
        <v>4.7222769390511381</v>
      </c>
      <c r="Q228" s="48">
        <f t="shared" si="323"/>
        <v>4.8624682523124392</v>
      </c>
    </row>
    <row r="229" spans="2:18" ht="13.5" customHeight="1"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</row>
    <row r="230" spans="2:18" ht="13.5" customHeight="1">
      <c r="B230" s="11" t="str">
        <f>+B166</f>
        <v>Company reported net leverage (including leases)</v>
      </c>
      <c r="C230" s="64">
        <f>C166</f>
        <v>3.6616268963594578</v>
      </c>
      <c r="D230" s="64">
        <f>D166</f>
        <v>2.7524388855895863</v>
      </c>
      <c r="E230" s="64">
        <f>E166</f>
        <v>7.1374884341271594</v>
      </c>
      <c r="F230" s="64">
        <f>F166</f>
        <v>4.5062830959036191</v>
      </c>
      <c r="G230" s="64">
        <f>G166</f>
        <v>4.7010016705144366</v>
      </c>
      <c r="H230" s="64"/>
      <c r="I230" s="100"/>
      <c r="J230" s="100"/>
      <c r="K230" s="100"/>
      <c r="L230" s="64">
        <f>L166</f>
        <v>7.1374884341271594</v>
      </c>
      <c r="M230" s="64">
        <f>M166</f>
        <v>5.7010521773021212</v>
      </c>
      <c r="N230" s="64">
        <f>N166</f>
        <v>4.5060990910400989</v>
      </c>
      <c r="O230" s="64">
        <f>O166</f>
        <v>4.222732824769265</v>
      </c>
      <c r="P230" s="64">
        <f>P166</f>
        <v>4.5062830959036191</v>
      </c>
      <c r="Q230" s="64">
        <f>Q166</f>
        <v>4.7010016705144366</v>
      </c>
    </row>
    <row r="231" spans="2:18" ht="13.5" customHeight="1">
      <c r="B231" s="18" t="str">
        <f>+B167</f>
        <v>Company reported net leverage based on annualized EBITDA</v>
      </c>
      <c r="C231" s="99"/>
      <c r="D231" s="99"/>
      <c r="E231" s="48">
        <f t="shared" ref="E231:G231" si="324">E167</f>
        <v>5.3948715328738368</v>
      </c>
      <c r="F231" s="48">
        <f t="shared" si="324"/>
        <v>4.8012154435959138</v>
      </c>
      <c r="G231" s="48">
        <f t="shared" si="324"/>
        <v>4.467614919037298</v>
      </c>
      <c r="H231" s="48"/>
      <c r="I231" s="99"/>
      <c r="J231" s="99"/>
      <c r="K231" s="99"/>
      <c r="L231" s="48">
        <f t="shared" ref="L231:O231" si="325">L167</f>
        <v>5.3948715328738368</v>
      </c>
      <c r="M231" s="48">
        <f t="shared" si="325"/>
        <v>4.2582978215060674</v>
      </c>
      <c r="N231" s="48">
        <f t="shared" si="325"/>
        <v>4.2038693308490771</v>
      </c>
      <c r="O231" s="48">
        <f t="shared" si="325"/>
        <v>4.432180164558714</v>
      </c>
      <c r="P231" s="48">
        <f t="shared" ref="P231:Q231" si="326">P167</f>
        <v>4.8012154435959138</v>
      </c>
      <c r="Q231" s="48">
        <f t="shared" si="326"/>
        <v>4.467614919037298</v>
      </c>
    </row>
    <row r="232" spans="2:18" ht="13.5" customHeight="1"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</row>
    <row r="233" spans="2:18" s="11" customFormat="1" ht="13.5" customHeight="1">
      <c r="B233" s="11" t="str">
        <f>+B169</f>
        <v>EBITDA - Capex / Interest</v>
      </c>
      <c r="C233" s="64">
        <f>C169</f>
        <v>0.95198202501885032</v>
      </c>
      <c r="D233" s="64">
        <f t="shared" ref="D233:E233" si="327">D169</f>
        <v>-2.3941037610535498</v>
      </c>
      <c r="E233" s="64">
        <f t="shared" si="327"/>
        <v>-0.14833780128417395</v>
      </c>
      <c r="F233" s="64">
        <f t="shared" ref="F233" si="328">F169</f>
        <v>3.3290321704951054</v>
      </c>
      <c r="G233" s="64">
        <f>G169</f>
        <v>3.4052169420112963</v>
      </c>
      <c r="H233" s="64"/>
      <c r="I233" s="100"/>
      <c r="J233" s="100"/>
      <c r="K233" s="100"/>
      <c r="L233" s="64">
        <f t="shared" ref="L233:O234" si="329">L169</f>
        <v>-0.14833780128417395</v>
      </c>
      <c r="M233" s="64">
        <f t="shared" si="329"/>
        <v>1.1244042868264938</v>
      </c>
      <c r="N233" s="64">
        <f t="shared" si="329"/>
        <v>1.6331953105395876</v>
      </c>
      <c r="O233" s="64">
        <f t="shared" si="329"/>
        <v>3.3912389879510769</v>
      </c>
      <c r="P233" s="64">
        <f t="shared" ref="P233:Q233" si="330">P169</f>
        <v>3.3290321704951054</v>
      </c>
      <c r="Q233" s="64">
        <f t="shared" si="330"/>
        <v>3.4052169420112963</v>
      </c>
    </row>
    <row r="234" spans="2:18" ht="12.75" customHeight="1">
      <c r="B234" s="18" t="str">
        <f>+B170</f>
        <v>EBITDA/Interest</v>
      </c>
      <c r="C234" s="48">
        <f>C170</f>
        <v>4.859196371283117</v>
      </c>
      <c r="D234" s="48">
        <f t="shared" ref="D234:E234" si="331">D170</f>
        <v>6.7356863638088731</v>
      </c>
      <c r="E234" s="48">
        <f t="shared" si="331"/>
        <v>6.802735111933444</v>
      </c>
      <c r="F234" s="48">
        <f t="shared" ref="F234" si="332">F170</f>
        <v>4.3544207167242206</v>
      </c>
      <c r="G234" s="48">
        <f>G170</f>
        <v>4.4698995269733182</v>
      </c>
      <c r="H234" s="48"/>
      <c r="I234" s="99"/>
      <c r="J234" s="99"/>
      <c r="K234" s="99"/>
      <c r="L234" s="48">
        <f t="shared" si="329"/>
        <v>6.802735111933444</v>
      </c>
      <c r="M234" s="48">
        <f t="shared" si="329"/>
        <v>5.3358601668031858</v>
      </c>
      <c r="N234" s="48">
        <f t="shared" si="329"/>
        <v>5.2238227069040439</v>
      </c>
      <c r="O234" s="48">
        <f t="shared" si="329"/>
        <v>4.3315738337067078</v>
      </c>
      <c r="P234" s="48">
        <f t="shared" ref="P234:Q234" si="333">P170</f>
        <v>4.3544207167242206</v>
      </c>
      <c r="Q234" s="48">
        <f t="shared" si="333"/>
        <v>4.4698995269733182</v>
      </c>
    </row>
    <row r="235" spans="2:18" ht="13.5" customHeight="1">
      <c r="C235" s="62"/>
      <c r="D235" s="62"/>
      <c r="E235" s="62"/>
      <c r="F235" s="62"/>
      <c r="G235" s="62"/>
      <c r="H235" s="62"/>
      <c r="I235" s="62"/>
      <c r="J235" s="62"/>
      <c r="K235" s="62"/>
      <c r="L235" s="62"/>
      <c r="M235" s="62"/>
      <c r="N235" s="62"/>
      <c r="O235" s="62"/>
      <c r="P235" s="62"/>
      <c r="Q235" s="62"/>
    </row>
    <row r="236" spans="2:18" s="11" customFormat="1" ht="13.5" customHeight="1">
      <c r="B236" s="43" t="str">
        <f t="shared" ref="B236:G236" si="334">+B172</f>
        <v xml:space="preserve">Gearing (Net debt / Equity) </v>
      </c>
      <c r="C236" s="284">
        <f t="shared" si="334"/>
        <v>0.25330234626930576</v>
      </c>
      <c r="D236" s="284">
        <f t="shared" si="334"/>
        <v>0.1708635408566517</v>
      </c>
      <c r="E236" s="284">
        <f t="shared" si="334"/>
        <v>0.30556714336121177</v>
      </c>
      <c r="F236" s="284">
        <f t="shared" ref="F236" si="335">+F172</f>
        <v>0.32340136127859548</v>
      </c>
      <c r="G236" s="284">
        <f t="shared" si="334"/>
        <v>0.32925842179863291</v>
      </c>
      <c r="H236" s="291"/>
      <c r="I236" s="284">
        <f t="shared" ref="I236:O236" si="336">+I172</f>
        <v>3.4150658496482245E-2</v>
      </c>
      <c r="J236" s="284">
        <f t="shared" si="336"/>
        <v>3.3338150536357893E-2</v>
      </c>
      <c r="K236" s="284">
        <f t="shared" si="336"/>
        <v>0.30919998378260177</v>
      </c>
      <c r="L236" s="284">
        <f t="shared" si="336"/>
        <v>0.30556714336121177</v>
      </c>
      <c r="M236" s="284">
        <f t="shared" si="336"/>
        <v>0.29911982038746404</v>
      </c>
      <c r="N236" s="284">
        <f t="shared" si="336"/>
        <v>0.2967481737840556</v>
      </c>
      <c r="O236" s="284">
        <f t="shared" si="336"/>
        <v>0.2903191943733045</v>
      </c>
      <c r="P236" s="284">
        <f t="shared" ref="P236:Q236" si="337">+P172</f>
        <v>0.32340136127859548</v>
      </c>
      <c r="Q236" s="284">
        <f t="shared" si="337"/>
        <v>0.32925842179863291</v>
      </c>
    </row>
    <row r="237" spans="2:18" ht="13.5" customHeight="1">
      <c r="C237" s="21"/>
      <c r="D237" s="21"/>
      <c r="E237" s="21"/>
      <c r="F237" s="21"/>
      <c r="G237" s="21"/>
      <c r="I237" s="21"/>
      <c r="J237" s="21"/>
      <c r="K237" s="21"/>
      <c r="L237" s="21"/>
      <c r="M237" s="21"/>
      <c r="N237" s="21"/>
      <c r="O237" s="21"/>
      <c r="P237" s="21"/>
      <c r="Q237" s="21"/>
    </row>
    <row r="238" spans="2:18" ht="13.5" customHeight="1">
      <c r="H238" s="18"/>
      <c r="R238" s="21"/>
    </row>
    <row r="239" spans="2:18" ht="13.5" customHeight="1">
      <c r="B239" s="287" t="s">
        <v>229</v>
      </c>
      <c r="C239" s="289">
        <f>1/20.0947</f>
        <v>4.9764365728276611E-2</v>
      </c>
      <c r="D239" s="289">
        <f>1/17.7248</f>
        <v>5.6418126015526274E-2</v>
      </c>
      <c r="E239" s="288">
        <f>AVERAGE(I239:L239)</f>
        <v>5.490227351622981E-2</v>
      </c>
      <c r="F239" s="288">
        <f>AVERAGE(M239:P239)</f>
        <v>5.2075459656598752E-2</v>
      </c>
      <c r="G239" s="288">
        <f>AVERAGE(N239:Q239)</f>
        <v>5.4055518758904367E-2</v>
      </c>
      <c r="I239" s="289">
        <f>1/16.968</f>
        <v>5.8934464875058934E-2</v>
      </c>
      <c r="J239" s="289">
        <f>1/17.2331</f>
        <v>5.802786498076376E-2</v>
      </c>
      <c r="K239" s="289">
        <f>1/18.9335</f>
        <v>5.2816436475031037E-2</v>
      </c>
      <c r="L239" s="289">
        <f>1/20.0681</f>
        <v>4.9830327734065503E-2</v>
      </c>
      <c r="M239" s="289">
        <f>1/20.405</f>
        <v>4.9007596177407492E-2</v>
      </c>
      <c r="N239" s="289">
        <f>1/19.4914</f>
        <v>5.1304677960536442E-2</v>
      </c>
      <c r="O239" s="289">
        <f>1/18.6295</f>
        <v>5.3678305912665397E-2</v>
      </c>
      <c r="P239" s="289">
        <f>1/18.4123886321766</f>
        <v>5.431125857578567E-2</v>
      </c>
      <c r="Q239" s="289">
        <f>1/17.5661</f>
        <v>5.6927832586629937E-2</v>
      </c>
    </row>
    <row r="240" spans="2:18" ht="13.5" customHeight="1">
      <c r="B240" s="287" t="s">
        <v>230</v>
      </c>
      <c r="C240" s="289">
        <f>1/19.474</f>
        <v>5.1350518640238263E-2</v>
      </c>
      <c r="D240" s="289">
        <f>1/16.954</f>
        <v>5.8983130824584167E-2</v>
      </c>
      <c r="E240" s="288">
        <f>L240</f>
        <v>4.8031431768949598E-2</v>
      </c>
      <c r="F240" s="288">
        <f>P240</f>
        <v>5.5701609960574099E-2</v>
      </c>
      <c r="G240" s="288">
        <f>Q240</f>
        <v>5.5744467361614362E-2</v>
      </c>
      <c r="I240" s="289">
        <f>1/16.531</f>
        <v>6.0492408202770555E-2</v>
      </c>
      <c r="J240" s="289">
        <f>1/18.33</f>
        <v>5.4555373704309879E-2</v>
      </c>
      <c r="K240" s="289">
        <f>1/19.678</f>
        <v>5.0818172578514072E-2</v>
      </c>
      <c r="L240" s="289">
        <f>1/20.8197</f>
        <v>4.8031431768949598E-2</v>
      </c>
      <c r="M240" s="289">
        <f>1/20.458</f>
        <v>4.888063349301007E-2</v>
      </c>
      <c r="N240" s="289">
        <f>1/18.747</f>
        <v>5.3341868032218485E-2</v>
      </c>
      <c r="O240" s="289">
        <f>1/18.3127</f>
        <v>5.4606912142939057E-2</v>
      </c>
      <c r="P240" s="289">
        <f>1/17.9528024541446</f>
        <v>5.5701609960574099E-2</v>
      </c>
      <c r="Q240" s="289">
        <f>1/17.939</f>
        <v>5.5744467361614362E-2</v>
      </c>
    </row>
    <row r="241" spans="2:17" ht="13.5" customHeight="1">
      <c r="B241" s="286" t="s">
        <v>96</v>
      </c>
      <c r="C241" s="80">
        <f>C239</f>
        <v>4.9764365728276611E-2</v>
      </c>
      <c r="D241" s="80">
        <f t="shared" ref="D241:E241" si="338">D239</f>
        <v>5.6418126015526274E-2</v>
      </c>
      <c r="E241" s="80">
        <f t="shared" si="338"/>
        <v>5.490227351622981E-2</v>
      </c>
      <c r="F241" s="80">
        <f t="shared" ref="F241" si="339">F239</f>
        <v>5.2075459656598752E-2</v>
      </c>
      <c r="G241" s="80">
        <f t="shared" ref="G241" si="340">G239</f>
        <v>5.4055518758904367E-2</v>
      </c>
      <c r="I241" s="80">
        <f>1/17.3078</f>
        <v>5.7777418273841849E-2</v>
      </c>
      <c r="J241" s="80">
        <f>1/17.2008</f>
        <v>5.8136830845076967E-2</v>
      </c>
      <c r="K241" s="80">
        <f>1/17.6744</f>
        <v>5.6579006925270452E-2</v>
      </c>
      <c r="L241" s="80">
        <f t="shared" ref="L241:M241" si="341">AVERAGE(I239:L239)</f>
        <v>5.490227351622981E-2</v>
      </c>
      <c r="M241" s="80">
        <f t="shared" si="341"/>
        <v>5.242055634181695E-2</v>
      </c>
      <c r="N241" s="80">
        <f t="shared" ref="N241" si="342">AVERAGE(K239:N239)</f>
        <v>5.0739759586760122E-2</v>
      </c>
      <c r="O241" s="80">
        <f t="shared" ref="O241:P241" si="343">AVERAGE(L239:O239)</f>
        <v>5.0955226946168712E-2</v>
      </c>
      <c r="P241" s="80">
        <f t="shared" si="343"/>
        <v>5.2075459656598752E-2</v>
      </c>
      <c r="Q241" s="80">
        <f>AVERAGE(N239:Q239)</f>
        <v>5.4055518758904367E-2</v>
      </c>
    </row>
    <row r="242" spans="2:17" ht="13.5" customHeight="1">
      <c r="B242" s="285" t="s">
        <v>231</v>
      </c>
      <c r="C242" s="257">
        <f>1/C240</f>
        <v>19.474</v>
      </c>
      <c r="D242" s="257">
        <f t="shared" ref="D242:O242" si="344">1/D240</f>
        <v>16.954000000000001</v>
      </c>
      <c r="E242" s="257">
        <f t="shared" si="344"/>
        <v>20.819700000000001</v>
      </c>
      <c r="F242" s="257">
        <f t="shared" ref="F242" si="345">1/F240</f>
        <v>17.952802454144599</v>
      </c>
      <c r="G242" s="257">
        <f t="shared" si="344"/>
        <v>17.939</v>
      </c>
      <c r="I242" s="257">
        <f t="shared" si="344"/>
        <v>16.530999999999999</v>
      </c>
      <c r="J242" s="257">
        <f t="shared" si="344"/>
        <v>18.329999999999998</v>
      </c>
      <c r="K242" s="257">
        <f t="shared" si="344"/>
        <v>19.678000000000001</v>
      </c>
      <c r="L242" s="257">
        <f t="shared" si="344"/>
        <v>20.819700000000001</v>
      </c>
      <c r="M242" s="257">
        <f t="shared" si="344"/>
        <v>20.457999999999998</v>
      </c>
      <c r="N242" s="257">
        <f t="shared" si="344"/>
        <v>18.747</v>
      </c>
      <c r="O242" s="257">
        <f t="shared" si="344"/>
        <v>18.3127</v>
      </c>
      <c r="P242" s="257">
        <f t="shared" ref="P242:Q242" si="346">1/P240</f>
        <v>17.952802454144599</v>
      </c>
      <c r="Q242" s="257">
        <f t="shared" si="346"/>
        <v>17.939</v>
      </c>
    </row>
    <row r="243" spans="2:17" ht="13.5" customHeight="1">
      <c r="C243" s="21"/>
      <c r="D243" s="21"/>
      <c r="E243" s="21"/>
      <c r="F243" s="21"/>
      <c r="G243" s="21"/>
      <c r="I243" s="21"/>
      <c r="J243" s="21"/>
      <c r="K243" s="21"/>
      <c r="L243" s="21"/>
      <c r="M243" s="21"/>
      <c r="N243" s="21"/>
      <c r="O243" s="21"/>
      <c r="P243" s="21"/>
      <c r="Q243" s="21"/>
    </row>
    <row r="244" spans="2:17" ht="13.5" customHeight="1">
      <c r="B244" s="46" t="s">
        <v>232</v>
      </c>
      <c r="C244" s="10">
        <f>C3</f>
        <v>44926</v>
      </c>
      <c r="D244" s="10">
        <f>D3</f>
        <v>45291</v>
      </c>
      <c r="E244" s="10">
        <f>E3</f>
        <v>45657</v>
      </c>
      <c r="F244" s="10">
        <f>F3</f>
        <v>46022</v>
      </c>
      <c r="G244" s="10" t="str">
        <f>G2</f>
        <v>LTM</v>
      </c>
      <c r="I244" s="10">
        <f>I3</f>
        <v>45382</v>
      </c>
      <c r="J244" s="10">
        <f>J3</f>
        <v>45473</v>
      </c>
      <c r="K244" s="10">
        <f>K3</f>
        <v>45565</v>
      </c>
      <c r="L244" s="10">
        <f>L3</f>
        <v>45657</v>
      </c>
      <c r="M244" s="10">
        <f>M3</f>
        <v>45747</v>
      </c>
      <c r="N244" s="10">
        <f>N3</f>
        <v>45838</v>
      </c>
      <c r="O244" s="10">
        <f>O3</f>
        <v>45930</v>
      </c>
      <c r="P244" s="10">
        <f>P3</f>
        <v>46022</v>
      </c>
      <c r="Q244" s="10">
        <f>Q3</f>
        <v>46112</v>
      </c>
    </row>
    <row r="245" spans="2:17" ht="13.5" customHeight="1">
      <c r="B245" s="18" t="s">
        <v>221</v>
      </c>
      <c r="C245" s="21">
        <f>C176*C$239</f>
        <v>275.84482475478609</v>
      </c>
      <c r="D245" s="21">
        <f t="shared" ref="D245:E245" si="347">D176*D$239</f>
        <v>316.29919660588564</v>
      </c>
      <c r="E245" s="21">
        <f t="shared" si="347"/>
        <v>462.94843310493786</v>
      </c>
      <c r="F245" s="21">
        <f t="shared" ref="F245" si="348">F176*F$239</f>
        <v>648.8347103459887</v>
      </c>
      <c r="G245" s="21">
        <f>G176*G$239</f>
        <v>667.99629223701345</v>
      </c>
      <c r="I245" s="95"/>
      <c r="J245" s="95"/>
      <c r="K245" s="95"/>
      <c r="L245" s="21">
        <f t="shared" ref="L245:O246" si="349">L176*L$241</f>
        <v>462.94843310493786</v>
      </c>
      <c r="M245" s="21">
        <f t="shared" si="349"/>
        <v>532.23890883644026</v>
      </c>
      <c r="N245" s="21">
        <f t="shared" si="349"/>
        <v>598.38905451525955</v>
      </c>
      <c r="O245" s="21">
        <f t="shared" si="349"/>
        <v>635.68301660221221</v>
      </c>
      <c r="P245" s="21">
        <f t="shared" ref="P245" si="350">P176*P$241</f>
        <v>648.83471034598858</v>
      </c>
      <c r="Q245" s="21">
        <f>Q176*Q$241</f>
        <v>667.99629223701334</v>
      </c>
    </row>
    <row r="246" spans="2:17" ht="13.5" customHeight="1">
      <c r="B246" s="18" t="s">
        <v>222</v>
      </c>
      <c r="C246" s="21">
        <f>C177*C$239</f>
        <v>206.52823878933251</v>
      </c>
      <c r="D246" s="21">
        <f t="shared" ref="D246:E246" si="351">D177*D$239</f>
        <v>250.32525049647955</v>
      </c>
      <c r="E246" s="21">
        <f t="shared" si="351"/>
        <v>339.52345554720443</v>
      </c>
      <c r="F246" s="21">
        <f t="shared" ref="F246" si="352">F177*F$239</f>
        <v>484.48169551948195</v>
      </c>
      <c r="G246" s="21">
        <f>G177*G$239</f>
        <v>491.49741567223617</v>
      </c>
      <c r="I246" s="95"/>
      <c r="J246" s="95"/>
      <c r="K246" s="95"/>
      <c r="L246" s="21">
        <f t="shared" si="349"/>
        <v>339.52345554720443</v>
      </c>
      <c r="M246" s="21">
        <f t="shared" si="349"/>
        <v>399.86856436378139</v>
      </c>
      <c r="N246" s="21">
        <f t="shared" si="349"/>
        <v>453.14446310777504</v>
      </c>
      <c r="O246" s="21">
        <f t="shared" si="349"/>
        <v>466.60491120624351</v>
      </c>
      <c r="P246" s="21">
        <f t="shared" ref="P246" si="353">P177*P$241</f>
        <v>484.48169551948195</v>
      </c>
      <c r="Q246" s="21">
        <f>Q177*Q$241</f>
        <v>491.49741567223617</v>
      </c>
    </row>
    <row r="247" spans="2:17" ht="13.5" customHeight="1">
      <c r="B247" s="18" t="s">
        <v>223</v>
      </c>
      <c r="C247" s="47">
        <f t="shared" ref="C247" si="354">C246/C245</f>
        <v>0.74871166777526832</v>
      </c>
      <c r="D247" s="47">
        <f t="shared" ref="D247:E247" si="355">D246/D245</f>
        <v>0.79141917900091674</v>
      </c>
      <c r="E247" s="47">
        <f t="shared" si="355"/>
        <v>0.73339368117105963</v>
      </c>
      <c r="F247" s="47">
        <f t="shared" ref="F247" si="356">F246/F245</f>
        <v>0.74669509475091722</v>
      </c>
      <c r="G247" s="47">
        <f>G246/G245</f>
        <v>0.73577865833100575</v>
      </c>
      <c r="I247" s="98"/>
      <c r="J247" s="98"/>
      <c r="K247" s="98"/>
      <c r="L247" s="47">
        <f t="shared" ref="L247:O247" si="357">L246/L245</f>
        <v>0.73339368117105963</v>
      </c>
      <c r="M247" s="47">
        <f t="shared" si="357"/>
        <v>0.75129525054445623</v>
      </c>
      <c r="N247" s="47">
        <f t="shared" si="357"/>
        <v>0.75727398368751309</v>
      </c>
      <c r="O247" s="47">
        <f t="shared" si="357"/>
        <v>0.73402135816100977</v>
      </c>
      <c r="P247" s="47">
        <f t="shared" ref="P247:Q247" si="358">P246/P245</f>
        <v>0.74669509475091733</v>
      </c>
      <c r="Q247" s="47">
        <f t="shared" si="358"/>
        <v>0.73577865833100586</v>
      </c>
    </row>
    <row r="248" spans="2:17" s="1" customFormat="1" ht="13.5" customHeight="1">
      <c r="B248" s="1" t="s">
        <v>161</v>
      </c>
      <c r="C248" s="5">
        <f>C$239*C179</f>
        <v>42.502550423743578</v>
      </c>
      <c r="D248" s="5">
        <f t="shared" ref="D248:E248" si="359">D$239*D179</f>
        <v>37.164030059577549</v>
      </c>
      <c r="E248" s="5">
        <f t="shared" si="359"/>
        <v>49.909845078578485</v>
      </c>
      <c r="F248" s="5">
        <f t="shared" ref="F248" si="360">F$239*F179</f>
        <v>111.26203163114469</v>
      </c>
      <c r="G248" s="5">
        <f>G$239*G179</f>
        <v>109.95715064876222</v>
      </c>
      <c r="H248" s="5"/>
      <c r="I248" s="96"/>
      <c r="J248" s="96"/>
      <c r="K248" s="96"/>
      <c r="L248" s="5">
        <f t="shared" ref="L248:Q250" si="361">L179*AVERAGE(I$239:L$239)</f>
        <v>49.909845078578485</v>
      </c>
      <c r="M248" s="5">
        <f t="shared" si="361"/>
        <v>74.939850720141749</v>
      </c>
      <c r="N248" s="5">
        <f t="shared" si="361"/>
        <v>86.745758524476429</v>
      </c>
      <c r="O248" s="5">
        <f t="shared" si="361"/>
        <v>107.72179561509408</v>
      </c>
      <c r="P248" s="5">
        <f t="shared" si="361"/>
        <v>111.26203163114469</v>
      </c>
      <c r="Q248" s="5">
        <f t="shared" si="361"/>
        <v>109.95715064876222</v>
      </c>
    </row>
    <row r="249" spans="2:17" s="1" customFormat="1" ht="13.5" customHeight="1">
      <c r="B249" s="1" t="s">
        <v>181</v>
      </c>
      <c r="C249" s="5">
        <f>C$239*C180</f>
        <v>166.0665747684713</v>
      </c>
      <c r="D249" s="5">
        <f t="shared" ref="D249:E249" si="362">D$239*D180</f>
        <v>339.2997946380213</v>
      </c>
      <c r="E249" s="5">
        <f t="shared" si="362"/>
        <v>346.92697222859454</v>
      </c>
      <c r="F249" s="5">
        <f t="shared" ref="F249" si="363">F$239*F180</f>
        <v>114.08681286475725</v>
      </c>
      <c r="G249" s="5">
        <f>G$239*G180</f>
        <v>117.06946338778266</v>
      </c>
      <c r="H249" s="5"/>
      <c r="I249" s="96"/>
      <c r="J249" s="96"/>
      <c r="K249" s="96"/>
      <c r="L249" s="5">
        <f t="shared" si="361"/>
        <v>346.92697222859454</v>
      </c>
      <c r="M249" s="5">
        <f t="shared" si="361"/>
        <v>315.60587495991649</v>
      </c>
      <c r="N249" s="5">
        <f t="shared" si="361"/>
        <v>311.47169707640069</v>
      </c>
      <c r="O249" s="5">
        <f t="shared" si="361"/>
        <v>101.29455806423906</v>
      </c>
      <c r="P249" s="5">
        <f t="shared" si="361"/>
        <v>114.08681286475725</v>
      </c>
      <c r="Q249" s="5">
        <f t="shared" si="361"/>
        <v>117.06946338778266</v>
      </c>
    </row>
    <row r="250" spans="2:17" s="1" customFormat="1" ht="13.5" customHeight="1">
      <c r="B250" s="1" t="s">
        <v>166</v>
      </c>
      <c r="C250" s="5">
        <f>C$239*C181</f>
        <v>-0.11142241486563559</v>
      </c>
      <c r="D250" s="5">
        <f t="shared" ref="D250:E250" si="364">D$239*D181</f>
        <v>-145.38465878317382</v>
      </c>
      <c r="E250" s="5">
        <f t="shared" si="364"/>
        <v>-650.01810260453158</v>
      </c>
      <c r="F250" s="5">
        <f t="shared" ref="F250" si="365">F$239*F181</f>
        <v>254.50042643436757</v>
      </c>
      <c r="G250" s="5">
        <f>G$239*G181</f>
        <v>270.39096842331213</v>
      </c>
      <c r="H250" s="5"/>
      <c r="I250" s="96"/>
      <c r="J250" s="96"/>
      <c r="K250" s="96"/>
      <c r="L250" s="5">
        <f t="shared" si="361"/>
        <v>-650.01810260453146</v>
      </c>
      <c r="M250" s="5">
        <f t="shared" si="361"/>
        <v>-558.60052515350753</v>
      </c>
      <c r="N250" s="5">
        <f t="shared" si="361"/>
        <v>-557.17137191134861</v>
      </c>
      <c r="O250" s="5">
        <f t="shared" si="361"/>
        <v>280.72910951610874</v>
      </c>
      <c r="P250" s="5">
        <f t="shared" si="361"/>
        <v>254.50042643436757</v>
      </c>
      <c r="Q250" s="5">
        <f t="shared" si="361"/>
        <v>270.39096842331213</v>
      </c>
    </row>
    <row r="251" spans="2:17" ht="13.5" customHeight="1">
      <c r="B251" s="18" t="s">
        <v>34</v>
      </c>
      <c r="C251" s="21">
        <f>C182*C$240</f>
        <v>138.8814316524597</v>
      </c>
      <c r="D251" s="21">
        <f t="shared" ref="D251:E251" si="366">D182*D$240</f>
        <v>195.99003185089063</v>
      </c>
      <c r="E251" s="21">
        <f t="shared" si="366"/>
        <v>109.66891934081661</v>
      </c>
      <c r="F251" s="21">
        <f t="shared" ref="F251" si="367">F182*F$240</f>
        <v>114.35328858788012</v>
      </c>
      <c r="G251" s="21">
        <f>G182*G$240</f>
        <v>76.316000000000003</v>
      </c>
      <c r="I251" s="21">
        <f t="shared" ref="I251:O251" si="368">I182*I$240</f>
        <v>750.78216683806193</v>
      </c>
      <c r="J251" s="21">
        <f t="shared" si="368"/>
        <v>747.36475722858711</v>
      </c>
      <c r="K251" s="21">
        <f t="shared" si="368"/>
        <v>59.207287325947746</v>
      </c>
      <c r="L251" s="21">
        <f t="shared" si="368"/>
        <v>109.66891934081661</v>
      </c>
      <c r="M251" s="21">
        <f t="shared" si="368"/>
        <v>81.268892364845044</v>
      </c>
      <c r="N251" s="21">
        <f t="shared" si="368"/>
        <v>97.51362884728222</v>
      </c>
      <c r="O251" s="21">
        <f t="shared" si="368"/>
        <v>118.98933527005849</v>
      </c>
      <c r="P251" s="21">
        <f t="shared" ref="P251" si="369">P182*P$240</f>
        <v>114.35328858788012</v>
      </c>
      <c r="Q251" s="21">
        <f>Q182*Q$240</f>
        <v>76.316000000000003</v>
      </c>
    </row>
    <row r="252" spans="2:17" ht="13.5" customHeight="1">
      <c r="B252" s="18" t="s">
        <v>72</v>
      </c>
      <c r="C252" s="21">
        <f>C183*C$240</f>
        <v>919.21428571428578</v>
      </c>
      <c r="D252" s="21">
        <f t="shared" ref="D252:E252" si="370">D183*D$240</f>
        <v>916.32004246785414</v>
      </c>
      <c r="E252" s="21">
        <f t="shared" si="370"/>
        <v>2229.739909796971</v>
      </c>
      <c r="F252" s="21">
        <f t="shared" ref="F252" si="371">F183*F$240</f>
        <v>2447.1661798883924</v>
      </c>
      <c r="G252" s="21">
        <f>G183*G$240</f>
        <v>2464.5619999999999</v>
      </c>
      <c r="I252" s="21">
        <f t="shared" ref="I252:O252" si="372">I183*I$240</f>
        <v>928.59445889540871</v>
      </c>
      <c r="J252" s="21">
        <f t="shared" si="372"/>
        <v>919.9340971085652</v>
      </c>
      <c r="K252" s="21">
        <f t="shared" si="372"/>
        <v>2163.2626283158856</v>
      </c>
      <c r="L252" s="21">
        <f t="shared" si="372"/>
        <v>2229.739909796971</v>
      </c>
      <c r="M252" s="21">
        <f t="shared" si="372"/>
        <v>2210.8673379606998</v>
      </c>
      <c r="N252" s="21">
        <f t="shared" si="372"/>
        <v>2246.8033818744329</v>
      </c>
      <c r="O252" s="21">
        <f t="shared" si="372"/>
        <v>2227.2546920989262</v>
      </c>
      <c r="P252" s="21">
        <f t="shared" ref="P252" si="373">P183*P$240</f>
        <v>2447.1661798883924</v>
      </c>
      <c r="Q252" s="21">
        <f>Q183*Q$240</f>
        <v>2464.5619999999999</v>
      </c>
    </row>
    <row r="253" spans="2:17" ht="13.5" customHeight="1">
      <c r="B253" s="18" t="s">
        <v>224</v>
      </c>
      <c r="C253" s="21">
        <f>C184*C$240</f>
        <v>780.33285406182608</v>
      </c>
      <c r="D253" s="21">
        <f t="shared" ref="D253:E253" si="374">D184*D$240</f>
        <v>720.33001061696348</v>
      </c>
      <c r="E253" s="21">
        <f t="shared" si="374"/>
        <v>2120.0709904561545</v>
      </c>
      <c r="F253" s="21">
        <f t="shared" ref="F253" si="375">F184*F$240</f>
        <v>2332.8128913005125</v>
      </c>
      <c r="G253" s="21">
        <f>G184*G$240</f>
        <v>2388.2460000000001</v>
      </c>
      <c r="I253" s="21">
        <f t="shared" ref="I253:O253" si="376">I184*I$240</f>
        <v>177.81229205734687</v>
      </c>
      <c r="J253" s="21">
        <f t="shared" si="376"/>
        <v>172.56933987997817</v>
      </c>
      <c r="K253" s="21">
        <f t="shared" si="376"/>
        <v>2104.055340989938</v>
      </c>
      <c r="L253" s="21">
        <f t="shared" si="376"/>
        <v>2120.0709904561545</v>
      </c>
      <c r="M253" s="21">
        <f t="shared" si="376"/>
        <v>2129.5984455958546</v>
      </c>
      <c r="N253" s="21">
        <f t="shared" si="376"/>
        <v>2149.2897530271507</v>
      </c>
      <c r="O253" s="21">
        <f t="shared" si="376"/>
        <v>2108.2653568288674</v>
      </c>
      <c r="P253" s="21">
        <f t="shared" ref="P253" si="377">P184*P$240</f>
        <v>2332.8128913005125</v>
      </c>
      <c r="Q253" s="21">
        <f>Q184*Q$240</f>
        <v>2388.2460000000001</v>
      </c>
    </row>
    <row r="254" spans="2:17" ht="13.5" customHeight="1">
      <c r="B254" s="18" t="s">
        <v>225</v>
      </c>
      <c r="C254" s="48">
        <f t="shared" ref="C254:G254" si="378">C252/C246</f>
        <v>4.4507922553483015</v>
      </c>
      <c r="D254" s="48">
        <f t="shared" si="378"/>
        <v>3.6605178289065203</v>
      </c>
      <c r="E254" s="48">
        <f t="shared" si="378"/>
        <v>6.567263243133926</v>
      </c>
      <c r="F254" s="48">
        <f t="shared" ref="F254" si="379">F252/F246</f>
        <v>5.0511014193517392</v>
      </c>
      <c r="G254" s="48">
        <f t="shared" si="378"/>
        <v>5.0143946263260455</v>
      </c>
      <c r="I254" s="96"/>
      <c r="J254" s="96"/>
      <c r="K254" s="96"/>
      <c r="L254" s="48">
        <f t="shared" ref="L254" si="380">L252/L246</f>
        <v>6.567263243133926</v>
      </c>
      <c r="M254" s="48">
        <f t="shared" ref="M254:P254" si="381">M252/M246</f>
        <v>5.5289851090903905</v>
      </c>
      <c r="N254" s="48">
        <f t="shared" si="381"/>
        <v>4.9582496638385658</v>
      </c>
      <c r="O254" s="48">
        <f t="shared" si="381"/>
        <v>4.7733202943388218</v>
      </c>
      <c r="P254" s="48">
        <f t="shared" si="381"/>
        <v>5.0511014193517392</v>
      </c>
      <c r="Q254" s="48">
        <f t="shared" ref="Q254" si="382">Q252/Q246</f>
        <v>5.0143946263260455</v>
      </c>
    </row>
    <row r="255" spans="2:17" ht="13.5" customHeight="1">
      <c r="B255" s="18" t="s">
        <v>226</v>
      </c>
      <c r="C255" s="48">
        <f t="shared" ref="C255:G255" si="383">C253/C246</f>
        <v>3.7783349077885586</v>
      </c>
      <c r="D255" s="48">
        <f t="shared" si="383"/>
        <v>2.8775763099739464</v>
      </c>
      <c r="E255" s="48">
        <f t="shared" si="383"/>
        <v>6.2442548690465891</v>
      </c>
      <c r="F255" s="48">
        <f t="shared" ref="F255" si="384">F253/F246</f>
        <v>4.8150692025612463</v>
      </c>
      <c r="G255" s="48">
        <f t="shared" si="383"/>
        <v>4.859122192399572</v>
      </c>
      <c r="I255" s="96"/>
      <c r="J255" s="96"/>
      <c r="K255" s="96"/>
      <c r="L255" s="48">
        <f t="shared" ref="L255" si="385">L253/L246</f>
        <v>6.2442548690465891</v>
      </c>
      <c r="M255" s="48">
        <f t="shared" ref="M255:P255" si="386">M253/M246</f>
        <v>5.3257460960558216</v>
      </c>
      <c r="N255" s="48">
        <f t="shared" si="386"/>
        <v>4.7430564157990549</v>
      </c>
      <c r="O255" s="48">
        <f t="shared" si="386"/>
        <v>4.5183094009419786</v>
      </c>
      <c r="P255" s="48">
        <f t="shared" si="386"/>
        <v>4.8150692025612463</v>
      </c>
      <c r="Q255" s="48">
        <f t="shared" ref="Q255" si="387">Q253/Q246</f>
        <v>4.859122192399572</v>
      </c>
    </row>
    <row r="256" spans="2:17" ht="13.5" customHeight="1">
      <c r="C256" s="21"/>
      <c r="D256" s="21"/>
      <c r="E256" s="21"/>
      <c r="F256" s="21"/>
      <c r="G256" s="21"/>
      <c r="I256" s="21"/>
      <c r="J256" s="21"/>
      <c r="K256" s="21"/>
      <c r="L256" s="21"/>
      <c r="M256" s="21"/>
      <c r="N256" s="21"/>
      <c r="O256" s="21"/>
      <c r="P256" s="21"/>
      <c r="Q256" s="21"/>
    </row>
    <row r="257" spans="2:18" ht="13.5" customHeight="1">
      <c r="B257" s="15" t="s">
        <v>227</v>
      </c>
      <c r="C257" s="49"/>
      <c r="D257" s="49"/>
      <c r="E257" s="49"/>
      <c r="F257" s="49"/>
      <c r="G257" s="49"/>
      <c r="I257" s="49"/>
      <c r="J257" s="49"/>
      <c r="K257" s="49"/>
      <c r="L257" s="49"/>
      <c r="M257" s="49"/>
      <c r="N257" s="49"/>
      <c r="O257" s="49"/>
      <c r="P257" s="49"/>
      <c r="Q257" s="49"/>
    </row>
    <row r="258" spans="2:18" s="9" customFormat="1" ht="13.5" customHeight="1">
      <c r="B258" s="46" t="s">
        <v>233</v>
      </c>
      <c r="C258" s="10">
        <f>C3</f>
        <v>44926</v>
      </c>
      <c r="D258" s="10">
        <f>D3</f>
        <v>45291</v>
      </c>
      <c r="E258" s="10">
        <f>E3</f>
        <v>45657</v>
      </c>
      <c r="F258" s="10">
        <f>F3</f>
        <v>46022</v>
      </c>
      <c r="G258" s="10" t="str">
        <f>G2</f>
        <v>LTM</v>
      </c>
      <c r="I258" s="10">
        <f>I3</f>
        <v>45382</v>
      </c>
      <c r="J258" s="10">
        <f>J3</f>
        <v>45473</v>
      </c>
      <c r="K258" s="10">
        <f>K3</f>
        <v>45565</v>
      </c>
      <c r="L258" s="10">
        <f>L3</f>
        <v>45657</v>
      </c>
      <c r="M258" s="10">
        <f>M3</f>
        <v>45747</v>
      </c>
      <c r="N258" s="10">
        <f>N3</f>
        <v>45838</v>
      </c>
      <c r="O258" s="10">
        <f>O3</f>
        <v>45930</v>
      </c>
      <c r="P258" s="10">
        <f>P3</f>
        <v>46022</v>
      </c>
      <c r="Q258" s="10">
        <f>Q3</f>
        <v>46112</v>
      </c>
    </row>
    <row r="259" spans="2:18" s="11" customFormat="1" ht="13.5" customHeight="1">
      <c r="B259" s="46"/>
      <c r="C259" s="10" t="s">
        <v>99</v>
      </c>
      <c r="D259" s="10" t="s">
        <v>99</v>
      </c>
      <c r="E259" s="10" t="s">
        <v>99</v>
      </c>
      <c r="F259" s="10" t="s">
        <v>99</v>
      </c>
      <c r="G259" s="10" t="s">
        <v>99</v>
      </c>
      <c r="I259" s="10" t="s">
        <v>99</v>
      </c>
      <c r="J259" s="10" t="s">
        <v>99</v>
      </c>
      <c r="K259" s="10" t="s">
        <v>99</v>
      </c>
      <c r="L259" s="10" t="s">
        <v>99</v>
      </c>
      <c r="M259" s="10" t="s">
        <v>99</v>
      </c>
      <c r="N259" s="10" t="s">
        <v>99</v>
      </c>
      <c r="O259" s="10" t="s">
        <v>99</v>
      </c>
      <c r="P259" s="10" t="s">
        <v>99</v>
      </c>
      <c r="Q259" s="10" t="s">
        <v>99</v>
      </c>
    </row>
    <row r="260" spans="2:18" ht="13.5" customHeight="1"/>
    <row r="261" spans="2:18" s="11" customFormat="1" ht="13.5" customHeight="1">
      <c r="B261" s="24" t="str">
        <f>B7</f>
        <v xml:space="preserve">Net revenue </v>
      </c>
      <c r="C261" s="50">
        <f>C7*C$239</f>
        <v>275.84482475478609</v>
      </c>
      <c r="D261" s="50">
        <f>D7*D$239</f>
        <v>316.29919660588564</v>
      </c>
      <c r="E261" s="50">
        <f>E7*E$239</f>
        <v>462.94843310493786</v>
      </c>
      <c r="F261" s="50">
        <f>F7*F$239</f>
        <v>648.8347103459887</v>
      </c>
      <c r="G261" s="50">
        <f>G7*G$239</f>
        <v>667.99629223701345</v>
      </c>
      <c r="I261" s="50">
        <f>I7*I$239</f>
        <v>89.123231966053737</v>
      </c>
      <c r="J261" s="50">
        <f>J7*J$239</f>
        <v>87.73569468058561</v>
      </c>
      <c r="K261" s="50">
        <f>K7*K$239</f>
        <v>123.79898064277604</v>
      </c>
      <c r="L261" s="50">
        <f>L7*L$239</f>
        <v>152.68401094273995</v>
      </c>
      <c r="M261" s="50">
        <f>M7*M$239</f>
        <v>158.45449644694926</v>
      </c>
      <c r="N261" s="50">
        <f>N7*N$239</f>
        <v>161.71270406435661</v>
      </c>
      <c r="O261" s="50">
        <f>O7*O$239</f>
        <v>162.42926541238356</v>
      </c>
      <c r="P261" s="50">
        <f>P7*P$239</f>
        <v>165.55500000000012</v>
      </c>
      <c r="Q261" s="255">
        <f>Q7*Q$239</f>
        <v>178.26099999999997</v>
      </c>
    </row>
    <row r="262" spans="2:18" s="22" customFormat="1" ht="13.5" customHeight="1">
      <c r="B262" s="25" t="s">
        <v>228</v>
      </c>
      <c r="C262" s="65" t="e">
        <f>C261/#REF!-1</f>
        <v>#REF!</v>
      </c>
      <c r="D262" s="65">
        <f>D261/C261-1</f>
        <v>0.14665626548209376</v>
      </c>
      <c r="E262" s="65">
        <f>E261/D261-1</f>
        <v>0.4636408757047199</v>
      </c>
      <c r="F262" s="65">
        <f>F261/E261-1</f>
        <v>0.4015269605608871</v>
      </c>
      <c r="G262" s="65"/>
      <c r="I262" s="65"/>
      <c r="J262" s="65"/>
      <c r="K262" s="65"/>
      <c r="L262" s="65"/>
      <c r="M262" s="65">
        <f t="shared" ref="M262" si="388">M261/I261-1</f>
        <v>0.77792583315765751</v>
      </c>
      <c r="N262" s="65">
        <f>N261/J261-1</f>
        <v>0.84318030025401769</v>
      </c>
      <c r="O262" s="65">
        <f t="shared" ref="O262:P262" si="389">O261/K261-1</f>
        <v>0.31204041074518885</v>
      </c>
      <c r="P262" s="65">
        <f t="shared" si="389"/>
        <v>8.4298211566416814E-2</v>
      </c>
      <c r="Q262" s="65">
        <f>Q261/M261-1</f>
        <v>0.1249980530510344</v>
      </c>
      <c r="R262" s="256"/>
    </row>
    <row r="263" spans="2:18" ht="13.5" customHeight="1">
      <c r="I263" s="52"/>
      <c r="J263" s="52"/>
      <c r="K263" s="52"/>
      <c r="L263" s="52"/>
      <c r="M263" s="52"/>
      <c r="N263" s="52"/>
      <c r="O263" s="52"/>
      <c r="P263" s="52"/>
      <c r="Q263" s="52"/>
    </row>
    <row r="264" spans="2:18" s="11" customFormat="1" ht="13.5" customHeight="1" thickBot="1">
      <c r="B264" s="53" t="str">
        <f>B74</f>
        <v xml:space="preserve">Adj. EBITDA </v>
      </c>
      <c r="C264" s="54">
        <f>C74*C$239</f>
        <v>206.52823878933251</v>
      </c>
      <c r="D264" s="54">
        <f>D74*D$239</f>
        <v>250.32525049647955</v>
      </c>
      <c r="E264" s="54">
        <f>E74*E$239</f>
        <v>339.52345554720443</v>
      </c>
      <c r="F264" s="54">
        <f>F74*F$239</f>
        <v>484.48169551948195</v>
      </c>
      <c r="G264" s="54">
        <f>G74*G$239</f>
        <v>491.49741567223617</v>
      </c>
      <c r="I264" s="54">
        <f t="shared" ref="I264:O264" si="390">I74*I$239</f>
        <v>65.369813767090989</v>
      </c>
      <c r="J264" s="54">
        <f t="shared" si="390"/>
        <v>63.281417736797209</v>
      </c>
      <c r="K264" s="54">
        <f t="shared" si="390"/>
        <v>103.24071090923498</v>
      </c>
      <c r="L264" s="54">
        <f t="shared" si="390"/>
        <v>101.14081552314367</v>
      </c>
      <c r="M264" s="54">
        <f t="shared" si="390"/>
        <v>125.12325410438616</v>
      </c>
      <c r="N264" s="54">
        <f t="shared" si="390"/>
        <v>122.78261181854562</v>
      </c>
      <c r="O264" s="54">
        <f t="shared" si="390"/>
        <v>117.07807509594998</v>
      </c>
      <c r="P264" s="54">
        <f t="shared" ref="P264" si="391">P74*P$239</f>
        <v>118.18151590594397</v>
      </c>
      <c r="Q264" s="54">
        <f>Q74*Q$239</f>
        <v>133.333</v>
      </c>
    </row>
    <row r="265" spans="2:18" s="22" customFormat="1" ht="13.5" customHeight="1" thickTop="1">
      <c r="B265" s="55" t="str">
        <f>B75</f>
        <v xml:space="preserve">% growth </v>
      </c>
      <c r="C265" s="65" t="e">
        <f>C264/#REF!-1</f>
        <v>#REF!</v>
      </c>
      <c r="D265" s="65">
        <f>D264/C264-1</f>
        <v>0.2120630668420207</v>
      </c>
      <c r="E265" s="65">
        <f>E264/D264-1</f>
        <v>0.35632923516031534</v>
      </c>
      <c r="F265" s="65">
        <f>F264/E264-1</f>
        <v>0.42694617294893722</v>
      </c>
      <c r="G265" s="65"/>
      <c r="I265" s="65"/>
      <c r="J265" s="65"/>
      <c r="K265" s="65"/>
      <c r="L265" s="65"/>
      <c r="M265" s="65">
        <f t="shared" ref="M265" si="392">M264/I264-1</f>
        <v>0.91408307434060254</v>
      </c>
      <c r="N265" s="65">
        <f>N264/J264-1</f>
        <v>0.94026329070610171</v>
      </c>
      <c r="O265" s="65">
        <f t="shared" ref="O265" si="393">O264/K264-1</f>
        <v>0.13403011336177495</v>
      </c>
      <c r="P265" s="65"/>
      <c r="Q265" s="65">
        <f>Q264/M264-1</f>
        <v>6.5613270325951767E-2</v>
      </c>
    </row>
    <row r="266" spans="2:18" s="22" customFormat="1" ht="13.5" customHeight="1">
      <c r="B266" s="55" t="str">
        <f>B76</f>
        <v>% margin</v>
      </c>
      <c r="C266" s="65">
        <f t="shared" ref="C266" si="394">C264/C261</f>
        <v>0.74871166777526832</v>
      </c>
      <c r="D266" s="65">
        <f t="shared" ref="D266:E266" si="395">D264/D261</f>
        <v>0.79141917900091674</v>
      </c>
      <c r="E266" s="65">
        <f t="shared" si="395"/>
        <v>0.73339368117105963</v>
      </c>
      <c r="F266" s="65">
        <f t="shared" ref="F266" si="396">F264/F261</f>
        <v>0.74669509475091722</v>
      </c>
      <c r="G266" s="65">
        <f>G264/G261</f>
        <v>0.73577865833100575</v>
      </c>
      <c r="I266" s="65">
        <f t="shared" ref="I266:K266" si="397">I264/I261</f>
        <v>0.73347669653620484</v>
      </c>
      <c r="J266" s="65">
        <f t="shared" si="397"/>
        <v>0.72127334224892492</v>
      </c>
      <c r="K266" s="65">
        <f t="shared" si="397"/>
        <v>0.83393829555945787</v>
      </c>
      <c r="L266" s="65">
        <f t="shared" ref="L266:O266" si="398">L264/L261</f>
        <v>0.66241916818044444</v>
      </c>
      <c r="M266" s="65">
        <f t="shared" si="398"/>
        <v>0.7896478604902043</v>
      </c>
      <c r="N266" s="65">
        <f t="shared" si="398"/>
        <v>0.75926385950285002</v>
      </c>
      <c r="O266" s="65">
        <f t="shared" si="398"/>
        <v>0.7207942164775929</v>
      </c>
      <c r="P266" s="65">
        <f t="shared" ref="P266:Q266" si="399">P264/P261</f>
        <v>0.71385047812475544</v>
      </c>
      <c r="Q266" s="65">
        <f t="shared" si="399"/>
        <v>0.7479650624645886</v>
      </c>
    </row>
    <row r="267" spans="2:18" ht="13.5" customHeight="1">
      <c r="I267" s="52"/>
      <c r="J267" s="52"/>
      <c r="K267" s="52"/>
      <c r="L267" s="52"/>
      <c r="M267" s="52"/>
      <c r="N267" s="52"/>
      <c r="O267" s="52"/>
      <c r="P267" s="52"/>
      <c r="Q267" s="52"/>
    </row>
    <row r="268" spans="2:18" s="11" customFormat="1" ht="13.5" customHeight="1">
      <c r="B268" s="11" t="str">
        <f t="shared" ref="B268:B285" si="400">B82</f>
        <v xml:space="preserve">Adj. EBITDA </v>
      </c>
      <c r="C268" s="56">
        <f t="shared" ref="C268:G285" si="401">C82*C$239</f>
        <v>206.52823878933251</v>
      </c>
      <c r="D268" s="56">
        <f t="shared" si="401"/>
        <v>250.32525049647955</v>
      </c>
      <c r="E268" s="56">
        <f t="shared" si="401"/>
        <v>339.52345554720443</v>
      </c>
      <c r="F268" s="56">
        <f t="shared" ref="F268" si="402">F82*F$239</f>
        <v>484.48169551948195</v>
      </c>
      <c r="G268" s="56">
        <f t="shared" si="401"/>
        <v>491.49741567223617</v>
      </c>
      <c r="I268" s="56">
        <f t="shared" ref="I268:O277" si="403">I82*I$239</f>
        <v>65.369813767090989</v>
      </c>
      <c r="J268" s="56">
        <f t="shared" si="403"/>
        <v>63.281417736797209</v>
      </c>
      <c r="K268" s="56">
        <f t="shared" si="403"/>
        <v>103.24071090923498</v>
      </c>
      <c r="L268" s="56">
        <f t="shared" si="403"/>
        <v>101.14081552314367</v>
      </c>
      <c r="M268" s="56">
        <f t="shared" si="403"/>
        <v>125.12325410438616</v>
      </c>
      <c r="N268" s="56">
        <f t="shared" si="403"/>
        <v>122.78261181854562</v>
      </c>
      <c r="O268" s="56">
        <f t="shared" si="403"/>
        <v>117.07807509594998</v>
      </c>
      <c r="P268" s="56">
        <f t="shared" ref="P268" si="404">P82*P$239</f>
        <v>118.18151590594397</v>
      </c>
      <c r="Q268" s="56">
        <f>Q82*Q$239</f>
        <v>133.333</v>
      </c>
    </row>
    <row r="269" spans="2:18" ht="13.5" customHeight="1">
      <c r="B269" s="18" t="str">
        <f t="shared" si="400"/>
        <v>Working Capital</v>
      </c>
      <c r="C269" s="57">
        <f t="shared" si="401"/>
        <v>1.9294639880167406</v>
      </c>
      <c r="D269" s="57">
        <f t="shared" si="401"/>
        <v>-19.246084582054522</v>
      </c>
      <c r="E269" s="57">
        <f t="shared" si="401"/>
        <v>26.569131734076674</v>
      </c>
      <c r="F269" s="57">
        <f t="shared" ref="F269" si="405">F83*F$239</f>
        <v>-4.6324245892123983</v>
      </c>
      <c r="G269" s="57">
        <f t="shared" si="401"/>
        <v>4.3235289300391075</v>
      </c>
      <c r="I269" s="57">
        <f t="shared" si="403"/>
        <v>-2.770980669495521</v>
      </c>
      <c r="J269" s="57">
        <f t="shared" si="403"/>
        <v>54.289709918702961</v>
      </c>
      <c r="K269" s="57">
        <f t="shared" si="403"/>
        <v>-36.435048987244848</v>
      </c>
      <c r="L269" s="57">
        <f t="shared" si="403"/>
        <v>14.212406754999236</v>
      </c>
      <c r="M269" s="57">
        <f t="shared" si="403"/>
        <v>-2.73614310218084</v>
      </c>
      <c r="N269" s="57">
        <f t="shared" si="403"/>
        <v>-14.717619052505206</v>
      </c>
      <c r="O269" s="57">
        <f t="shared" si="403"/>
        <v>0.48546659867414493</v>
      </c>
      <c r="P269" s="57">
        <f t="shared" ref="P269" si="406">P83*P$239</f>
        <v>13.289856350977603</v>
      </c>
      <c r="Q269" s="57">
        <f>Q83*Q$239</f>
        <v>6.4389999999999965</v>
      </c>
    </row>
    <row r="270" spans="2:18" ht="13.5" customHeight="1">
      <c r="B270" s="18" t="str">
        <f t="shared" si="400"/>
        <v>Taxes</v>
      </c>
      <c r="C270" s="57">
        <f t="shared" si="401"/>
        <v>0</v>
      </c>
      <c r="D270" s="57">
        <f t="shared" si="401"/>
        <v>0</v>
      </c>
      <c r="E270" s="57">
        <f t="shared" si="401"/>
        <v>0</v>
      </c>
      <c r="F270" s="57">
        <f t="shared" ref="F270" si="407">F84*F$239</f>
        <v>0</v>
      </c>
      <c r="G270" s="57">
        <f t="shared" si="401"/>
        <v>0</v>
      </c>
      <c r="I270" s="57">
        <f t="shared" si="403"/>
        <v>0</v>
      </c>
      <c r="J270" s="57">
        <f t="shared" si="403"/>
        <v>0</v>
      </c>
      <c r="K270" s="57">
        <f t="shared" si="403"/>
        <v>0</v>
      </c>
      <c r="L270" s="57">
        <f t="shared" si="403"/>
        <v>0</v>
      </c>
      <c r="M270" s="57">
        <f t="shared" si="403"/>
        <v>0</v>
      </c>
      <c r="N270" s="57">
        <f t="shared" si="403"/>
        <v>0</v>
      </c>
      <c r="O270" s="57">
        <f t="shared" si="403"/>
        <v>0</v>
      </c>
      <c r="P270" s="57">
        <f t="shared" ref="P270" si="408">P84*P$239</f>
        <v>0</v>
      </c>
      <c r="Q270" s="57">
        <f>Q84*Q$239</f>
        <v>0</v>
      </c>
    </row>
    <row r="271" spans="2:18" ht="13.5" customHeight="1">
      <c r="B271" s="18" t="str">
        <f t="shared" si="400"/>
        <v>Cash interest paid</v>
      </c>
      <c r="C271" s="57">
        <f t="shared" si="401"/>
        <v>-42.502550423743578</v>
      </c>
      <c r="D271" s="57">
        <f t="shared" si="401"/>
        <v>-37.164030059577549</v>
      </c>
      <c r="E271" s="57">
        <f t="shared" si="401"/>
        <v>-49.909845078578485</v>
      </c>
      <c r="F271" s="57">
        <f t="shared" ref="F271" si="409">F85*F$239</f>
        <v>-111.26203163114469</v>
      </c>
      <c r="G271" s="57">
        <f t="shared" si="401"/>
        <v>-109.95715064876222</v>
      </c>
      <c r="I271" s="57">
        <f t="shared" si="403"/>
        <v>-7.6321900047147562</v>
      </c>
      <c r="J271" s="57">
        <f t="shared" si="403"/>
        <v>-11.065623712506746</v>
      </c>
      <c r="K271" s="57">
        <f t="shared" si="403"/>
        <v>-9.0562759130641481</v>
      </c>
      <c r="L271" s="57">
        <f t="shared" si="403"/>
        <v>-20.79927845685441</v>
      </c>
      <c r="M271" s="57">
        <f t="shared" si="403"/>
        <v>-31.856162705219305</v>
      </c>
      <c r="N271" s="57">
        <f t="shared" si="403"/>
        <v>-24.150497142329435</v>
      </c>
      <c r="O271" s="57">
        <f t="shared" si="403"/>
        <v>-30.913014305268533</v>
      </c>
      <c r="P271" s="57">
        <f t="shared" ref="P271" si="410">P85*P$239</f>
        <v>-23.891957137556716</v>
      </c>
      <c r="Q271" s="57">
        <f>Q85*Q$239</f>
        <v>-31.174999999999997</v>
      </c>
    </row>
    <row r="272" spans="2:18" s="11" customFormat="1" ht="13.5" customHeight="1" thickBot="1">
      <c r="B272" s="53" t="str">
        <f t="shared" si="400"/>
        <v xml:space="preserve">Net cash from operations </v>
      </c>
      <c r="C272" s="58">
        <f t="shared" si="401"/>
        <v>165.95515235360565</v>
      </c>
      <c r="D272" s="58">
        <f t="shared" si="401"/>
        <v>193.91513585484748</v>
      </c>
      <c r="E272" s="58">
        <f t="shared" si="401"/>
        <v>316.18274220270263</v>
      </c>
      <c r="F272" s="58">
        <f t="shared" ref="F272" si="411">F86*F$239</f>
        <v>368.58723929912486</v>
      </c>
      <c r="G272" s="58">
        <f t="shared" si="401"/>
        <v>385.86379395351304</v>
      </c>
      <c r="I272" s="58">
        <f t="shared" si="403"/>
        <v>54.966643092880716</v>
      </c>
      <c r="J272" s="58">
        <f t="shared" si="403"/>
        <v>106.50550394299344</v>
      </c>
      <c r="K272" s="58">
        <f t="shared" si="403"/>
        <v>57.749386008925967</v>
      </c>
      <c r="L272" s="58">
        <f t="shared" si="403"/>
        <v>94.553943821288513</v>
      </c>
      <c r="M272" s="58">
        <f t="shared" si="403"/>
        <v>90.530948296986011</v>
      </c>
      <c r="N272" s="58">
        <f t="shared" si="403"/>
        <v>83.914495623710962</v>
      </c>
      <c r="O272" s="58">
        <f t="shared" si="403"/>
        <v>86.650527389355588</v>
      </c>
      <c r="P272" s="58">
        <f t="shared" ref="P272" si="412">P86*P$239</f>
        <v>107.57941511936484</v>
      </c>
      <c r="Q272" s="58">
        <f>Q86*Q$239</f>
        <v>108.59699999999999</v>
      </c>
    </row>
    <row r="273" spans="2:17" ht="13.5" customHeight="1" thickTop="1">
      <c r="B273" s="18" t="str">
        <f t="shared" si="400"/>
        <v>Net Capex</v>
      </c>
      <c r="C273" s="60">
        <f t="shared" si="401"/>
        <v>-166.0665747684713</v>
      </c>
      <c r="D273" s="60">
        <f t="shared" si="401"/>
        <v>-339.2997946380213</v>
      </c>
      <c r="E273" s="60">
        <f t="shared" si="401"/>
        <v>-346.92697222859454</v>
      </c>
      <c r="F273" s="60">
        <f t="shared" ref="F273" si="413">F87*F$239</f>
        <v>-114.08681286475725</v>
      </c>
      <c r="G273" s="60">
        <f t="shared" si="401"/>
        <v>-117.06946338778266</v>
      </c>
      <c r="I273" s="60">
        <f t="shared" si="403"/>
        <v>-16.098243752946722</v>
      </c>
      <c r="J273" s="60">
        <f t="shared" si="403"/>
        <v>-8.511121040323566</v>
      </c>
      <c r="K273" s="60">
        <f t="shared" si="403"/>
        <v>-230.25684633057813</v>
      </c>
      <c r="L273" s="60">
        <f t="shared" si="403"/>
        <v>-76.718523427728542</v>
      </c>
      <c r="M273" s="60">
        <f t="shared" si="403"/>
        <v>1.2342563097280077</v>
      </c>
      <c r="N273" s="60">
        <f t="shared" si="403"/>
        <v>-13.576962147408601</v>
      </c>
      <c r="O273" s="60">
        <f t="shared" si="403"/>
        <v>-11.21173407767251</v>
      </c>
      <c r="P273" s="60">
        <f t="shared" ref="P273" si="414">P87*P$239</f>
        <v>-94.636281843135023</v>
      </c>
      <c r="Q273" s="60">
        <f>Q87*Q$239</f>
        <v>2.8610000000000007</v>
      </c>
    </row>
    <row r="274" spans="2:17" ht="13.5" customHeight="1">
      <c r="B274" s="18" t="str">
        <f t="shared" si="400"/>
        <v>Purchase of intangible assets</v>
      </c>
      <c r="C274" s="60">
        <f t="shared" si="401"/>
        <v>0</v>
      </c>
      <c r="D274" s="60">
        <f t="shared" si="401"/>
        <v>0</v>
      </c>
      <c r="E274" s="60">
        <f t="shared" si="401"/>
        <v>0</v>
      </c>
      <c r="F274" s="60">
        <f t="shared" ref="F274" si="415">F88*F$239</f>
        <v>0</v>
      </c>
      <c r="G274" s="60">
        <f t="shared" si="401"/>
        <v>0</v>
      </c>
      <c r="I274" s="60">
        <f t="shared" si="403"/>
        <v>0</v>
      </c>
      <c r="J274" s="60">
        <f t="shared" si="403"/>
        <v>0</v>
      </c>
      <c r="K274" s="60">
        <f t="shared" si="403"/>
        <v>0</v>
      </c>
      <c r="L274" s="60">
        <f t="shared" si="403"/>
        <v>0</v>
      </c>
      <c r="M274" s="60">
        <f t="shared" si="403"/>
        <v>0</v>
      </c>
      <c r="N274" s="60">
        <f t="shared" si="403"/>
        <v>0</v>
      </c>
      <c r="O274" s="60">
        <f t="shared" si="403"/>
        <v>0</v>
      </c>
      <c r="P274" s="60">
        <f t="shared" ref="P274" si="416">P88*P$239</f>
        <v>0</v>
      </c>
      <c r="Q274" s="60">
        <f>Q88*Q$239</f>
        <v>0</v>
      </c>
    </row>
    <row r="275" spans="2:17" ht="13.5" customHeight="1">
      <c r="B275" s="18" t="str">
        <f t="shared" si="400"/>
        <v>Disposals/ Acquistion, of subsidiaries, businesses</v>
      </c>
      <c r="C275" s="60">
        <f t="shared" si="401"/>
        <v>0</v>
      </c>
      <c r="D275" s="60">
        <f t="shared" si="401"/>
        <v>0</v>
      </c>
      <c r="E275" s="60">
        <f t="shared" si="401"/>
        <v>-619.27387257863973</v>
      </c>
      <c r="F275" s="60">
        <f t="shared" ref="F275" si="417">F89*F$239</f>
        <v>0</v>
      </c>
      <c r="G275" s="60">
        <f t="shared" si="401"/>
        <v>1.5966378575817581</v>
      </c>
      <c r="I275" s="60">
        <f t="shared" si="403"/>
        <v>0</v>
      </c>
      <c r="J275" s="60">
        <f t="shared" si="403"/>
        <v>0</v>
      </c>
      <c r="K275" s="60">
        <f t="shared" si="403"/>
        <v>-622.29064884992215</v>
      </c>
      <c r="L275" s="60">
        <f t="shared" si="403"/>
        <v>25.043377300292519</v>
      </c>
      <c r="M275" s="60">
        <f t="shared" si="403"/>
        <v>-1.4475373682920851</v>
      </c>
      <c r="N275" s="60">
        <f t="shared" si="403"/>
        <v>-0.36205711236750576</v>
      </c>
      <c r="O275" s="60">
        <f t="shared" si="403"/>
        <v>1.9643039265680775</v>
      </c>
      <c r="P275" s="60">
        <f t="shared" ref="P275" si="418">P89*P$239</f>
        <v>0</v>
      </c>
      <c r="Q275" s="60">
        <f>Q89*Q$239</f>
        <v>0</v>
      </c>
    </row>
    <row r="276" spans="2:17" s="11" customFormat="1" ht="13.5" customHeight="1" thickBot="1">
      <c r="B276" s="53" t="str">
        <f t="shared" si="400"/>
        <v xml:space="preserve">Free cash flow </v>
      </c>
      <c r="C276" s="58">
        <f t="shared" si="401"/>
        <v>-0.11142241486563559</v>
      </c>
      <c r="D276" s="58">
        <f t="shared" si="401"/>
        <v>-145.38465878317382</v>
      </c>
      <c r="E276" s="58">
        <f t="shared" si="401"/>
        <v>-650.01810260453158</v>
      </c>
      <c r="F276" s="58">
        <f t="shared" ref="F276" si="419">F90*F$239</f>
        <v>254.50042643436757</v>
      </c>
      <c r="G276" s="58">
        <f t="shared" si="401"/>
        <v>270.39096842331213</v>
      </c>
      <c r="I276" s="58">
        <f t="shared" si="403"/>
        <v>38.868399339933994</v>
      </c>
      <c r="J276" s="58">
        <f t="shared" si="403"/>
        <v>97.994382902669869</v>
      </c>
      <c r="K276" s="58">
        <f t="shared" si="403"/>
        <v>-794.79810917157431</v>
      </c>
      <c r="L276" s="58">
        <f t="shared" si="403"/>
        <v>42.878797693852476</v>
      </c>
      <c r="M276" s="58">
        <f t="shared" si="403"/>
        <v>90.317667238421919</v>
      </c>
      <c r="N276" s="58">
        <f t="shared" si="403"/>
        <v>69.97547636393486</v>
      </c>
      <c r="O276" s="58">
        <f t="shared" si="403"/>
        <v>77.403097238251149</v>
      </c>
      <c r="P276" s="58">
        <f t="shared" ref="P276" si="420">P90*P$239</f>
        <v>12.943133276229815</v>
      </c>
      <c r="Q276" s="58">
        <f>Q90*Q$239</f>
        <v>111.458</v>
      </c>
    </row>
    <row r="277" spans="2:17" s="11" customFormat="1" ht="13.5" customHeight="1" thickTop="1">
      <c r="B277" s="18" t="str">
        <f t="shared" si="400"/>
        <v xml:space="preserve">Other Investing </v>
      </c>
      <c r="C277" s="60">
        <f t="shared" si="401"/>
        <v>0.70630564278142993</v>
      </c>
      <c r="D277" s="60">
        <f t="shared" si="401"/>
        <v>16.152001715111034</v>
      </c>
      <c r="E277" s="60">
        <f t="shared" si="401"/>
        <v>7.8891821929146424</v>
      </c>
      <c r="F277" s="60">
        <f t="shared" ref="F277" si="421">F91*F$239</f>
        <v>9.5641789205309262</v>
      </c>
      <c r="G277" s="60">
        <f t="shared" si="401"/>
        <v>17.009799005413065</v>
      </c>
      <c r="I277" s="60">
        <f t="shared" si="403"/>
        <v>4.3318010372465814</v>
      </c>
      <c r="J277" s="60">
        <f t="shared" si="403"/>
        <v>9.5687949353279436</v>
      </c>
      <c r="K277" s="60">
        <f t="shared" si="403"/>
        <v>-7.1050254839305982</v>
      </c>
      <c r="L277" s="60">
        <f t="shared" si="403"/>
        <v>1.9840443290595509</v>
      </c>
      <c r="M277" s="60">
        <f t="shared" si="403"/>
        <v>-5.8963489340847817</v>
      </c>
      <c r="N277" s="60">
        <f t="shared" si="403"/>
        <v>0.85201678689062865</v>
      </c>
      <c r="O277" s="60">
        <f t="shared" si="403"/>
        <v>-4.3677500738076711</v>
      </c>
      <c r="P277" s="60">
        <f t="shared" ref="P277" si="422">P91*P$239</f>
        <v>20.026570553459479</v>
      </c>
      <c r="Q277" s="60">
        <f>Q91*Q$239</f>
        <v>0.60899999999999999</v>
      </c>
    </row>
    <row r="278" spans="2:17" ht="13.5" customHeight="1">
      <c r="B278" s="18" t="str">
        <f t="shared" si="400"/>
        <v>Equity Issuance / Buyback</v>
      </c>
      <c r="C278" s="60">
        <f t="shared" si="401"/>
        <v>395.88861739662696</v>
      </c>
      <c r="D278" s="60">
        <f t="shared" si="401"/>
        <v>388.0343360714931</v>
      </c>
      <c r="E278" s="60">
        <f t="shared" si="401"/>
        <v>530.35596216677993</v>
      </c>
      <c r="F278" s="60">
        <f t="shared" ref="F278" si="423">F92*F$239</f>
        <v>0</v>
      </c>
      <c r="G278" s="60">
        <f t="shared" si="401"/>
        <v>0</v>
      </c>
      <c r="I278" s="60">
        <f t="shared" ref="I278:O285" si="424">I92*I$239</f>
        <v>569.30693069306926</v>
      </c>
      <c r="J278" s="60">
        <f t="shared" si="424"/>
        <v>0</v>
      </c>
      <c r="K278" s="60">
        <f t="shared" si="424"/>
        <v>0</v>
      </c>
      <c r="L278" s="60">
        <f t="shared" si="424"/>
        <v>0</v>
      </c>
      <c r="M278" s="60">
        <f t="shared" si="424"/>
        <v>0</v>
      </c>
      <c r="N278" s="60">
        <f t="shared" si="424"/>
        <v>0</v>
      </c>
      <c r="O278" s="60">
        <f t="shared" si="424"/>
        <v>0</v>
      </c>
      <c r="P278" s="60">
        <f t="shared" ref="P278" si="425">P92*P$239</f>
        <v>0</v>
      </c>
      <c r="Q278" s="60">
        <f>Q92*Q$239</f>
        <v>0</v>
      </c>
    </row>
    <row r="279" spans="2:17" ht="13.5" customHeight="1">
      <c r="B279" s="18" t="str">
        <f t="shared" si="400"/>
        <v>Dividends</v>
      </c>
      <c r="C279" s="60">
        <f t="shared" si="401"/>
        <v>-105.19370779359731</v>
      </c>
      <c r="D279" s="60">
        <f t="shared" si="401"/>
        <v>-145.14488174760791</v>
      </c>
      <c r="E279" s="60">
        <f t="shared" si="401"/>
        <v>-146.33899043246717</v>
      </c>
      <c r="F279" s="60">
        <f t="shared" ref="F279" si="426">F93*F$239</f>
        <v>-177.51456650011554</v>
      </c>
      <c r="G279" s="60">
        <f t="shared" si="401"/>
        <v>-312.22102066318678</v>
      </c>
      <c r="I279" s="60">
        <f t="shared" si="424"/>
        <v>-49.400990099009903</v>
      </c>
      <c r="J279" s="60">
        <f t="shared" si="424"/>
        <v>-45.129605236434536</v>
      </c>
      <c r="K279" s="60">
        <f t="shared" si="424"/>
        <v>-55.430110650434443</v>
      </c>
      <c r="L279" s="60">
        <f t="shared" si="424"/>
        <v>0</v>
      </c>
      <c r="M279" s="60">
        <f t="shared" si="424"/>
        <v>0</v>
      </c>
      <c r="N279" s="60">
        <f t="shared" si="424"/>
        <v>-60.48472659737115</v>
      </c>
      <c r="O279" s="60">
        <f t="shared" si="424"/>
        <v>-59.968651869346999</v>
      </c>
      <c r="P279" s="60">
        <f t="shared" ref="P279" si="427">P93*P$239</f>
        <v>-60.430888258329482</v>
      </c>
      <c r="Q279" s="60">
        <f>Q93*Q$239</f>
        <v>-134.756</v>
      </c>
    </row>
    <row r="280" spans="2:17" ht="13.5" customHeight="1">
      <c r="B280" s="18" t="str">
        <f t="shared" si="400"/>
        <v>Net Change in debt</v>
      </c>
      <c r="C280" s="60">
        <f t="shared" si="401"/>
        <v>-134.76623189199142</v>
      </c>
      <c r="D280" s="60">
        <f t="shared" si="401"/>
        <v>-3.8237949088283085</v>
      </c>
      <c r="E280" s="60">
        <f t="shared" si="401"/>
        <v>325.75237318340203</v>
      </c>
      <c r="F280" s="60">
        <f t="shared" ref="F280" si="428">F94*F$239</f>
        <v>177.87633471834985</v>
      </c>
      <c r="G280" s="60">
        <f t="shared" si="401"/>
        <v>222.35533133231183</v>
      </c>
      <c r="I280" s="60">
        <f t="shared" si="424"/>
        <v>-1.0894035832154643</v>
      </c>
      <c r="J280" s="60">
        <f t="shared" si="424"/>
        <v>-1.073167334954245</v>
      </c>
      <c r="K280" s="60">
        <f t="shared" si="424"/>
        <v>150.00882034489135</v>
      </c>
      <c r="L280" s="60">
        <f t="shared" si="424"/>
        <v>155.97390884039842</v>
      </c>
      <c r="M280" s="60">
        <f t="shared" si="424"/>
        <v>-41.536829208527308</v>
      </c>
      <c r="N280" s="60">
        <f t="shared" si="424"/>
        <v>14.243769046861692</v>
      </c>
      <c r="O280" s="60">
        <f t="shared" si="424"/>
        <v>-6.0845433318125872</v>
      </c>
      <c r="P280" s="60">
        <f t="shared" ref="P280" si="429">P94*P$239</f>
        <v>222.62304374983418</v>
      </c>
      <c r="Q280" s="60">
        <f>Q94*Q$239</f>
        <v>-8.5299999999999727</v>
      </c>
    </row>
    <row r="281" spans="2:17" ht="13.5" customHeight="1">
      <c r="B281" s="18" t="str">
        <f t="shared" si="400"/>
        <v>Other financing activities</v>
      </c>
      <c r="C281" s="60">
        <f t="shared" si="401"/>
        <v>-9.9875589085679302</v>
      </c>
      <c r="D281" s="60">
        <f t="shared" si="401"/>
        <v>-13.214874074742735</v>
      </c>
      <c r="E281" s="60">
        <f t="shared" si="401"/>
        <v>-74.159794974782585</v>
      </c>
      <c r="F281" s="60">
        <f t="shared" ref="F281" si="430">F95*F$239</f>
        <v>-238.9015349469914</v>
      </c>
      <c r="G281" s="60">
        <f t="shared" si="401"/>
        <v>-185.02892971391958</v>
      </c>
      <c r="I281" s="60">
        <f t="shared" si="424"/>
        <v>-15.611916548797739</v>
      </c>
      <c r="J281" s="60">
        <f t="shared" si="424"/>
        <v>-0.1251661047635064</v>
      </c>
      <c r="K281" s="60">
        <f t="shared" si="424"/>
        <v>0</v>
      </c>
      <c r="L281" s="60">
        <f t="shared" si="424"/>
        <v>-54.001126165406788</v>
      </c>
      <c r="M281" s="60">
        <f t="shared" si="424"/>
        <v>-56.750943396226404</v>
      </c>
      <c r="N281" s="60">
        <f t="shared" si="424"/>
        <v>-1.9577352062961155</v>
      </c>
      <c r="O281" s="60">
        <f t="shared" si="424"/>
        <v>-1.9643039265680802</v>
      </c>
      <c r="P281" s="60">
        <f t="shared" ref="P281" si="431">P95*P$239</f>
        <v>-182.20596289919882</v>
      </c>
      <c r="Q281" s="60">
        <f>Q95*Q$239</f>
        <v>0.379</v>
      </c>
    </row>
    <row r="282" spans="2:17" s="11" customFormat="1" ht="13.5" customHeight="1" thickBot="1">
      <c r="B282" s="53" t="str">
        <f t="shared" si="400"/>
        <v>Cash flow after financing activities</v>
      </c>
      <c r="C282" s="58">
        <f t="shared" si="401"/>
        <v>146.5360020303861</v>
      </c>
      <c r="D282" s="58">
        <f t="shared" si="401"/>
        <v>96.618128272251326</v>
      </c>
      <c r="E282" s="58">
        <f t="shared" si="401"/>
        <v>-6.5193704686846408</v>
      </c>
      <c r="F282" s="58">
        <f t="shared" ref="F282" si="432">F96*F$239</f>
        <v>25.524838626141385</v>
      </c>
      <c r="G282" s="58">
        <f t="shared" si="401"/>
        <v>12.50614838393065</v>
      </c>
      <c r="I282" s="58">
        <f t="shared" si="424"/>
        <v>546.40482083922677</v>
      </c>
      <c r="J282" s="58">
        <f t="shared" si="424"/>
        <v>61.235239161845548</v>
      </c>
      <c r="K282" s="58">
        <f t="shared" si="424"/>
        <v>-707.32442496104795</v>
      </c>
      <c r="L282" s="58">
        <f t="shared" si="424"/>
        <v>146.83562469790368</v>
      </c>
      <c r="M282" s="58">
        <f t="shared" si="424"/>
        <v>-13.866454300416576</v>
      </c>
      <c r="N282" s="58">
        <f t="shared" si="424"/>
        <v>22.628800394019908</v>
      </c>
      <c r="O282" s="58">
        <f t="shared" si="424"/>
        <v>5.017848036715816</v>
      </c>
      <c r="P282" s="58">
        <f t="shared" ref="P282" si="433">P96*P$239</f>
        <v>12.955896421995169</v>
      </c>
      <c r="Q282" s="58">
        <f>Q96*Q$239</f>
        <v>-30.839999999999982</v>
      </c>
    </row>
    <row r="283" spans="2:17" s="11" customFormat="1" ht="13.5" customHeight="1" thickTop="1">
      <c r="B283" s="18" t="str">
        <f t="shared" si="400"/>
        <v>Balancing figure</v>
      </c>
      <c r="C283" s="60">
        <f t="shared" si="401"/>
        <v>-3.274495264920565</v>
      </c>
      <c r="D283" s="60">
        <f t="shared" si="401"/>
        <v>-20.367282000361097</v>
      </c>
      <c r="E283" s="60">
        <f t="shared" si="401"/>
        <v>-20.126624448314754</v>
      </c>
      <c r="F283" s="60">
        <f t="shared" ref="F283" si="434">F97*F$239</f>
        <v>-7.2202624813872678</v>
      </c>
      <c r="G283" s="60">
        <f t="shared" si="401"/>
        <v>-4.9738276155957086</v>
      </c>
      <c r="I283" s="60">
        <f t="shared" si="424"/>
        <v>0.75984205563424378</v>
      </c>
      <c r="J283" s="60">
        <f t="shared" si="424"/>
        <v>-5.9130394415517332E-2</v>
      </c>
      <c r="K283" s="60">
        <f t="shared" si="424"/>
        <v>-22.196741225869431</v>
      </c>
      <c r="L283" s="60">
        <f t="shared" si="424"/>
        <v>2.0828080386283596</v>
      </c>
      <c r="M283" s="60">
        <f t="shared" si="424"/>
        <v>-7.9810830678755051</v>
      </c>
      <c r="N283" s="60">
        <f t="shared" si="424"/>
        <v>-1.9165888545717438</v>
      </c>
      <c r="O283" s="60">
        <f t="shared" si="424"/>
        <v>3.4326739848091865</v>
      </c>
      <c r="P283" s="60">
        <f t="shared" ref="P283" si="435">P97*P$239</f>
        <v>-0.12969528547900272</v>
      </c>
      <c r="Q283" s="60">
        <f>Q97*Q$239</f>
        <v>-6.6160000000000245</v>
      </c>
    </row>
    <row r="284" spans="2:17" ht="13.5" customHeight="1">
      <c r="B284" s="18" t="str">
        <f t="shared" si="400"/>
        <v xml:space="preserve">FX </v>
      </c>
      <c r="C284" s="60">
        <f t="shared" si="401"/>
        <v>-25.714292823480818</v>
      </c>
      <c r="D284" s="60">
        <f t="shared" si="401"/>
        <v>-41.371016880303308</v>
      </c>
      <c r="E284" s="60">
        <f t="shared" si="401"/>
        <v>-30.42716939633566</v>
      </c>
      <c r="F284" s="60">
        <f t="shared" ref="F284" si="436">F98*F$239</f>
        <v>-30.298179409184691</v>
      </c>
      <c r="G284" s="60">
        <f t="shared" si="401"/>
        <v>-22.548876077721395</v>
      </c>
      <c r="I284" s="60">
        <f t="shared" si="424"/>
        <v>-11.546735030645923</v>
      </c>
      <c r="J284" s="60">
        <f t="shared" si="424"/>
        <v>13.564709773633298</v>
      </c>
      <c r="K284" s="60">
        <f t="shared" si="424"/>
        <v>67.513877518683827</v>
      </c>
      <c r="L284" s="60">
        <f t="shared" si="424"/>
        <v>-93.198509076594192</v>
      </c>
      <c r="M284" s="60">
        <f t="shared" si="424"/>
        <v>-8.5702523891203128</v>
      </c>
      <c r="N284" s="60">
        <f t="shared" si="424"/>
        <v>-12.221851688436951</v>
      </c>
      <c r="O284" s="60">
        <f t="shared" si="424"/>
        <v>10.386698515794841</v>
      </c>
      <c r="P284" s="60">
        <f t="shared" ref="P284" si="437">P98*P$239</f>
        <v>-19.672352525028206</v>
      </c>
      <c r="Q284" s="60">
        <f>Q98*Q$239</f>
        <v>-0.58099999999999996</v>
      </c>
    </row>
    <row r="285" spans="2:17" s="11" customFormat="1" ht="13.5" customHeight="1" thickBot="1">
      <c r="B285" s="53" t="str">
        <f t="shared" si="400"/>
        <v xml:space="preserve">Net change in cash </v>
      </c>
      <c r="C285" s="58">
        <f t="shared" si="401"/>
        <v>117.54721394198471</v>
      </c>
      <c r="D285" s="58">
        <f t="shared" si="401"/>
        <v>34.879829391586931</v>
      </c>
      <c r="E285" s="58">
        <f t="shared" si="401"/>
        <v>-57.073164313335049</v>
      </c>
      <c r="F285" s="58">
        <f t="shared" ref="F285" si="438">F99*F$239</f>
        <v>-11.993603264430572</v>
      </c>
      <c r="G285" s="58">
        <f t="shared" si="401"/>
        <v>-15.016555309386453</v>
      </c>
      <c r="I285" s="58">
        <f t="shared" si="424"/>
        <v>535.61792786421506</v>
      </c>
      <c r="J285" s="58">
        <f t="shared" si="424"/>
        <v>74.740818541063334</v>
      </c>
      <c r="K285" s="58">
        <f t="shared" si="424"/>
        <v>-662.00728866823363</v>
      </c>
      <c r="L285" s="58">
        <f t="shared" si="424"/>
        <v>55.719923659937869</v>
      </c>
      <c r="M285" s="58">
        <f t="shared" si="424"/>
        <v>-30.417789757412393</v>
      </c>
      <c r="N285" s="58">
        <f t="shared" si="424"/>
        <v>8.490359851011215</v>
      </c>
      <c r="O285" s="58">
        <f t="shared" si="424"/>
        <v>18.837220537319844</v>
      </c>
      <c r="P285" s="58">
        <f t="shared" ref="P285" si="439">P99*P$239</f>
        <v>-6.8461513885120393</v>
      </c>
      <c r="Q285" s="58">
        <f>Q99*Q$239</f>
        <v>-38.037000000000013</v>
      </c>
    </row>
    <row r="286" spans="2:17" ht="13.5" customHeight="1" thickTop="1">
      <c r="C286" s="61"/>
      <c r="D286" s="61"/>
      <c r="E286" s="61"/>
      <c r="F286" s="61"/>
      <c r="G286" s="61"/>
      <c r="I286" s="61"/>
      <c r="J286" s="61"/>
      <c r="K286" s="61"/>
      <c r="L286" s="61"/>
      <c r="M286" s="61"/>
      <c r="N286" s="61"/>
      <c r="O286" s="61"/>
      <c r="P286" s="61"/>
      <c r="Q286" s="61"/>
    </row>
    <row r="287" spans="2:17" s="11" customFormat="1" ht="13.5" customHeight="1">
      <c r="B287" s="11" t="str">
        <f>+B146</f>
        <v>Total debt including lease obligations</v>
      </c>
      <c r="C287" s="59">
        <f>C146*C$240</f>
        <v>919.21428571428578</v>
      </c>
      <c r="D287" s="59">
        <f>D146*D$240</f>
        <v>916.32004246785414</v>
      </c>
      <c r="E287" s="59">
        <f>E146*E$240</f>
        <v>2229.739909796971</v>
      </c>
      <c r="F287" s="59">
        <f>F146*F$240</f>
        <v>2447.1661798883924</v>
      </c>
      <c r="G287" s="59">
        <f>G146*G$240</f>
        <v>2464.5619999999999</v>
      </c>
      <c r="I287" s="59">
        <f t="shared" ref="I287:O287" si="440">I146*I$240</f>
        <v>928.59445889540871</v>
      </c>
      <c r="J287" s="59">
        <f t="shared" si="440"/>
        <v>919.9340971085652</v>
      </c>
      <c r="K287" s="59">
        <f t="shared" si="440"/>
        <v>2163.2626283158856</v>
      </c>
      <c r="L287" s="59">
        <f t="shared" si="440"/>
        <v>2229.739909796971</v>
      </c>
      <c r="M287" s="59">
        <f t="shared" si="440"/>
        <v>2210.8673379606998</v>
      </c>
      <c r="N287" s="59">
        <f t="shared" si="440"/>
        <v>2246.8033818744329</v>
      </c>
      <c r="O287" s="59">
        <f t="shared" si="440"/>
        <v>2227.2546920989262</v>
      </c>
      <c r="P287" s="59">
        <f t="shared" ref="P287" si="441">P146*P$240</f>
        <v>2447.1661798883924</v>
      </c>
      <c r="Q287" s="59">
        <f>Q146*Q$240</f>
        <v>2464.5619999999999</v>
      </c>
    </row>
    <row r="288" spans="2:17" ht="13.5" customHeight="1">
      <c r="B288" s="18" t="str">
        <f>+B147</f>
        <v>Cash and cash equivalents</v>
      </c>
      <c r="C288" s="61">
        <f>(C149)*C$240</f>
        <v>138.8814316524597</v>
      </c>
      <c r="D288" s="61">
        <f>(D149)*D$240</f>
        <v>195.99003185089063</v>
      </c>
      <c r="E288" s="61">
        <f>(E149)*E$240</f>
        <v>109.66891934081661</v>
      </c>
      <c r="F288" s="61">
        <f>(F149)*F$240</f>
        <v>114.35328858788012</v>
      </c>
      <c r="G288" s="61">
        <f>(G149)*G$240</f>
        <v>76.316000000000003</v>
      </c>
      <c r="I288" s="61">
        <f t="shared" ref="I288:O288" si="442">(I149)*I$240</f>
        <v>750.78216683806193</v>
      </c>
      <c r="J288" s="61">
        <f t="shared" si="442"/>
        <v>747.36475722858711</v>
      </c>
      <c r="K288" s="61">
        <f t="shared" si="442"/>
        <v>59.207287325947746</v>
      </c>
      <c r="L288" s="61">
        <f t="shared" si="442"/>
        <v>109.66891934081661</v>
      </c>
      <c r="M288" s="61">
        <f t="shared" si="442"/>
        <v>81.268892364845044</v>
      </c>
      <c r="N288" s="61">
        <f t="shared" si="442"/>
        <v>97.51362884728222</v>
      </c>
      <c r="O288" s="61">
        <f t="shared" si="442"/>
        <v>118.98933527005849</v>
      </c>
      <c r="P288" s="61">
        <f t="shared" ref="P288" si="443">(P149)*P$240</f>
        <v>114.35328858788012</v>
      </c>
      <c r="Q288" s="61">
        <f>(Q149)*Q$240</f>
        <v>76.316000000000003</v>
      </c>
    </row>
    <row r="289" spans="2:17" s="11" customFormat="1" ht="13.5" customHeight="1" thickBot="1">
      <c r="B289" s="53" t="str">
        <f>+B150</f>
        <v xml:space="preserve">Net debt </v>
      </c>
      <c r="C289" s="58">
        <f t="shared" ref="C289" si="444">C287-C288</f>
        <v>780.33285406182608</v>
      </c>
      <c r="D289" s="58">
        <f t="shared" ref="D289:E289" si="445">D287-D288</f>
        <v>720.33001061696348</v>
      </c>
      <c r="E289" s="58">
        <f t="shared" si="445"/>
        <v>2120.0709904561545</v>
      </c>
      <c r="F289" s="58">
        <f t="shared" ref="F289" si="446">F287-F288</f>
        <v>2332.8128913005121</v>
      </c>
      <c r="G289" s="58">
        <f>G287-G288</f>
        <v>2388.2460000000001</v>
      </c>
      <c r="I289" s="58">
        <f t="shared" ref="I289:K289" si="447">I287-I288</f>
        <v>177.81229205734678</v>
      </c>
      <c r="J289" s="58">
        <f t="shared" si="447"/>
        <v>172.56933987997809</v>
      </c>
      <c r="K289" s="58">
        <f t="shared" si="447"/>
        <v>2104.055340989938</v>
      </c>
      <c r="L289" s="58">
        <f t="shared" ref="L289:O289" si="448">L287-L288</f>
        <v>2120.0709904561545</v>
      </c>
      <c r="M289" s="58">
        <f t="shared" si="448"/>
        <v>2129.5984455958546</v>
      </c>
      <c r="N289" s="58">
        <f t="shared" si="448"/>
        <v>2149.2897530271507</v>
      </c>
      <c r="O289" s="58">
        <f t="shared" si="448"/>
        <v>2108.2653568288679</v>
      </c>
      <c r="P289" s="58">
        <f t="shared" ref="P289:Q289" si="449">P287-P288</f>
        <v>2332.8128913005121</v>
      </c>
      <c r="Q289" s="58">
        <f t="shared" si="449"/>
        <v>2388.2460000000001</v>
      </c>
    </row>
    <row r="290" spans="2:17" ht="13.5" customHeight="1" thickTop="1">
      <c r="C290" s="62"/>
      <c r="D290" s="62"/>
      <c r="E290" s="62"/>
      <c r="F290" s="62"/>
      <c r="G290" s="62"/>
      <c r="I290" s="62"/>
      <c r="J290" s="62"/>
      <c r="K290" s="62"/>
      <c r="L290" s="62"/>
      <c r="M290" s="62"/>
      <c r="N290" s="62"/>
      <c r="O290" s="62"/>
      <c r="P290" s="62"/>
      <c r="Q290" s="62"/>
    </row>
    <row r="291" spans="2:17" ht="13.5" customHeight="1">
      <c r="B291" s="6" t="s">
        <v>197</v>
      </c>
      <c r="C291" s="62"/>
      <c r="D291" s="62"/>
      <c r="E291" s="62"/>
      <c r="F291" s="62"/>
      <c r="G291" s="62"/>
      <c r="I291" s="62"/>
      <c r="J291" s="62"/>
      <c r="K291" s="62"/>
      <c r="L291" s="62"/>
      <c r="M291" s="62"/>
      <c r="N291" s="62"/>
      <c r="O291" s="62"/>
      <c r="P291" s="62"/>
      <c r="Q291" s="62"/>
    </row>
    <row r="292" spans="2:17" ht="13.5" customHeight="1">
      <c r="B292" s="7" t="s">
        <v>198</v>
      </c>
      <c r="C292" s="78">
        <f t="shared" ref="C292:G293" si="450">C139*C$240</f>
        <v>0</v>
      </c>
      <c r="D292" s="78">
        <f t="shared" si="450"/>
        <v>0</v>
      </c>
      <c r="E292" s="78">
        <f t="shared" si="450"/>
        <v>0</v>
      </c>
      <c r="F292" s="78">
        <f t="shared" ref="F292" si="451">F139*F$240</f>
        <v>0</v>
      </c>
      <c r="G292" s="78">
        <f t="shared" si="450"/>
        <v>0</v>
      </c>
      <c r="I292" s="78">
        <f t="shared" ref="I292:O293" si="452">I139*I$240</f>
        <v>0</v>
      </c>
      <c r="J292" s="78">
        <f t="shared" si="452"/>
        <v>0</v>
      </c>
      <c r="K292" s="78">
        <f t="shared" si="452"/>
        <v>0</v>
      </c>
      <c r="L292" s="78">
        <f t="shared" si="452"/>
        <v>0</v>
      </c>
      <c r="M292" s="78">
        <f t="shared" si="452"/>
        <v>0</v>
      </c>
      <c r="N292" s="78">
        <f t="shared" si="452"/>
        <v>0</v>
      </c>
      <c r="O292" s="78">
        <f t="shared" si="452"/>
        <v>0</v>
      </c>
      <c r="P292" s="78">
        <f t="shared" ref="P292" si="453">P139*P$240</f>
        <v>0</v>
      </c>
      <c r="Q292" s="78">
        <f>Q139*Q$240</f>
        <v>0</v>
      </c>
    </row>
    <row r="293" spans="2:17" ht="13.5" customHeight="1">
      <c r="B293" s="7" t="s">
        <v>199</v>
      </c>
      <c r="C293" s="78">
        <f t="shared" si="450"/>
        <v>0</v>
      </c>
      <c r="D293" s="78">
        <f t="shared" si="450"/>
        <v>0</v>
      </c>
      <c r="E293" s="78">
        <f t="shared" si="450"/>
        <v>0</v>
      </c>
      <c r="F293" s="78">
        <f t="shared" ref="F293" si="454">F140*F$240</f>
        <v>0</v>
      </c>
      <c r="G293" s="78">
        <f t="shared" si="450"/>
        <v>0</v>
      </c>
      <c r="I293" s="78">
        <f t="shared" si="452"/>
        <v>0</v>
      </c>
      <c r="J293" s="78">
        <f t="shared" si="452"/>
        <v>0</v>
      </c>
      <c r="K293" s="78">
        <f t="shared" si="452"/>
        <v>0</v>
      </c>
      <c r="L293" s="78">
        <f t="shared" si="452"/>
        <v>0</v>
      </c>
      <c r="M293" s="78">
        <f t="shared" si="452"/>
        <v>0</v>
      </c>
      <c r="N293" s="78">
        <f t="shared" si="452"/>
        <v>0</v>
      </c>
      <c r="O293" s="78">
        <f t="shared" si="452"/>
        <v>0</v>
      </c>
      <c r="P293" s="78">
        <f t="shared" ref="P293" si="455">P140*P$240</f>
        <v>0</v>
      </c>
      <c r="Q293" s="78">
        <f>Q140*Q$240</f>
        <v>0</v>
      </c>
    </row>
    <row r="294" spans="2:17" ht="13.5" customHeight="1">
      <c r="B294" s="6" t="s">
        <v>200</v>
      </c>
      <c r="C294" s="66">
        <f t="shared" ref="C294:G294" si="456">SUM(C292:C293)</f>
        <v>0</v>
      </c>
      <c r="D294" s="66">
        <f t="shared" ref="D294:E294" si="457">SUM(D292:D293)</f>
        <v>0</v>
      </c>
      <c r="E294" s="66">
        <f t="shared" si="457"/>
        <v>0</v>
      </c>
      <c r="F294" s="66">
        <f t="shared" ref="F294" si="458">SUM(F292:F293)</f>
        <v>0</v>
      </c>
      <c r="G294" s="66">
        <f t="shared" si="456"/>
        <v>0</v>
      </c>
      <c r="I294" s="66">
        <f t="shared" ref="I294:O294" si="459">SUM(I292:I293)</f>
        <v>0</v>
      </c>
      <c r="J294" s="66">
        <f t="shared" si="459"/>
        <v>0</v>
      </c>
      <c r="K294" s="66">
        <f t="shared" si="459"/>
        <v>0</v>
      </c>
      <c r="L294" s="66">
        <f t="shared" si="459"/>
        <v>0</v>
      </c>
      <c r="M294" s="66">
        <f t="shared" si="459"/>
        <v>0</v>
      </c>
      <c r="N294" s="66">
        <f t="shared" si="459"/>
        <v>0</v>
      </c>
      <c r="O294" s="66">
        <f t="shared" si="459"/>
        <v>0</v>
      </c>
      <c r="P294" s="66">
        <f t="shared" ref="P294:Q294" si="460">SUM(P292:P293)</f>
        <v>0</v>
      </c>
      <c r="Q294" s="66">
        <f t="shared" si="460"/>
        <v>0</v>
      </c>
    </row>
    <row r="295" spans="2:17" ht="13.5" customHeight="1">
      <c r="B295" s="6"/>
      <c r="C295" s="66"/>
      <c r="D295" s="66"/>
      <c r="E295" s="66"/>
      <c r="F295" s="66"/>
      <c r="G295" s="66"/>
      <c r="I295" s="66"/>
      <c r="J295" s="66"/>
      <c r="K295" s="66"/>
      <c r="L295" s="66"/>
      <c r="M295" s="66"/>
      <c r="N295" s="66"/>
      <c r="O295" s="66"/>
      <c r="P295" s="66"/>
      <c r="Q295" s="66"/>
    </row>
    <row r="296" spans="2:17" s="11" customFormat="1" ht="13.5" customHeight="1">
      <c r="B296" s="6" t="s">
        <v>234</v>
      </c>
      <c r="C296" s="283">
        <f t="shared" ref="C296" si="461">C289-C294</f>
        <v>780.33285406182608</v>
      </c>
      <c r="D296" s="283">
        <f t="shared" ref="D296:E296" si="462">D289-D294</f>
        <v>720.33001061696348</v>
      </c>
      <c r="E296" s="283">
        <f t="shared" si="462"/>
        <v>2120.0709904561545</v>
      </c>
      <c r="F296" s="283">
        <f t="shared" ref="F296" si="463">F289-F294</f>
        <v>2332.8128913005121</v>
      </c>
      <c r="G296" s="283">
        <f>G289-G294</f>
        <v>2388.2460000000001</v>
      </c>
      <c r="H296" s="110"/>
      <c r="I296" s="283">
        <f t="shared" ref="I296:O296" si="464">I289-I294</f>
        <v>177.81229205734678</v>
      </c>
      <c r="J296" s="283">
        <f t="shared" si="464"/>
        <v>172.56933987997809</v>
      </c>
      <c r="K296" s="283">
        <f t="shared" si="464"/>
        <v>2104.055340989938</v>
      </c>
      <c r="L296" s="283">
        <f t="shared" si="464"/>
        <v>2120.0709904561545</v>
      </c>
      <c r="M296" s="283">
        <f t="shared" si="464"/>
        <v>2129.5984455958546</v>
      </c>
      <c r="N296" s="283">
        <f t="shared" si="464"/>
        <v>2149.2897530271507</v>
      </c>
      <c r="O296" s="283">
        <f t="shared" si="464"/>
        <v>2108.2653568288679</v>
      </c>
      <c r="P296" s="283">
        <f t="shared" ref="P296:Q296" si="465">P289-P294</f>
        <v>2332.8128913005121</v>
      </c>
      <c r="Q296" s="283">
        <f t="shared" si="465"/>
        <v>2388.2460000000001</v>
      </c>
    </row>
    <row r="297" spans="2:17" ht="13.5" customHeight="1">
      <c r="B297" s="7" t="s">
        <v>235</v>
      </c>
      <c r="C297" s="292">
        <f t="shared" ref="C297" si="466">C287-C294</f>
        <v>919.21428571428578</v>
      </c>
      <c r="D297" s="292">
        <f t="shared" ref="D297:E297" si="467">D287-D294</f>
        <v>916.32004246785414</v>
      </c>
      <c r="E297" s="292">
        <f t="shared" si="467"/>
        <v>2229.739909796971</v>
      </c>
      <c r="F297" s="292">
        <f t="shared" ref="F297" si="468">F287-F294</f>
        <v>2447.1661798883924</v>
      </c>
      <c r="G297" s="292">
        <f>G287-G294</f>
        <v>2464.5619999999999</v>
      </c>
      <c r="I297" s="292">
        <f t="shared" ref="I297:O297" si="469">I287-I294</f>
        <v>928.59445889540871</v>
      </c>
      <c r="J297" s="292">
        <f t="shared" si="469"/>
        <v>919.9340971085652</v>
      </c>
      <c r="K297" s="292">
        <f t="shared" si="469"/>
        <v>2163.2626283158856</v>
      </c>
      <c r="L297" s="292">
        <f t="shared" si="469"/>
        <v>2229.739909796971</v>
      </c>
      <c r="M297" s="292">
        <f t="shared" si="469"/>
        <v>2210.8673379606998</v>
      </c>
      <c r="N297" s="292">
        <f t="shared" si="469"/>
        <v>2246.8033818744329</v>
      </c>
      <c r="O297" s="292">
        <f t="shared" si="469"/>
        <v>2227.2546920989262</v>
      </c>
      <c r="P297" s="292">
        <f t="shared" ref="P297:Q297" si="470">P287-P294</f>
        <v>2447.1661798883924</v>
      </c>
      <c r="Q297" s="292">
        <f t="shared" si="470"/>
        <v>2464.5619999999999</v>
      </c>
    </row>
    <row r="298" spans="2:17" ht="13.5" customHeight="1">
      <c r="B298" s="6"/>
      <c r="C298" s="66"/>
      <c r="D298" s="66"/>
      <c r="E298" s="66"/>
      <c r="F298" s="66"/>
      <c r="G298" s="66"/>
      <c r="I298" s="66"/>
      <c r="J298" s="66"/>
      <c r="K298" s="66"/>
      <c r="L298" s="66"/>
      <c r="M298" s="66"/>
      <c r="N298" s="66"/>
      <c r="O298" s="66"/>
      <c r="P298" s="66"/>
      <c r="Q298" s="66"/>
    </row>
    <row r="299" spans="2:17" ht="13.5" customHeight="1">
      <c r="B299" s="18" t="s">
        <v>207</v>
      </c>
      <c r="C299" s="83">
        <f>C153*C$240</f>
        <v>3080.6380815446232</v>
      </c>
      <c r="D299" s="83">
        <f>D153*D$240</f>
        <v>4215.8204553497699</v>
      </c>
      <c r="E299" s="83">
        <f>E153*E$240</f>
        <v>6938.1510300340542</v>
      </c>
      <c r="F299" s="83">
        <f>F153*F$240</f>
        <v>7213.3675692567695</v>
      </c>
      <c r="G299" s="83">
        <f>G153*G$240</f>
        <v>7253.4089999999997</v>
      </c>
      <c r="I299" s="83">
        <f t="shared" ref="I299:O299" si="471">I153*I$240</f>
        <v>5206.7017119351531</v>
      </c>
      <c r="J299" s="83">
        <f t="shared" si="471"/>
        <v>5176.3321331151128</v>
      </c>
      <c r="K299" s="83">
        <f t="shared" si="471"/>
        <v>6804.8365179388147</v>
      </c>
      <c r="L299" s="83">
        <f t="shared" si="471"/>
        <v>6938.1510300340542</v>
      </c>
      <c r="M299" s="83">
        <f t="shared" si="471"/>
        <v>7119.5497604848961</v>
      </c>
      <c r="N299" s="83">
        <f t="shared" si="471"/>
        <v>7242.8070091214586</v>
      </c>
      <c r="O299" s="83">
        <f t="shared" si="471"/>
        <v>7261.8875971320458</v>
      </c>
      <c r="P299" s="83">
        <f t="shared" ref="P299" si="472">P153*P$240</f>
        <v>7213.3675692567695</v>
      </c>
      <c r="Q299" s="83">
        <f>Q153*Q$240</f>
        <v>7253.4089999999997</v>
      </c>
    </row>
    <row r="300" spans="2:17" ht="13.5" customHeight="1">
      <c r="C300" s="62"/>
      <c r="D300" s="62"/>
      <c r="E300" s="62"/>
      <c r="F300" s="62"/>
      <c r="G300" s="62"/>
      <c r="I300" s="62"/>
      <c r="J300" s="62"/>
      <c r="K300" s="62"/>
      <c r="L300" s="62"/>
      <c r="M300" s="62"/>
      <c r="N300" s="62"/>
      <c r="O300" s="62"/>
      <c r="P300" s="62"/>
      <c r="Q300" s="62"/>
    </row>
    <row r="301" spans="2:17" ht="13.5" customHeight="1">
      <c r="B301" s="18" t="str">
        <f>B152</f>
        <v>Company reported net debt</v>
      </c>
      <c r="C301" s="83">
        <f>C152*C240</f>
        <v>780.33285406182608</v>
      </c>
      <c r="D301" s="83">
        <f>D152*D240</f>
        <v>720.33001061696348</v>
      </c>
      <c r="E301" s="83">
        <f>E152*E240</f>
        <v>2120.0709904561545</v>
      </c>
      <c r="F301" s="83">
        <f>F152*F240</f>
        <v>2335.2344073903287</v>
      </c>
      <c r="G301" s="83">
        <f>G152*G240</f>
        <v>2382.7220000000002</v>
      </c>
      <c r="I301" s="83">
        <f t="shared" ref="I301:O301" si="473">I152*I240</f>
        <v>177.81229205734687</v>
      </c>
      <c r="J301" s="83">
        <f t="shared" si="473"/>
        <v>172.56933987997817</v>
      </c>
      <c r="K301" s="83">
        <f t="shared" si="473"/>
        <v>2101.5859335298301</v>
      </c>
      <c r="L301" s="83">
        <f t="shared" si="473"/>
        <v>2120.0709904561545</v>
      </c>
      <c r="M301" s="83">
        <f t="shared" si="473"/>
        <v>2125.7269527813082</v>
      </c>
      <c r="N301" s="83">
        <f t="shared" si="473"/>
        <v>2146.6301808289322</v>
      </c>
      <c r="O301" s="83">
        <f t="shared" si="473"/>
        <v>2111.5520376569266</v>
      </c>
      <c r="P301" s="83">
        <f t="shared" ref="P301:Q301" si="474">P152*P240</f>
        <v>2335.2344073903287</v>
      </c>
      <c r="Q301" s="83">
        <f t="shared" si="474"/>
        <v>2382.7220000000002</v>
      </c>
    </row>
    <row r="302" spans="2:17" ht="13.5" customHeight="1">
      <c r="C302" s="66"/>
      <c r="D302" s="66"/>
      <c r="E302" s="66"/>
      <c r="F302" s="66"/>
      <c r="G302" s="66"/>
      <c r="I302" s="66"/>
      <c r="J302" s="66"/>
      <c r="K302" s="66"/>
      <c r="L302" s="66"/>
      <c r="M302" s="66"/>
      <c r="N302" s="66"/>
      <c r="O302" s="66"/>
      <c r="P302" s="66"/>
      <c r="Q302" s="66"/>
    </row>
    <row r="303" spans="2:17" s="11" customFormat="1" ht="13.5" customHeight="1">
      <c r="B303" s="11" t="s">
        <v>236</v>
      </c>
      <c r="C303" s="66">
        <f t="shared" ref="C303:G303" si="475">C264</f>
        <v>206.52823878933251</v>
      </c>
      <c r="D303" s="66">
        <f t="shared" si="475"/>
        <v>250.32525049647955</v>
      </c>
      <c r="E303" s="66">
        <f t="shared" si="475"/>
        <v>339.52345554720443</v>
      </c>
      <c r="F303" s="66">
        <f t="shared" ref="F303" si="476">F264</f>
        <v>484.48169551948195</v>
      </c>
      <c r="G303" s="66">
        <f t="shared" si="475"/>
        <v>491.49741567223617</v>
      </c>
      <c r="H303" s="110"/>
      <c r="I303" s="282"/>
      <c r="J303" s="282"/>
      <c r="K303" s="282"/>
      <c r="L303" s="66">
        <f t="shared" ref="L303:P303" si="477">SUM(I264:L264)</f>
        <v>333.03275793626682</v>
      </c>
      <c r="M303" s="66">
        <f t="shared" si="477"/>
        <v>392.78619827356198</v>
      </c>
      <c r="N303" s="66">
        <f t="shared" si="477"/>
        <v>452.28739235531043</v>
      </c>
      <c r="O303" s="66">
        <f t="shared" si="477"/>
        <v>466.12475654202547</v>
      </c>
      <c r="P303" s="66">
        <f t="shared" si="477"/>
        <v>483.16545692482572</v>
      </c>
      <c r="Q303" s="66">
        <f>SUM(N264:Q264)</f>
        <v>491.37520282043954</v>
      </c>
    </row>
    <row r="304" spans="2:17" ht="13.5" customHeight="1">
      <c r="B304" s="18" t="s">
        <v>237</v>
      </c>
      <c r="C304" s="101"/>
      <c r="D304" s="101"/>
      <c r="E304" s="78">
        <f t="shared" ref="E304:G304" si="478">E156*E239</f>
        <v>449.19415083683151</v>
      </c>
      <c r="F304" s="78">
        <f t="shared" si="478"/>
        <v>454.72062240119544</v>
      </c>
      <c r="G304" s="78">
        <f t="shared" si="478"/>
        <v>517.17308093925749</v>
      </c>
      <c r="I304" s="101"/>
      <c r="J304" s="101"/>
      <c r="K304" s="101"/>
      <c r="L304" s="78">
        <f t="shared" ref="L304:N304" si="479">L156*L241</f>
        <v>449.19415083683151</v>
      </c>
      <c r="M304" s="78">
        <f t="shared" si="479"/>
        <v>535.34807687418606</v>
      </c>
      <c r="N304" s="78">
        <f t="shared" si="479"/>
        <v>485.7224838878098</v>
      </c>
      <c r="O304" s="78">
        <f>O156*O241</f>
        <v>444.55500489460104</v>
      </c>
      <c r="P304" s="78">
        <f t="shared" ref="P304:Q304" si="480">P156*P241</f>
        <v>454.72062240119544</v>
      </c>
      <c r="Q304" s="78">
        <f t="shared" si="480"/>
        <v>517.17308093925749</v>
      </c>
    </row>
    <row r="305" spans="2:17" ht="13.5" customHeight="1">
      <c r="C305" s="62"/>
      <c r="D305" s="62"/>
      <c r="E305" s="62"/>
      <c r="F305" s="62"/>
      <c r="G305" s="62"/>
      <c r="I305"/>
      <c r="J305"/>
      <c r="K305"/>
      <c r="L305"/>
      <c r="M305"/>
      <c r="N305" s="62"/>
      <c r="O305" s="62"/>
      <c r="P305"/>
      <c r="Q305"/>
    </row>
    <row r="306" spans="2:17" s="11" customFormat="1" ht="13.5" customHeight="1">
      <c r="B306" s="11" t="str">
        <f>+B160</f>
        <v>Net Leverage including lease obligations</v>
      </c>
      <c r="C306" s="64">
        <f>IF((C289&lt;0), "net cash", C289/C303)</f>
        <v>3.7783349077885586</v>
      </c>
      <c r="D306" s="64">
        <f>IF((D289&lt;0), "net cash", D289/D303)</f>
        <v>2.8775763099739464</v>
      </c>
      <c r="E306" s="64">
        <f>IF((E289&lt;0), "net cash", E289/E303)</f>
        <v>6.2442548690465891</v>
      </c>
      <c r="F306" s="64">
        <f>IF((F289&lt;0), "net cash", F289/F303)</f>
        <v>4.8150692025612454</v>
      </c>
      <c r="G306" s="64">
        <f>G289/G303</f>
        <v>4.859122192399572</v>
      </c>
      <c r="I306" s="100"/>
      <c r="J306" s="100"/>
      <c r="K306" s="100"/>
      <c r="L306" s="64">
        <f t="shared" ref="L306:O306" si="481">L289/L303</f>
        <v>6.3659533182074446</v>
      </c>
      <c r="M306" s="64">
        <f t="shared" si="481"/>
        <v>5.4217751411740362</v>
      </c>
      <c r="N306" s="64">
        <f t="shared" si="481"/>
        <v>4.7520443624011079</v>
      </c>
      <c r="O306" s="64">
        <f t="shared" si="481"/>
        <v>4.5229637071181568</v>
      </c>
      <c r="P306" s="64">
        <f t="shared" ref="P306:Q306" si="482">P289/P303</f>
        <v>4.8281864066773874</v>
      </c>
      <c r="Q306" s="64">
        <f t="shared" si="482"/>
        <v>4.8603307336058696</v>
      </c>
    </row>
    <row r="307" spans="2:17" ht="13.5" customHeight="1">
      <c r="B307" s="18" t="str">
        <f>+B161</f>
        <v>Gross Leverage including lease obligations</v>
      </c>
      <c r="C307" s="48">
        <f>IF((C287&lt;0), "net cash", C287/C303)</f>
        <v>4.4507922553483015</v>
      </c>
      <c r="D307" s="48">
        <f>IF((D287&lt;0), "net cash", D287/D303)</f>
        <v>3.6605178289065203</v>
      </c>
      <c r="E307" s="48">
        <f>IF((E287&lt;0), "net cash", E287/E303)</f>
        <v>6.567263243133926</v>
      </c>
      <c r="F307" s="48">
        <f>IF((F287&lt;0), "net cash", F287/F303)</f>
        <v>5.0511014193517392</v>
      </c>
      <c r="G307" s="48">
        <f>G287/G303</f>
        <v>5.0143946263260455</v>
      </c>
      <c r="I307" s="99"/>
      <c r="J307" s="99"/>
      <c r="K307" s="99"/>
      <c r="L307" s="48">
        <f t="shared" ref="L307:O307" si="483">L287/L303</f>
        <v>6.6952570180008566</v>
      </c>
      <c r="M307" s="48">
        <f t="shared" si="483"/>
        <v>5.6286787765921122</v>
      </c>
      <c r="N307" s="48">
        <f t="shared" si="483"/>
        <v>4.9676453950531005</v>
      </c>
      <c r="O307" s="48">
        <f t="shared" si="483"/>
        <v>4.7782372869914678</v>
      </c>
      <c r="P307" s="48">
        <f t="shared" ref="P307:Q307" si="484">P287/P303</f>
        <v>5.0648616220698486</v>
      </c>
      <c r="Q307" s="48">
        <f t="shared" si="484"/>
        <v>5.0156417862637053</v>
      </c>
    </row>
    <row r="308" spans="2:17" ht="13.5" customHeight="1">
      <c r="C308" s="48"/>
      <c r="D308" s="48"/>
      <c r="E308" s="48"/>
      <c r="F308" s="48"/>
      <c r="G308" s="48"/>
      <c r="I308"/>
      <c r="J308"/>
      <c r="K308"/>
      <c r="L308"/>
      <c r="M308"/>
      <c r="N308" s="48"/>
      <c r="O308" s="48"/>
      <c r="P308"/>
      <c r="Q308"/>
    </row>
    <row r="309" spans="2:17" ht="13.5" customHeight="1">
      <c r="B309" s="11" t="str">
        <f>+B163</f>
        <v>Net Leverage excluding lease obligations</v>
      </c>
      <c r="C309" s="64">
        <f>IF((C296&lt;0), "net cash", C296/C303)</f>
        <v>3.7783349077885586</v>
      </c>
      <c r="D309" s="64">
        <f>IF((D296&lt;0), "net cash", D296/D303)</f>
        <v>2.8775763099739464</v>
      </c>
      <c r="E309" s="64">
        <f>IF((E296&lt;0), "net cash", E296/E303)</f>
        <v>6.2442548690465891</v>
      </c>
      <c r="F309" s="64">
        <f>IF((F296&lt;0), "net cash", F296/F303)</f>
        <v>4.8150692025612454</v>
      </c>
      <c r="G309" s="64">
        <f>G296/G303</f>
        <v>4.859122192399572</v>
      </c>
      <c r="I309" s="100"/>
      <c r="J309" s="100"/>
      <c r="K309" s="100"/>
      <c r="L309" s="64">
        <f t="shared" ref="L309:O309" si="485">L296/L303</f>
        <v>6.3659533182074446</v>
      </c>
      <c r="M309" s="64">
        <f t="shared" si="485"/>
        <v>5.4217751411740362</v>
      </c>
      <c r="N309" s="64">
        <f t="shared" si="485"/>
        <v>4.7520443624011079</v>
      </c>
      <c r="O309" s="64">
        <f t="shared" si="485"/>
        <v>4.5229637071181568</v>
      </c>
      <c r="P309" s="64">
        <f t="shared" ref="P309:Q309" si="486">P296/P303</f>
        <v>4.8281864066773874</v>
      </c>
      <c r="Q309" s="64">
        <f t="shared" si="486"/>
        <v>4.8603307336058696</v>
      </c>
    </row>
    <row r="310" spans="2:17" ht="13.5" customHeight="1">
      <c r="B310" s="18" t="str">
        <f>+B164</f>
        <v>Gross Leverage excluding lease obligations</v>
      </c>
      <c r="C310" s="48">
        <f>IF((C297&lt;0), "net cash", C297/C303)</f>
        <v>4.4507922553483015</v>
      </c>
      <c r="D310" s="48">
        <f>IF((D297&lt;0), "net cash", D297/D303)</f>
        <v>3.6605178289065203</v>
      </c>
      <c r="E310" s="48">
        <f>IF((E297&lt;0), "net cash", E297/E303)</f>
        <v>6.567263243133926</v>
      </c>
      <c r="F310" s="48">
        <f>IF((F297&lt;0), "net cash", F297/F303)</f>
        <v>5.0511014193517392</v>
      </c>
      <c r="G310" s="48">
        <f>G297/G303</f>
        <v>5.0143946263260455</v>
      </c>
      <c r="I310" s="99"/>
      <c r="J310" s="99"/>
      <c r="K310" s="99"/>
      <c r="L310" s="48">
        <f t="shared" ref="L310:O310" si="487">L297/L303</f>
        <v>6.6952570180008566</v>
      </c>
      <c r="M310" s="48">
        <f t="shared" si="487"/>
        <v>5.6286787765921122</v>
      </c>
      <c r="N310" s="48">
        <f t="shared" si="487"/>
        <v>4.9676453950531005</v>
      </c>
      <c r="O310" s="48">
        <f t="shared" si="487"/>
        <v>4.7782372869914678</v>
      </c>
      <c r="P310" s="48">
        <f t="shared" ref="P310:Q310" si="488">P297/P303</f>
        <v>5.0648616220698486</v>
      </c>
      <c r="Q310" s="48">
        <f t="shared" si="488"/>
        <v>5.0156417862637053</v>
      </c>
    </row>
    <row r="311" spans="2:17" ht="13.5" customHeight="1">
      <c r="C311" s="48"/>
      <c r="D311" s="48"/>
      <c r="E311" s="48"/>
      <c r="F311" s="48"/>
      <c r="G311" s="48"/>
      <c r="I311"/>
      <c r="J311"/>
      <c r="K311"/>
      <c r="L311"/>
      <c r="M311" s="48"/>
      <c r="N311" s="48"/>
      <c r="O311" s="48"/>
      <c r="P311"/>
      <c r="Q311" s="48"/>
    </row>
    <row r="312" spans="2:17" ht="13.5" customHeight="1">
      <c r="B312" s="11" t="str">
        <f>+B166</f>
        <v>Company reported net leverage (including leases)</v>
      </c>
      <c r="C312" s="64">
        <f t="shared" ref="C312:G312" si="489">C301/C303</f>
        <v>3.7783349077885586</v>
      </c>
      <c r="D312" s="64">
        <f t="shared" si="489"/>
        <v>2.8775763099739464</v>
      </c>
      <c r="E312" s="64">
        <f t="shared" si="489"/>
        <v>6.2442548690465891</v>
      </c>
      <c r="F312" s="64">
        <f t="shared" ref="F312" si="490">F301/F303</f>
        <v>4.8200673606180118</v>
      </c>
      <c r="G312" s="64">
        <f t="shared" si="489"/>
        <v>4.8478830692142658</v>
      </c>
      <c r="I312" s="100"/>
      <c r="J312" s="100"/>
      <c r="K312" s="100"/>
      <c r="L312" s="64">
        <f t="shared" ref="L312:O312" si="491">L301/L303</f>
        <v>6.3659533182074446</v>
      </c>
      <c r="M312" s="64">
        <f t="shared" si="491"/>
        <v>5.4119186522455482</v>
      </c>
      <c r="N312" s="64">
        <f t="shared" si="491"/>
        <v>4.7461640919289003</v>
      </c>
      <c r="O312" s="64">
        <f t="shared" si="491"/>
        <v>4.530014782569376</v>
      </c>
      <c r="P312" s="64">
        <f t="shared" ref="P312:Q312" si="492">P301/P303</f>
        <v>4.8331981807086448</v>
      </c>
      <c r="Q312" s="64">
        <f t="shared" si="492"/>
        <v>4.8490888150713314</v>
      </c>
    </row>
    <row r="313" spans="2:17" ht="13.5" customHeight="1">
      <c r="B313" s="18" t="str">
        <f>+B167</f>
        <v>Company reported net leverage based on annualized EBITDA</v>
      </c>
      <c r="C313" s="99"/>
      <c r="D313" s="99"/>
      <c r="E313" s="48">
        <f>E301/E304</f>
        <v>4.7197208300832578</v>
      </c>
      <c r="F313" s="48">
        <f>F301/F304</f>
        <v>5.135536618196249</v>
      </c>
      <c r="G313" s="48">
        <f>G301/G304</f>
        <v>4.6072042181171708</v>
      </c>
      <c r="I313" s="99"/>
      <c r="J313" s="99"/>
      <c r="K313" s="99"/>
      <c r="L313" s="48">
        <f t="shared" ref="L313:N313" si="493">L301/L304</f>
        <v>4.7197208300832578</v>
      </c>
      <c r="M313" s="48">
        <f t="shared" si="493"/>
        <v>3.9707380013263451</v>
      </c>
      <c r="N313" s="48">
        <f t="shared" si="493"/>
        <v>4.4194581310029539</v>
      </c>
      <c r="O313" s="48">
        <f>O301/O304</f>
        <v>4.7498105170530058</v>
      </c>
      <c r="P313" s="48">
        <f t="shared" ref="P313:Q313" si="494">P301/P304</f>
        <v>5.135536618196249</v>
      </c>
      <c r="Q313" s="48">
        <f t="shared" si="494"/>
        <v>4.6072042181171708</v>
      </c>
    </row>
    <row r="314" spans="2:17" ht="13.5" customHeight="1">
      <c r="C314" s="48"/>
      <c r="D314" s="48"/>
      <c r="E314" s="48"/>
      <c r="F314" s="48"/>
      <c r="G314" s="48"/>
      <c r="I314"/>
      <c r="J314"/>
      <c r="K314"/>
      <c r="L314"/>
      <c r="M314" s="48"/>
      <c r="N314" s="48"/>
      <c r="O314" s="48"/>
      <c r="P314"/>
      <c r="Q314" s="48"/>
    </row>
    <row r="315" spans="2:17" s="11" customFormat="1" ht="13.5" customHeight="1">
      <c r="B315" s="11" t="str">
        <f>+B169</f>
        <v>EBITDA - Capex / Interest</v>
      </c>
      <c r="C315" s="64">
        <f t="shared" ref="C315:G315" si="495">(C303+C273)/-C271</f>
        <v>0.95198202501885032</v>
      </c>
      <c r="D315" s="64">
        <f t="shared" si="495"/>
        <v>-2.3941037610535485</v>
      </c>
      <c r="E315" s="64">
        <f t="shared" si="495"/>
        <v>-0.14833780128417434</v>
      </c>
      <c r="F315" s="64">
        <f t="shared" ref="F315" si="496">(F303+F273)/-F271</f>
        <v>3.3290321704951054</v>
      </c>
      <c r="G315" s="64">
        <f t="shared" si="495"/>
        <v>3.4052169420112963</v>
      </c>
      <c r="H315" s="110"/>
      <c r="I315" s="100"/>
      <c r="J315" s="100"/>
      <c r="K315" s="100"/>
      <c r="L315" s="64">
        <f t="shared" ref="L315:P315" si="497">(L303+SUM(I273:L273))/-SUM(I271:L271)</f>
        <v>2.982333547059092E-2</v>
      </c>
      <c r="M315" s="64">
        <f t="shared" si="497"/>
        <v>1.079099111546439</v>
      </c>
      <c r="N315" s="64">
        <f t="shared" si="497"/>
        <v>1.5486360091127565</v>
      </c>
      <c r="O315" s="64">
        <f t="shared" si="497"/>
        <v>3.3963549063147438</v>
      </c>
      <c r="P315" s="64">
        <f t="shared" si="497"/>
        <v>3.2936500520414445</v>
      </c>
      <c r="Q315" s="64">
        <f>(Q303+SUM(N273:Q273))/-SUM(N271:Q271)</f>
        <v>3.4033381458139651</v>
      </c>
    </row>
    <row r="316" spans="2:17" ht="12.75" customHeight="1">
      <c r="B316" s="18" t="str">
        <f>+B170</f>
        <v>EBITDA/Interest</v>
      </c>
      <c r="C316" s="48">
        <f t="shared" ref="C316:G316" si="498">(C303)/-C271</f>
        <v>4.859196371283117</v>
      </c>
      <c r="D316" s="48">
        <f t="shared" si="498"/>
        <v>6.7356863638088731</v>
      </c>
      <c r="E316" s="48">
        <f t="shared" si="498"/>
        <v>6.8027351119334432</v>
      </c>
      <c r="F316" s="48">
        <f t="shared" ref="F316" si="499">(F303)/-F271</f>
        <v>4.3544207167242206</v>
      </c>
      <c r="G316" s="48">
        <f t="shared" si="498"/>
        <v>4.4698995269733182</v>
      </c>
      <c r="H316" s="18"/>
      <c r="I316" s="99"/>
      <c r="J316" s="99"/>
      <c r="K316" s="99"/>
      <c r="L316" s="48">
        <f t="shared" ref="L316:P316" si="500">L303/-SUM(I271:L271)</f>
        <v>6.8591072268882316</v>
      </c>
      <c r="M316" s="48">
        <f t="shared" si="500"/>
        <v>5.3970946729101321</v>
      </c>
      <c r="N316" s="48">
        <f t="shared" si="500"/>
        <v>5.2675952568586304</v>
      </c>
      <c r="O316" s="48">
        <f t="shared" si="500"/>
        <v>4.3272306799256217</v>
      </c>
      <c r="P316" s="48">
        <f t="shared" si="500"/>
        <v>4.3602413510069633</v>
      </c>
      <c r="Q316" s="48">
        <f>Q303/-SUM(N271:Q271)</f>
        <v>4.4617553083459391</v>
      </c>
    </row>
    <row r="317" spans="2:17" ht="13.5" customHeight="1">
      <c r="C317" s="62"/>
      <c r="D317" s="62"/>
      <c r="E317" s="62"/>
      <c r="F317" s="62"/>
      <c r="G317" s="62"/>
      <c r="I317" s="62"/>
      <c r="J317" s="62"/>
      <c r="K317" s="62"/>
      <c r="L317" s="62"/>
      <c r="M317" s="62"/>
      <c r="N317" s="62"/>
      <c r="O317" s="62"/>
      <c r="P317" s="62"/>
      <c r="Q317" s="62"/>
    </row>
    <row r="318" spans="2:17" s="11" customFormat="1" ht="13.5" customHeight="1">
      <c r="B318" s="43" t="str">
        <f>+B172</f>
        <v xml:space="preserve">Gearing (Net debt / Equity) </v>
      </c>
      <c r="C318" s="284">
        <f t="shared" ref="C318" si="501">C289/(C299)</f>
        <v>0.25330234626930581</v>
      </c>
      <c r="D318" s="284">
        <f t="shared" ref="D318:E318" si="502">D289/(D299)</f>
        <v>0.17086354085665173</v>
      </c>
      <c r="E318" s="284">
        <f t="shared" si="502"/>
        <v>0.30556714336121171</v>
      </c>
      <c r="F318" s="284">
        <f t="shared" ref="F318" si="503">F289/(F299)</f>
        <v>0.32340136127859542</v>
      </c>
      <c r="G318" s="284">
        <f>G289/(G299)</f>
        <v>0.32925842179863291</v>
      </c>
      <c r="H318" s="110"/>
      <c r="I318" s="284">
        <f t="shared" ref="I318:O318" si="504">I289/(I299)</f>
        <v>3.4150658496482224E-2</v>
      </c>
      <c r="J318" s="284">
        <f t="shared" si="504"/>
        <v>3.3338150536357872E-2</v>
      </c>
      <c r="K318" s="284">
        <f t="shared" si="504"/>
        <v>0.30919998378260183</v>
      </c>
      <c r="L318" s="284">
        <f t="shared" si="504"/>
        <v>0.30556714336121171</v>
      </c>
      <c r="M318" s="284">
        <f t="shared" si="504"/>
        <v>0.29911982038746404</v>
      </c>
      <c r="N318" s="284">
        <f t="shared" si="504"/>
        <v>0.2967481737840556</v>
      </c>
      <c r="O318" s="284">
        <f t="shared" si="504"/>
        <v>0.29031919437330456</v>
      </c>
      <c r="P318" s="284">
        <f t="shared" ref="P318:Q318" si="505">P289/(P299)</f>
        <v>0.32340136127859542</v>
      </c>
      <c r="Q318" s="284">
        <f t="shared" si="505"/>
        <v>0.32925842179863291</v>
      </c>
    </row>
    <row r="319" spans="2:17" ht="13.5" customHeight="1">
      <c r="C319" s="47"/>
      <c r="D319" s="47"/>
      <c r="E319" s="47"/>
      <c r="F319" s="47"/>
      <c r="G319" s="47"/>
      <c r="J319" s="47"/>
      <c r="K319" s="47"/>
      <c r="N319" s="47"/>
      <c r="O319" s="47"/>
    </row>
    <row r="320" spans="2:17" ht="13.5" customHeight="1">
      <c r="C320" s="21"/>
      <c r="D320" s="21"/>
      <c r="E320" s="21"/>
      <c r="F320" s="21"/>
      <c r="G320" s="21"/>
      <c r="J320" s="21"/>
      <c r="K320" s="21"/>
      <c r="N320" s="21"/>
      <c r="O320" s="21"/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F4ECB-3CAE-443C-8264-7588A6B92358}">
  <dimension ref="B2:S136"/>
  <sheetViews>
    <sheetView showGridLines="0" zoomScale="85" zoomScaleNormal="85" workbookViewId="0">
      <pane xSplit="2" ySplit="6" topLeftCell="D7" activePane="bottomRight" state="frozen"/>
      <selection pane="bottomRight" activeCell="V2" sqref="V2"/>
      <selection pane="bottomLeft" activeCell="J65" sqref="J65"/>
      <selection pane="topRight" activeCell="J65" sqref="J65"/>
    </sheetView>
  </sheetViews>
  <sheetFormatPr defaultColWidth="11.42578125" defaultRowHeight="12.75" outlineLevelRow="1" outlineLevelCol="1"/>
  <cols>
    <col min="1" max="1" width="2.7109375" style="18" customWidth="1"/>
    <col min="2" max="2" width="50.7109375" style="18" customWidth="1"/>
    <col min="3" max="3" width="12.7109375" style="18" hidden="1" customWidth="1" outlineLevel="1"/>
    <col min="4" max="4" width="12.7109375" style="18" customWidth="1" collapsed="1"/>
    <col min="5" max="7" width="12.7109375" style="18" customWidth="1"/>
    <col min="8" max="8" width="12.7109375" customWidth="1"/>
    <col min="9" max="19" width="12.7109375" style="18" customWidth="1"/>
    <col min="20" max="20" width="11.85546875" style="18" bestFit="1" customWidth="1"/>
    <col min="21" max="235" width="11.42578125" style="18"/>
    <col min="236" max="236" width="3.5703125" style="18" customWidth="1"/>
    <col min="237" max="237" width="13.28515625" style="18" customWidth="1"/>
    <col min="238" max="245" width="11.42578125" style="18" customWidth="1"/>
    <col min="246" max="246" width="9.7109375" style="18" bestFit="1" customWidth="1"/>
    <col min="247" max="250" width="0" style="18" hidden="1" customWidth="1"/>
    <col min="251" max="259" width="11.42578125" style="18" customWidth="1"/>
    <col min="260" max="491" width="11.42578125" style="18"/>
    <col min="492" max="492" width="3.5703125" style="18" customWidth="1"/>
    <col min="493" max="493" width="13.28515625" style="18" customWidth="1"/>
    <col min="494" max="501" width="11.42578125" style="18" customWidth="1"/>
    <col min="502" max="502" width="9.7109375" style="18" bestFit="1" customWidth="1"/>
    <col min="503" max="506" width="0" style="18" hidden="1" customWidth="1"/>
    <col min="507" max="515" width="11.42578125" style="18" customWidth="1"/>
    <col min="516" max="747" width="11.42578125" style="18"/>
    <col min="748" max="748" width="3.5703125" style="18" customWidth="1"/>
    <col min="749" max="749" width="13.28515625" style="18" customWidth="1"/>
    <col min="750" max="757" width="11.42578125" style="18" customWidth="1"/>
    <col min="758" max="758" width="9.7109375" style="18" bestFit="1" customWidth="1"/>
    <col min="759" max="762" width="0" style="18" hidden="1" customWidth="1"/>
    <col min="763" max="771" width="11.42578125" style="18" customWidth="1"/>
    <col min="772" max="1003" width="11.42578125" style="18"/>
    <col min="1004" max="1004" width="3.5703125" style="18" customWidth="1"/>
    <col min="1005" max="1005" width="13.28515625" style="18" customWidth="1"/>
    <col min="1006" max="1013" width="11.42578125" style="18" customWidth="1"/>
    <col min="1014" max="1014" width="9.7109375" style="18" bestFit="1" customWidth="1"/>
    <col min="1015" max="1018" width="0" style="18" hidden="1" customWidth="1"/>
    <col min="1019" max="1027" width="11.42578125" style="18" customWidth="1"/>
    <col min="1028" max="1259" width="11.42578125" style="18"/>
    <col min="1260" max="1260" width="3.5703125" style="18" customWidth="1"/>
    <col min="1261" max="1261" width="13.28515625" style="18" customWidth="1"/>
    <col min="1262" max="1269" width="11.42578125" style="18" customWidth="1"/>
    <col min="1270" max="1270" width="9.7109375" style="18" bestFit="1" customWidth="1"/>
    <col min="1271" max="1274" width="0" style="18" hidden="1" customWidth="1"/>
    <col min="1275" max="1283" width="11.42578125" style="18" customWidth="1"/>
    <col min="1284" max="1515" width="11.42578125" style="18"/>
    <col min="1516" max="1516" width="3.5703125" style="18" customWidth="1"/>
    <col min="1517" max="1517" width="13.28515625" style="18" customWidth="1"/>
    <col min="1518" max="1525" width="11.42578125" style="18" customWidth="1"/>
    <col min="1526" max="1526" width="9.7109375" style="18" bestFit="1" customWidth="1"/>
    <col min="1527" max="1530" width="0" style="18" hidden="1" customWidth="1"/>
    <col min="1531" max="1539" width="11.42578125" style="18" customWidth="1"/>
    <col min="1540" max="1771" width="11.42578125" style="18"/>
    <col min="1772" max="1772" width="3.5703125" style="18" customWidth="1"/>
    <col min="1773" max="1773" width="13.28515625" style="18" customWidth="1"/>
    <col min="1774" max="1781" width="11.42578125" style="18" customWidth="1"/>
    <col min="1782" max="1782" width="9.7109375" style="18" bestFit="1" customWidth="1"/>
    <col min="1783" max="1786" width="0" style="18" hidden="1" customWidth="1"/>
    <col min="1787" max="1795" width="11.42578125" style="18" customWidth="1"/>
    <col min="1796" max="2027" width="11.42578125" style="18"/>
    <col min="2028" max="2028" width="3.5703125" style="18" customWidth="1"/>
    <col min="2029" max="2029" width="13.28515625" style="18" customWidth="1"/>
    <col min="2030" max="2037" width="11.42578125" style="18" customWidth="1"/>
    <col min="2038" max="2038" width="9.7109375" style="18" bestFit="1" customWidth="1"/>
    <col min="2039" max="2042" width="0" style="18" hidden="1" customWidth="1"/>
    <col min="2043" max="2051" width="11.42578125" style="18" customWidth="1"/>
    <col min="2052" max="2283" width="11.42578125" style="18"/>
    <col min="2284" max="2284" width="3.5703125" style="18" customWidth="1"/>
    <col min="2285" max="2285" width="13.28515625" style="18" customWidth="1"/>
    <col min="2286" max="2293" width="11.42578125" style="18" customWidth="1"/>
    <col min="2294" max="2294" width="9.7109375" style="18" bestFit="1" customWidth="1"/>
    <col min="2295" max="2298" width="0" style="18" hidden="1" customWidth="1"/>
    <col min="2299" max="2307" width="11.42578125" style="18" customWidth="1"/>
    <col min="2308" max="2539" width="11.42578125" style="18"/>
    <col min="2540" max="2540" width="3.5703125" style="18" customWidth="1"/>
    <col min="2541" max="2541" width="13.28515625" style="18" customWidth="1"/>
    <col min="2542" max="2549" width="11.42578125" style="18" customWidth="1"/>
    <col min="2550" max="2550" width="9.7109375" style="18" bestFit="1" customWidth="1"/>
    <col min="2551" max="2554" width="0" style="18" hidden="1" customWidth="1"/>
    <col min="2555" max="2563" width="11.42578125" style="18" customWidth="1"/>
    <col min="2564" max="2795" width="11.42578125" style="18"/>
    <col min="2796" max="2796" width="3.5703125" style="18" customWidth="1"/>
    <col min="2797" max="2797" width="13.28515625" style="18" customWidth="1"/>
    <col min="2798" max="2805" width="11.42578125" style="18" customWidth="1"/>
    <col min="2806" max="2806" width="9.7109375" style="18" bestFit="1" customWidth="1"/>
    <col min="2807" max="2810" width="0" style="18" hidden="1" customWidth="1"/>
    <col min="2811" max="2819" width="11.42578125" style="18" customWidth="1"/>
    <col min="2820" max="3051" width="11.42578125" style="18"/>
    <col min="3052" max="3052" width="3.5703125" style="18" customWidth="1"/>
    <col min="3053" max="3053" width="13.28515625" style="18" customWidth="1"/>
    <col min="3054" max="3061" width="11.42578125" style="18" customWidth="1"/>
    <col min="3062" max="3062" width="9.7109375" style="18" bestFit="1" customWidth="1"/>
    <col min="3063" max="3066" width="0" style="18" hidden="1" customWidth="1"/>
    <col min="3067" max="3075" width="11.42578125" style="18" customWidth="1"/>
    <col min="3076" max="3307" width="11.42578125" style="18"/>
    <col min="3308" max="3308" width="3.5703125" style="18" customWidth="1"/>
    <col min="3309" max="3309" width="13.28515625" style="18" customWidth="1"/>
    <col min="3310" max="3317" width="11.42578125" style="18" customWidth="1"/>
    <col min="3318" max="3318" width="9.7109375" style="18" bestFit="1" customWidth="1"/>
    <col min="3319" max="3322" width="0" style="18" hidden="1" customWidth="1"/>
    <col min="3323" max="3331" width="11.42578125" style="18" customWidth="1"/>
    <col min="3332" max="3563" width="11.42578125" style="18"/>
    <col min="3564" max="3564" width="3.5703125" style="18" customWidth="1"/>
    <col min="3565" max="3565" width="13.28515625" style="18" customWidth="1"/>
    <col min="3566" max="3573" width="11.42578125" style="18" customWidth="1"/>
    <col min="3574" max="3574" width="9.7109375" style="18" bestFit="1" customWidth="1"/>
    <col min="3575" max="3578" width="0" style="18" hidden="1" customWidth="1"/>
    <col min="3579" max="3587" width="11.42578125" style="18" customWidth="1"/>
    <col min="3588" max="3819" width="11.42578125" style="18"/>
    <col min="3820" max="3820" width="3.5703125" style="18" customWidth="1"/>
    <col min="3821" max="3821" width="13.28515625" style="18" customWidth="1"/>
    <col min="3822" max="3829" width="11.42578125" style="18" customWidth="1"/>
    <col min="3830" max="3830" width="9.7109375" style="18" bestFit="1" customWidth="1"/>
    <col min="3831" max="3834" width="0" style="18" hidden="1" customWidth="1"/>
    <col min="3835" max="3843" width="11.42578125" style="18" customWidth="1"/>
    <col min="3844" max="4075" width="11.42578125" style="18"/>
    <col min="4076" max="4076" width="3.5703125" style="18" customWidth="1"/>
    <col min="4077" max="4077" width="13.28515625" style="18" customWidth="1"/>
    <col min="4078" max="4085" width="11.42578125" style="18" customWidth="1"/>
    <col min="4086" max="4086" width="9.7109375" style="18" bestFit="1" customWidth="1"/>
    <col min="4087" max="4090" width="0" style="18" hidden="1" customWidth="1"/>
    <col min="4091" max="4099" width="11.42578125" style="18" customWidth="1"/>
    <col min="4100" max="4331" width="11.42578125" style="18"/>
    <col min="4332" max="4332" width="3.5703125" style="18" customWidth="1"/>
    <col min="4333" max="4333" width="13.28515625" style="18" customWidth="1"/>
    <col min="4334" max="4341" width="11.42578125" style="18" customWidth="1"/>
    <col min="4342" max="4342" width="9.7109375" style="18" bestFit="1" customWidth="1"/>
    <col min="4343" max="4346" width="0" style="18" hidden="1" customWidth="1"/>
    <col min="4347" max="4355" width="11.42578125" style="18" customWidth="1"/>
    <col min="4356" max="4587" width="11.42578125" style="18"/>
    <col min="4588" max="4588" width="3.5703125" style="18" customWidth="1"/>
    <col min="4589" max="4589" width="13.28515625" style="18" customWidth="1"/>
    <col min="4590" max="4597" width="11.42578125" style="18" customWidth="1"/>
    <col min="4598" max="4598" width="9.7109375" style="18" bestFit="1" customWidth="1"/>
    <col min="4599" max="4602" width="0" style="18" hidden="1" customWidth="1"/>
    <col min="4603" max="4611" width="11.42578125" style="18" customWidth="1"/>
    <col min="4612" max="4843" width="11.42578125" style="18"/>
    <col min="4844" max="4844" width="3.5703125" style="18" customWidth="1"/>
    <col min="4845" max="4845" width="13.28515625" style="18" customWidth="1"/>
    <col min="4846" max="4853" width="11.42578125" style="18" customWidth="1"/>
    <col min="4854" max="4854" width="9.7109375" style="18" bestFit="1" customWidth="1"/>
    <col min="4855" max="4858" width="0" style="18" hidden="1" customWidth="1"/>
    <col min="4859" max="4867" width="11.42578125" style="18" customWidth="1"/>
    <col min="4868" max="5099" width="11.42578125" style="18"/>
    <col min="5100" max="5100" width="3.5703125" style="18" customWidth="1"/>
    <col min="5101" max="5101" width="13.28515625" style="18" customWidth="1"/>
    <col min="5102" max="5109" width="11.42578125" style="18" customWidth="1"/>
    <col min="5110" max="5110" width="9.7109375" style="18" bestFit="1" customWidth="1"/>
    <col min="5111" max="5114" width="0" style="18" hidden="1" customWidth="1"/>
    <col min="5115" max="5123" width="11.42578125" style="18" customWidth="1"/>
    <col min="5124" max="5355" width="11.42578125" style="18"/>
    <col min="5356" max="5356" width="3.5703125" style="18" customWidth="1"/>
    <col min="5357" max="5357" width="13.28515625" style="18" customWidth="1"/>
    <col min="5358" max="5365" width="11.42578125" style="18" customWidth="1"/>
    <col min="5366" max="5366" width="9.7109375" style="18" bestFit="1" customWidth="1"/>
    <col min="5367" max="5370" width="0" style="18" hidden="1" customWidth="1"/>
    <col min="5371" max="5379" width="11.42578125" style="18" customWidth="1"/>
    <col min="5380" max="5611" width="11.42578125" style="18"/>
    <col min="5612" max="5612" width="3.5703125" style="18" customWidth="1"/>
    <col min="5613" max="5613" width="13.28515625" style="18" customWidth="1"/>
    <col min="5614" max="5621" width="11.42578125" style="18" customWidth="1"/>
    <col min="5622" max="5622" width="9.7109375" style="18" bestFit="1" customWidth="1"/>
    <col min="5623" max="5626" width="0" style="18" hidden="1" customWidth="1"/>
    <col min="5627" max="5635" width="11.42578125" style="18" customWidth="1"/>
    <col min="5636" max="5867" width="11.42578125" style="18"/>
    <col min="5868" max="5868" width="3.5703125" style="18" customWidth="1"/>
    <col min="5869" max="5869" width="13.28515625" style="18" customWidth="1"/>
    <col min="5870" max="5877" width="11.42578125" style="18" customWidth="1"/>
    <col min="5878" max="5878" width="9.7109375" style="18" bestFit="1" customWidth="1"/>
    <col min="5879" max="5882" width="0" style="18" hidden="1" customWidth="1"/>
    <col min="5883" max="5891" width="11.42578125" style="18" customWidth="1"/>
    <col min="5892" max="6123" width="11.42578125" style="18"/>
    <col min="6124" max="6124" width="3.5703125" style="18" customWidth="1"/>
    <col min="6125" max="6125" width="13.28515625" style="18" customWidth="1"/>
    <col min="6126" max="6133" width="11.42578125" style="18" customWidth="1"/>
    <col min="6134" max="6134" width="9.7109375" style="18" bestFit="1" customWidth="1"/>
    <col min="6135" max="6138" width="0" style="18" hidden="1" customWidth="1"/>
    <col min="6139" max="6147" width="11.42578125" style="18" customWidth="1"/>
    <col min="6148" max="6379" width="11.42578125" style="18"/>
    <col min="6380" max="6380" width="3.5703125" style="18" customWidth="1"/>
    <col min="6381" max="6381" width="13.28515625" style="18" customWidth="1"/>
    <col min="6382" max="6389" width="11.42578125" style="18" customWidth="1"/>
    <col min="6390" max="6390" width="9.7109375" style="18" bestFit="1" customWidth="1"/>
    <col min="6391" max="6394" width="0" style="18" hidden="1" customWidth="1"/>
    <col min="6395" max="6403" width="11.42578125" style="18" customWidth="1"/>
    <col min="6404" max="6635" width="11.42578125" style="18"/>
    <col min="6636" max="6636" width="3.5703125" style="18" customWidth="1"/>
    <col min="6637" max="6637" width="13.28515625" style="18" customWidth="1"/>
    <col min="6638" max="6645" width="11.42578125" style="18" customWidth="1"/>
    <col min="6646" max="6646" width="9.7109375" style="18" bestFit="1" customWidth="1"/>
    <col min="6647" max="6650" width="0" style="18" hidden="1" customWidth="1"/>
    <col min="6651" max="6659" width="11.42578125" style="18" customWidth="1"/>
    <col min="6660" max="6891" width="11.42578125" style="18"/>
    <col min="6892" max="6892" width="3.5703125" style="18" customWidth="1"/>
    <col min="6893" max="6893" width="13.28515625" style="18" customWidth="1"/>
    <col min="6894" max="6901" width="11.42578125" style="18" customWidth="1"/>
    <col min="6902" max="6902" width="9.7109375" style="18" bestFit="1" customWidth="1"/>
    <col min="6903" max="6906" width="0" style="18" hidden="1" customWidth="1"/>
    <col min="6907" max="6915" width="11.42578125" style="18" customWidth="1"/>
    <col min="6916" max="7147" width="11.42578125" style="18"/>
    <col min="7148" max="7148" width="3.5703125" style="18" customWidth="1"/>
    <col min="7149" max="7149" width="13.28515625" style="18" customWidth="1"/>
    <col min="7150" max="7157" width="11.42578125" style="18" customWidth="1"/>
    <col min="7158" max="7158" width="9.7109375" style="18" bestFit="1" customWidth="1"/>
    <col min="7159" max="7162" width="0" style="18" hidden="1" customWidth="1"/>
    <col min="7163" max="7171" width="11.42578125" style="18" customWidth="1"/>
    <col min="7172" max="7403" width="11.42578125" style="18"/>
    <col min="7404" max="7404" width="3.5703125" style="18" customWidth="1"/>
    <col min="7405" max="7405" width="13.28515625" style="18" customWidth="1"/>
    <col min="7406" max="7413" width="11.42578125" style="18" customWidth="1"/>
    <col min="7414" max="7414" width="9.7109375" style="18" bestFit="1" customWidth="1"/>
    <col min="7415" max="7418" width="0" style="18" hidden="1" customWidth="1"/>
    <col min="7419" max="7427" width="11.42578125" style="18" customWidth="1"/>
    <col min="7428" max="7659" width="11.42578125" style="18"/>
    <col min="7660" max="7660" width="3.5703125" style="18" customWidth="1"/>
    <col min="7661" max="7661" width="13.28515625" style="18" customWidth="1"/>
    <col min="7662" max="7669" width="11.42578125" style="18" customWidth="1"/>
    <col min="7670" max="7670" width="9.7109375" style="18" bestFit="1" customWidth="1"/>
    <col min="7671" max="7674" width="0" style="18" hidden="1" customWidth="1"/>
    <col min="7675" max="7683" width="11.42578125" style="18" customWidth="1"/>
    <col min="7684" max="7915" width="11.42578125" style="18"/>
    <col min="7916" max="7916" width="3.5703125" style="18" customWidth="1"/>
    <col min="7917" max="7917" width="13.28515625" style="18" customWidth="1"/>
    <col min="7918" max="7925" width="11.42578125" style="18" customWidth="1"/>
    <col min="7926" max="7926" width="9.7109375" style="18" bestFit="1" customWidth="1"/>
    <col min="7927" max="7930" width="0" style="18" hidden="1" customWidth="1"/>
    <col min="7931" max="7939" width="11.42578125" style="18" customWidth="1"/>
    <col min="7940" max="8171" width="11.42578125" style="18"/>
    <col min="8172" max="8172" width="3.5703125" style="18" customWidth="1"/>
    <col min="8173" max="8173" width="13.28515625" style="18" customWidth="1"/>
    <col min="8174" max="8181" width="11.42578125" style="18" customWidth="1"/>
    <col min="8182" max="8182" width="9.7109375" style="18" bestFit="1" customWidth="1"/>
    <col min="8183" max="8186" width="0" style="18" hidden="1" customWidth="1"/>
    <col min="8187" max="8195" width="11.42578125" style="18" customWidth="1"/>
    <col min="8196" max="8427" width="11.42578125" style="18"/>
    <col min="8428" max="8428" width="3.5703125" style="18" customWidth="1"/>
    <col min="8429" max="8429" width="13.28515625" style="18" customWidth="1"/>
    <col min="8430" max="8437" width="11.42578125" style="18" customWidth="1"/>
    <col min="8438" max="8438" width="9.7109375" style="18" bestFit="1" customWidth="1"/>
    <col min="8439" max="8442" width="0" style="18" hidden="1" customWidth="1"/>
    <col min="8443" max="8451" width="11.42578125" style="18" customWidth="1"/>
    <col min="8452" max="8683" width="11.42578125" style="18"/>
    <col min="8684" max="8684" width="3.5703125" style="18" customWidth="1"/>
    <col min="8685" max="8685" width="13.28515625" style="18" customWidth="1"/>
    <col min="8686" max="8693" width="11.42578125" style="18" customWidth="1"/>
    <col min="8694" max="8694" width="9.7109375" style="18" bestFit="1" customWidth="1"/>
    <col min="8695" max="8698" width="0" style="18" hidden="1" customWidth="1"/>
    <col min="8699" max="8707" width="11.42578125" style="18" customWidth="1"/>
    <col min="8708" max="8939" width="11.42578125" style="18"/>
    <col min="8940" max="8940" width="3.5703125" style="18" customWidth="1"/>
    <col min="8941" max="8941" width="13.28515625" style="18" customWidth="1"/>
    <col min="8942" max="8949" width="11.42578125" style="18" customWidth="1"/>
    <col min="8950" max="8950" width="9.7109375" style="18" bestFit="1" customWidth="1"/>
    <col min="8951" max="8954" width="0" style="18" hidden="1" customWidth="1"/>
    <col min="8955" max="8963" width="11.42578125" style="18" customWidth="1"/>
    <col min="8964" max="9195" width="11.42578125" style="18"/>
    <col min="9196" max="9196" width="3.5703125" style="18" customWidth="1"/>
    <col min="9197" max="9197" width="13.28515625" style="18" customWidth="1"/>
    <col min="9198" max="9205" width="11.42578125" style="18" customWidth="1"/>
    <col min="9206" max="9206" width="9.7109375" style="18" bestFit="1" customWidth="1"/>
    <col min="9207" max="9210" width="0" style="18" hidden="1" customWidth="1"/>
    <col min="9211" max="9219" width="11.42578125" style="18" customWidth="1"/>
    <col min="9220" max="9451" width="11.42578125" style="18"/>
    <col min="9452" max="9452" width="3.5703125" style="18" customWidth="1"/>
    <col min="9453" max="9453" width="13.28515625" style="18" customWidth="1"/>
    <col min="9454" max="9461" width="11.42578125" style="18" customWidth="1"/>
    <col min="9462" max="9462" width="9.7109375" style="18" bestFit="1" customWidth="1"/>
    <col min="9463" max="9466" width="0" style="18" hidden="1" customWidth="1"/>
    <col min="9467" max="9475" width="11.42578125" style="18" customWidth="1"/>
    <col min="9476" max="9707" width="11.42578125" style="18"/>
    <col min="9708" max="9708" width="3.5703125" style="18" customWidth="1"/>
    <col min="9709" max="9709" width="13.28515625" style="18" customWidth="1"/>
    <col min="9710" max="9717" width="11.42578125" style="18" customWidth="1"/>
    <col min="9718" max="9718" width="9.7109375" style="18" bestFit="1" customWidth="1"/>
    <col min="9719" max="9722" width="0" style="18" hidden="1" customWidth="1"/>
    <col min="9723" max="9731" width="11.42578125" style="18" customWidth="1"/>
    <col min="9732" max="9963" width="11.42578125" style="18"/>
    <col min="9964" max="9964" width="3.5703125" style="18" customWidth="1"/>
    <col min="9965" max="9965" width="13.28515625" style="18" customWidth="1"/>
    <col min="9966" max="9973" width="11.42578125" style="18" customWidth="1"/>
    <col min="9974" max="9974" width="9.7109375" style="18" bestFit="1" customWidth="1"/>
    <col min="9975" max="9978" width="0" style="18" hidden="1" customWidth="1"/>
    <col min="9979" max="9987" width="11.42578125" style="18" customWidth="1"/>
    <col min="9988" max="10219" width="11.42578125" style="18"/>
    <col min="10220" max="10220" width="3.5703125" style="18" customWidth="1"/>
    <col min="10221" max="10221" width="13.28515625" style="18" customWidth="1"/>
    <col min="10222" max="10229" width="11.42578125" style="18" customWidth="1"/>
    <col min="10230" max="10230" width="9.7109375" style="18" bestFit="1" customWidth="1"/>
    <col min="10231" max="10234" width="0" style="18" hidden="1" customWidth="1"/>
    <col min="10235" max="10243" width="11.42578125" style="18" customWidth="1"/>
    <col min="10244" max="10475" width="11.42578125" style="18"/>
    <col min="10476" max="10476" width="3.5703125" style="18" customWidth="1"/>
    <col min="10477" max="10477" width="13.28515625" style="18" customWidth="1"/>
    <col min="10478" max="10485" width="11.42578125" style="18" customWidth="1"/>
    <col min="10486" max="10486" width="9.7109375" style="18" bestFit="1" customWidth="1"/>
    <col min="10487" max="10490" width="0" style="18" hidden="1" customWidth="1"/>
    <col min="10491" max="10499" width="11.42578125" style="18" customWidth="1"/>
    <col min="10500" max="10731" width="11.42578125" style="18"/>
    <col min="10732" max="10732" width="3.5703125" style="18" customWidth="1"/>
    <col min="10733" max="10733" width="13.28515625" style="18" customWidth="1"/>
    <col min="10734" max="10741" width="11.42578125" style="18" customWidth="1"/>
    <col min="10742" max="10742" width="9.7109375" style="18" bestFit="1" customWidth="1"/>
    <col min="10743" max="10746" width="0" style="18" hidden="1" customWidth="1"/>
    <col min="10747" max="10755" width="11.42578125" style="18" customWidth="1"/>
    <col min="10756" max="10987" width="11.42578125" style="18"/>
    <col min="10988" max="10988" width="3.5703125" style="18" customWidth="1"/>
    <col min="10989" max="10989" width="13.28515625" style="18" customWidth="1"/>
    <col min="10990" max="10997" width="11.42578125" style="18" customWidth="1"/>
    <col min="10998" max="10998" width="9.7109375" style="18" bestFit="1" customWidth="1"/>
    <col min="10999" max="11002" width="0" style="18" hidden="1" customWidth="1"/>
    <col min="11003" max="11011" width="11.42578125" style="18" customWidth="1"/>
    <col min="11012" max="11243" width="11.42578125" style="18"/>
    <col min="11244" max="11244" width="3.5703125" style="18" customWidth="1"/>
    <col min="11245" max="11245" width="13.28515625" style="18" customWidth="1"/>
    <col min="11246" max="11253" width="11.42578125" style="18" customWidth="1"/>
    <col min="11254" max="11254" width="9.7109375" style="18" bestFit="1" customWidth="1"/>
    <col min="11255" max="11258" width="0" style="18" hidden="1" customWidth="1"/>
    <col min="11259" max="11267" width="11.42578125" style="18" customWidth="1"/>
    <col min="11268" max="11499" width="11.42578125" style="18"/>
    <col min="11500" max="11500" width="3.5703125" style="18" customWidth="1"/>
    <col min="11501" max="11501" width="13.28515625" style="18" customWidth="1"/>
    <col min="11502" max="11509" width="11.42578125" style="18" customWidth="1"/>
    <col min="11510" max="11510" width="9.7109375" style="18" bestFit="1" customWidth="1"/>
    <col min="11511" max="11514" width="0" style="18" hidden="1" customWidth="1"/>
    <col min="11515" max="11523" width="11.42578125" style="18" customWidth="1"/>
    <col min="11524" max="11755" width="11.42578125" style="18"/>
    <col min="11756" max="11756" width="3.5703125" style="18" customWidth="1"/>
    <col min="11757" max="11757" width="13.28515625" style="18" customWidth="1"/>
    <col min="11758" max="11765" width="11.42578125" style="18" customWidth="1"/>
    <col min="11766" max="11766" width="9.7109375" style="18" bestFit="1" customWidth="1"/>
    <col min="11767" max="11770" width="0" style="18" hidden="1" customWidth="1"/>
    <col min="11771" max="11779" width="11.42578125" style="18" customWidth="1"/>
    <col min="11780" max="12011" width="11.42578125" style="18"/>
    <col min="12012" max="12012" width="3.5703125" style="18" customWidth="1"/>
    <col min="12013" max="12013" width="13.28515625" style="18" customWidth="1"/>
    <col min="12014" max="12021" width="11.42578125" style="18" customWidth="1"/>
    <col min="12022" max="12022" width="9.7109375" style="18" bestFit="1" customWidth="1"/>
    <col min="12023" max="12026" width="0" style="18" hidden="1" customWidth="1"/>
    <col min="12027" max="12035" width="11.42578125" style="18" customWidth="1"/>
    <col min="12036" max="12267" width="11.42578125" style="18"/>
    <col min="12268" max="12268" width="3.5703125" style="18" customWidth="1"/>
    <col min="12269" max="12269" width="13.28515625" style="18" customWidth="1"/>
    <col min="12270" max="12277" width="11.42578125" style="18" customWidth="1"/>
    <col min="12278" max="12278" width="9.7109375" style="18" bestFit="1" customWidth="1"/>
    <col min="12279" max="12282" width="0" style="18" hidden="1" customWidth="1"/>
    <col min="12283" max="12291" width="11.42578125" style="18" customWidth="1"/>
    <col min="12292" max="12523" width="11.42578125" style="18"/>
    <col min="12524" max="12524" width="3.5703125" style="18" customWidth="1"/>
    <col min="12525" max="12525" width="13.28515625" style="18" customWidth="1"/>
    <col min="12526" max="12533" width="11.42578125" style="18" customWidth="1"/>
    <col min="12534" max="12534" width="9.7109375" style="18" bestFit="1" customWidth="1"/>
    <col min="12535" max="12538" width="0" style="18" hidden="1" customWidth="1"/>
    <col min="12539" max="12547" width="11.42578125" style="18" customWidth="1"/>
    <col min="12548" max="12779" width="11.42578125" style="18"/>
    <col min="12780" max="12780" width="3.5703125" style="18" customWidth="1"/>
    <col min="12781" max="12781" width="13.28515625" style="18" customWidth="1"/>
    <col min="12782" max="12789" width="11.42578125" style="18" customWidth="1"/>
    <col min="12790" max="12790" width="9.7109375" style="18" bestFit="1" customWidth="1"/>
    <col min="12791" max="12794" width="0" style="18" hidden="1" customWidth="1"/>
    <col min="12795" max="12803" width="11.42578125" style="18" customWidth="1"/>
    <col min="12804" max="13035" width="11.42578125" style="18"/>
    <col min="13036" max="13036" width="3.5703125" style="18" customWidth="1"/>
    <col min="13037" max="13037" width="13.28515625" style="18" customWidth="1"/>
    <col min="13038" max="13045" width="11.42578125" style="18" customWidth="1"/>
    <col min="13046" max="13046" width="9.7109375" style="18" bestFit="1" customWidth="1"/>
    <col min="13047" max="13050" width="0" style="18" hidden="1" customWidth="1"/>
    <col min="13051" max="13059" width="11.42578125" style="18" customWidth="1"/>
    <col min="13060" max="13291" width="11.42578125" style="18"/>
    <col min="13292" max="13292" width="3.5703125" style="18" customWidth="1"/>
    <col min="13293" max="13293" width="13.28515625" style="18" customWidth="1"/>
    <col min="13294" max="13301" width="11.42578125" style="18" customWidth="1"/>
    <col min="13302" max="13302" width="9.7109375" style="18" bestFit="1" customWidth="1"/>
    <col min="13303" max="13306" width="0" style="18" hidden="1" customWidth="1"/>
    <col min="13307" max="13315" width="11.42578125" style="18" customWidth="1"/>
    <col min="13316" max="13547" width="11.42578125" style="18"/>
    <col min="13548" max="13548" width="3.5703125" style="18" customWidth="1"/>
    <col min="13549" max="13549" width="13.28515625" style="18" customWidth="1"/>
    <col min="13550" max="13557" width="11.42578125" style="18" customWidth="1"/>
    <col min="13558" max="13558" width="9.7109375" style="18" bestFit="1" customWidth="1"/>
    <col min="13559" max="13562" width="0" style="18" hidden="1" customWidth="1"/>
    <col min="13563" max="13571" width="11.42578125" style="18" customWidth="1"/>
    <col min="13572" max="13803" width="11.42578125" style="18"/>
    <col min="13804" max="13804" width="3.5703125" style="18" customWidth="1"/>
    <col min="13805" max="13805" width="13.28515625" style="18" customWidth="1"/>
    <col min="13806" max="13813" width="11.42578125" style="18" customWidth="1"/>
    <col min="13814" max="13814" width="9.7109375" style="18" bestFit="1" customWidth="1"/>
    <col min="13815" max="13818" width="0" style="18" hidden="1" customWidth="1"/>
    <col min="13819" max="13827" width="11.42578125" style="18" customWidth="1"/>
    <col min="13828" max="14059" width="11.42578125" style="18"/>
    <col min="14060" max="14060" width="3.5703125" style="18" customWidth="1"/>
    <col min="14061" max="14061" width="13.28515625" style="18" customWidth="1"/>
    <col min="14062" max="14069" width="11.42578125" style="18" customWidth="1"/>
    <col min="14070" max="14070" width="9.7109375" style="18" bestFit="1" customWidth="1"/>
    <col min="14071" max="14074" width="0" style="18" hidden="1" customWidth="1"/>
    <col min="14075" max="14083" width="11.42578125" style="18" customWidth="1"/>
    <col min="14084" max="14315" width="11.42578125" style="18"/>
    <col min="14316" max="14316" width="3.5703125" style="18" customWidth="1"/>
    <col min="14317" max="14317" width="13.28515625" style="18" customWidth="1"/>
    <col min="14318" max="14325" width="11.42578125" style="18" customWidth="1"/>
    <col min="14326" max="14326" width="9.7109375" style="18" bestFit="1" customWidth="1"/>
    <col min="14327" max="14330" width="0" style="18" hidden="1" customWidth="1"/>
    <col min="14331" max="14339" width="11.42578125" style="18" customWidth="1"/>
    <col min="14340" max="14571" width="11.42578125" style="18"/>
    <col min="14572" max="14572" width="3.5703125" style="18" customWidth="1"/>
    <col min="14573" max="14573" width="13.28515625" style="18" customWidth="1"/>
    <col min="14574" max="14581" width="11.42578125" style="18" customWidth="1"/>
    <col min="14582" max="14582" width="9.7109375" style="18" bestFit="1" customWidth="1"/>
    <col min="14583" max="14586" width="0" style="18" hidden="1" customWidth="1"/>
    <col min="14587" max="14595" width="11.42578125" style="18" customWidth="1"/>
    <col min="14596" max="14827" width="11.42578125" style="18"/>
    <col min="14828" max="14828" width="3.5703125" style="18" customWidth="1"/>
    <col min="14829" max="14829" width="13.28515625" style="18" customWidth="1"/>
    <col min="14830" max="14837" width="11.42578125" style="18" customWidth="1"/>
    <col min="14838" max="14838" width="9.7109375" style="18" bestFit="1" customWidth="1"/>
    <col min="14839" max="14842" width="0" style="18" hidden="1" customWidth="1"/>
    <col min="14843" max="14851" width="11.42578125" style="18" customWidth="1"/>
    <col min="14852" max="15083" width="11.42578125" style="18"/>
    <col min="15084" max="15084" width="3.5703125" style="18" customWidth="1"/>
    <col min="15085" max="15085" width="13.28515625" style="18" customWidth="1"/>
    <col min="15086" max="15093" width="11.42578125" style="18" customWidth="1"/>
    <col min="15094" max="15094" width="9.7109375" style="18" bestFit="1" customWidth="1"/>
    <col min="15095" max="15098" width="0" style="18" hidden="1" customWidth="1"/>
    <col min="15099" max="15107" width="11.42578125" style="18" customWidth="1"/>
    <col min="15108" max="15339" width="11.42578125" style="18"/>
    <col min="15340" max="15340" width="3.5703125" style="18" customWidth="1"/>
    <col min="15341" max="15341" width="13.28515625" style="18" customWidth="1"/>
    <col min="15342" max="15349" width="11.42578125" style="18" customWidth="1"/>
    <col min="15350" max="15350" width="9.7109375" style="18" bestFit="1" customWidth="1"/>
    <col min="15351" max="15354" width="0" style="18" hidden="1" customWidth="1"/>
    <col min="15355" max="15363" width="11.42578125" style="18" customWidth="1"/>
    <col min="15364" max="15595" width="11.42578125" style="18"/>
    <col min="15596" max="15596" width="3.5703125" style="18" customWidth="1"/>
    <col min="15597" max="15597" width="13.28515625" style="18" customWidth="1"/>
    <col min="15598" max="15605" width="11.42578125" style="18" customWidth="1"/>
    <col min="15606" max="15606" width="9.7109375" style="18" bestFit="1" customWidth="1"/>
    <col min="15607" max="15610" width="0" style="18" hidden="1" customWidth="1"/>
    <col min="15611" max="15619" width="11.42578125" style="18" customWidth="1"/>
    <col min="15620" max="15851" width="11.42578125" style="18"/>
    <col min="15852" max="15852" width="3.5703125" style="18" customWidth="1"/>
    <col min="15853" max="15853" width="13.28515625" style="18" customWidth="1"/>
    <col min="15854" max="15861" width="11.42578125" style="18" customWidth="1"/>
    <col min="15862" max="15862" width="9.7109375" style="18" bestFit="1" customWidth="1"/>
    <col min="15863" max="15866" width="0" style="18" hidden="1" customWidth="1"/>
    <col min="15867" max="15875" width="11.42578125" style="18" customWidth="1"/>
    <col min="15876" max="16107" width="11.42578125" style="18"/>
    <col min="16108" max="16108" width="3.5703125" style="18" customWidth="1"/>
    <col min="16109" max="16109" width="13.28515625" style="18" customWidth="1"/>
    <col min="16110" max="16117" width="11.42578125" style="18" customWidth="1"/>
    <col min="16118" max="16118" width="9.7109375" style="18" bestFit="1" customWidth="1"/>
    <col min="16119" max="16122" width="0" style="18" hidden="1" customWidth="1"/>
    <col min="16123" max="16131" width="11.42578125" style="18" customWidth="1"/>
    <col min="16132" max="16384" width="11.42578125" style="18"/>
  </cols>
  <sheetData>
    <row r="2" spans="2:19" s="9" customFormat="1" ht="21">
      <c r="B2" s="3" t="s">
        <v>94</v>
      </c>
      <c r="C2" s="8" t="s">
        <v>95</v>
      </c>
      <c r="D2" s="8" t="s">
        <v>95</v>
      </c>
      <c r="E2" s="8" t="s">
        <v>95</v>
      </c>
      <c r="F2" s="8" t="s">
        <v>95</v>
      </c>
      <c r="G2" s="8" t="s">
        <v>96</v>
      </c>
      <c r="I2" s="8" t="s">
        <v>97</v>
      </c>
      <c r="J2" s="8" t="s">
        <v>97</v>
      </c>
      <c r="K2" s="8" t="s">
        <v>97</v>
      </c>
      <c r="L2" s="8" t="s">
        <v>97</v>
      </c>
      <c r="M2" s="8" t="s">
        <v>97</v>
      </c>
      <c r="N2" s="8" t="s">
        <v>97</v>
      </c>
      <c r="O2" s="8" t="s">
        <v>97</v>
      </c>
      <c r="P2" s="8" t="s">
        <v>97</v>
      </c>
      <c r="Q2" s="8" t="s">
        <v>97</v>
      </c>
      <c r="S2" s="8" t="s">
        <v>97</v>
      </c>
    </row>
    <row r="3" spans="2:19" s="9" customFormat="1">
      <c r="B3" s="4" t="s">
        <v>98</v>
      </c>
      <c r="C3" s="10">
        <v>44926</v>
      </c>
      <c r="D3" s="10">
        <v>45291</v>
      </c>
      <c r="E3" s="10">
        <v>45657</v>
      </c>
      <c r="F3" s="10">
        <v>46022</v>
      </c>
      <c r="G3" s="10">
        <f>Q3</f>
        <v>46112</v>
      </c>
      <c r="I3" s="10">
        <v>45382</v>
      </c>
      <c r="J3" s="10">
        <v>45473</v>
      </c>
      <c r="K3" s="10">
        <v>45565</v>
      </c>
      <c r="L3" s="10">
        <v>45657</v>
      </c>
      <c r="M3" s="10">
        <v>45747</v>
      </c>
      <c r="N3" s="10">
        <v>45838</v>
      </c>
      <c r="O3" s="10">
        <v>45930</v>
      </c>
      <c r="P3" s="10">
        <v>46022</v>
      </c>
      <c r="Q3" s="10">
        <v>46112</v>
      </c>
      <c r="S3" s="10">
        <v>46112</v>
      </c>
    </row>
    <row r="4" spans="2:19" s="11" customFormat="1">
      <c r="B4" s="46"/>
      <c r="C4" s="10" t="s">
        <v>99</v>
      </c>
      <c r="D4" s="10" t="s">
        <v>99</v>
      </c>
      <c r="E4" s="10" t="s">
        <v>99</v>
      </c>
      <c r="F4" s="10" t="s">
        <v>99</v>
      </c>
      <c r="G4" s="10" t="s">
        <v>99</v>
      </c>
      <c r="I4" s="10" t="s">
        <v>99</v>
      </c>
      <c r="J4" s="10" t="s">
        <v>99</v>
      </c>
      <c r="K4" s="10" t="s">
        <v>99</v>
      </c>
      <c r="L4" s="10" t="s">
        <v>99</v>
      </c>
      <c r="M4" s="10" t="s">
        <v>99</v>
      </c>
      <c r="N4" s="10" t="s">
        <v>99</v>
      </c>
      <c r="O4" s="10" t="s">
        <v>99</v>
      </c>
      <c r="P4" s="10" t="s">
        <v>99</v>
      </c>
      <c r="Q4" s="10" t="s">
        <v>99</v>
      </c>
      <c r="S4" s="10" t="s">
        <v>99</v>
      </c>
    </row>
    <row r="5" spans="2:19" s="12" customFormat="1">
      <c r="C5" s="13" t="s">
        <v>100</v>
      </c>
      <c r="D5" s="13" t="s">
        <v>100</v>
      </c>
      <c r="E5" s="13" t="s">
        <v>100</v>
      </c>
      <c r="F5" s="13" t="s">
        <v>100</v>
      </c>
      <c r="G5" s="13" t="s">
        <v>96</v>
      </c>
      <c r="I5" s="13" t="s">
        <v>101</v>
      </c>
      <c r="J5" s="13" t="s">
        <v>102</v>
      </c>
      <c r="K5" s="13" t="s">
        <v>103</v>
      </c>
      <c r="L5" s="14" t="s">
        <v>104</v>
      </c>
      <c r="M5" s="13" t="s">
        <v>101</v>
      </c>
      <c r="N5" s="13" t="s">
        <v>102</v>
      </c>
      <c r="O5" s="13" t="s">
        <v>103</v>
      </c>
      <c r="P5" s="14" t="s">
        <v>104</v>
      </c>
      <c r="Q5" s="13" t="s">
        <v>101</v>
      </c>
      <c r="S5" s="13" t="s">
        <v>101</v>
      </c>
    </row>
    <row r="6" spans="2:19">
      <c r="B6" s="46" t="s">
        <v>238</v>
      </c>
      <c r="C6" s="17"/>
      <c r="D6" s="17"/>
      <c r="E6" s="17"/>
      <c r="F6" s="17"/>
      <c r="G6" s="17"/>
      <c r="I6" s="17"/>
      <c r="J6" s="17"/>
      <c r="K6" s="17"/>
      <c r="L6" s="17"/>
      <c r="M6" s="17"/>
      <c r="N6" s="17"/>
      <c r="O6" s="17"/>
      <c r="P6" s="17"/>
      <c r="Q6" s="17"/>
      <c r="S6" s="264" t="s">
        <v>106</v>
      </c>
    </row>
    <row r="7" spans="2:19" ht="13.5" customHeight="1">
      <c r="C7" s="21"/>
      <c r="D7" s="21"/>
      <c r="E7" s="21"/>
      <c r="F7" s="21"/>
      <c r="G7" s="21"/>
      <c r="J7" s="21"/>
      <c r="K7" s="21"/>
      <c r="N7" s="21"/>
      <c r="O7" s="21"/>
    </row>
    <row r="8" spans="2:19">
      <c r="B8" s="142" t="s">
        <v>239</v>
      </c>
      <c r="C8" s="143"/>
      <c r="D8" s="143"/>
      <c r="E8" s="143"/>
      <c r="F8" s="143"/>
      <c r="G8" s="143"/>
      <c r="I8" s="143"/>
      <c r="J8" s="143"/>
      <c r="K8" s="143"/>
      <c r="L8" s="143"/>
      <c r="M8" s="143"/>
      <c r="N8" s="143"/>
      <c r="O8" s="143"/>
      <c r="P8" s="143"/>
      <c r="Q8" s="143"/>
      <c r="S8" s="143"/>
    </row>
    <row r="9" spans="2:19">
      <c r="B9" s="126" t="s">
        <v>108</v>
      </c>
      <c r="C9" s="127">
        <v>4955.701</v>
      </c>
      <c r="D9" s="127">
        <v>5001.0550000000003</v>
      </c>
      <c r="E9" s="127">
        <v>7544.9939999999997</v>
      </c>
      <c r="F9" s="127">
        <v>11341.342000000001</v>
      </c>
      <c r="G9" s="128">
        <f>SUM(N9:Q9)</f>
        <v>11250.797654099999</v>
      </c>
      <c r="I9" s="127">
        <v>1331.711</v>
      </c>
      <c r="J9" s="127">
        <v>1347.645</v>
      </c>
      <c r="K9" s="127">
        <v>2116.3139999999999</v>
      </c>
      <c r="L9" s="128">
        <f>E9-SUM(I9:K9)</f>
        <v>2749.3239999999996</v>
      </c>
      <c r="M9" s="127">
        <v>2867.4110000000001</v>
      </c>
      <c r="N9" s="127">
        <v>2895.9430000000002</v>
      </c>
      <c r="O9" s="127">
        <v>2782.4189999999999</v>
      </c>
      <c r="P9" s="128">
        <f>F9-SUM(M9:O9)</f>
        <v>2795.5689999999995</v>
      </c>
      <c r="Q9" s="128">
        <f>S9/Model!$Q$239</f>
        <v>2776.8666540999993</v>
      </c>
      <c r="S9" s="20">
        <v>158.08099999999999</v>
      </c>
    </row>
    <row r="10" spans="2:19">
      <c r="B10" s="126" t="s">
        <v>109</v>
      </c>
      <c r="C10" s="127">
        <v>543.21900000000005</v>
      </c>
      <c r="D10" s="127">
        <v>510.28300000000002</v>
      </c>
      <c r="E10" s="127">
        <v>706.47500000000002</v>
      </c>
      <c r="F10" s="127">
        <v>944.89200000000005</v>
      </c>
      <c r="G10" s="128">
        <f t="shared" ref="G10:G11" si="0">SUM(N10:Q10)</f>
        <v>907.90112879999992</v>
      </c>
      <c r="H10" s="126"/>
      <c r="I10" s="127">
        <v>141.327</v>
      </c>
      <c r="J10" s="127">
        <v>130.99299999999999</v>
      </c>
      <c r="K10" s="127">
        <v>197.142</v>
      </c>
      <c r="L10" s="128">
        <f t="shared" ref="L10:L11" si="1">E10-SUM(I10:K10)</f>
        <v>237.01300000000003</v>
      </c>
      <c r="M10" s="127">
        <v>318.18900000000002</v>
      </c>
      <c r="N10" s="127">
        <v>214.59</v>
      </c>
      <c r="O10" s="127">
        <v>193.72900000000001</v>
      </c>
      <c r="P10" s="128">
        <f t="shared" ref="P10:P11" si="2">F10-SUM(M10:O10)</f>
        <v>218.38400000000001</v>
      </c>
      <c r="Q10" s="128">
        <f>S10/Model!$Q$239</f>
        <v>281.19812879999995</v>
      </c>
      <c r="S10" s="20">
        <v>16.007999999999999</v>
      </c>
    </row>
    <row r="11" spans="2:19">
      <c r="B11" s="126" t="s">
        <v>110</v>
      </c>
      <c r="C11" s="127">
        <v>44.098999999999997</v>
      </c>
      <c r="D11" s="127">
        <v>95.001999999999995</v>
      </c>
      <c r="E11" s="127">
        <v>180.75800000000001</v>
      </c>
      <c r="F11" s="127">
        <v>173.27600000000001</v>
      </c>
      <c r="G11" s="128">
        <f t="shared" si="0"/>
        <v>198.89776919999997</v>
      </c>
      <c r="H11" s="126"/>
      <c r="I11" s="127">
        <v>39.204999999999998</v>
      </c>
      <c r="J11" s="127">
        <v>33.32</v>
      </c>
      <c r="K11" s="127">
        <v>30.492000000000001</v>
      </c>
      <c r="L11" s="128">
        <f t="shared" si="1"/>
        <v>77.741</v>
      </c>
      <c r="M11" s="127">
        <v>47.664000000000001</v>
      </c>
      <c r="N11" s="127">
        <v>41.473999999999997</v>
      </c>
      <c r="O11" s="127">
        <v>49.828000000000003</v>
      </c>
      <c r="P11" s="128">
        <f t="shared" si="2"/>
        <v>34.31</v>
      </c>
      <c r="Q11" s="128">
        <f>S11/Model!$Q$239</f>
        <v>73.28576919999999</v>
      </c>
      <c r="S11" s="20">
        <v>4.1719999999999997</v>
      </c>
    </row>
    <row r="12" spans="2:19">
      <c r="B12" s="125" t="s">
        <v>23</v>
      </c>
      <c r="C12" s="129">
        <f>SUM(C9:C11)</f>
        <v>5543.0190000000002</v>
      </c>
      <c r="D12" s="129">
        <f>SUM(D9:D11)</f>
        <v>5606.3400000000011</v>
      </c>
      <c r="E12" s="129">
        <f>SUM(E9:E11)</f>
        <v>8432.226999999999</v>
      </c>
      <c r="F12" s="129">
        <f>SUM(F9:F11)</f>
        <v>12459.51</v>
      </c>
      <c r="G12" s="129">
        <f>SUM(G9:G11)</f>
        <v>12357.5965521</v>
      </c>
      <c r="H12" s="126"/>
      <c r="I12" s="129">
        <f t="shared" ref="I12:O12" si="3">SUM(I9:I11)</f>
        <v>1512.2429999999999</v>
      </c>
      <c r="J12" s="129">
        <f t="shared" si="3"/>
        <v>1511.9579999999999</v>
      </c>
      <c r="K12" s="129">
        <f t="shared" si="3"/>
        <v>2343.9479999999999</v>
      </c>
      <c r="L12" s="129">
        <f t="shared" si="3"/>
        <v>3064.0779999999995</v>
      </c>
      <c r="M12" s="129">
        <f t="shared" si="3"/>
        <v>3233.2640000000001</v>
      </c>
      <c r="N12" s="129">
        <f t="shared" si="3"/>
        <v>3152.0070000000005</v>
      </c>
      <c r="O12" s="129">
        <f t="shared" si="3"/>
        <v>3025.9759999999997</v>
      </c>
      <c r="P12" s="129">
        <f t="shared" ref="P12:S12" si="4">SUM(P9:P11)</f>
        <v>3048.2629999999995</v>
      </c>
      <c r="Q12" s="129">
        <f t="shared" si="4"/>
        <v>3131.3505520999988</v>
      </c>
      <c r="S12" s="129">
        <f t="shared" si="4"/>
        <v>178.261</v>
      </c>
    </row>
    <row r="13" spans="2:19">
      <c r="B13" s="153" t="s">
        <v>32</v>
      </c>
      <c r="C13" s="154">
        <f>C12-Model!C7</f>
        <v>0</v>
      </c>
      <c r="D13" s="154">
        <f>D12-Model!D7</f>
        <v>0</v>
      </c>
      <c r="E13" s="154">
        <f>E12-Model!E7</f>
        <v>0</v>
      </c>
      <c r="F13" s="154">
        <f>F12-Model!F7</f>
        <v>0</v>
      </c>
      <c r="G13" s="154">
        <f>G12-Model!G7</f>
        <v>0</v>
      </c>
      <c r="H13" s="126"/>
      <c r="I13" s="154">
        <f>I12-Model!I7</f>
        <v>0</v>
      </c>
      <c r="J13" s="154">
        <f>J12-Model!J7</f>
        <v>0</v>
      </c>
      <c r="K13" s="154">
        <f>K12-Model!K7</f>
        <v>0</v>
      </c>
      <c r="L13" s="154">
        <f>L12-Model!L7</f>
        <v>0</v>
      </c>
      <c r="M13" s="154">
        <f>M12-Model!M7</f>
        <v>0</v>
      </c>
      <c r="N13" s="154">
        <f>N12-Model!N7</f>
        <v>0</v>
      </c>
      <c r="O13" s="154">
        <f>O12-Model!O7</f>
        <v>0</v>
      </c>
      <c r="P13" s="154">
        <f>P12-Model!P7</f>
        <v>0</v>
      </c>
      <c r="Q13" s="154">
        <f>Q12-Model!Q7</f>
        <v>0</v>
      </c>
      <c r="S13" s="154">
        <f>S12-Model!S7</f>
        <v>0</v>
      </c>
    </row>
    <row r="14" spans="2:19">
      <c r="B14" s="125"/>
      <c r="C14" s="129"/>
      <c r="D14" s="129"/>
      <c r="E14" s="129"/>
      <c r="F14" s="129"/>
      <c r="G14" s="129"/>
      <c r="H14" s="126"/>
      <c r="I14" s="129"/>
      <c r="J14" s="129"/>
      <c r="K14" s="129"/>
      <c r="L14" s="129"/>
      <c r="M14" s="129"/>
      <c r="N14" s="129"/>
      <c r="O14" s="129"/>
      <c r="P14" s="129"/>
      <c r="Q14" s="129"/>
      <c r="S14" s="154"/>
    </row>
    <row r="15" spans="2:19">
      <c r="B15" s="125" t="s">
        <v>240</v>
      </c>
      <c r="C15" s="129"/>
      <c r="D15" s="129"/>
      <c r="E15" s="129"/>
      <c r="F15" s="129"/>
      <c r="G15" s="129"/>
      <c r="H15" s="126"/>
      <c r="I15" s="129"/>
      <c r="J15" s="129"/>
      <c r="K15" s="129"/>
      <c r="L15" s="129"/>
      <c r="M15" s="129"/>
      <c r="N15" s="129"/>
      <c r="O15" s="129"/>
      <c r="P15" s="129"/>
      <c r="Q15" s="129"/>
    </row>
    <row r="16" spans="2:19">
      <c r="B16" s="126" t="s">
        <v>108</v>
      </c>
      <c r="C16" s="140">
        <f>C9/C$12</f>
        <v>0.89404366104464006</v>
      </c>
      <c r="D16" s="140">
        <f t="shared" ref="D16:G16" si="5">D9/D$12</f>
        <v>0.8920356239543088</v>
      </c>
      <c r="E16" s="140">
        <f t="shared" si="5"/>
        <v>0.8947807026542336</v>
      </c>
      <c r="F16" s="140">
        <f t="shared" ref="F16" si="6">F9/F$12</f>
        <v>0.91025586078425236</v>
      </c>
      <c r="G16" s="140">
        <f t="shared" si="5"/>
        <v>0.91043574749072742</v>
      </c>
      <c r="H16" s="126"/>
      <c r="I16" s="140">
        <f t="shared" ref="I16:O16" si="7">I9/I$12</f>
        <v>0.88061971521772631</v>
      </c>
      <c r="J16" s="140">
        <f t="shared" si="7"/>
        <v>0.89132436218466393</v>
      </c>
      <c r="K16" s="140">
        <f t="shared" si="7"/>
        <v>0.90288436432890151</v>
      </c>
      <c r="L16" s="140">
        <f t="shared" si="7"/>
        <v>0.8972761137281754</v>
      </c>
      <c r="M16" s="140">
        <f t="shared" si="7"/>
        <v>0.88684716125871565</v>
      </c>
      <c r="N16" s="140">
        <f t="shared" si="7"/>
        <v>0.91876160173502142</v>
      </c>
      <c r="O16" s="140">
        <f t="shared" si="7"/>
        <v>0.91951125851626059</v>
      </c>
      <c r="P16" s="140">
        <f t="shared" ref="P16:Q16" si="8">P9/P$12</f>
        <v>0.91710229727553039</v>
      </c>
      <c r="Q16" s="140">
        <f t="shared" si="8"/>
        <v>0.88679520478399665</v>
      </c>
      <c r="S16" s="140">
        <f t="shared" ref="R16:S16" si="9">S9/S$12</f>
        <v>0.88679520478399643</v>
      </c>
    </row>
    <row r="17" spans="2:19">
      <c r="B17" s="126" t="s">
        <v>109</v>
      </c>
      <c r="C17" s="140">
        <f>C10/C$12</f>
        <v>9.8000566117489404E-2</v>
      </c>
      <c r="D17" s="140">
        <f t="shared" ref="D17:G18" si="10">D10/D$12</f>
        <v>9.1018917867985161E-2</v>
      </c>
      <c r="E17" s="140">
        <f t="shared" si="10"/>
        <v>8.3782730232475969E-2</v>
      </c>
      <c r="F17" s="140">
        <f t="shared" ref="F17" si="11">F10/F$12</f>
        <v>7.5837011246830732E-2</v>
      </c>
      <c r="G17" s="140">
        <f t="shared" si="10"/>
        <v>7.3469070217033014E-2</v>
      </c>
      <c r="H17" s="126"/>
      <c r="I17" s="140">
        <f t="shared" ref="I17:O17" si="12">I10/I$12</f>
        <v>9.3455218506549545E-2</v>
      </c>
      <c r="J17" s="140">
        <f t="shared" si="12"/>
        <v>8.663798862137706E-2</v>
      </c>
      <c r="K17" s="140">
        <f t="shared" si="12"/>
        <v>8.4106814656297837E-2</v>
      </c>
      <c r="L17" s="140">
        <f t="shared" si="12"/>
        <v>7.7352143124293851E-2</v>
      </c>
      <c r="M17" s="140">
        <f t="shared" si="12"/>
        <v>9.8411079330360904E-2</v>
      </c>
      <c r="N17" s="140">
        <f t="shared" si="12"/>
        <v>6.8080432562491133E-2</v>
      </c>
      <c r="O17" s="140">
        <f t="shared" si="12"/>
        <v>6.4021988277501218E-2</v>
      </c>
      <c r="P17" s="140">
        <f t="shared" ref="P17:Q17" si="13">P10/P$12</f>
        <v>7.1642112245564132E-2</v>
      </c>
      <c r="Q17" s="140">
        <f t="shared" si="13"/>
        <v>8.9800909901773265E-2</v>
      </c>
      <c r="S17" s="140">
        <f t="shared" ref="R17:S17" si="14">S10/S$12</f>
        <v>8.9800909901773238E-2</v>
      </c>
    </row>
    <row r="18" spans="2:19">
      <c r="B18" s="126" t="s">
        <v>110</v>
      </c>
      <c r="C18" s="140">
        <f>C11/C$12</f>
        <v>7.9557728378704812E-3</v>
      </c>
      <c r="D18" s="140">
        <f t="shared" si="10"/>
        <v>1.6945458177705951E-2</v>
      </c>
      <c r="E18" s="140">
        <f t="shared" si="10"/>
        <v>2.1436567113290478E-2</v>
      </c>
      <c r="F18" s="140">
        <f t="shared" ref="F18" si="15">F11/F$12</f>
        <v>1.3907127968916915E-2</v>
      </c>
      <c r="G18" s="140">
        <f t="shared" si="10"/>
        <v>1.6095182292239513E-2</v>
      </c>
      <c r="H18" s="126"/>
      <c r="I18" s="140">
        <f t="shared" ref="I18:O18" si="16">I11/I$12</f>
        <v>2.5925066275724204E-2</v>
      </c>
      <c r="J18" s="140">
        <f t="shared" si="16"/>
        <v>2.2037649193959095E-2</v>
      </c>
      <c r="K18" s="140">
        <f t="shared" si="16"/>
        <v>1.3008821014800671E-2</v>
      </c>
      <c r="L18" s="140">
        <f t="shared" si="16"/>
        <v>2.5371743147530844E-2</v>
      </c>
      <c r="M18" s="140">
        <f t="shared" si="16"/>
        <v>1.474175941092345E-2</v>
      </c>
      <c r="N18" s="140">
        <f t="shared" si="16"/>
        <v>1.3157965702487333E-2</v>
      </c>
      <c r="O18" s="140">
        <f t="shared" si="16"/>
        <v>1.6466753206238256E-2</v>
      </c>
      <c r="P18" s="140">
        <f t="shared" ref="P18:Q18" si="17">P11/P$12</f>
        <v>1.1255590478905531E-2</v>
      </c>
      <c r="Q18" s="140">
        <f t="shared" si="17"/>
        <v>2.3403885314230263E-2</v>
      </c>
      <c r="S18" s="140">
        <f t="shared" ref="R18:S18" si="18">S11/S$12</f>
        <v>2.3403885314230256E-2</v>
      </c>
    </row>
    <row r="19" spans="2:19">
      <c r="B19" s="125" t="s">
        <v>23</v>
      </c>
      <c r="C19" s="139">
        <f>SUM(C16:C18)</f>
        <v>1</v>
      </c>
      <c r="D19" s="139">
        <f t="shared" ref="D19:I19" si="19">SUM(D16:D18)</f>
        <v>1</v>
      </c>
      <c r="E19" s="139">
        <f t="shared" si="19"/>
        <v>1</v>
      </c>
      <c r="F19" s="139">
        <f t="shared" ref="F19" si="20">SUM(F16:F18)</f>
        <v>1</v>
      </c>
      <c r="G19" s="139">
        <f t="shared" si="19"/>
        <v>0.99999999999999989</v>
      </c>
      <c r="H19" s="126"/>
      <c r="I19" s="139">
        <f t="shared" si="19"/>
        <v>1</v>
      </c>
      <c r="J19" s="139">
        <f t="shared" ref="J19" si="21">SUM(J16:J18)</f>
        <v>1</v>
      </c>
      <c r="K19" s="139">
        <f t="shared" ref="K19" si="22">SUM(K16:K18)</f>
        <v>1</v>
      </c>
      <c r="L19" s="139">
        <f t="shared" ref="L19" si="23">SUM(L16:L18)</f>
        <v>1</v>
      </c>
      <c r="M19" s="139">
        <f t="shared" ref="M19" si="24">SUM(M16:M18)</f>
        <v>1</v>
      </c>
      <c r="N19" s="139">
        <f t="shared" ref="N19" si="25">SUM(N16:N18)</f>
        <v>0.99999999999999989</v>
      </c>
      <c r="O19" s="139">
        <f t="shared" ref="O19:Q19" si="26">SUM(O16:O18)</f>
        <v>1.0000000000000002</v>
      </c>
      <c r="P19" s="139">
        <f t="shared" si="26"/>
        <v>1</v>
      </c>
      <c r="Q19" s="139">
        <f t="shared" si="26"/>
        <v>1.0000000000000002</v>
      </c>
      <c r="S19" s="139">
        <f t="shared" ref="R19:S19" si="27">SUM(S16:S18)</f>
        <v>0.99999999999999989</v>
      </c>
    </row>
    <row r="20" spans="2:19">
      <c r="B20" s="125"/>
      <c r="C20" s="129"/>
      <c r="D20" s="129"/>
      <c r="E20" s="129"/>
      <c r="F20" s="129"/>
      <c r="G20" s="129"/>
      <c r="H20" s="126"/>
      <c r="I20" s="129"/>
      <c r="J20" s="129"/>
      <c r="K20" s="129"/>
      <c r="L20" s="129"/>
      <c r="M20" s="129"/>
      <c r="N20" s="129"/>
      <c r="O20" s="129"/>
      <c r="P20" s="129"/>
      <c r="Q20" s="129"/>
    </row>
    <row r="21" spans="2:19">
      <c r="B21" s="125" t="s">
        <v>241</v>
      </c>
      <c r="C21" s="129"/>
      <c r="D21" s="129"/>
      <c r="E21" s="129"/>
      <c r="F21" s="129"/>
      <c r="G21" s="129"/>
      <c r="H21" s="126"/>
      <c r="I21" s="129"/>
      <c r="J21" s="129"/>
      <c r="K21" s="129"/>
      <c r="L21" s="129"/>
      <c r="M21" s="129"/>
      <c r="N21" s="129"/>
      <c r="O21" s="129"/>
      <c r="P21" s="129"/>
      <c r="Q21" s="129"/>
    </row>
    <row r="22" spans="2:19">
      <c r="B22" s="126" t="s">
        <v>108</v>
      </c>
      <c r="C22" s="141"/>
      <c r="D22" s="140">
        <f>D9/C9-1</f>
        <v>9.1518838606283737E-3</v>
      </c>
      <c r="E22" s="140">
        <f>E9/D9-1</f>
        <v>0.50868046842116299</v>
      </c>
      <c r="F22" s="140">
        <f>F9/E9-1</f>
        <v>0.5031611688491735</v>
      </c>
      <c r="G22" s="145"/>
      <c r="H22" s="146"/>
      <c r="I22" s="145"/>
      <c r="J22" s="145"/>
      <c r="K22" s="145"/>
      <c r="L22" s="145"/>
      <c r="M22" s="140">
        <f t="shared" ref="M22:Q25" si="28">M9/I9-1</f>
        <v>1.153178129489056</v>
      </c>
      <c r="N22" s="140">
        <f t="shared" si="28"/>
        <v>1.1488915849500425</v>
      </c>
      <c r="O22" s="140">
        <f t="shared" si="28"/>
        <v>0.3147477170211983</v>
      </c>
      <c r="P22" s="140">
        <f t="shared" si="28"/>
        <v>1.6820498420702545E-2</v>
      </c>
      <c r="Q22" s="140">
        <f t="shared" si="28"/>
        <v>-3.1577037927245422E-2</v>
      </c>
      <c r="S22" s="145"/>
    </row>
    <row r="23" spans="2:19">
      <c r="B23" s="126" t="s">
        <v>109</v>
      </c>
      <c r="C23" s="141"/>
      <c r="D23" s="140">
        <f t="shared" ref="D23:F23" si="29">D10/C10-1</f>
        <v>-6.0631163490231454E-2</v>
      </c>
      <c r="E23" s="140">
        <f t="shared" si="29"/>
        <v>0.38447684912097801</v>
      </c>
      <c r="F23" s="140">
        <f t="shared" si="29"/>
        <v>0.33747407905446059</v>
      </c>
      <c r="G23" s="145"/>
      <c r="H23" s="146"/>
      <c r="I23" s="145"/>
      <c r="J23" s="145"/>
      <c r="K23" s="145"/>
      <c r="L23" s="145"/>
      <c r="M23" s="140">
        <f t="shared" si="28"/>
        <v>1.2514381540682251</v>
      </c>
      <c r="N23" s="140">
        <f t="shared" si="28"/>
        <v>0.63817913934332382</v>
      </c>
      <c r="O23" s="140">
        <f t="shared" si="28"/>
        <v>-1.7312394111858365E-2</v>
      </c>
      <c r="P23" s="140">
        <f t="shared" si="28"/>
        <v>-7.8599064186352763E-2</v>
      </c>
      <c r="Q23" s="140">
        <f t="shared" si="28"/>
        <v>-0.1162543997435489</v>
      </c>
      <c r="S23" s="145"/>
    </row>
    <row r="24" spans="2:19">
      <c r="B24" s="126" t="s">
        <v>110</v>
      </c>
      <c r="C24" s="141"/>
      <c r="D24" s="140">
        <f t="shared" ref="D24:F24" si="30">D11/C11-1</f>
        <v>1.1542892129073223</v>
      </c>
      <c r="E24" s="140">
        <f t="shared" si="30"/>
        <v>0.90267573314246041</v>
      </c>
      <c r="F24" s="140">
        <f t="shared" si="30"/>
        <v>-4.1392358844421828E-2</v>
      </c>
      <c r="G24" s="145"/>
      <c r="H24" s="146"/>
      <c r="I24" s="145"/>
      <c r="J24" s="145"/>
      <c r="K24" s="145"/>
      <c r="L24" s="145"/>
      <c r="M24" s="140">
        <f t="shared" si="28"/>
        <v>0.21576329549802331</v>
      </c>
      <c r="N24" s="140">
        <f t="shared" si="28"/>
        <v>0.24471788715486187</v>
      </c>
      <c r="O24" s="140">
        <f t="shared" si="28"/>
        <v>0.63413354322445237</v>
      </c>
      <c r="P24" s="140">
        <f t="shared" si="28"/>
        <v>-0.5586627390952007</v>
      </c>
      <c r="Q24" s="140">
        <f t="shared" si="28"/>
        <v>0.53754970627727405</v>
      </c>
      <c r="S24" s="145"/>
    </row>
    <row r="25" spans="2:19">
      <c r="B25" s="125" t="s">
        <v>23</v>
      </c>
      <c r="C25" s="141"/>
      <c r="D25" s="140">
        <f t="shared" ref="D25:F25" si="31">D12/C12-1</f>
        <v>1.142355817290186E-2</v>
      </c>
      <c r="E25" s="140">
        <f t="shared" si="31"/>
        <v>0.50405201967772162</v>
      </c>
      <c r="F25" s="140">
        <f t="shared" si="31"/>
        <v>0.47760609385871633</v>
      </c>
      <c r="G25" s="145"/>
      <c r="H25" s="146"/>
      <c r="I25" s="145"/>
      <c r="J25" s="145"/>
      <c r="K25" s="145"/>
      <c r="L25" s="145"/>
      <c r="M25" s="140">
        <f t="shared" si="28"/>
        <v>1.1380584998574967</v>
      </c>
      <c r="N25" s="140">
        <f t="shared" si="28"/>
        <v>1.0847186231363577</v>
      </c>
      <c r="O25" s="140">
        <f t="shared" si="28"/>
        <v>0.29097403184712278</v>
      </c>
      <c r="P25" s="140">
        <f t="shared" si="28"/>
        <v>-5.1614221308987629E-3</v>
      </c>
      <c r="Q25" s="140">
        <f t="shared" si="28"/>
        <v>-3.1520298961050242E-2</v>
      </c>
      <c r="S25" s="145"/>
    </row>
    <row r="26" spans="2:19">
      <c r="B26" s="125"/>
      <c r="C26" s="129"/>
      <c r="D26" s="129"/>
      <c r="E26" s="129"/>
      <c r="F26" s="129"/>
      <c r="G26" s="129"/>
      <c r="H26" s="126"/>
      <c r="I26" s="129"/>
      <c r="J26" s="129"/>
      <c r="K26" s="129"/>
      <c r="L26" s="129"/>
      <c r="M26" s="129"/>
      <c r="N26" s="129"/>
      <c r="O26" s="129"/>
      <c r="P26" s="129"/>
      <c r="Q26" s="129"/>
    </row>
    <row r="27" spans="2:19">
      <c r="B27" s="142" t="s">
        <v>242</v>
      </c>
      <c r="C27" s="144"/>
      <c r="D27" s="144"/>
      <c r="E27" s="144"/>
      <c r="F27" s="144"/>
      <c r="G27" s="144"/>
      <c r="H27" s="126"/>
      <c r="I27" s="143"/>
      <c r="J27" s="143"/>
      <c r="K27" s="143"/>
      <c r="L27" s="143"/>
      <c r="M27" s="143"/>
      <c r="N27" s="143"/>
      <c r="O27" s="143"/>
      <c r="P27" s="143"/>
      <c r="Q27" s="143"/>
      <c r="S27" s="143"/>
    </row>
    <row r="28" spans="2:19">
      <c r="B28" s="126" t="s">
        <v>243</v>
      </c>
      <c r="C28" s="127">
        <v>2313.0990000000002</v>
      </c>
      <c r="D28" s="127">
        <v>2418.556</v>
      </c>
      <c r="E28" s="127">
        <v>2990.875</v>
      </c>
      <c r="F28" s="127">
        <v>3976.1</v>
      </c>
      <c r="G28" s="128">
        <f t="shared" ref="G28:G34" si="32">SUM(N28:Q28)</f>
        <v>4061.1585275999996</v>
      </c>
      <c r="H28" s="126"/>
      <c r="I28" s="127">
        <v>636.86900000000003</v>
      </c>
      <c r="J28" s="127">
        <v>624.92399999999998</v>
      </c>
      <c r="K28" s="127">
        <v>776.69899999999996</v>
      </c>
      <c r="L28" s="128">
        <f t="shared" ref="L28:L35" si="33">E28-SUM(I28:K28)</f>
        <v>952.38299999999981</v>
      </c>
      <c r="M28" s="127">
        <v>1016.617</v>
      </c>
      <c r="N28" s="127">
        <v>1025.653</v>
      </c>
      <c r="O28" s="127">
        <v>980.22799999999995</v>
      </c>
      <c r="P28" s="128">
        <f t="shared" ref="P28:P34" si="34">F28-SUM(M28:O28)</f>
        <v>953.60199999999986</v>
      </c>
      <c r="Q28" s="128">
        <f>S28/Model!$Q$239</f>
        <v>1101.6755275999999</v>
      </c>
      <c r="S28" s="20">
        <v>62.716000000000001</v>
      </c>
    </row>
    <row r="29" spans="2:19">
      <c r="B29" s="126" t="s">
        <v>244</v>
      </c>
      <c r="C29" s="127">
        <v>684.50900000000001</v>
      </c>
      <c r="D29" s="127">
        <v>734.70399999999995</v>
      </c>
      <c r="E29" s="127">
        <v>964.55100000000004</v>
      </c>
      <c r="F29" s="127">
        <v>1182.0809999999999</v>
      </c>
      <c r="G29" s="128">
        <f t="shared" si="32"/>
        <v>1156.9726065999998</v>
      </c>
      <c r="H29" s="126"/>
      <c r="I29" s="127">
        <v>207.71899999999999</v>
      </c>
      <c r="J29" s="127">
        <v>218.572</v>
      </c>
      <c r="K29" s="127">
        <v>252.005</v>
      </c>
      <c r="L29" s="128">
        <f t="shared" si="33"/>
        <v>286.255</v>
      </c>
      <c r="M29" s="127">
        <v>308.02800000000002</v>
      </c>
      <c r="N29" s="127">
        <v>319.96800000000002</v>
      </c>
      <c r="O29" s="127">
        <v>300.78199999999998</v>
      </c>
      <c r="P29" s="128">
        <f t="shared" si="34"/>
        <v>253.30299999999988</v>
      </c>
      <c r="Q29" s="128">
        <f>S29/Model!$Q$239</f>
        <v>282.91960660000001</v>
      </c>
      <c r="S29" s="20">
        <v>16.106000000000002</v>
      </c>
    </row>
    <row r="30" spans="2:19">
      <c r="B30" s="126" t="s">
        <v>245</v>
      </c>
      <c r="C30" s="127">
        <v>775.80499999999995</v>
      </c>
      <c r="D30" s="127">
        <v>801.43399999999997</v>
      </c>
      <c r="E30" s="127">
        <v>1005.5170000000001</v>
      </c>
      <c r="F30" s="127">
        <v>1360.396</v>
      </c>
      <c r="G30" s="128">
        <f t="shared" si="32"/>
        <v>1311.242004</v>
      </c>
      <c r="H30" s="126"/>
      <c r="I30" s="127">
        <v>210.11</v>
      </c>
      <c r="J30" s="127">
        <v>206.352</v>
      </c>
      <c r="K30" s="127">
        <v>272.44200000000001</v>
      </c>
      <c r="L30" s="128">
        <f t="shared" si="33"/>
        <v>316.61300000000006</v>
      </c>
      <c r="M30" s="127">
        <v>359.02</v>
      </c>
      <c r="N30" s="127">
        <v>336.73099999999999</v>
      </c>
      <c r="O30" s="127">
        <v>321.83600000000001</v>
      </c>
      <c r="P30" s="128">
        <f t="shared" si="34"/>
        <v>342.80899999999997</v>
      </c>
      <c r="Q30" s="128">
        <f>S30/Model!$Q$239</f>
        <v>309.86600399999998</v>
      </c>
      <c r="S30" s="20">
        <v>17.64</v>
      </c>
    </row>
    <row r="31" spans="2:19">
      <c r="B31" s="126" t="s">
        <v>246</v>
      </c>
      <c r="C31" s="127">
        <v>690.89099999999996</v>
      </c>
      <c r="D31" s="127">
        <v>680.976</v>
      </c>
      <c r="E31" s="127">
        <v>781.23699999999997</v>
      </c>
      <c r="F31" s="127">
        <v>1015.89</v>
      </c>
      <c r="G31" s="128">
        <f t="shared" si="32"/>
        <v>836.93294149999986</v>
      </c>
      <c r="H31" s="126"/>
      <c r="I31" s="127">
        <v>167.089</v>
      </c>
      <c r="J31" s="127">
        <v>173.05500000000001</v>
      </c>
      <c r="K31" s="127">
        <v>221.09100000000001</v>
      </c>
      <c r="L31" s="128">
        <f t="shared" si="33"/>
        <v>220.00199999999995</v>
      </c>
      <c r="M31" s="127">
        <v>433.92899999999997</v>
      </c>
      <c r="N31" s="127">
        <v>412.00900000000001</v>
      </c>
      <c r="O31" s="127">
        <v>247.41499999999999</v>
      </c>
      <c r="P31" s="128">
        <f t="shared" si="34"/>
        <v>-77.463000000000079</v>
      </c>
      <c r="Q31" s="128">
        <f>S31/Model!$Q$239</f>
        <v>254.97194149999999</v>
      </c>
      <c r="S31" s="20">
        <v>14.515000000000001</v>
      </c>
    </row>
    <row r="32" spans="2:19">
      <c r="B32" s="126" t="s">
        <v>247</v>
      </c>
      <c r="C32" s="127">
        <v>615.52499999999998</v>
      </c>
      <c r="D32" s="127">
        <v>554.41099999999994</v>
      </c>
      <c r="E32" s="127">
        <v>687.98199999999997</v>
      </c>
      <c r="F32" s="127">
        <v>794.69299999999998</v>
      </c>
      <c r="G32" s="128">
        <f t="shared" si="32"/>
        <v>772.47699799999987</v>
      </c>
      <c r="H32" s="126"/>
      <c r="I32" s="127">
        <v>153.74299999999999</v>
      </c>
      <c r="J32" s="127">
        <v>157.48500000000001</v>
      </c>
      <c r="K32" s="127">
        <v>177.14</v>
      </c>
      <c r="L32" s="128">
        <f t="shared" si="33"/>
        <v>199.61399999999998</v>
      </c>
      <c r="M32" s="127">
        <v>218.60499999999999</v>
      </c>
      <c r="N32" s="127">
        <v>203.52799999999999</v>
      </c>
      <c r="O32" s="127">
        <v>189.68100000000001</v>
      </c>
      <c r="P32" s="128">
        <f t="shared" si="34"/>
        <v>182.87900000000002</v>
      </c>
      <c r="Q32" s="128">
        <f>S32/Model!$Q$239</f>
        <v>196.38899799999996</v>
      </c>
      <c r="S32" s="20">
        <v>11.18</v>
      </c>
    </row>
    <row r="33" spans="2:19">
      <c r="B33" s="126" t="s">
        <v>248</v>
      </c>
      <c r="C33" s="127">
        <v>463.19</v>
      </c>
      <c r="D33" s="127">
        <v>416.25900000000001</v>
      </c>
      <c r="E33" s="127">
        <v>975.69</v>
      </c>
      <c r="F33" s="127">
        <v>1651.47</v>
      </c>
      <c r="G33" s="128">
        <f t="shared" si="32"/>
        <v>1595.7062713</v>
      </c>
      <c r="H33" s="126"/>
      <c r="I33" s="127">
        <v>145.71299999999999</v>
      </c>
      <c r="J33" s="127">
        <v>131.57</v>
      </c>
      <c r="K33" s="127">
        <v>291.517</v>
      </c>
      <c r="L33" s="128">
        <f t="shared" si="33"/>
        <v>406.8900000000001</v>
      </c>
      <c r="M33" s="127">
        <v>441.041</v>
      </c>
      <c r="N33" s="127">
        <v>463.11599999999999</v>
      </c>
      <c r="O33" s="127">
        <v>392.29</v>
      </c>
      <c r="P33" s="128">
        <f t="shared" si="34"/>
        <v>355.02300000000014</v>
      </c>
      <c r="Q33" s="128">
        <f>S33/Model!$Q$239</f>
        <v>385.27727129999994</v>
      </c>
      <c r="S33" s="20">
        <v>21.933</v>
      </c>
    </row>
    <row r="34" spans="2:19">
      <c r="B34" s="126" t="s">
        <v>249</v>
      </c>
      <c r="C34" s="127">
        <v>0</v>
      </c>
      <c r="D34" s="127">
        <v>0</v>
      </c>
      <c r="E34" s="127">
        <v>1026.375</v>
      </c>
      <c r="F34" s="127">
        <v>2478.88</v>
      </c>
      <c r="G34" s="128">
        <f t="shared" si="32"/>
        <v>2623.1072031000003</v>
      </c>
      <c r="H34" s="126"/>
      <c r="I34" s="127"/>
      <c r="J34" s="127">
        <v>0</v>
      </c>
      <c r="K34" s="127">
        <v>353.05399999999997</v>
      </c>
      <c r="L34" s="128">
        <f t="shared" si="33"/>
        <v>673.32100000000003</v>
      </c>
      <c r="M34" s="127">
        <v>456.024</v>
      </c>
      <c r="N34" s="127">
        <v>391.00200000000001</v>
      </c>
      <c r="O34" s="127">
        <v>593.74400000000003</v>
      </c>
      <c r="P34" s="128">
        <f t="shared" si="34"/>
        <v>1038.1100000000001</v>
      </c>
      <c r="Q34" s="128">
        <f>S34/Model!$Q$239</f>
        <v>600.25120309999988</v>
      </c>
      <c r="S34" s="20">
        <v>34.170999999999999</v>
      </c>
    </row>
    <row r="35" spans="2:19">
      <c r="B35" s="125" t="s">
        <v>23</v>
      </c>
      <c r="C35" s="129">
        <f>SUM(C28:C34)</f>
        <v>5543.0189999999993</v>
      </c>
      <c r="D35" s="129">
        <f>SUM(D28:D34)</f>
        <v>5606.34</v>
      </c>
      <c r="E35" s="129">
        <f>SUM(E28:E34)</f>
        <v>8432.2270000000008</v>
      </c>
      <c r="F35" s="129">
        <f>SUM(F28:F34)</f>
        <v>12459.509999999998</v>
      </c>
      <c r="G35" s="129">
        <f>SUM(G28:G34)</f>
        <v>12357.5965521</v>
      </c>
      <c r="H35" s="129"/>
      <c r="I35" s="155">
        <f>SUM(I28:I34)-9</f>
        <v>1512.2429999999997</v>
      </c>
      <c r="J35" s="129">
        <f t="shared" ref="J35:P35" si="35">SUM(J28:J34)</f>
        <v>1511.9579999999999</v>
      </c>
      <c r="K35" s="129">
        <f t="shared" si="35"/>
        <v>2343.9479999999999</v>
      </c>
      <c r="L35" s="128">
        <f t="shared" si="33"/>
        <v>3064.0780000000013</v>
      </c>
      <c r="M35" s="129">
        <f t="shared" si="35"/>
        <v>3233.2640000000001</v>
      </c>
      <c r="N35" s="129">
        <f t="shared" si="35"/>
        <v>3152.0069999999996</v>
      </c>
      <c r="O35" s="129">
        <f t="shared" si="35"/>
        <v>3025.9760000000001</v>
      </c>
      <c r="P35" s="129">
        <f t="shared" si="35"/>
        <v>3048.2629999999999</v>
      </c>
      <c r="Q35" s="129">
        <f t="shared" ref="Q35:S35" si="36">SUM(Q28:Q34)</f>
        <v>3131.3505520999997</v>
      </c>
      <c r="S35" s="129">
        <f t="shared" si="36"/>
        <v>178.261</v>
      </c>
    </row>
    <row r="36" spans="2:19">
      <c r="B36" s="153" t="s">
        <v>32</v>
      </c>
      <c r="C36" s="154">
        <f>C35-C12</f>
        <v>0</v>
      </c>
      <c r="D36" s="154">
        <f t="shared" ref="D36:E36" si="37">D35-D12</f>
        <v>0</v>
      </c>
      <c r="E36" s="154">
        <f t="shared" si="37"/>
        <v>0</v>
      </c>
      <c r="F36" s="154">
        <f t="shared" ref="F36" si="38">F35-F12</f>
        <v>0</v>
      </c>
      <c r="G36" s="154">
        <f>G35-G12</f>
        <v>0</v>
      </c>
      <c r="H36" s="154">
        <f t="shared" ref="H36:O36" si="39">H35-H12</f>
        <v>0</v>
      </c>
      <c r="I36" s="154">
        <f t="shared" si="39"/>
        <v>0</v>
      </c>
      <c r="J36" s="154">
        <f t="shared" si="39"/>
        <v>0</v>
      </c>
      <c r="K36" s="154">
        <f t="shared" si="39"/>
        <v>0</v>
      </c>
      <c r="L36" s="154">
        <f t="shared" si="39"/>
        <v>0</v>
      </c>
      <c r="M36" s="154">
        <f t="shared" si="39"/>
        <v>0</v>
      </c>
      <c r="N36" s="154">
        <f t="shared" si="39"/>
        <v>0</v>
      </c>
      <c r="O36" s="154">
        <f t="shared" si="39"/>
        <v>0</v>
      </c>
      <c r="P36" s="154">
        <f>P35-P12</f>
        <v>0</v>
      </c>
      <c r="Q36" s="154">
        <f t="shared" ref="Q36:S36" si="40">Q35-Q12</f>
        <v>0</v>
      </c>
      <c r="S36" s="154">
        <f t="shared" si="40"/>
        <v>0</v>
      </c>
    </row>
    <row r="37" spans="2:19">
      <c r="B37" s="125"/>
      <c r="C37" s="129"/>
      <c r="D37" s="129"/>
      <c r="E37" s="129"/>
      <c r="F37" s="129"/>
      <c r="G37" s="129"/>
      <c r="H37" s="129"/>
      <c r="I37" s="129"/>
      <c r="J37" s="129"/>
      <c r="K37" s="129"/>
      <c r="L37" s="129"/>
      <c r="M37" s="129"/>
      <c r="N37" s="129"/>
      <c r="O37" s="129"/>
      <c r="P37" s="129"/>
      <c r="Q37" s="129"/>
    </row>
    <row r="38" spans="2:19">
      <c r="B38" s="125" t="s">
        <v>250</v>
      </c>
      <c r="C38" s="129"/>
      <c r="D38" s="129"/>
      <c r="E38" s="129"/>
      <c r="F38" s="129"/>
      <c r="G38" s="129"/>
      <c r="H38" s="129"/>
      <c r="I38" s="129"/>
      <c r="J38" s="129"/>
      <c r="K38" s="129"/>
      <c r="L38" s="129"/>
      <c r="M38" s="129"/>
      <c r="N38" s="129"/>
      <c r="O38" s="129"/>
      <c r="P38" s="129"/>
      <c r="Q38" s="129"/>
    </row>
    <row r="39" spans="2:19">
      <c r="B39" s="126" t="s">
        <v>243</v>
      </c>
      <c r="C39" s="140">
        <f t="shared" ref="C39:C45" si="41">C28/C$35</f>
        <v>0.41729948968242764</v>
      </c>
      <c r="D39" s="140">
        <f t="shared" ref="D39:G39" si="42">D28/D$35</f>
        <v>0.43139659742363112</v>
      </c>
      <c r="E39" s="140">
        <f t="shared" si="42"/>
        <v>0.3546957405202682</v>
      </c>
      <c r="F39" s="140">
        <f t="shared" ref="F39" si="43">F28/F$35</f>
        <v>0.31912169900742487</v>
      </c>
      <c r="G39" s="140">
        <f t="shared" si="42"/>
        <v>0.32863660101525671</v>
      </c>
      <c r="H39" s="129"/>
      <c r="I39" s="140">
        <f t="shared" ref="I39:O39" si="44">I28/I$35</f>
        <v>0.42114197255335295</v>
      </c>
      <c r="J39" s="140">
        <f t="shared" si="44"/>
        <v>0.41332100494855017</v>
      </c>
      <c r="K39" s="140">
        <f t="shared" si="44"/>
        <v>0.33136357973811703</v>
      </c>
      <c r="L39" s="140">
        <f t="shared" si="44"/>
        <v>0.31082204826378423</v>
      </c>
      <c r="M39" s="140">
        <f t="shared" si="44"/>
        <v>0.31442437116177335</v>
      </c>
      <c r="N39" s="140">
        <f t="shared" si="44"/>
        <v>0.32539680273552696</v>
      </c>
      <c r="O39" s="140">
        <f t="shared" si="44"/>
        <v>0.3239377972594627</v>
      </c>
      <c r="P39" s="140">
        <f t="shared" ref="P39:Q39" si="45">P28/P$35</f>
        <v>0.31283455528607601</v>
      </c>
      <c r="Q39" s="140">
        <f t="shared" si="45"/>
        <v>0.35182120598448341</v>
      </c>
      <c r="S39" s="140">
        <f t="shared" ref="S39" si="46">S28/S$35</f>
        <v>0.35182120598448346</v>
      </c>
    </row>
    <row r="40" spans="2:19">
      <c r="B40" s="126" t="s">
        <v>244</v>
      </c>
      <c r="C40" s="140">
        <f t="shared" si="41"/>
        <v>0.12349028570892506</v>
      </c>
      <c r="D40" s="140">
        <f t="shared" ref="D40:G45" si="47">D29/D$35</f>
        <v>0.13104877692041508</v>
      </c>
      <c r="E40" s="140">
        <f t="shared" si="47"/>
        <v>0.11438864252587128</v>
      </c>
      <c r="F40" s="140">
        <f t="shared" ref="F40" si="48">F29/F$35</f>
        <v>9.4873795197403438E-2</v>
      </c>
      <c r="G40" s="140">
        <f t="shared" si="47"/>
        <v>9.362440355793851E-2</v>
      </c>
      <c r="H40" s="129"/>
      <c r="I40" s="140">
        <f t="shared" ref="I40:O40" si="49">I29/I$35</f>
        <v>0.13735821557778746</v>
      </c>
      <c r="J40" s="140">
        <f t="shared" si="49"/>
        <v>0.14456221667533095</v>
      </c>
      <c r="K40" s="140">
        <f t="shared" si="49"/>
        <v>0.10751305063081605</v>
      </c>
      <c r="L40" s="140">
        <f t="shared" si="49"/>
        <v>9.3422882837838936E-2</v>
      </c>
      <c r="M40" s="140">
        <f t="shared" si="49"/>
        <v>9.5268434622103243E-2</v>
      </c>
      <c r="N40" s="140">
        <f t="shared" si="49"/>
        <v>0.10151246491521118</v>
      </c>
      <c r="O40" s="140">
        <f t="shared" si="49"/>
        <v>9.9399995241204811E-2</v>
      </c>
      <c r="P40" s="140">
        <f t="shared" ref="P40:Q40" si="50">P29/P$35</f>
        <v>8.3097488635330966E-2</v>
      </c>
      <c r="Q40" s="140">
        <f t="shared" si="50"/>
        <v>9.035066559707397E-2</v>
      </c>
      <c r="S40" s="140">
        <f t="shared" ref="S40" si="51">S29/S$35</f>
        <v>9.035066559707397E-2</v>
      </c>
    </row>
    <row r="41" spans="2:19">
      <c r="B41" s="126" t="s">
        <v>245</v>
      </c>
      <c r="C41" s="140">
        <f t="shared" si="41"/>
        <v>0.13996073258994784</v>
      </c>
      <c r="D41" s="140">
        <f t="shared" si="47"/>
        <v>0.14295137290995549</v>
      </c>
      <c r="E41" s="140">
        <f t="shared" si="47"/>
        <v>0.11924690831971198</v>
      </c>
      <c r="F41" s="140">
        <f t="shared" ref="F41" si="52">F30/F$35</f>
        <v>0.10918535319607273</v>
      </c>
      <c r="G41" s="140">
        <f t="shared" si="47"/>
        <v>0.10610817390515738</v>
      </c>
      <c r="H41" s="129"/>
      <c r="I41" s="140">
        <f t="shared" ref="I41:O41" si="53">I30/I$35</f>
        <v>0.13893931067956675</v>
      </c>
      <c r="J41" s="140">
        <f t="shared" si="53"/>
        <v>0.13647998158679012</v>
      </c>
      <c r="K41" s="140">
        <f t="shared" si="53"/>
        <v>0.11623210071213184</v>
      </c>
      <c r="L41" s="140">
        <f t="shared" si="53"/>
        <v>0.10333059406451138</v>
      </c>
      <c r="M41" s="140">
        <f t="shared" si="53"/>
        <v>0.11103949445513882</v>
      </c>
      <c r="N41" s="140">
        <f t="shared" si="53"/>
        <v>0.10683066376438886</v>
      </c>
      <c r="O41" s="140">
        <f t="shared" si="53"/>
        <v>0.10635775035889247</v>
      </c>
      <c r="P41" s="140">
        <f t="shared" ref="P41:Q41" si="54">P30/P$35</f>
        <v>0.11246044058534319</v>
      </c>
      <c r="Q41" s="140">
        <f t="shared" si="54"/>
        <v>9.8956025154127936E-2</v>
      </c>
      <c r="S41" s="140">
        <f t="shared" ref="S41" si="55">S30/S$35</f>
        <v>9.8956025154127936E-2</v>
      </c>
    </row>
    <row r="42" spans="2:19">
      <c r="B42" s="126" t="s">
        <v>246</v>
      </c>
      <c r="C42" s="140">
        <f t="shared" si="41"/>
        <v>0.12464164384065796</v>
      </c>
      <c r="D42" s="140">
        <f t="shared" si="47"/>
        <v>0.12146534102462569</v>
      </c>
      <c r="E42" s="140">
        <f t="shared" si="47"/>
        <v>9.2648952643234098E-2</v>
      </c>
      <c r="F42" s="140">
        <f t="shared" ref="F42" si="56">F31/F$35</f>
        <v>8.1535309173474735E-2</v>
      </c>
      <c r="G42" s="140">
        <f t="shared" si="47"/>
        <v>6.7726190766259867E-2</v>
      </c>
      <c r="H42" s="129"/>
      <c r="I42" s="140">
        <f t="shared" ref="I42:O42" si="57">I31/I$35</f>
        <v>0.11049084042710069</v>
      </c>
      <c r="J42" s="140">
        <f t="shared" si="57"/>
        <v>0.11445754445559997</v>
      </c>
      <c r="K42" s="140">
        <f t="shared" si="57"/>
        <v>9.4324191492302742E-2</v>
      </c>
      <c r="L42" s="140">
        <f t="shared" si="57"/>
        <v>7.1800391504393768E-2</v>
      </c>
      <c r="M42" s="140">
        <f t="shared" si="57"/>
        <v>0.13420772321715763</v>
      </c>
      <c r="N42" s="140">
        <f t="shared" si="57"/>
        <v>0.13071322493890403</v>
      </c>
      <c r="O42" s="140">
        <f t="shared" si="57"/>
        <v>8.1763702025396096E-2</v>
      </c>
      <c r="P42" s="140">
        <f t="shared" ref="P42:Q42" si="58">P31/P$35</f>
        <v>-2.5412177361336632E-2</v>
      </c>
      <c r="Q42" s="140">
        <f t="shared" si="58"/>
        <v>8.1425550176426706E-2</v>
      </c>
      <c r="S42" s="140">
        <f t="shared" ref="S42" si="59">S31/S$35</f>
        <v>8.1425550176426706E-2</v>
      </c>
    </row>
    <row r="43" spans="2:19">
      <c r="B43" s="126" t="s">
        <v>247</v>
      </c>
      <c r="C43" s="140">
        <f t="shared" si="41"/>
        <v>0.11104508211139093</v>
      </c>
      <c r="D43" s="140">
        <f t="shared" si="47"/>
        <v>9.8890006671018868E-2</v>
      </c>
      <c r="E43" s="140">
        <f t="shared" si="47"/>
        <v>8.1589596674757445E-2</v>
      </c>
      <c r="F43" s="140">
        <f t="shared" ref="F43" si="60">F32/F$35</f>
        <v>6.3782042793015137E-2</v>
      </c>
      <c r="G43" s="140">
        <f t="shared" si="47"/>
        <v>6.2510294355638943E-2</v>
      </c>
      <c r="H43" s="129"/>
      <c r="I43" s="140">
        <f t="shared" ref="I43:O43" si="61">I32/I$35</f>
        <v>0.10166553920236365</v>
      </c>
      <c r="J43" s="140">
        <f t="shared" si="61"/>
        <v>0.10415963935506146</v>
      </c>
      <c r="K43" s="140">
        <f t="shared" si="61"/>
        <v>7.5573348896818535E-2</v>
      </c>
      <c r="L43" s="140">
        <f t="shared" si="61"/>
        <v>6.51465138942285E-2</v>
      </c>
      <c r="M43" s="140">
        <f t="shared" si="61"/>
        <v>6.7611243622543657E-2</v>
      </c>
      <c r="N43" s="140">
        <f t="shared" si="61"/>
        <v>6.4570922589956184E-2</v>
      </c>
      <c r="O43" s="140">
        <f t="shared" si="61"/>
        <v>6.2684238077235249E-2</v>
      </c>
      <c r="P43" s="140">
        <f t="shared" ref="P43:Q43" si="62">P32/P$35</f>
        <v>5.9994495225641625E-2</v>
      </c>
      <c r="Q43" s="140">
        <f t="shared" si="62"/>
        <v>6.2717027280223936E-2</v>
      </c>
      <c r="S43" s="140">
        <f t="shared" ref="S43" si="63">S32/S$35</f>
        <v>6.2717027280223936E-2</v>
      </c>
    </row>
    <row r="44" spans="2:19">
      <c r="B44" s="126" t="s">
        <v>248</v>
      </c>
      <c r="C44" s="140">
        <f t="shared" si="41"/>
        <v>8.3562766066650696E-2</v>
      </c>
      <c r="D44" s="140">
        <f t="shared" si="47"/>
        <v>7.424790505035371E-2</v>
      </c>
      <c r="E44" s="140">
        <f t="shared" si="47"/>
        <v>0.11570964586223781</v>
      </c>
      <c r="F44" s="140">
        <f t="shared" ref="F44" si="64">F33/F$35</f>
        <v>0.13254694606770251</v>
      </c>
      <c r="G44" s="140">
        <f t="shared" si="47"/>
        <v>0.12912755846757534</v>
      </c>
      <c r="H44" s="129"/>
      <c r="I44" s="140">
        <f t="shared" ref="I44:O44" si="65">I33/I$35</f>
        <v>9.635554603327641E-2</v>
      </c>
      <c r="J44" s="140">
        <f t="shared" si="65"/>
        <v>8.7019612978667407E-2</v>
      </c>
      <c r="K44" s="140">
        <f t="shared" si="65"/>
        <v>0.12437007988231821</v>
      </c>
      <c r="L44" s="140">
        <f t="shared" si="65"/>
        <v>0.13279361687267749</v>
      </c>
      <c r="M44" s="140">
        <f t="shared" si="65"/>
        <v>0.13640735801345019</v>
      </c>
      <c r="N44" s="140">
        <f t="shared" si="65"/>
        <v>0.1469273386765956</v>
      </c>
      <c r="O44" s="140">
        <f t="shared" si="65"/>
        <v>0.12964081671500369</v>
      </c>
      <c r="P44" s="140">
        <f t="shared" ref="P44:Q44" si="66">P33/P$35</f>
        <v>0.11646731269578778</v>
      </c>
      <c r="Q44" s="140">
        <f t="shared" si="66"/>
        <v>0.12303869045949478</v>
      </c>
      <c r="S44" s="140">
        <f t="shared" ref="S44" si="67">S33/S$35</f>
        <v>0.12303869045949478</v>
      </c>
    </row>
    <row r="45" spans="2:19">
      <c r="B45" s="126" t="s">
        <v>249</v>
      </c>
      <c r="C45" s="140">
        <f t="shared" si="41"/>
        <v>0</v>
      </c>
      <c r="D45" s="140">
        <f t="shared" si="47"/>
        <v>0</v>
      </c>
      <c r="E45" s="140">
        <f t="shared" si="47"/>
        <v>0.1217205134539191</v>
      </c>
      <c r="F45" s="140">
        <f t="shared" ref="F45" si="68">F34/F$35</f>
        <v>0.19895485456490669</v>
      </c>
      <c r="G45" s="140">
        <f t="shared" si="47"/>
        <v>0.21226677793217325</v>
      </c>
      <c r="H45" s="129"/>
      <c r="I45" s="140">
        <f t="shared" ref="I45:O45" si="69">I34/I$35</f>
        <v>0</v>
      </c>
      <c r="J45" s="140">
        <f t="shared" si="69"/>
        <v>0</v>
      </c>
      <c r="K45" s="140">
        <f t="shared" si="69"/>
        <v>0.15062364864749558</v>
      </c>
      <c r="L45" s="140">
        <f t="shared" si="69"/>
        <v>0.21974669052158585</v>
      </c>
      <c r="M45" s="140">
        <f t="shared" si="69"/>
        <v>0.14104137490783308</v>
      </c>
      <c r="N45" s="140">
        <f t="shared" si="69"/>
        <v>0.12404858237941732</v>
      </c>
      <c r="O45" s="140">
        <f t="shared" si="69"/>
        <v>0.19621570032280494</v>
      </c>
      <c r="P45" s="140">
        <f t="shared" ref="P45:Q45" si="70">P34/P$35</f>
        <v>0.34055788493315708</v>
      </c>
      <c r="Q45" s="140">
        <f t="shared" si="70"/>
        <v>0.19169083534816925</v>
      </c>
      <c r="S45" s="140">
        <f t="shared" ref="S45" si="71">S34/S$35</f>
        <v>0.19169083534816925</v>
      </c>
    </row>
    <row r="46" spans="2:19">
      <c r="B46" s="125" t="s">
        <v>23</v>
      </c>
      <c r="C46" s="139">
        <f>SUM(C39:C45)</f>
        <v>1</v>
      </c>
      <c r="D46" s="139">
        <f t="shared" ref="D46:I46" si="72">SUM(D39:D45)</f>
        <v>1</v>
      </c>
      <c r="E46" s="139">
        <f t="shared" si="72"/>
        <v>0.99999999999999989</v>
      </c>
      <c r="F46" s="139">
        <f t="shared" ref="F46" si="73">SUM(F39:F45)</f>
        <v>1</v>
      </c>
      <c r="G46" s="139">
        <f t="shared" si="72"/>
        <v>1</v>
      </c>
      <c r="H46" s="129"/>
      <c r="I46" s="139">
        <f t="shared" si="72"/>
        <v>1.005951424473448</v>
      </c>
      <c r="J46" s="139">
        <f t="shared" ref="J46" si="74">SUM(J39:J45)</f>
        <v>1</v>
      </c>
      <c r="K46" s="139">
        <f t="shared" ref="K46" si="75">SUM(K39:K45)</f>
        <v>1</v>
      </c>
      <c r="L46" s="139">
        <f t="shared" ref="L46" si="76">SUM(L39:L45)</f>
        <v>0.99706273795902023</v>
      </c>
      <c r="M46" s="139">
        <f t="shared" ref="M46" si="77">SUM(M39:M45)</f>
        <v>1</v>
      </c>
      <c r="N46" s="139">
        <f t="shared" ref="N46" si="78">SUM(N39:N45)</f>
        <v>1.0000000000000002</v>
      </c>
      <c r="O46" s="139">
        <f t="shared" ref="O46:Q46" si="79">SUM(O39:O45)</f>
        <v>1</v>
      </c>
      <c r="P46" s="139">
        <f t="shared" si="79"/>
        <v>1</v>
      </c>
      <c r="Q46" s="139">
        <f t="shared" si="79"/>
        <v>0.99999999999999989</v>
      </c>
      <c r="S46" s="139">
        <f t="shared" ref="S46" si="80">SUM(S39:S45)</f>
        <v>1.0000000000000002</v>
      </c>
    </row>
    <row r="47" spans="2:19">
      <c r="B47" s="125"/>
      <c r="C47" s="129"/>
      <c r="D47" s="129"/>
      <c r="E47" s="129"/>
      <c r="F47" s="129"/>
      <c r="G47" s="129"/>
      <c r="H47" s="129"/>
      <c r="I47" s="129"/>
      <c r="J47" s="129"/>
      <c r="K47" s="129"/>
      <c r="L47" s="129"/>
      <c r="M47" s="129"/>
      <c r="N47" s="129"/>
      <c r="O47" s="129"/>
      <c r="P47" s="129"/>
      <c r="Q47" s="129"/>
    </row>
    <row r="48" spans="2:19">
      <c r="B48" s="125" t="s">
        <v>251</v>
      </c>
      <c r="C48" s="130"/>
      <c r="D48" s="130"/>
      <c r="E48" s="130"/>
      <c r="F48" s="130"/>
      <c r="G48" s="130"/>
      <c r="H48" s="126"/>
      <c r="I48" s="126"/>
      <c r="J48" s="126"/>
      <c r="K48" s="126"/>
      <c r="L48" s="126"/>
      <c r="M48" s="126"/>
      <c r="N48" s="126"/>
      <c r="O48" s="126"/>
      <c r="P48" s="126"/>
      <c r="Q48" s="126"/>
    </row>
    <row r="49" spans="2:19">
      <c r="B49" s="126" t="s">
        <v>243</v>
      </c>
      <c r="C49" s="127">
        <v>1976.28</v>
      </c>
      <c r="D49" s="127">
        <v>2068.5970000000002</v>
      </c>
      <c r="E49" s="127">
        <v>2522.7759999999998</v>
      </c>
      <c r="F49" s="127">
        <v>3419.9229999999998</v>
      </c>
      <c r="G49" s="128">
        <f t="shared" ref="G49:G55" si="81">SUM(N49:Q49)</f>
        <v>3478.6754999999998</v>
      </c>
      <c r="H49" s="127"/>
      <c r="I49" s="127">
        <v>546.149</v>
      </c>
      <c r="J49" s="127">
        <v>537.577</v>
      </c>
      <c r="K49" s="127">
        <v>633.90200000000004</v>
      </c>
      <c r="L49" s="128">
        <f t="shared" ref="L49:L55" si="82">E49-SUM(I49:K49)</f>
        <v>805.14799999999968</v>
      </c>
      <c r="M49" s="127">
        <v>907.38300000000004</v>
      </c>
      <c r="N49" s="127">
        <v>856.94500000000005</v>
      </c>
      <c r="O49" s="127">
        <v>843.67200000000003</v>
      </c>
      <c r="P49" s="128">
        <f t="shared" ref="P49:P55" si="83">F49-SUM(M49:O49)</f>
        <v>811.92299999999977</v>
      </c>
      <c r="Q49" s="128">
        <f>S49/Model!$Q$239</f>
        <v>966.13549999999987</v>
      </c>
      <c r="S49" s="20">
        <v>55</v>
      </c>
    </row>
    <row r="50" spans="2:19">
      <c r="B50" s="126" t="s">
        <v>244</v>
      </c>
      <c r="C50" s="127">
        <v>605.33799999999997</v>
      </c>
      <c r="D50" s="127">
        <v>651.36</v>
      </c>
      <c r="E50" s="127">
        <v>853.70600000000002</v>
      </c>
      <c r="F50" s="127">
        <v>1040.2470000000001</v>
      </c>
      <c r="G50" s="128">
        <f t="shared" si="81"/>
        <v>1009.2501181</v>
      </c>
      <c r="H50" s="127"/>
      <c r="I50" s="127">
        <v>185.25899999999999</v>
      </c>
      <c r="J50" s="127">
        <v>189.00399999999999</v>
      </c>
      <c r="K50" s="127">
        <v>220.81</v>
      </c>
      <c r="L50" s="128">
        <f t="shared" si="82"/>
        <v>258.63300000000004</v>
      </c>
      <c r="M50" s="127">
        <v>282.56099999999998</v>
      </c>
      <c r="N50" s="127">
        <v>285.089</v>
      </c>
      <c r="O50" s="127">
        <v>260.97000000000003</v>
      </c>
      <c r="P50" s="128">
        <f t="shared" si="83"/>
        <v>211.62700000000007</v>
      </c>
      <c r="Q50" s="128">
        <f>S50/Model!$Q$239</f>
        <v>251.56411809999997</v>
      </c>
      <c r="S50" s="20">
        <v>14.321</v>
      </c>
    </row>
    <row r="51" spans="2:19">
      <c r="B51" s="126" t="s">
        <v>245</v>
      </c>
      <c r="C51" s="127">
        <v>696.75400000000002</v>
      </c>
      <c r="D51" s="127">
        <v>696.18700000000001</v>
      </c>
      <c r="E51" s="127">
        <v>857.3</v>
      </c>
      <c r="F51" s="127">
        <v>1198.7329999999999</v>
      </c>
      <c r="G51" s="128">
        <f t="shared" si="81"/>
        <v>1144.5419262999999</v>
      </c>
      <c r="H51" s="127"/>
      <c r="I51" s="127">
        <v>170.35</v>
      </c>
      <c r="J51" s="127">
        <v>174.28700000000001</v>
      </c>
      <c r="K51" s="127">
        <v>230.64</v>
      </c>
      <c r="L51" s="128">
        <f t="shared" si="82"/>
        <v>282.02299999999991</v>
      </c>
      <c r="M51" s="127">
        <v>326.16699999999997</v>
      </c>
      <c r="N51" s="127">
        <v>293.60899999999998</v>
      </c>
      <c r="O51" s="127">
        <v>288.67500000000001</v>
      </c>
      <c r="P51" s="128">
        <f t="shared" si="83"/>
        <v>290.28199999999993</v>
      </c>
      <c r="Q51" s="128">
        <f>S51/Model!$Q$239</f>
        <v>271.97592629999997</v>
      </c>
      <c r="S51" s="20">
        <v>15.483000000000001</v>
      </c>
    </row>
    <row r="52" spans="2:19">
      <c r="B52" s="126" t="s">
        <v>246</v>
      </c>
      <c r="C52" s="127">
        <v>614.44899999999996</v>
      </c>
      <c r="D52" s="127">
        <v>588.63699999999994</v>
      </c>
      <c r="E52" s="127">
        <v>666.30499999999995</v>
      </c>
      <c r="F52" s="127">
        <v>896.25099999999998</v>
      </c>
      <c r="G52" s="128">
        <f t="shared" si="81"/>
        <v>725.77854179999986</v>
      </c>
      <c r="H52" s="127"/>
      <c r="I52" s="127">
        <v>142.68299999999999</v>
      </c>
      <c r="J52" s="127">
        <v>146.435</v>
      </c>
      <c r="K52" s="127">
        <v>190.34</v>
      </c>
      <c r="L52" s="128">
        <f t="shared" si="82"/>
        <v>186.84699999999998</v>
      </c>
      <c r="M52" s="127">
        <v>387.20299999999997</v>
      </c>
      <c r="N52" s="127">
        <v>372.52699999999999</v>
      </c>
      <c r="O52" s="127">
        <v>209.08099999999999</v>
      </c>
      <c r="P52" s="128">
        <f t="shared" si="83"/>
        <v>-72.560000000000059</v>
      </c>
      <c r="Q52" s="128">
        <f>S52/Model!$Q$239</f>
        <v>216.73054179999997</v>
      </c>
      <c r="S52" s="20">
        <v>12.337999999999999</v>
      </c>
    </row>
    <row r="53" spans="2:19">
      <c r="B53" s="126" t="s">
        <v>247</v>
      </c>
      <c r="C53" s="127">
        <v>541.43200000000002</v>
      </c>
      <c r="D53" s="127">
        <v>467.11099999999999</v>
      </c>
      <c r="E53" s="127">
        <v>585.05700000000002</v>
      </c>
      <c r="F53" s="127">
        <v>675.82899999999995</v>
      </c>
      <c r="G53" s="128">
        <f t="shared" si="81"/>
        <v>650.98006139999995</v>
      </c>
      <c r="H53" s="127"/>
      <c r="I53" s="127">
        <v>134.572</v>
      </c>
      <c r="J53" s="127">
        <v>135.46600000000001</v>
      </c>
      <c r="K53" s="127">
        <v>153.68700000000001</v>
      </c>
      <c r="L53" s="128">
        <f t="shared" si="82"/>
        <v>161.33199999999999</v>
      </c>
      <c r="M53" s="127">
        <v>196.54</v>
      </c>
      <c r="N53" s="127">
        <v>171.25</v>
      </c>
      <c r="O53" s="127">
        <v>168.28299999999999</v>
      </c>
      <c r="P53" s="128">
        <f t="shared" si="83"/>
        <v>139.75599999999997</v>
      </c>
      <c r="Q53" s="128">
        <f>S53/Model!$Q$239</f>
        <v>171.69106139999997</v>
      </c>
      <c r="S53" s="20">
        <v>9.7739999999999991</v>
      </c>
    </row>
    <row r="54" spans="2:19">
      <c r="B54" s="126" t="s">
        <v>248</v>
      </c>
      <c r="C54" s="127">
        <v>389.17899999999997</v>
      </c>
      <c r="D54" s="127">
        <v>330.80900000000003</v>
      </c>
      <c r="E54" s="127">
        <v>801.08799999999997</v>
      </c>
      <c r="F54" s="127">
        <v>1410.5039999999999</v>
      </c>
      <c r="G54" s="128">
        <f t="shared" si="81"/>
        <v>1365.3883943000001</v>
      </c>
      <c r="H54" s="127"/>
      <c r="I54" s="127">
        <v>125.94499999999999</v>
      </c>
      <c r="J54" s="127">
        <v>103.05</v>
      </c>
      <c r="K54" s="127">
        <v>220.01300000000001</v>
      </c>
      <c r="L54" s="128">
        <f t="shared" si="82"/>
        <v>352.07999999999993</v>
      </c>
      <c r="M54" s="127">
        <v>385.24799999999999</v>
      </c>
      <c r="N54" s="127">
        <v>395.71</v>
      </c>
      <c r="O54" s="127">
        <v>322.68200000000002</v>
      </c>
      <c r="P54" s="128">
        <f t="shared" si="83"/>
        <v>306.86400000000003</v>
      </c>
      <c r="Q54" s="128">
        <f>S54/Model!$Q$239</f>
        <v>340.13239429999993</v>
      </c>
      <c r="S54" s="20">
        <v>19.363</v>
      </c>
    </row>
    <row r="55" spans="2:19">
      <c r="B55" s="126" t="s">
        <v>249</v>
      </c>
      <c r="C55" s="127">
        <v>0</v>
      </c>
      <c r="D55" s="127">
        <v>0</v>
      </c>
      <c r="E55" s="127">
        <v>866.88</v>
      </c>
      <c r="F55" s="127">
        <v>2201.7710000000002</v>
      </c>
      <c r="G55" s="128">
        <f t="shared" si="81"/>
        <v>2315.4216085000003</v>
      </c>
      <c r="H55" s="127"/>
      <c r="I55" s="127">
        <v>0</v>
      </c>
      <c r="J55" s="127">
        <v>0</v>
      </c>
      <c r="K55" s="127">
        <v>330.86500000000001</v>
      </c>
      <c r="L55" s="128">
        <f t="shared" si="82"/>
        <v>536.01499999999999</v>
      </c>
      <c r="M55" s="127">
        <v>430.63499999999999</v>
      </c>
      <c r="N55" s="127">
        <v>347.262</v>
      </c>
      <c r="O55" s="127">
        <v>542.28200000000004</v>
      </c>
      <c r="P55" s="128">
        <f t="shared" si="83"/>
        <v>881.5920000000001</v>
      </c>
      <c r="Q55" s="128">
        <f>S55/Model!$Q$239</f>
        <v>544.28560849999997</v>
      </c>
      <c r="S55" s="20">
        <v>30.984999999999999</v>
      </c>
    </row>
    <row r="56" spans="2:19">
      <c r="B56" s="125" t="s">
        <v>23</v>
      </c>
      <c r="C56" s="129">
        <f>SUM(C49:C55)</f>
        <v>4823.4319999999998</v>
      </c>
      <c r="D56" s="129">
        <f>SUM(D49:D55)</f>
        <v>4802.701</v>
      </c>
      <c r="E56" s="129">
        <f>SUM(E49:E55)</f>
        <v>7153.1120000000001</v>
      </c>
      <c r="F56" s="129">
        <f>SUM(F49:F55)</f>
        <v>10843.258000000002</v>
      </c>
      <c r="G56" s="129">
        <f>SUM(G49:G55)</f>
        <v>10690.036150400001</v>
      </c>
      <c r="H56" s="127"/>
      <c r="I56" s="129">
        <f t="shared" ref="I56:O56" si="84">SUM(I49:I55)</f>
        <v>1304.9579999999999</v>
      </c>
      <c r="J56" s="129">
        <f t="shared" si="84"/>
        <v>1285.8190000000002</v>
      </c>
      <c r="K56" s="129">
        <f t="shared" si="84"/>
        <v>1980.2569999999998</v>
      </c>
      <c r="L56" s="129">
        <f t="shared" si="84"/>
        <v>2582.0779999999995</v>
      </c>
      <c r="M56" s="129">
        <f t="shared" si="84"/>
        <v>2915.7370000000001</v>
      </c>
      <c r="N56" s="129">
        <f t="shared" si="84"/>
        <v>2722.3920000000003</v>
      </c>
      <c r="O56" s="129">
        <f t="shared" si="84"/>
        <v>2635.645</v>
      </c>
      <c r="P56" s="129">
        <f t="shared" ref="P56:Q56" si="85">SUM(P49:P55)</f>
        <v>2569.4839999999999</v>
      </c>
      <c r="Q56" s="129">
        <f t="shared" si="85"/>
        <v>2762.5151503999996</v>
      </c>
      <c r="S56" s="129">
        <f t="shared" ref="S56" si="86">SUM(S49:S55)</f>
        <v>157.26400000000001</v>
      </c>
    </row>
    <row r="57" spans="2:19">
      <c r="B57" s="153" t="s">
        <v>32</v>
      </c>
      <c r="C57" s="154">
        <f>C56-Model!C18</f>
        <v>0</v>
      </c>
      <c r="D57" s="154">
        <f>D56-Model!D18</f>
        <v>0</v>
      </c>
      <c r="E57" s="154">
        <f>E56-Model!E18</f>
        <v>0</v>
      </c>
      <c r="F57" s="154">
        <f>F56-Model!F18</f>
        <v>0</v>
      </c>
      <c r="G57" s="154">
        <f>G56-Model!G18</f>
        <v>0</v>
      </c>
      <c r="H57" s="127"/>
      <c r="I57" s="154">
        <f>I56-Model!I18</f>
        <v>0</v>
      </c>
      <c r="J57" s="154">
        <f>J56-Model!J18</f>
        <v>0</v>
      </c>
      <c r="K57" s="154">
        <f>K56-Model!K18</f>
        <v>0</v>
      </c>
      <c r="L57" s="154">
        <f>L56-Model!L18</f>
        <v>0</v>
      </c>
      <c r="M57" s="154">
        <f>M56-Model!M18</f>
        <v>0</v>
      </c>
      <c r="N57" s="154">
        <f>N56-Model!N18</f>
        <v>0</v>
      </c>
      <c r="O57" s="154">
        <f>O56-Model!O18</f>
        <v>0</v>
      </c>
      <c r="P57" s="154">
        <f>P56-Model!P18</f>
        <v>0</v>
      </c>
      <c r="Q57" s="154">
        <f>Q56-Model!Q18</f>
        <v>0</v>
      </c>
      <c r="S57" s="154">
        <f>S56-Model!S18</f>
        <v>0</v>
      </c>
    </row>
    <row r="58" spans="2:19">
      <c r="B58" s="126"/>
      <c r="C58" s="130"/>
      <c r="D58" s="130"/>
      <c r="E58" s="130"/>
      <c r="F58" s="130"/>
    </row>
    <row r="59" spans="2:19">
      <c r="B59" s="142" t="s">
        <v>252</v>
      </c>
      <c r="C59" s="144"/>
      <c r="D59" s="144"/>
      <c r="E59" s="144"/>
      <c r="F59" s="144"/>
      <c r="G59" s="144"/>
      <c r="H59" s="127"/>
      <c r="I59" s="143"/>
      <c r="J59" s="143"/>
      <c r="K59" s="143"/>
      <c r="L59" s="143"/>
      <c r="M59" s="143"/>
      <c r="N59" s="143"/>
      <c r="O59" s="143"/>
      <c r="P59" s="143"/>
      <c r="Q59" s="143"/>
      <c r="S59" s="143"/>
    </row>
    <row r="60" spans="2:19">
      <c r="B60" s="125" t="s">
        <v>253</v>
      </c>
      <c r="C60" s="129">
        <f>SUM(C61:C67)</f>
        <v>14946.751</v>
      </c>
      <c r="D60" s="129">
        <f>SUM(D61:D67)</f>
        <v>16681.364000000001</v>
      </c>
      <c r="E60" s="129">
        <f>SUM(E61:E67)</f>
        <v>31760.637000000002</v>
      </c>
      <c r="F60" s="129">
        <f>SUM(F61:F67)</f>
        <v>28953.736000000001</v>
      </c>
      <c r="G60" s="129">
        <f>SUM(G61:G67)</f>
        <v>28751.647930899991</v>
      </c>
      <c r="H60" s="127"/>
      <c r="I60" s="129">
        <f t="shared" ref="I60:O60" si="87">SUM(I61:I67)</f>
        <v>17734.841</v>
      </c>
      <c r="J60" s="129">
        <f t="shared" si="87"/>
        <v>19711.895</v>
      </c>
      <c r="K60" s="129">
        <f t="shared" si="87"/>
        <v>29028.968000000001</v>
      </c>
      <c r="L60" s="129">
        <f t="shared" si="87"/>
        <v>31760.637000000002</v>
      </c>
      <c r="M60" s="129">
        <f t="shared" si="87"/>
        <v>31878.47</v>
      </c>
      <c r="N60" s="129">
        <f t="shared" si="87"/>
        <v>29311.181999999997</v>
      </c>
      <c r="O60" s="129">
        <f t="shared" si="87"/>
        <v>28383.211000000003</v>
      </c>
      <c r="P60" s="129">
        <f t="shared" ref="P60:S60" si="88">SUM(P61:P67)</f>
        <v>28953.736000000001</v>
      </c>
      <c r="Q60" s="129">
        <f t="shared" si="88"/>
        <v>28751.647930899991</v>
      </c>
      <c r="S60" s="129">
        <f t="shared" si="88"/>
        <v>1636.7689999999998</v>
      </c>
    </row>
    <row r="61" spans="2:19">
      <c r="B61" s="131" t="s">
        <v>243</v>
      </c>
      <c r="C61" s="127">
        <v>6103.55</v>
      </c>
      <c r="D61" s="127">
        <v>7071.04</v>
      </c>
      <c r="E61" s="127">
        <v>14245.785</v>
      </c>
      <c r="F61" s="127">
        <v>14079.663</v>
      </c>
      <c r="G61" s="128">
        <f>Q61</f>
        <v>14015.622301899999</v>
      </c>
      <c r="H61" s="127"/>
      <c r="I61" s="127">
        <v>7837.2330000000002</v>
      </c>
      <c r="J61" s="127">
        <v>8621.9840000000004</v>
      </c>
      <c r="K61" s="127">
        <v>12652.448</v>
      </c>
      <c r="L61" s="128">
        <f>E61</f>
        <v>14245.785</v>
      </c>
      <c r="M61" s="127">
        <v>14721.002</v>
      </c>
      <c r="N61" s="127">
        <v>13571.718999999999</v>
      </c>
      <c r="O61" s="127">
        <v>13342.977000000001</v>
      </c>
      <c r="P61" s="128">
        <f>F61</f>
        <v>14079.663</v>
      </c>
      <c r="Q61" s="128">
        <f>S61/Model!$Q$239</f>
        <v>14015.622301899999</v>
      </c>
      <c r="S61" s="127">
        <v>797.87900000000002</v>
      </c>
    </row>
    <row r="62" spans="2:19">
      <c r="B62" s="131" t="s">
        <v>244</v>
      </c>
      <c r="C62" s="127">
        <v>2101.3040000000001</v>
      </c>
      <c r="D62" s="127">
        <v>2270.4859999999999</v>
      </c>
      <c r="E62" s="127">
        <v>3480.5569999999998</v>
      </c>
      <c r="F62" s="127">
        <v>3185.1860000000001</v>
      </c>
      <c r="G62" s="128">
        <f t="shared" ref="G62:G67" si="89">Q62</f>
        <v>3237.9592129999996</v>
      </c>
      <c r="H62" s="126"/>
      <c r="I62" s="127">
        <v>2367.8420000000001</v>
      </c>
      <c r="J62" s="127">
        <v>2669.1930000000002</v>
      </c>
      <c r="K62" s="127">
        <v>3275.7530000000002</v>
      </c>
      <c r="L62" s="128">
        <f t="shared" ref="L62:L75" si="90">E62</f>
        <v>3480.5569999999998</v>
      </c>
      <c r="M62" s="127">
        <v>3449.6909999999998</v>
      </c>
      <c r="N62" s="127">
        <v>3228.1489999999999</v>
      </c>
      <c r="O62" s="127">
        <v>3131.547</v>
      </c>
      <c r="P62" s="128">
        <f t="shared" ref="P62:P67" si="91">F62</f>
        <v>3185.1860000000001</v>
      </c>
      <c r="Q62" s="128">
        <f>S62/Model!$Q$239</f>
        <v>3237.9592129999996</v>
      </c>
      <c r="S62" s="127">
        <v>184.33</v>
      </c>
    </row>
    <row r="63" spans="2:19">
      <c r="B63" s="131" t="s">
        <v>245</v>
      </c>
      <c r="C63" s="127">
        <v>2461.4760000000001</v>
      </c>
      <c r="D63" s="127">
        <v>2616.2629999999999</v>
      </c>
      <c r="E63" s="127">
        <v>4479.0810000000001</v>
      </c>
      <c r="F63" s="127">
        <v>3662.3710000000001</v>
      </c>
      <c r="G63" s="128">
        <f t="shared" si="89"/>
        <v>3602.8071099999993</v>
      </c>
      <c r="H63" s="126"/>
      <c r="I63" s="127">
        <v>2646.1309999999999</v>
      </c>
      <c r="J63" s="127">
        <v>2972.4180000000001</v>
      </c>
      <c r="K63" s="127">
        <v>3988.5030000000002</v>
      </c>
      <c r="L63" s="128">
        <f t="shared" si="90"/>
        <v>4479.0810000000001</v>
      </c>
      <c r="M63" s="127">
        <v>4391.1639999999998</v>
      </c>
      <c r="N63" s="127">
        <v>3953.2429999999999</v>
      </c>
      <c r="O63" s="127">
        <v>3738.7719999999999</v>
      </c>
      <c r="P63" s="128">
        <f t="shared" si="91"/>
        <v>3662.3710000000001</v>
      </c>
      <c r="Q63" s="128">
        <f>S63/Model!$Q$239</f>
        <v>3602.8071099999993</v>
      </c>
      <c r="S63" s="127">
        <v>205.1</v>
      </c>
    </row>
    <row r="64" spans="2:19">
      <c r="B64" s="131" t="s">
        <v>246</v>
      </c>
      <c r="C64" s="127">
        <v>1776.979</v>
      </c>
      <c r="D64" s="127">
        <v>1630.2059999999999</v>
      </c>
      <c r="E64" s="127">
        <v>2832.8409999999999</v>
      </c>
      <c r="F64" s="127">
        <v>2600.2829999999999</v>
      </c>
      <c r="G64" s="128">
        <f t="shared" si="89"/>
        <v>2597.6748679999996</v>
      </c>
      <c r="H64" s="126"/>
      <c r="I64" s="127">
        <v>1692.9670000000001</v>
      </c>
      <c r="J64" s="127">
        <v>1916.55</v>
      </c>
      <c r="K64" s="127">
        <v>2673.348</v>
      </c>
      <c r="L64" s="128">
        <f t="shared" si="90"/>
        <v>2832.8409999999999</v>
      </c>
      <c r="M64" s="127">
        <v>2893.9859999999999</v>
      </c>
      <c r="N64" s="127">
        <v>2710.1970000000001</v>
      </c>
      <c r="O64" s="127">
        <v>2655.163</v>
      </c>
      <c r="P64" s="128">
        <f t="shared" si="91"/>
        <v>2600.2829999999999</v>
      </c>
      <c r="Q64" s="128">
        <f>S64/Model!$Q$239</f>
        <v>2597.6748679999996</v>
      </c>
      <c r="S64" s="127">
        <v>147.88</v>
      </c>
    </row>
    <row r="65" spans="2:19">
      <c r="B65" s="131" t="s">
        <v>247</v>
      </c>
      <c r="C65" s="127">
        <v>1301.2860000000001</v>
      </c>
      <c r="D65" s="127">
        <v>1414.4929999999999</v>
      </c>
      <c r="E65" s="127">
        <v>2045.41</v>
      </c>
      <c r="F65" s="127">
        <v>1760.2719999999999</v>
      </c>
      <c r="G65" s="128">
        <f t="shared" si="89"/>
        <v>1733.5984089999997</v>
      </c>
      <c r="H65" s="126"/>
      <c r="I65" s="127">
        <v>1513.6949999999999</v>
      </c>
      <c r="J65" s="127">
        <v>1676.01</v>
      </c>
      <c r="K65" s="127">
        <v>1956.191</v>
      </c>
      <c r="L65" s="128">
        <f t="shared" si="90"/>
        <v>2045.41</v>
      </c>
      <c r="M65" s="127">
        <v>1972.3009999999999</v>
      </c>
      <c r="N65" s="127">
        <v>1834.694</v>
      </c>
      <c r="O65" s="127">
        <v>1794.5150000000001</v>
      </c>
      <c r="P65" s="128">
        <f t="shared" si="91"/>
        <v>1760.2719999999999</v>
      </c>
      <c r="Q65" s="128">
        <f>S65/Model!$Q$239</f>
        <v>1733.5984089999997</v>
      </c>
      <c r="S65" s="127">
        <v>98.69</v>
      </c>
    </row>
    <row r="66" spans="2:19">
      <c r="B66" s="131" t="s">
        <v>248</v>
      </c>
      <c r="C66" s="127">
        <v>1202.1559999999999</v>
      </c>
      <c r="D66" s="127">
        <v>1678.876</v>
      </c>
      <c r="E66" s="127">
        <v>4676.9629999999997</v>
      </c>
      <c r="F66" s="127">
        <v>3665.9609999999998</v>
      </c>
      <c r="G66" s="128">
        <f t="shared" si="89"/>
        <v>3563.9860289999992</v>
      </c>
      <c r="H66" s="126"/>
      <c r="I66" s="127">
        <v>1676.973</v>
      </c>
      <c r="J66" s="127">
        <v>1855.74</v>
      </c>
      <c r="K66" s="127">
        <v>4482.7250000000004</v>
      </c>
      <c r="L66" s="128">
        <f t="shared" si="90"/>
        <v>4676.9629999999997</v>
      </c>
      <c r="M66" s="127">
        <v>4450.326</v>
      </c>
      <c r="N66" s="127">
        <v>4013.18</v>
      </c>
      <c r="O66" s="127">
        <v>3720.2370000000001</v>
      </c>
      <c r="P66" s="128">
        <f t="shared" si="91"/>
        <v>3665.9609999999998</v>
      </c>
      <c r="Q66" s="128">
        <f>S66/Model!$Q$239</f>
        <v>3563.9860289999992</v>
      </c>
      <c r="S66" s="127">
        <v>202.89</v>
      </c>
    </row>
    <row r="67" spans="2:19">
      <c r="B67" s="131" t="s">
        <v>249</v>
      </c>
      <c r="C67" s="127">
        <v>0</v>
      </c>
      <c r="D67" s="127">
        <v>0</v>
      </c>
      <c r="E67" s="127">
        <v>0</v>
      </c>
      <c r="F67" s="127">
        <v>0</v>
      </c>
      <c r="G67" s="128">
        <f t="shared" si="89"/>
        <v>0</v>
      </c>
      <c r="H67" s="126"/>
      <c r="I67" s="127">
        <v>0</v>
      </c>
      <c r="J67" s="127">
        <v>0</v>
      </c>
      <c r="K67" s="127">
        <v>0</v>
      </c>
      <c r="L67" s="128">
        <f t="shared" si="90"/>
        <v>0</v>
      </c>
      <c r="M67" s="127">
        <v>0</v>
      </c>
      <c r="N67" s="127">
        <v>0</v>
      </c>
      <c r="O67" s="127">
        <v>0</v>
      </c>
      <c r="P67" s="128">
        <f t="shared" si="91"/>
        <v>0</v>
      </c>
      <c r="Q67" s="128">
        <f>S67/Model!$Q$239</f>
        <v>0</v>
      </c>
      <c r="S67" s="127">
        <v>0</v>
      </c>
    </row>
    <row r="68" spans="2:19">
      <c r="B68" s="125" t="s">
        <v>254</v>
      </c>
      <c r="C68" s="129">
        <f>SUM(C69:C75)</f>
        <v>59787.005000000012</v>
      </c>
      <c r="D68" s="129">
        <f>SUM(D69:D75)</f>
        <v>66725.441999999995</v>
      </c>
      <c r="E68" s="129">
        <f>SUM(E69:E75)</f>
        <v>124221.97500000001</v>
      </c>
      <c r="F68" s="129">
        <f>SUM(F69:F75)</f>
        <v>111423.80399999999</v>
      </c>
      <c r="G68" s="129">
        <f>SUM(G69:G75)</f>
        <v>110650.19892359996</v>
      </c>
      <c r="H68" s="126"/>
      <c r="I68" s="129">
        <f t="shared" ref="I68:O68" si="92">SUM(I69:I75)</f>
        <v>70939.366999999998</v>
      </c>
      <c r="J68" s="129">
        <f t="shared" si="92"/>
        <v>78847.573999999993</v>
      </c>
      <c r="K68" s="129">
        <f t="shared" si="92"/>
        <v>116141.90400000001</v>
      </c>
      <c r="L68" s="129">
        <f t="shared" si="92"/>
        <v>124221.97500000001</v>
      </c>
      <c r="M68" s="129">
        <f t="shared" si="92"/>
        <v>124565.02099999999</v>
      </c>
      <c r="N68" s="129">
        <f t="shared" si="92"/>
        <v>116078.55699999999</v>
      </c>
      <c r="O68" s="129">
        <f t="shared" si="92"/>
        <v>112326.82299999999</v>
      </c>
      <c r="P68" s="129">
        <f t="shared" ref="P68:S68" si="93">SUM(P69:P75)</f>
        <v>111423.80399999999</v>
      </c>
      <c r="Q68" s="129">
        <f t="shared" si="93"/>
        <v>110650.19892359996</v>
      </c>
      <c r="S68" s="129">
        <f t="shared" si="93"/>
        <v>6299.0759999999991</v>
      </c>
    </row>
    <row r="69" spans="2:19">
      <c r="B69" s="131" t="s">
        <v>243</v>
      </c>
      <c r="C69" s="127">
        <v>24414.2</v>
      </c>
      <c r="D69" s="127">
        <v>28284.148000000001</v>
      </c>
      <c r="E69" s="127">
        <v>54973.131000000001</v>
      </c>
      <c r="F69" s="127">
        <v>53153.680999999997</v>
      </c>
      <c r="G69" s="128">
        <f t="shared" ref="G69:G75" si="94">Q69</f>
        <v>52914.644087599991</v>
      </c>
      <c r="H69" s="126"/>
      <c r="I69" s="127">
        <v>31348.929</v>
      </c>
      <c r="J69" s="127">
        <v>34487.932999999997</v>
      </c>
      <c r="K69" s="127">
        <v>50635.822</v>
      </c>
      <c r="L69" s="128">
        <f t="shared" si="90"/>
        <v>54973.131000000001</v>
      </c>
      <c r="M69" s="127">
        <v>56884.78</v>
      </c>
      <c r="N69" s="127">
        <v>54164.998</v>
      </c>
      <c r="O69" s="127">
        <v>53238.303999999996</v>
      </c>
      <c r="P69" s="128">
        <f t="shared" ref="P69:P75" si="95">F69</f>
        <v>53153.680999999997</v>
      </c>
      <c r="Q69" s="128">
        <f>S69/Model!$Q$239</f>
        <v>52914.644087599991</v>
      </c>
      <c r="S69" s="127">
        <v>3012.3159999999998</v>
      </c>
    </row>
    <row r="70" spans="2:19">
      <c r="B70" s="131" t="s">
        <v>244</v>
      </c>
      <c r="C70" s="127">
        <v>8405.2139999999999</v>
      </c>
      <c r="D70" s="127">
        <v>9081.9459999999999</v>
      </c>
      <c r="E70" s="127">
        <v>13576.013999999999</v>
      </c>
      <c r="F70" s="127">
        <v>12049.92</v>
      </c>
      <c r="G70" s="128">
        <f t="shared" si="94"/>
        <v>12275.893323999999</v>
      </c>
      <c r="H70" s="126"/>
      <c r="I70" s="127">
        <v>9471.3700000000008</v>
      </c>
      <c r="J70" s="127">
        <v>10676.77</v>
      </c>
      <c r="K70" s="127">
        <v>13103.01</v>
      </c>
      <c r="L70" s="128">
        <f t="shared" si="90"/>
        <v>13576.013999999999</v>
      </c>
      <c r="M70" s="127">
        <v>13321.191999999999</v>
      </c>
      <c r="N70" s="127">
        <v>12333.285</v>
      </c>
      <c r="O70" s="127">
        <v>11937.496999999999</v>
      </c>
      <c r="P70" s="128">
        <f t="shared" si="95"/>
        <v>12049.92</v>
      </c>
      <c r="Q70" s="128">
        <f>S70/Model!$Q$239</f>
        <v>12275.893323999999</v>
      </c>
      <c r="S70" s="127">
        <v>698.84</v>
      </c>
    </row>
    <row r="71" spans="2:19">
      <c r="B71" s="131" t="s">
        <v>245</v>
      </c>
      <c r="C71" s="127">
        <v>9845.9060000000009</v>
      </c>
      <c r="D71" s="127">
        <v>10465.049999999999</v>
      </c>
      <c r="E71" s="127">
        <v>17725.985000000001</v>
      </c>
      <c r="F71" s="127">
        <v>14376.602000000001</v>
      </c>
      <c r="G71" s="128">
        <f t="shared" si="94"/>
        <v>14144.223719999998</v>
      </c>
      <c r="H71" s="126"/>
      <c r="I71" s="127">
        <v>10584.526</v>
      </c>
      <c r="J71" s="127">
        <v>11889.672</v>
      </c>
      <c r="K71" s="127">
        <v>15954.014999999999</v>
      </c>
      <c r="L71" s="128">
        <f t="shared" si="90"/>
        <v>17725.985000000001</v>
      </c>
      <c r="M71" s="127">
        <v>17375.345000000001</v>
      </c>
      <c r="N71" s="127">
        <v>15638.058999999999</v>
      </c>
      <c r="O71" s="127">
        <v>14748.823</v>
      </c>
      <c r="P71" s="128">
        <f t="shared" si="95"/>
        <v>14376.602000000001</v>
      </c>
      <c r="Q71" s="128">
        <f>S71/Model!$Q$239</f>
        <v>14144.223719999998</v>
      </c>
      <c r="S71" s="127">
        <v>805.2</v>
      </c>
    </row>
    <row r="72" spans="2:19">
      <c r="B72" s="131" t="s">
        <v>246</v>
      </c>
      <c r="C72" s="127">
        <v>7107.9170000000004</v>
      </c>
      <c r="D72" s="127">
        <v>6520.8230000000003</v>
      </c>
      <c r="E72" s="127">
        <v>11057.349</v>
      </c>
      <c r="F72" s="127">
        <v>10129.688</v>
      </c>
      <c r="G72" s="128">
        <f t="shared" si="94"/>
        <v>10125.100039999998</v>
      </c>
      <c r="H72" s="126"/>
      <c r="I72" s="127">
        <v>6771.8689999999997</v>
      </c>
      <c r="J72" s="127">
        <v>7666.201</v>
      </c>
      <c r="K72" s="127">
        <v>10693.393</v>
      </c>
      <c r="L72" s="128">
        <f t="shared" si="90"/>
        <v>11057.349</v>
      </c>
      <c r="M72" s="127">
        <v>11303.397999999999</v>
      </c>
      <c r="N72" s="127">
        <v>10555.802</v>
      </c>
      <c r="O72" s="127">
        <v>10343.189</v>
      </c>
      <c r="P72" s="128">
        <f t="shared" si="95"/>
        <v>10129.688</v>
      </c>
      <c r="Q72" s="128">
        <f>S72/Model!$Q$239</f>
        <v>10125.100039999998</v>
      </c>
      <c r="S72" s="127">
        <v>576.4</v>
      </c>
    </row>
    <row r="73" spans="2:19">
      <c r="B73" s="131" t="s">
        <v>247</v>
      </c>
      <c r="C73" s="127">
        <v>5205.1459999999997</v>
      </c>
      <c r="D73" s="127">
        <v>5657.9709999999995</v>
      </c>
      <c r="E73" s="127">
        <v>8181.6409999999996</v>
      </c>
      <c r="F73" s="127">
        <v>7050.0659999999998</v>
      </c>
      <c r="G73" s="128">
        <f t="shared" si="94"/>
        <v>6934.3936359999989</v>
      </c>
      <c r="H73" s="126"/>
      <c r="I73" s="127">
        <v>6054.7809999999999</v>
      </c>
      <c r="J73" s="127">
        <v>6704.0389999999998</v>
      </c>
      <c r="K73" s="127">
        <v>7824.7650000000003</v>
      </c>
      <c r="L73" s="128">
        <f t="shared" si="90"/>
        <v>8181.6409999999996</v>
      </c>
      <c r="M73" s="127">
        <v>7879.0039999999999</v>
      </c>
      <c r="N73" s="127">
        <v>7333.692</v>
      </c>
      <c r="O73" s="127">
        <v>7178.06</v>
      </c>
      <c r="P73" s="128">
        <f t="shared" si="95"/>
        <v>7050.0659999999998</v>
      </c>
      <c r="Q73" s="128">
        <f>S73/Model!$Q$239</f>
        <v>6934.3936359999989</v>
      </c>
      <c r="S73" s="127">
        <v>394.76</v>
      </c>
    </row>
    <row r="74" spans="2:19">
      <c r="B74" s="131" t="s">
        <v>248</v>
      </c>
      <c r="C74" s="127">
        <v>4808.6220000000003</v>
      </c>
      <c r="D74" s="127">
        <v>6715.5039999999999</v>
      </c>
      <c r="E74" s="127">
        <v>18707.855</v>
      </c>
      <c r="F74" s="127">
        <v>14663.847</v>
      </c>
      <c r="G74" s="128">
        <f t="shared" si="94"/>
        <v>14255.944115999997</v>
      </c>
      <c r="H74" s="126"/>
      <c r="I74" s="127">
        <v>6707.8919999999998</v>
      </c>
      <c r="J74" s="127">
        <v>7422.9589999999998</v>
      </c>
      <c r="K74" s="127">
        <v>17930.899000000001</v>
      </c>
      <c r="L74" s="128">
        <f t="shared" si="90"/>
        <v>18707.855</v>
      </c>
      <c r="M74" s="127">
        <v>17801.302</v>
      </c>
      <c r="N74" s="127">
        <v>16052.721</v>
      </c>
      <c r="O74" s="127">
        <v>14880.95</v>
      </c>
      <c r="P74" s="128">
        <f t="shared" si="95"/>
        <v>14663.847</v>
      </c>
      <c r="Q74" s="128">
        <f>S74/Model!$Q$239</f>
        <v>14255.944115999997</v>
      </c>
      <c r="S74" s="127">
        <v>811.56</v>
      </c>
    </row>
    <row r="75" spans="2:19">
      <c r="B75" s="131" t="s">
        <v>249</v>
      </c>
      <c r="C75" s="127">
        <v>0</v>
      </c>
      <c r="D75" s="127">
        <v>0</v>
      </c>
      <c r="E75" s="127">
        <v>0</v>
      </c>
      <c r="F75" s="127">
        <v>0</v>
      </c>
      <c r="G75" s="128">
        <f t="shared" si="94"/>
        <v>0</v>
      </c>
      <c r="H75" s="126"/>
      <c r="I75" s="127">
        <v>0</v>
      </c>
      <c r="J75" s="127">
        <v>0</v>
      </c>
      <c r="K75" s="127">
        <v>0</v>
      </c>
      <c r="L75" s="128">
        <f t="shared" si="90"/>
        <v>0</v>
      </c>
      <c r="M75" s="127">
        <v>0</v>
      </c>
      <c r="N75" s="127">
        <v>0</v>
      </c>
      <c r="O75" s="127">
        <v>0</v>
      </c>
      <c r="P75" s="128">
        <f t="shared" si="95"/>
        <v>0</v>
      </c>
      <c r="Q75" s="128">
        <f>S75/Model!$Q$239</f>
        <v>0</v>
      </c>
      <c r="S75" s="127">
        <v>0</v>
      </c>
    </row>
    <row r="76" spans="2:19">
      <c r="B76" s="125" t="s">
        <v>23</v>
      </c>
      <c r="C76" s="129">
        <f>C60+C68</f>
        <v>74733.756000000008</v>
      </c>
      <c r="D76" s="129">
        <f>D60+D68</f>
        <v>83406.805999999997</v>
      </c>
      <c r="E76" s="129">
        <f>E60+E68</f>
        <v>155982.61200000002</v>
      </c>
      <c r="F76" s="129">
        <f>F60+F68</f>
        <v>140377.53999999998</v>
      </c>
      <c r="G76" s="129">
        <f>G60+G68</f>
        <v>139401.84685449995</v>
      </c>
      <c r="H76" s="126"/>
      <c r="I76" s="129">
        <f t="shared" ref="I76:O76" si="96">I60+I68</f>
        <v>88674.207999999999</v>
      </c>
      <c r="J76" s="129">
        <f t="shared" si="96"/>
        <v>98559.468999999997</v>
      </c>
      <c r="K76" s="129">
        <f t="shared" si="96"/>
        <v>145170.872</v>
      </c>
      <c r="L76" s="129">
        <f t="shared" si="96"/>
        <v>155982.61200000002</v>
      </c>
      <c r="M76" s="129">
        <f t="shared" si="96"/>
        <v>156443.49099999998</v>
      </c>
      <c r="N76" s="129">
        <f t="shared" si="96"/>
        <v>145389.73899999997</v>
      </c>
      <c r="O76" s="129">
        <f t="shared" si="96"/>
        <v>140710.03399999999</v>
      </c>
      <c r="P76" s="129">
        <f t="shared" ref="P76:S76" si="97">P60+P68</f>
        <v>140377.53999999998</v>
      </c>
      <c r="Q76" s="129">
        <f t="shared" si="97"/>
        <v>139401.84685449995</v>
      </c>
      <c r="S76" s="129">
        <f t="shared" si="97"/>
        <v>7935.8449999999993</v>
      </c>
    </row>
    <row r="77" spans="2:19">
      <c r="B77" s="126"/>
      <c r="C77" s="130"/>
      <c r="D77" s="130"/>
      <c r="E77" s="130"/>
      <c r="F77" s="130"/>
      <c r="G77" s="130"/>
      <c r="H77" s="126"/>
      <c r="I77" s="126"/>
      <c r="J77" s="126"/>
      <c r="K77" s="126"/>
      <c r="L77" s="126"/>
      <c r="M77" s="126"/>
      <c r="N77" s="126"/>
      <c r="O77" s="126"/>
      <c r="P77" s="126"/>
      <c r="Q77" s="126"/>
    </row>
    <row r="78" spans="2:19">
      <c r="B78" s="142" t="s">
        <v>255</v>
      </c>
      <c r="C78" s="144"/>
      <c r="D78" s="144"/>
      <c r="E78" s="144"/>
      <c r="F78" s="144"/>
      <c r="G78" s="144"/>
      <c r="H78" s="126"/>
      <c r="I78" s="143"/>
      <c r="J78" s="143"/>
      <c r="K78" s="143"/>
      <c r="L78" s="143"/>
      <c r="M78" s="143"/>
      <c r="N78" s="143"/>
      <c r="O78" s="143"/>
      <c r="P78" s="143"/>
      <c r="Q78" s="143"/>
      <c r="S78" s="143"/>
    </row>
    <row r="79" spans="2:19">
      <c r="B79" s="132" t="s">
        <v>243</v>
      </c>
      <c r="C79" s="127">
        <v>55.994</v>
      </c>
      <c r="D79" s="127">
        <v>58.658000000000001</v>
      </c>
      <c r="E79" s="127">
        <v>72.876999999999995</v>
      </c>
      <c r="F79" s="127">
        <v>0</v>
      </c>
      <c r="G79" s="128">
        <f t="shared" ref="G79:G85" si="98">P79</f>
        <v>0</v>
      </c>
      <c r="H79" s="126"/>
      <c r="I79" s="127">
        <v>61.341999999999999</v>
      </c>
      <c r="J79" s="127">
        <v>66.632000000000005</v>
      </c>
      <c r="K79" s="127">
        <v>69.602999999999994</v>
      </c>
      <c r="L79" s="128">
        <f t="shared" ref="L79:L85" si="99">E79</f>
        <v>72.876999999999995</v>
      </c>
      <c r="M79" s="127">
        <v>93.111000000000004</v>
      </c>
      <c r="N79" s="127">
        <v>93.975999999999999</v>
      </c>
      <c r="O79" s="127">
        <v>0</v>
      </c>
      <c r="P79" s="128">
        <f t="shared" ref="P79:P85" si="100">F79</f>
        <v>0</v>
      </c>
      <c r="Q79" s="127">
        <v>93.111000000000004</v>
      </c>
      <c r="S79" s="127">
        <v>0</v>
      </c>
    </row>
    <row r="80" spans="2:19">
      <c r="B80" s="132" t="s">
        <v>244</v>
      </c>
      <c r="C80" s="127">
        <v>0</v>
      </c>
      <c r="D80" s="127">
        <v>0</v>
      </c>
      <c r="E80" s="127">
        <v>0</v>
      </c>
      <c r="F80" s="127">
        <v>0</v>
      </c>
      <c r="G80" s="128">
        <f t="shared" si="98"/>
        <v>0</v>
      </c>
      <c r="H80" s="126"/>
      <c r="I80" s="127">
        <v>0</v>
      </c>
      <c r="J80" s="127">
        <v>0</v>
      </c>
      <c r="K80" s="127">
        <v>0</v>
      </c>
      <c r="L80" s="128">
        <f t="shared" si="99"/>
        <v>0</v>
      </c>
      <c r="M80" s="127">
        <v>13.26</v>
      </c>
      <c r="N80" s="127">
        <v>8.7420000000000009</v>
      </c>
      <c r="O80" s="127">
        <v>0</v>
      </c>
      <c r="P80" s="128">
        <f t="shared" si="100"/>
        <v>0</v>
      </c>
      <c r="Q80" s="127">
        <v>13.26</v>
      </c>
      <c r="S80" s="127">
        <v>0</v>
      </c>
    </row>
    <row r="81" spans="2:19">
      <c r="B81" s="132" t="s">
        <v>245</v>
      </c>
      <c r="C81" s="127">
        <v>0</v>
      </c>
      <c r="D81" s="127">
        <v>0</v>
      </c>
      <c r="E81" s="127">
        <v>0</v>
      </c>
      <c r="F81" s="127">
        <v>0</v>
      </c>
      <c r="G81" s="128">
        <f t="shared" si="98"/>
        <v>0</v>
      </c>
      <c r="H81" s="126"/>
      <c r="I81" s="127">
        <v>0</v>
      </c>
      <c r="J81" s="127">
        <v>0</v>
      </c>
      <c r="K81" s="127">
        <v>0</v>
      </c>
      <c r="L81" s="128">
        <f t="shared" si="99"/>
        <v>0</v>
      </c>
      <c r="M81" s="127">
        <v>0</v>
      </c>
      <c r="N81" s="127">
        <v>0</v>
      </c>
      <c r="O81" s="127">
        <v>0</v>
      </c>
      <c r="P81" s="128">
        <f t="shared" si="100"/>
        <v>0</v>
      </c>
      <c r="Q81" s="127">
        <v>0</v>
      </c>
      <c r="S81" s="127">
        <v>0</v>
      </c>
    </row>
    <row r="82" spans="2:19">
      <c r="B82" s="132" t="s">
        <v>246</v>
      </c>
      <c r="C82" s="127">
        <v>0</v>
      </c>
      <c r="D82" s="127">
        <v>0</v>
      </c>
      <c r="E82" s="127">
        <v>0</v>
      </c>
      <c r="F82" s="127">
        <v>0</v>
      </c>
      <c r="G82" s="128">
        <f t="shared" si="98"/>
        <v>0</v>
      </c>
      <c r="H82" s="126"/>
      <c r="I82" s="127">
        <v>0</v>
      </c>
      <c r="J82" s="127">
        <v>0</v>
      </c>
      <c r="K82" s="127">
        <v>0</v>
      </c>
      <c r="L82" s="128">
        <f t="shared" si="99"/>
        <v>0</v>
      </c>
      <c r="M82" s="127">
        <v>0</v>
      </c>
      <c r="N82" s="127">
        <v>0</v>
      </c>
      <c r="O82" s="127">
        <v>0</v>
      </c>
      <c r="P82" s="128">
        <f t="shared" si="100"/>
        <v>0</v>
      </c>
      <c r="Q82" s="127">
        <v>0</v>
      </c>
      <c r="S82" s="127">
        <v>0</v>
      </c>
    </row>
    <row r="83" spans="2:19">
      <c r="B83" s="132" t="s">
        <v>247</v>
      </c>
      <c r="C83" s="127">
        <v>0</v>
      </c>
      <c r="D83" s="127">
        <v>0</v>
      </c>
      <c r="E83" s="127">
        <v>0</v>
      </c>
      <c r="F83" s="127">
        <v>0</v>
      </c>
      <c r="G83" s="128">
        <f t="shared" si="98"/>
        <v>0</v>
      </c>
      <c r="H83" s="126"/>
      <c r="I83" s="127">
        <v>0</v>
      </c>
      <c r="J83" s="127">
        <v>0</v>
      </c>
      <c r="K83" s="127">
        <v>0</v>
      </c>
      <c r="L83" s="128">
        <f t="shared" si="99"/>
        <v>0</v>
      </c>
      <c r="M83" s="127">
        <v>10.199999999999999</v>
      </c>
      <c r="N83" s="127">
        <v>5.0819999999999999</v>
      </c>
      <c r="O83" s="127">
        <v>0</v>
      </c>
      <c r="P83" s="128">
        <f t="shared" si="100"/>
        <v>0</v>
      </c>
      <c r="Q83" s="127">
        <v>10.199999999999999</v>
      </c>
      <c r="S83" s="127">
        <v>0</v>
      </c>
    </row>
    <row r="84" spans="2:19">
      <c r="B84" s="132" t="s">
        <v>248</v>
      </c>
      <c r="C84" s="127">
        <v>0</v>
      </c>
      <c r="D84" s="127">
        <v>0</v>
      </c>
      <c r="E84" s="127">
        <v>0</v>
      </c>
      <c r="F84" s="127">
        <v>0</v>
      </c>
      <c r="G84" s="128">
        <f t="shared" si="98"/>
        <v>0</v>
      </c>
      <c r="H84" s="126"/>
      <c r="I84" s="127">
        <v>0</v>
      </c>
      <c r="J84" s="127">
        <v>0</v>
      </c>
      <c r="K84" s="127">
        <v>0</v>
      </c>
      <c r="L84" s="128">
        <f t="shared" si="99"/>
        <v>0</v>
      </c>
      <c r="M84" s="127">
        <v>0</v>
      </c>
      <c r="N84" s="127">
        <v>0</v>
      </c>
      <c r="O84" s="127">
        <v>0</v>
      </c>
      <c r="P84" s="128">
        <f t="shared" si="100"/>
        <v>0</v>
      </c>
      <c r="Q84" s="127">
        <v>0</v>
      </c>
      <c r="S84" s="127">
        <v>0</v>
      </c>
    </row>
    <row r="85" spans="2:19">
      <c r="B85" s="132" t="s">
        <v>249</v>
      </c>
      <c r="C85" s="127">
        <v>0</v>
      </c>
      <c r="D85" s="127">
        <v>0</v>
      </c>
      <c r="E85" s="127">
        <v>28993.196</v>
      </c>
      <c r="F85" s="127">
        <v>27317.251</v>
      </c>
      <c r="G85" s="128">
        <f t="shared" si="98"/>
        <v>27317.251</v>
      </c>
      <c r="H85" s="126"/>
      <c r="I85" s="127">
        <v>0</v>
      </c>
      <c r="J85" s="127">
        <v>0</v>
      </c>
      <c r="K85" s="127">
        <v>27536.754000000001</v>
      </c>
      <c r="L85" s="128">
        <f t="shared" si="99"/>
        <v>28993.196</v>
      </c>
      <c r="M85" s="127">
        <v>29078.037</v>
      </c>
      <c r="N85" s="127">
        <v>27336.256000000001</v>
      </c>
      <c r="O85" s="127">
        <v>27698.915000000001</v>
      </c>
      <c r="P85" s="128">
        <f t="shared" si="100"/>
        <v>27317.251</v>
      </c>
      <c r="Q85" s="127">
        <v>29078.037</v>
      </c>
      <c r="S85" s="127">
        <v>1535.3009999999999</v>
      </c>
    </row>
    <row r="86" spans="2:19">
      <c r="B86" s="125" t="s">
        <v>23</v>
      </c>
      <c r="C86" s="129">
        <f>SUM(C79:C85)</f>
        <v>55.994</v>
      </c>
      <c r="D86" s="129">
        <f>SUM(D79:D85)</f>
        <v>58.658000000000001</v>
      </c>
      <c r="E86" s="129">
        <f>SUM(E79:E85)</f>
        <v>29066.073</v>
      </c>
      <c r="F86" s="129">
        <f>SUM(F79:F85)</f>
        <v>27317.251</v>
      </c>
      <c r="G86" s="129">
        <f>SUM(G79:G85)</f>
        <v>27317.251</v>
      </c>
      <c r="H86" s="126"/>
      <c r="I86" s="129">
        <f t="shared" ref="I86:O86" si="101">SUM(I79:I85)</f>
        <v>61.341999999999999</v>
      </c>
      <c r="J86" s="129">
        <f t="shared" si="101"/>
        <v>66.632000000000005</v>
      </c>
      <c r="K86" s="129">
        <f t="shared" si="101"/>
        <v>27606.357</v>
      </c>
      <c r="L86" s="129">
        <f t="shared" si="101"/>
        <v>29066.073</v>
      </c>
      <c r="M86" s="129">
        <f t="shared" si="101"/>
        <v>29194.608</v>
      </c>
      <c r="N86" s="129">
        <f t="shared" si="101"/>
        <v>27444.056</v>
      </c>
      <c r="O86" s="129">
        <f t="shared" si="101"/>
        <v>27698.915000000001</v>
      </c>
      <c r="P86" s="129">
        <f t="shared" ref="P86:S86" si="102">SUM(P79:P85)</f>
        <v>27317.251</v>
      </c>
      <c r="Q86" s="129">
        <f t="shared" si="102"/>
        <v>29194.608</v>
      </c>
      <c r="S86" s="129">
        <f t="shared" si="102"/>
        <v>1535.3009999999999</v>
      </c>
    </row>
    <row r="87" spans="2:19">
      <c r="B87" s="126"/>
      <c r="C87" s="130"/>
      <c r="D87" s="130"/>
      <c r="E87" s="130"/>
      <c r="F87" s="130"/>
      <c r="G87" s="130"/>
      <c r="H87" s="126"/>
      <c r="I87" s="126"/>
      <c r="J87" s="126"/>
      <c r="K87" s="126"/>
      <c r="L87" s="126"/>
      <c r="M87" s="126"/>
      <c r="N87" s="126"/>
      <c r="O87" s="126"/>
      <c r="P87" s="126"/>
      <c r="Q87" s="126"/>
    </row>
    <row r="88" spans="2:19">
      <c r="B88" s="142" t="s">
        <v>256</v>
      </c>
      <c r="C88" s="144"/>
      <c r="D88" s="144"/>
      <c r="E88" s="144"/>
      <c r="F88" s="144"/>
      <c r="G88" s="144"/>
      <c r="H88" s="126"/>
      <c r="I88" s="143"/>
      <c r="J88" s="143"/>
      <c r="K88" s="143"/>
      <c r="L88" s="143"/>
      <c r="M88" s="143"/>
      <c r="N88" s="143"/>
      <c r="O88" s="143"/>
      <c r="P88" s="143"/>
      <c r="Q88" s="143"/>
      <c r="S88" s="143"/>
    </row>
    <row r="89" spans="2:19">
      <c r="B89" s="132" t="s">
        <v>243</v>
      </c>
      <c r="C89" s="147"/>
      <c r="D89" s="127">
        <v>71</v>
      </c>
      <c r="E89" s="127">
        <v>106</v>
      </c>
      <c r="F89" s="127">
        <v>104</v>
      </c>
      <c r="G89" s="128">
        <f>Q89</f>
        <v>104</v>
      </c>
      <c r="H89" s="281"/>
      <c r="I89" s="151"/>
      <c r="J89" s="151"/>
      <c r="K89" s="151"/>
      <c r="L89" s="128">
        <f t="shared" ref="L89:L95" si="103">E89</f>
        <v>106</v>
      </c>
      <c r="M89" s="127">
        <v>106</v>
      </c>
      <c r="N89" s="127">
        <v>106</v>
      </c>
      <c r="O89" s="127">
        <v>103</v>
      </c>
      <c r="P89" s="128">
        <f t="shared" ref="P89:P95" si="104">F89</f>
        <v>104</v>
      </c>
      <c r="Q89" s="128">
        <f>S89</f>
        <v>104</v>
      </c>
      <c r="R89" s="280"/>
      <c r="S89" s="127">
        <v>104</v>
      </c>
    </row>
    <row r="90" spans="2:19">
      <c r="B90" s="132" t="s">
        <v>244</v>
      </c>
      <c r="C90" s="147"/>
      <c r="D90" s="127">
        <v>31</v>
      </c>
      <c r="E90" s="127">
        <v>40</v>
      </c>
      <c r="F90" s="127">
        <v>39</v>
      </c>
      <c r="G90" s="128">
        <f t="shared" ref="G90:G95" si="105">Q90</f>
        <v>39</v>
      </c>
      <c r="H90" s="281"/>
      <c r="I90" s="151"/>
      <c r="J90" s="151"/>
      <c r="K90" s="151"/>
      <c r="L90" s="128">
        <f t="shared" si="103"/>
        <v>40</v>
      </c>
      <c r="M90" s="127">
        <v>40</v>
      </c>
      <c r="N90" s="127">
        <v>40</v>
      </c>
      <c r="O90" s="127">
        <v>38</v>
      </c>
      <c r="P90" s="128">
        <f t="shared" si="104"/>
        <v>39</v>
      </c>
      <c r="Q90" s="128">
        <f t="shared" ref="Q90:Q95" si="106">S90</f>
        <v>39</v>
      </c>
      <c r="R90" s="280"/>
      <c r="S90" s="127">
        <v>39</v>
      </c>
    </row>
    <row r="91" spans="2:19">
      <c r="B91" s="132" t="s">
        <v>245</v>
      </c>
      <c r="C91" s="147"/>
      <c r="D91" s="127">
        <v>48</v>
      </c>
      <c r="E91" s="127">
        <v>62</v>
      </c>
      <c r="F91" s="127">
        <v>60</v>
      </c>
      <c r="G91" s="128">
        <f t="shared" si="105"/>
        <v>60</v>
      </c>
      <c r="H91" s="281"/>
      <c r="I91" s="151"/>
      <c r="J91" s="151"/>
      <c r="K91" s="151"/>
      <c r="L91" s="128">
        <f t="shared" si="103"/>
        <v>62</v>
      </c>
      <c r="M91" s="127">
        <v>62</v>
      </c>
      <c r="N91" s="127">
        <v>62</v>
      </c>
      <c r="O91" s="127">
        <v>60</v>
      </c>
      <c r="P91" s="128">
        <f t="shared" si="104"/>
        <v>60</v>
      </c>
      <c r="Q91" s="128">
        <f t="shared" si="106"/>
        <v>60</v>
      </c>
      <c r="R91" s="280"/>
      <c r="S91" s="127">
        <v>60</v>
      </c>
    </row>
    <row r="92" spans="2:19">
      <c r="B92" s="132" t="s">
        <v>246</v>
      </c>
      <c r="C92" s="147"/>
      <c r="D92" s="127">
        <v>26</v>
      </c>
      <c r="E92" s="127">
        <v>36</v>
      </c>
      <c r="F92" s="127">
        <v>33</v>
      </c>
      <c r="G92" s="128">
        <f t="shared" si="105"/>
        <v>33</v>
      </c>
      <c r="H92" s="281"/>
      <c r="I92" s="151"/>
      <c r="J92" s="151"/>
      <c r="K92" s="151"/>
      <c r="L92" s="128">
        <f t="shared" si="103"/>
        <v>36</v>
      </c>
      <c r="M92" s="127">
        <v>36</v>
      </c>
      <c r="N92" s="127">
        <v>36</v>
      </c>
      <c r="O92" s="127">
        <v>33</v>
      </c>
      <c r="P92" s="128">
        <f t="shared" si="104"/>
        <v>33</v>
      </c>
      <c r="Q92" s="128">
        <f t="shared" si="106"/>
        <v>33</v>
      </c>
      <c r="R92" s="280"/>
      <c r="S92" s="127">
        <v>33</v>
      </c>
    </row>
    <row r="93" spans="2:19">
      <c r="B93" s="132" t="s">
        <v>247</v>
      </c>
      <c r="C93" s="147"/>
      <c r="D93" s="127">
        <v>30</v>
      </c>
      <c r="E93" s="127">
        <v>33</v>
      </c>
      <c r="F93" s="127">
        <v>32</v>
      </c>
      <c r="G93" s="128">
        <f t="shared" si="105"/>
        <v>32</v>
      </c>
      <c r="H93" s="281"/>
      <c r="I93" s="151"/>
      <c r="J93" s="151"/>
      <c r="K93" s="151"/>
      <c r="L93" s="128">
        <f t="shared" si="103"/>
        <v>33</v>
      </c>
      <c r="M93" s="127">
        <v>33</v>
      </c>
      <c r="N93" s="127">
        <v>33</v>
      </c>
      <c r="O93" s="127">
        <v>32</v>
      </c>
      <c r="P93" s="128">
        <f t="shared" si="104"/>
        <v>32</v>
      </c>
      <c r="Q93" s="128">
        <f t="shared" si="106"/>
        <v>32</v>
      </c>
      <c r="R93" s="280"/>
      <c r="S93" s="127">
        <v>32</v>
      </c>
    </row>
    <row r="94" spans="2:19">
      <c r="B94" s="132" t="s">
        <v>248</v>
      </c>
      <c r="C94" s="147"/>
      <c r="D94" s="127">
        <v>31</v>
      </c>
      <c r="E94" s="127">
        <v>81</v>
      </c>
      <c r="F94" s="127">
        <v>82</v>
      </c>
      <c r="G94" s="128">
        <f t="shared" si="105"/>
        <v>82</v>
      </c>
      <c r="H94" s="281"/>
      <c r="I94" s="151"/>
      <c r="J94" s="151"/>
      <c r="K94" s="151"/>
      <c r="L94" s="128">
        <f t="shared" si="103"/>
        <v>81</v>
      </c>
      <c r="M94" s="127">
        <v>81</v>
      </c>
      <c r="N94" s="127">
        <v>81</v>
      </c>
      <c r="O94" s="127">
        <v>82</v>
      </c>
      <c r="P94" s="128">
        <f t="shared" si="104"/>
        <v>82</v>
      </c>
      <c r="Q94" s="128">
        <f t="shared" si="106"/>
        <v>82</v>
      </c>
      <c r="R94" s="280"/>
      <c r="S94" s="127">
        <v>82</v>
      </c>
    </row>
    <row r="95" spans="2:19">
      <c r="B95" s="132" t="s">
        <v>249</v>
      </c>
      <c r="C95" s="147"/>
      <c r="D95" s="127">
        <v>0</v>
      </c>
      <c r="E95" s="127">
        <v>166</v>
      </c>
      <c r="F95" s="127">
        <v>166</v>
      </c>
      <c r="G95" s="128">
        <f t="shared" si="105"/>
        <v>166</v>
      </c>
      <c r="H95" s="281"/>
      <c r="I95" s="151"/>
      <c r="J95" s="151"/>
      <c r="K95" s="151"/>
      <c r="L95" s="128">
        <f t="shared" si="103"/>
        <v>166</v>
      </c>
      <c r="M95" s="127">
        <v>164</v>
      </c>
      <c r="N95" s="127">
        <v>164</v>
      </c>
      <c r="O95" s="127">
        <v>167</v>
      </c>
      <c r="P95" s="128">
        <f t="shared" si="104"/>
        <v>166</v>
      </c>
      <c r="Q95" s="128">
        <f t="shared" si="106"/>
        <v>166</v>
      </c>
      <c r="R95" s="280"/>
      <c r="S95" s="127">
        <v>166</v>
      </c>
    </row>
    <row r="96" spans="2:19">
      <c r="B96" s="125" t="s">
        <v>23</v>
      </c>
      <c r="C96" s="147"/>
      <c r="D96" s="129">
        <f>SUM(D89:D95)</f>
        <v>237</v>
      </c>
      <c r="E96" s="129">
        <f>SUM(E89:E95)</f>
        <v>524</v>
      </c>
      <c r="F96" s="129">
        <f>SUM(F89:F95)</f>
        <v>516</v>
      </c>
      <c r="G96" s="129">
        <f>SUM(G89:G95)</f>
        <v>516</v>
      </c>
      <c r="H96" s="281"/>
      <c r="I96" s="151"/>
      <c r="J96" s="151"/>
      <c r="K96" s="151"/>
      <c r="L96" s="129">
        <f>SUM(L89:L95)</f>
        <v>524</v>
      </c>
      <c r="M96" s="129">
        <f>SUM(M89:M95)</f>
        <v>522</v>
      </c>
      <c r="N96" s="129">
        <f>SUM(N89:N95)</f>
        <v>522</v>
      </c>
      <c r="O96" s="129">
        <f>SUM(O89:O95)</f>
        <v>515</v>
      </c>
      <c r="P96" s="129">
        <f>SUM(P89:P95)</f>
        <v>516</v>
      </c>
      <c r="Q96" s="129">
        <f>SUM(Q89:Q95)</f>
        <v>516</v>
      </c>
      <c r="R96" s="280"/>
      <c r="S96" s="129">
        <f>SUM(S89:S95)</f>
        <v>516</v>
      </c>
    </row>
    <row r="97" spans="2:19">
      <c r="B97" s="126"/>
      <c r="C97" s="130"/>
      <c r="D97" s="130"/>
      <c r="E97" s="130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</row>
    <row r="98" spans="2:19">
      <c r="B98" s="142" t="s">
        <v>257</v>
      </c>
      <c r="C98" s="144"/>
      <c r="D98" s="144"/>
      <c r="E98" s="144"/>
      <c r="F98" s="144"/>
      <c r="G98" s="144"/>
      <c r="H98" s="126"/>
      <c r="I98" s="143"/>
      <c r="J98" s="143"/>
      <c r="K98" s="143"/>
      <c r="L98" s="143"/>
      <c r="M98" s="143"/>
      <c r="N98" s="143"/>
      <c r="O98" s="143"/>
      <c r="P98" s="143"/>
      <c r="Q98" s="143"/>
      <c r="S98" s="143"/>
    </row>
    <row r="99" spans="2:19">
      <c r="B99" s="125" t="s">
        <v>258</v>
      </c>
      <c r="C99" s="129">
        <f>SUM(C100:C106)</f>
        <v>3390.9079999999999</v>
      </c>
      <c r="D99" s="129">
        <f>SUM(D100:D106)</f>
        <v>2929.692</v>
      </c>
      <c r="E99" s="129">
        <f>SUM(E100:E106)</f>
        <v>3519.6980000000003</v>
      </c>
      <c r="F99" s="129">
        <f>SUM(F100:F106)</f>
        <v>1160.2370000000001</v>
      </c>
      <c r="G99" s="129">
        <f>SUM(G100:G106)</f>
        <v>1089.7657117999997</v>
      </c>
      <c r="H99" s="126"/>
      <c r="I99" s="129">
        <f t="shared" ref="I99:O99" si="107">SUM(I100:I106)</f>
        <v>2884.8969999999999</v>
      </c>
      <c r="J99" s="129">
        <f t="shared" si="107"/>
        <v>3170.576</v>
      </c>
      <c r="K99" s="129">
        <f t="shared" si="107"/>
        <v>6335.0389999999998</v>
      </c>
      <c r="L99" s="129">
        <f t="shared" si="107"/>
        <v>3519.6980000000003</v>
      </c>
      <c r="M99" s="129">
        <f t="shared" si="107"/>
        <v>3491.1639999999998</v>
      </c>
      <c r="N99" s="129">
        <f t="shared" si="107"/>
        <v>3621.4629999999997</v>
      </c>
      <c r="O99" s="129">
        <f t="shared" si="107"/>
        <v>3526.1010000000001</v>
      </c>
      <c r="P99" s="129">
        <f t="shared" ref="P99:S99" si="108">SUM(P100:P106)</f>
        <v>1160.2370000000001</v>
      </c>
      <c r="Q99" s="129">
        <f t="shared" si="108"/>
        <v>1089.7657117999997</v>
      </c>
      <c r="S99" s="129">
        <f t="shared" si="108"/>
        <v>62.037999999999997</v>
      </c>
    </row>
    <row r="100" spans="2:19">
      <c r="B100" s="131" t="s">
        <v>243</v>
      </c>
      <c r="C100" s="127">
        <v>464.92599999999999</v>
      </c>
      <c r="D100" s="127">
        <v>405.86700000000002</v>
      </c>
      <c r="E100" s="127">
        <v>493.00900000000001</v>
      </c>
      <c r="F100" s="127">
        <v>0</v>
      </c>
      <c r="G100" s="128">
        <f>Q100</f>
        <v>0</v>
      </c>
      <c r="H100" s="126"/>
      <c r="I100" s="127">
        <v>400.74</v>
      </c>
      <c r="J100" s="127">
        <v>441.62599999999998</v>
      </c>
      <c r="K100" s="127">
        <v>472.74400000000003</v>
      </c>
      <c r="L100" s="128">
        <f t="shared" ref="L100:L107" si="109">E100</f>
        <v>493.00900000000001</v>
      </c>
      <c r="M100" s="127">
        <v>490.42700000000002</v>
      </c>
      <c r="N100" s="127">
        <v>756.52499999999998</v>
      </c>
      <c r="O100" s="127">
        <v>736.60799999999995</v>
      </c>
      <c r="P100" s="128">
        <f>F100</f>
        <v>0</v>
      </c>
      <c r="Q100" s="128">
        <f>S100/Model!$Q$239</f>
        <v>0</v>
      </c>
      <c r="S100" s="127">
        <v>0</v>
      </c>
    </row>
    <row r="101" spans="2:19">
      <c r="B101" s="131" t="s">
        <v>244</v>
      </c>
      <c r="C101" s="127">
        <v>1171.673</v>
      </c>
      <c r="D101" s="127">
        <v>1022.836</v>
      </c>
      <c r="E101" s="127">
        <v>1242.4459999999999</v>
      </c>
      <c r="F101" s="127">
        <v>0</v>
      </c>
      <c r="G101" s="128">
        <f t="shared" ref="G101:G107" si="110">Q101</f>
        <v>0</v>
      </c>
      <c r="H101" s="126"/>
      <c r="I101" s="127">
        <v>1009.9160000000001</v>
      </c>
      <c r="J101" s="127">
        <v>1112.9549999999999</v>
      </c>
      <c r="K101" s="127">
        <v>1028.365</v>
      </c>
      <c r="L101" s="128">
        <f t="shared" si="109"/>
        <v>1242.4459999999999</v>
      </c>
      <c r="M101" s="127">
        <v>1235.9390000000001</v>
      </c>
      <c r="N101" s="127">
        <v>1142.056</v>
      </c>
      <c r="O101" s="127">
        <v>1112.0450000000001</v>
      </c>
      <c r="P101" s="128">
        <f t="shared" ref="P101:P107" si="111">F101</f>
        <v>0</v>
      </c>
      <c r="Q101" s="128">
        <f>S101/Model!$Q$239</f>
        <v>0</v>
      </c>
      <c r="S101" s="127">
        <v>0</v>
      </c>
    </row>
    <row r="102" spans="2:19">
      <c r="B102" s="131" t="s">
        <v>245</v>
      </c>
      <c r="C102" s="127">
        <v>724.93899999999996</v>
      </c>
      <c r="D102" s="127">
        <v>611.19100000000003</v>
      </c>
      <c r="E102" s="127">
        <v>714.67700000000002</v>
      </c>
      <c r="F102" s="127">
        <v>602.34199999999998</v>
      </c>
      <c r="G102" s="128">
        <f t="shared" si="110"/>
        <v>565.76894879999986</v>
      </c>
      <c r="H102" s="126"/>
      <c r="I102" s="127">
        <v>597.93399999999997</v>
      </c>
      <c r="J102" s="127">
        <v>652.78399999999999</v>
      </c>
      <c r="K102" s="127">
        <v>1191.375</v>
      </c>
      <c r="L102" s="128">
        <f t="shared" si="109"/>
        <v>714.67700000000002</v>
      </c>
      <c r="M102" s="127">
        <v>703.75199999999995</v>
      </c>
      <c r="N102" s="127">
        <v>716.10599999999999</v>
      </c>
      <c r="O102" s="127">
        <v>697.2</v>
      </c>
      <c r="P102" s="128">
        <f t="shared" si="111"/>
        <v>602.34199999999998</v>
      </c>
      <c r="Q102" s="128">
        <f>S102/Model!$Q$239</f>
        <v>565.76894879999986</v>
      </c>
      <c r="S102" s="127">
        <v>32.207999999999998</v>
      </c>
    </row>
    <row r="103" spans="2:19">
      <c r="B103" s="131" t="s">
        <v>246</v>
      </c>
      <c r="C103" s="127">
        <v>1029.3699999999999</v>
      </c>
      <c r="D103" s="127">
        <v>889.798</v>
      </c>
      <c r="E103" s="127">
        <v>1069.566</v>
      </c>
      <c r="F103" s="127">
        <v>557.89499999999998</v>
      </c>
      <c r="G103" s="128">
        <f t="shared" si="110"/>
        <v>523.99676299999987</v>
      </c>
      <c r="H103" s="126"/>
      <c r="I103" s="127">
        <v>876.30700000000002</v>
      </c>
      <c r="J103" s="127">
        <v>963.21100000000001</v>
      </c>
      <c r="K103" s="127">
        <v>692.1</v>
      </c>
      <c r="L103" s="128">
        <f t="shared" si="109"/>
        <v>1069.566</v>
      </c>
      <c r="M103" s="127">
        <v>1061.046</v>
      </c>
      <c r="N103" s="127">
        <v>1006.776</v>
      </c>
      <c r="O103" s="127">
        <v>980.24800000000005</v>
      </c>
      <c r="P103" s="128">
        <f t="shared" si="111"/>
        <v>557.89499999999998</v>
      </c>
      <c r="Q103" s="128">
        <f>S103/Model!$Q$239</f>
        <v>523.99676299999987</v>
      </c>
      <c r="S103" s="127">
        <v>29.83</v>
      </c>
    </row>
    <row r="104" spans="2:19">
      <c r="B104" s="131" t="s">
        <v>247</v>
      </c>
      <c r="C104" s="127">
        <v>0</v>
      </c>
      <c r="D104" s="127">
        <v>0</v>
      </c>
      <c r="E104" s="127">
        <v>0</v>
      </c>
      <c r="F104" s="127">
        <v>0</v>
      </c>
      <c r="G104" s="128">
        <f t="shared" si="110"/>
        <v>0</v>
      </c>
      <c r="H104" s="126"/>
      <c r="I104" s="127">
        <v>0</v>
      </c>
      <c r="J104" s="127">
        <v>0</v>
      </c>
      <c r="K104" s="127">
        <v>0</v>
      </c>
      <c r="L104" s="128">
        <f t="shared" si="109"/>
        <v>0</v>
      </c>
      <c r="M104" s="127">
        <v>0</v>
      </c>
      <c r="N104" s="127">
        <v>0</v>
      </c>
      <c r="O104" s="127">
        <v>0</v>
      </c>
      <c r="P104" s="128">
        <f t="shared" si="111"/>
        <v>0</v>
      </c>
      <c r="Q104" s="128">
        <f>S104/Model!$Q$239</f>
        <v>0</v>
      </c>
      <c r="S104" s="127">
        <v>0</v>
      </c>
    </row>
    <row r="105" spans="2:19">
      <c r="B105" s="131" t="s">
        <v>248</v>
      </c>
      <c r="C105" s="127">
        <v>0</v>
      </c>
      <c r="D105" s="127">
        <v>0</v>
      </c>
      <c r="E105" s="127">
        <v>0</v>
      </c>
      <c r="F105" s="127">
        <v>0</v>
      </c>
      <c r="G105" s="128">
        <f t="shared" si="110"/>
        <v>0</v>
      </c>
      <c r="H105" s="126"/>
      <c r="I105" s="127">
        <v>0</v>
      </c>
      <c r="J105" s="127">
        <v>0</v>
      </c>
      <c r="K105" s="127">
        <v>0</v>
      </c>
      <c r="L105" s="128">
        <f t="shared" si="109"/>
        <v>0</v>
      </c>
      <c r="M105" s="127">
        <v>0</v>
      </c>
      <c r="N105" s="127">
        <v>0</v>
      </c>
      <c r="O105" s="127">
        <v>0</v>
      </c>
      <c r="P105" s="128">
        <f t="shared" si="111"/>
        <v>0</v>
      </c>
      <c r="Q105" s="128">
        <f>S105/Model!$Q$239</f>
        <v>0</v>
      </c>
      <c r="S105" s="127">
        <v>0</v>
      </c>
    </row>
    <row r="106" spans="2:19">
      <c r="B106" s="131" t="s">
        <v>249</v>
      </c>
      <c r="C106" s="127">
        <v>0</v>
      </c>
      <c r="D106" s="127">
        <v>0</v>
      </c>
      <c r="E106" s="127">
        <v>0</v>
      </c>
      <c r="F106" s="127">
        <v>0</v>
      </c>
      <c r="G106" s="128">
        <f t="shared" si="110"/>
        <v>0</v>
      </c>
      <c r="H106" s="126"/>
      <c r="I106" s="127">
        <v>0</v>
      </c>
      <c r="J106" s="127">
        <v>0</v>
      </c>
      <c r="K106" s="127">
        <v>2950.4549999999999</v>
      </c>
      <c r="L106" s="128">
        <f t="shared" si="109"/>
        <v>0</v>
      </c>
      <c r="M106" s="127">
        <v>0</v>
      </c>
      <c r="N106" s="127">
        <v>0</v>
      </c>
      <c r="O106" s="127">
        <v>0</v>
      </c>
      <c r="P106" s="128">
        <f t="shared" si="111"/>
        <v>0</v>
      </c>
      <c r="Q106" s="128">
        <f>S106/Model!$Q$239</f>
        <v>0</v>
      </c>
      <c r="S106" s="127">
        <v>0</v>
      </c>
    </row>
    <row r="107" spans="2:19">
      <c r="B107" s="125" t="s">
        <v>259</v>
      </c>
      <c r="C107" s="134">
        <v>14509.870999999999</v>
      </c>
      <c r="D107" s="134">
        <v>12605.598</v>
      </c>
      <c r="E107" s="134">
        <v>42902.817999999999</v>
      </c>
      <c r="F107" s="134">
        <v>42773.254000000001</v>
      </c>
      <c r="G107" s="135">
        <f t="shared" si="110"/>
        <v>42202.97683639999</v>
      </c>
      <c r="H107" s="125"/>
      <c r="I107" s="134">
        <v>12465.698</v>
      </c>
      <c r="J107" s="134">
        <v>13691.816000000001</v>
      </c>
      <c r="K107" s="134">
        <v>36233.642999999996</v>
      </c>
      <c r="L107" s="135">
        <f t="shared" si="109"/>
        <v>42902.817999999999</v>
      </c>
      <c r="M107" s="134">
        <v>41738.76</v>
      </c>
      <c r="N107" s="134">
        <v>38499.360000000001</v>
      </c>
      <c r="O107" s="134">
        <v>37260.946000000004</v>
      </c>
      <c r="P107" s="135">
        <f t="shared" si="111"/>
        <v>42773.254000000001</v>
      </c>
      <c r="Q107" s="135">
        <f>S107/Model!$Q$239</f>
        <v>42202.97683639999</v>
      </c>
      <c r="S107" s="127">
        <v>2402.5239999999999</v>
      </c>
    </row>
    <row r="108" spans="2:19">
      <c r="B108" s="125" t="s">
        <v>23</v>
      </c>
      <c r="C108" s="129">
        <f>C99+C107</f>
        <v>17900.778999999999</v>
      </c>
      <c r="D108" s="129">
        <f>D99+D107</f>
        <v>15535.29</v>
      </c>
      <c r="E108" s="129">
        <f>E99+E107</f>
        <v>46422.516000000003</v>
      </c>
      <c r="F108" s="129">
        <f>F99+F107</f>
        <v>43933.491000000002</v>
      </c>
      <c r="G108" s="129">
        <f>G99+G107</f>
        <v>43292.742548199989</v>
      </c>
      <c r="H108" s="125"/>
      <c r="I108" s="129">
        <f t="shared" ref="I108:O108" si="112">I99+I107</f>
        <v>15350.595000000001</v>
      </c>
      <c r="J108" s="129">
        <f t="shared" si="112"/>
        <v>16862.392</v>
      </c>
      <c r="K108" s="129">
        <f t="shared" si="112"/>
        <v>42568.681999999993</v>
      </c>
      <c r="L108" s="129">
        <f t="shared" si="112"/>
        <v>46422.516000000003</v>
      </c>
      <c r="M108" s="129">
        <f t="shared" si="112"/>
        <v>45229.923999999999</v>
      </c>
      <c r="N108" s="129">
        <f t="shared" si="112"/>
        <v>42120.823000000004</v>
      </c>
      <c r="O108" s="129">
        <f t="shared" si="112"/>
        <v>40787.047000000006</v>
      </c>
      <c r="P108" s="129">
        <f t="shared" ref="P108:Q108" si="113">P99+P107</f>
        <v>43933.491000000002</v>
      </c>
      <c r="Q108" s="129">
        <f t="shared" si="113"/>
        <v>43292.742548199989</v>
      </c>
      <c r="S108" s="129">
        <f t="shared" ref="S108" si="114">S99+S107</f>
        <v>2464.5619999999999</v>
      </c>
    </row>
    <row r="109" spans="2:19">
      <c r="B109" s="153" t="s">
        <v>32</v>
      </c>
      <c r="C109" s="154">
        <f>C108-Model!C136</f>
        <v>0</v>
      </c>
      <c r="D109" s="154">
        <f>D108-Model!D136</f>
        <v>0</v>
      </c>
      <c r="E109" s="154">
        <f>E108-Model!E136</f>
        <v>0</v>
      </c>
      <c r="F109" s="154">
        <f>F108-Model!F136</f>
        <v>0</v>
      </c>
      <c r="G109" s="154">
        <f>G108-Model!G136</f>
        <v>-919.03516980000859</v>
      </c>
      <c r="H109" s="125"/>
      <c r="I109" s="154">
        <f>I108-Model!I136</f>
        <v>0</v>
      </c>
      <c r="J109" s="154">
        <f>J108-Model!J136</f>
        <v>0</v>
      </c>
      <c r="K109" s="154">
        <f>K108-Model!K136</f>
        <v>0</v>
      </c>
      <c r="L109" s="154">
        <f>L108-Model!L136</f>
        <v>0</v>
      </c>
      <c r="M109" s="154">
        <f>M108-Model!M136</f>
        <v>0</v>
      </c>
      <c r="N109" s="154">
        <f>N108-Model!N136</f>
        <v>0</v>
      </c>
      <c r="O109" s="154">
        <f>O108-Model!O136</f>
        <v>0</v>
      </c>
      <c r="P109" s="154">
        <f>P108-Model!P136</f>
        <v>0</v>
      </c>
      <c r="Q109" s="154">
        <f>Q108-Model!Q136</f>
        <v>-919.03516980000859</v>
      </c>
      <c r="S109" s="154">
        <f>S108-Model!S136</f>
        <v>0</v>
      </c>
    </row>
    <row r="110" spans="2:19">
      <c r="B110" s="125"/>
      <c r="C110" s="129"/>
      <c r="D110" s="129"/>
      <c r="E110" s="129"/>
      <c r="F110" s="129"/>
      <c r="G110" s="133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</row>
    <row r="111" spans="2:19" hidden="1" outlineLevel="1">
      <c r="B111" s="142" t="s">
        <v>260</v>
      </c>
      <c r="C111" s="149"/>
      <c r="D111" s="149"/>
      <c r="E111" s="149"/>
      <c r="F111" s="149"/>
      <c r="G111" s="150"/>
      <c r="H111" s="125"/>
      <c r="I111" s="142"/>
      <c r="J111" s="142"/>
      <c r="K111" s="142"/>
      <c r="L111" s="142"/>
      <c r="M111" s="142"/>
      <c r="N111" s="142"/>
      <c r="O111" s="142"/>
      <c r="P111" s="142"/>
      <c r="Q111" s="142"/>
    </row>
    <row r="112" spans="2:19" hidden="1" outlineLevel="1">
      <c r="B112" s="132" t="s">
        <v>243</v>
      </c>
      <c r="C112" s="127">
        <v>0</v>
      </c>
      <c r="D112" s="151"/>
      <c r="E112" s="151"/>
      <c r="F112" s="151"/>
      <c r="G112" s="151"/>
      <c r="H112" s="125"/>
      <c r="I112" s="151"/>
      <c r="J112" s="151"/>
      <c r="K112" s="151"/>
      <c r="L112" s="151"/>
      <c r="M112" s="151"/>
      <c r="N112" s="151"/>
      <c r="O112" s="151"/>
      <c r="P112" s="151"/>
      <c r="Q112" s="151"/>
    </row>
    <row r="113" spans="2:19" hidden="1" outlineLevel="1">
      <c r="B113" s="132" t="s">
        <v>244</v>
      </c>
      <c r="C113" s="127">
        <v>0</v>
      </c>
      <c r="D113" s="151"/>
      <c r="E113" s="151"/>
      <c r="F113" s="151"/>
      <c r="G113" s="151"/>
      <c r="H113" s="125"/>
      <c r="I113" s="151"/>
      <c r="J113" s="151"/>
      <c r="K113" s="151"/>
      <c r="L113" s="151"/>
      <c r="M113" s="151"/>
      <c r="N113" s="151"/>
      <c r="O113" s="151"/>
      <c r="P113" s="151"/>
      <c r="Q113" s="151"/>
    </row>
    <row r="114" spans="2:19" hidden="1" outlineLevel="1">
      <c r="B114" s="132" t="s">
        <v>245</v>
      </c>
      <c r="C114" s="127">
        <v>0</v>
      </c>
      <c r="D114" s="151"/>
      <c r="E114" s="151"/>
      <c r="F114" s="151"/>
      <c r="G114" s="151"/>
      <c r="H114" s="125"/>
      <c r="I114" s="151"/>
      <c r="J114" s="151"/>
      <c r="K114" s="151"/>
      <c r="L114" s="151"/>
      <c r="M114" s="151"/>
      <c r="N114" s="151"/>
      <c r="O114" s="151"/>
      <c r="P114" s="151"/>
      <c r="Q114" s="151"/>
    </row>
    <row r="115" spans="2:19" hidden="1" outlineLevel="1">
      <c r="B115" s="132" t="s">
        <v>246</v>
      </c>
      <c r="C115" s="127">
        <v>0</v>
      </c>
      <c r="D115" s="151"/>
      <c r="E115" s="151"/>
      <c r="F115" s="151"/>
      <c r="G115" s="151"/>
      <c r="H115" s="125"/>
      <c r="I115" s="151"/>
      <c r="J115" s="151"/>
      <c r="K115" s="151"/>
      <c r="L115" s="151"/>
      <c r="M115" s="151"/>
      <c r="N115" s="151"/>
      <c r="O115" s="151"/>
      <c r="P115" s="151"/>
      <c r="Q115" s="151"/>
    </row>
    <row r="116" spans="2:19" hidden="1" outlineLevel="1">
      <c r="B116" s="132" t="s">
        <v>247</v>
      </c>
      <c r="C116" s="127">
        <v>421.113</v>
      </c>
      <c r="D116" s="151"/>
      <c r="E116" s="151"/>
      <c r="F116" s="151"/>
      <c r="G116" s="151"/>
      <c r="H116" s="125"/>
      <c r="I116" s="151"/>
      <c r="J116" s="151"/>
      <c r="K116" s="151"/>
      <c r="L116" s="151"/>
      <c r="M116" s="151"/>
      <c r="N116" s="151"/>
      <c r="O116" s="151"/>
      <c r="P116" s="151"/>
      <c r="Q116" s="151"/>
    </row>
    <row r="117" spans="2:19" hidden="1" outlineLevel="1">
      <c r="B117" s="132" t="s">
        <v>248</v>
      </c>
      <c r="C117" s="127">
        <v>118.105</v>
      </c>
      <c r="D117" s="151"/>
      <c r="E117" s="151"/>
      <c r="F117" s="151"/>
      <c r="G117" s="151"/>
      <c r="H117" s="125"/>
      <c r="I117" s="151"/>
      <c r="J117" s="151"/>
      <c r="K117" s="151"/>
      <c r="L117" s="151"/>
      <c r="M117" s="151"/>
      <c r="N117" s="151"/>
      <c r="O117" s="151"/>
      <c r="P117" s="151"/>
      <c r="Q117" s="151"/>
    </row>
    <row r="118" spans="2:19" hidden="1" outlineLevel="1">
      <c r="B118" s="132" t="s">
        <v>249</v>
      </c>
      <c r="C118" s="127">
        <v>0</v>
      </c>
      <c r="D118" s="151"/>
      <c r="E118" s="151"/>
      <c r="F118" s="151"/>
      <c r="G118" s="151"/>
      <c r="H118" s="125"/>
      <c r="I118" s="151"/>
      <c r="J118" s="151"/>
      <c r="K118" s="151"/>
      <c r="L118" s="151"/>
      <c r="M118" s="151"/>
      <c r="N118" s="151"/>
      <c r="O118" s="151"/>
      <c r="P118" s="151"/>
      <c r="Q118" s="151"/>
    </row>
    <row r="119" spans="2:19" hidden="1" outlineLevel="1">
      <c r="B119" s="125" t="s">
        <v>23</v>
      </c>
      <c r="C119" s="129">
        <f>SUM(C112:C118)</f>
        <v>539.21799999999996</v>
      </c>
      <c r="D119" s="141"/>
      <c r="E119" s="141"/>
      <c r="F119" s="141"/>
      <c r="G119" s="141"/>
      <c r="H119" s="125"/>
      <c r="I119" s="151"/>
      <c r="J119" s="151"/>
      <c r="K119" s="151"/>
      <c r="L119" s="151"/>
      <c r="M119" s="151"/>
      <c r="N119" s="151"/>
      <c r="O119" s="151"/>
      <c r="P119" s="151"/>
      <c r="Q119" s="151"/>
    </row>
    <row r="120" spans="2:19" hidden="1" outlineLevel="1">
      <c r="B120" s="125"/>
      <c r="C120" s="129"/>
      <c r="D120" s="129"/>
      <c r="E120" s="129"/>
      <c r="F120" s="129"/>
      <c r="G120" s="133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</row>
    <row r="121" spans="2:19" collapsed="1">
      <c r="B121" s="142" t="s">
        <v>261</v>
      </c>
      <c r="C121" s="144"/>
      <c r="D121" s="144"/>
      <c r="E121" s="144"/>
      <c r="F121" s="144"/>
      <c r="G121" s="144"/>
      <c r="H121" s="125"/>
      <c r="I121" s="143"/>
      <c r="J121" s="143"/>
      <c r="K121" s="143"/>
      <c r="L121" s="143"/>
      <c r="M121" s="143"/>
      <c r="N121" s="143"/>
      <c r="O121" s="143"/>
      <c r="P121" s="143"/>
      <c r="Q121" s="143"/>
      <c r="S121" s="143"/>
    </row>
    <row r="122" spans="2:19">
      <c r="B122" s="126" t="s">
        <v>121</v>
      </c>
      <c r="C122" s="127">
        <v>28</v>
      </c>
      <c r="D122" s="127">
        <v>31</v>
      </c>
      <c r="E122" s="127">
        <v>47</v>
      </c>
      <c r="F122" s="127">
        <v>57</v>
      </c>
      <c r="G122" s="128">
        <f>SUM(N122:Q122)</f>
        <v>57</v>
      </c>
      <c r="H122" s="125"/>
      <c r="I122" s="127">
        <v>9</v>
      </c>
      <c r="J122" s="127">
        <f>19-I122</f>
        <v>10</v>
      </c>
      <c r="K122" s="127">
        <f>32-J122-I122</f>
        <v>13</v>
      </c>
      <c r="L122" s="128">
        <f>E122-K122-J122-I122</f>
        <v>15</v>
      </c>
      <c r="M122" s="127">
        <v>14</v>
      </c>
      <c r="N122" s="127">
        <f>28-M122</f>
        <v>14</v>
      </c>
      <c r="O122" s="127">
        <f>42-N122-M122</f>
        <v>14</v>
      </c>
      <c r="P122" s="128">
        <f>F122-O122-N122-M122</f>
        <v>15</v>
      </c>
      <c r="Q122" s="127">
        <f>S122</f>
        <v>14</v>
      </c>
      <c r="S122" s="127">
        <v>14</v>
      </c>
    </row>
    <row r="123" spans="2:19">
      <c r="B123" s="126" t="s">
        <v>262</v>
      </c>
      <c r="C123" s="127">
        <v>33</v>
      </c>
      <c r="D123" s="127">
        <v>59</v>
      </c>
      <c r="E123" s="127">
        <v>41</v>
      </c>
      <c r="F123" s="151"/>
      <c r="G123" s="151"/>
      <c r="H123" s="126"/>
      <c r="I123" s="151"/>
      <c r="J123" s="127">
        <f>41-I123</f>
        <v>41</v>
      </c>
      <c r="K123" s="127">
        <f>41-J123-I123</f>
        <v>0</v>
      </c>
      <c r="L123" s="128">
        <f>E123-K123-J123-I123</f>
        <v>0</v>
      </c>
      <c r="M123" s="151"/>
      <c r="N123" s="151"/>
      <c r="O123" s="151"/>
      <c r="P123" s="151"/>
      <c r="Q123" s="151"/>
      <c r="S123" s="151"/>
    </row>
    <row r="124" spans="2:19">
      <c r="B124" s="125" t="s">
        <v>23</v>
      </c>
      <c r="C124" s="129">
        <f t="shared" ref="C124:D124" si="115">SUM(C122:C123)</f>
        <v>61</v>
      </c>
      <c r="D124" s="129">
        <f t="shared" si="115"/>
        <v>90</v>
      </c>
      <c r="E124" s="129">
        <f>SUM(E122:E123)</f>
        <v>88</v>
      </c>
      <c r="F124" s="129">
        <f>SUM(F122:F123)</f>
        <v>57</v>
      </c>
      <c r="G124" s="151"/>
      <c r="H124" s="125"/>
      <c r="I124" s="129">
        <f t="shared" ref="I124:L124" si="116">SUM(I122:I123)</f>
        <v>9</v>
      </c>
      <c r="J124" s="129">
        <f t="shared" si="116"/>
        <v>51</v>
      </c>
      <c r="K124" s="129">
        <f t="shared" si="116"/>
        <v>13</v>
      </c>
      <c r="L124" s="129">
        <f t="shared" si="116"/>
        <v>15</v>
      </c>
      <c r="M124" s="151"/>
      <c r="N124" s="151"/>
      <c r="O124" s="151"/>
      <c r="P124" s="129">
        <f t="shared" ref="P124" si="117">SUM(P122:P123)</f>
        <v>15</v>
      </c>
      <c r="Q124" s="151"/>
      <c r="S124" s="129">
        <f t="shared" ref="S124" si="118">SUM(S122:S123)</f>
        <v>14</v>
      </c>
    </row>
    <row r="125" spans="2:19">
      <c r="B125" s="126"/>
      <c r="C125" s="130"/>
      <c r="D125" s="130"/>
      <c r="E125" s="130"/>
      <c r="F125" s="130"/>
      <c r="G125" s="130"/>
      <c r="H125" s="125"/>
      <c r="I125" s="126"/>
      <c r="J125" s="126"/>
      <c r="K125" s="126"/>
      <c r="L125" s="126"/>
      <c r="M125" s="126"/>
      <c r="N125" s="126"/>
      <c r="O125" s="126"/>
      <c r="P125" s="126"/>
      <c r="Q125" s="126"/>
      <c r="S125" s="126"/>
    </row>
    <row r="126" spans="2:19">
      <c r="B126" s="142" t="s">
        <v>263</v>
      </c>
      <c r="C126" s="144"/>
      <c r="D126" s="144"/>
      <c r="E126" s="144"/>
      <c r="F126" s="144"/>
      <c r="G126" s="144"/>
      <c r="H126" s="125"/>
      <c r="I126" s="143"/>
      <c r="J126" s="143"/>
      <c r="K126" s="143"/>
      <c r="L126" s="143"/>
      <c r="M126" s="143"/>
      <c r="N126" s="143"/>
      <c r="O126" s="143"/>
      <c r="P126" s="143"/>
      <c r="Q126" s="143"/>
      <c r="S126" s="143"/>
    </row>
    <row r="127" spans="2:19">
      <c r="B127" s="126" t="s">
        <v>264</v>
      </c>
      <c r="C127" s="148"/>
      <c r="D127" s="148"/>
      <c r="E127" s="148"/>
      <c r="F127" s="148"/>
      <c r="G127" s="148"/>
      <c r="H127" s="125"/>
      <c r="I127" s="137">
        <v>0.996</v>
      </c>
      <c r="J127" s="137">
        <v>0.98399999999999999</v>
      </c>
      <c r="K127" s="137">
        <v>0.98099999999999998</v>
      </c>
      <c r="L127" s="137">
        <v>0.98299999999999998</v>
      </c>
      <c r="M127" s="137">
        <v>0.98799999999999999</v>
      </c>
      <c r="N127" s="137">
        <v>0.97699999999999998</v>
      </c>
      <c r="O127" s="137">
        <v>0.98</v>
      </c>
      <c r="P127" s="137">
        <v>0.97</v>
      </c>
      <c r="Q127" s="137">
        <f>S127</f>
        <v>0.97</v>
      </c>
      <c r="S127" s="137">
        <v>0.97</v>
      </c>
    </row>
    <row r="128" spans="2:19">
      <c r="B128" s="126" t="s">
        <v>265</v>
      </c>
      <c r="C128" s="148"/>
      <c r="D128" s="148"/>
      <c r="E128" s="148"/>
      <c r="F128" s="148"/>
      <c r="G128" s="148"/>
      <c r="H128" s="126"/>
      <c r="I128" s="137">
        <v>0.99399999999999999</v>
      </c>
      <c r="J128" s="137">
        <v>0.98599999999999999</v>
      </c>
      <c r="K128" s="137">
        <v>0.97799999999999998</v>
      </c>
      <c r="L128" s="137">
        <v>0.98099999999999998</v>
      </c>
      <c r="M128" s="137">
        <v>0.98099999999999998</v>
      </c>
      <c r="N128" s="137">
        <v>0.98199999999999998</v>
      </c>
      <c r="O128" s="137">
        <v>0.97899999999999998</v>
      </c>
      <c r="P128" s="137">
        <v>0.96899999999999997</v>
      </c>
      <c r="Q128" s="137">
        <f>S128</f>
        <v>0.97399999999999998</v>
      </c>
      <c r="S128" s="137">
        <v>0.97399999999999998</v>
      </c>
    </row>
    <row r="129" spans="2:19">
      <c r="B129" s="126"/>
      <c r="C129" s="130"/>
      <c r="D129" s="130"/>
      <c r="E129" s="130"/>
      <c r="F129" s="130"/>
      <c r="G129" s="130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S129" s="126"/>
    </row>
    <row r="130" spans="2:19">
      <c r="B130" s="142" t="s">
        <v>266</v>
      </c>
      <c r="C130" s="136"/>
      <c r="D130" s="136"/>
      <c r="E130" s="136"/>
      <c r="F130" s="136"/>
      <c r="G130" s="136"/>
      <c r="H130" s="125"/>
      <c r="I130" s="138">
        <v>0.754</v>
      </c>
      <c r="J130" s="138">
        <v>0.65800000000000003</v>
      </c>
      <c r="K130" s="138">
        <v>0.52700000000000002</v>
      </c>
      <c r="L130" s="138">
        <v>0.84499999999999997</v>
      </c>
      <c r="M130" s="138">
        <v>0.93600000000000005</v>
      </c>
      <c r="N130" s="138">
        <v>0.86</v>
      </c>
      <c r="O130" s="138">
        <v>0.81699999999999995</v>
      </c>
      <c r="P130" s="138">
        <v>0.71099999999999997</v>
      </c>
      <c r="Q130" s="138">
        <f>S130</f>
        <v>0.81200000000000006</v>
      </c>
      <c r="S130" s="138">
        <v>0.81200000000000006</v>
      </c>
    </row>
    <row r="131" spans="2:19">
      <c r="B131" s="126"/>
      <c r="C131" s="130"/>
      <c r="D131" s="130"/>
      <c r="E131" s="130"/>
      <c r="F131" s="130"/>
      <c r="G131" s="130"/>
      <c r="H131" s="126"/>
      <c r="I131" s="126"/>
      <c r="J131" s="126"/>
      <c r="K131" s="126"/>
      <c r="L131" s="126"/>
      <c r="M131" s="126"/>
      <c r="N131" s="126"/>
      <c r="O131" s="126"/>
      <c r="P131" s="126"/>
      <c r="Q131" s="126"/>
      <c r="S131" s="126"/>
    </row>
    <row r="132" spans="2:19">
      <c r="B132" s="142" t="s">
        <v>267</v>
      </c>
      <c r="C132" s="144"/>
      <c r="D132" s="144"/>
      <c r="E132" s="144"/>
      <c r="F132" s="144"/>
      <c r="G132" s="150"/>
      <c r="H132" s="126"/>
      <c r="I132" s="152"/>
      <c r="J132" s="152"/>
      <c r="K132" s="152"/>
      <c r="L132" s="152"/>
      <c r="M132" s="152"/>
      <c r="N132" s="152"/>
      <c r="O132" s="152"/>
      <c r="P132" s="152"/>
      <c r="Q132" s="152"/>
      <c r="S132" s="152"/>
    </row>
    <row r="133" spans="2:19">
      <c r="B133" s="126" t="s">
        <v>268</v>
      </c>
      <c r="C133" s="148"/>
      <c r="D133" s="148"/>
      <c r="E133" s="148"/>
      <c r="F133" s="148"/>
      <c r="G133" s="148"/>
      <c r="H133" s="126"/>
      <c r="I133" s="137">
        <v>0.123</v>
      </c>
      <c r="J133" s="137">
        <v>0.11899999999999999</v>
      </c>
      <c r="K133" s="137">
        <v>4.3999999999999997E-2</v>
      </c>
      <c r="L133" s="137">
        <v>3.7999999999999999E-2</v>
      </c>
      <c r="M133" s="137">
        <v>0.02</v>
      </c>
      <c r="N133" s="137">
        <v>1E-3</v>
      </c>
      <c r="O133" s="137">
        <v>0.14799999999999999</v>
      </c>
      <c r="P133" s="137">
        <v>9.4E-2</v>
      </c>
      <c r="Q133" s="137">
        <f>S133</f>
        <v>9.9000000000000005E-2</v>
      </c>
      <c r="S133" s="137">
        <v>9.9000000000000005E-2</v>
      </c>
    </row>
    <row r="134" spans="2:19">
      <c r="B134" s="126" t="s">
        <v>269</v>
      </c>
      <c r="C134" s="148"/>
      <c r="D134" s="148"/>
      <c r="E134" s="148"/>
      <c r="F134" s="148"/>
      <c r="G134" s="148"/>
      <c r="H134" s="126"/>
      <c r="I134" s="137">
        <v>9.7000000000000003E-2</v>
      </c>
      <c r="J134" s="137">
        <v>0.112</v>
      </c>
      <c r="K134" s="137">
        <v>0.03</v>
      </c>
      <c r="L134" s="137">
        <v>3.2000000000000001E-2</v>
      </c>
      <c r="M134" s="137">
        <v>4.5999999999999999E-2</v>
      </c>
      <c r="N134" s="137">
        <v>0.05</v>
      </c>
      <c r="O134" s="137">
        <v>0.152</v>
      </c>
      <c r="P134" s="137">
        <v>0.13700000000000001</v>
      </c>
      <c r="Q134" s="137">
        <f>S134</f>
        <v>0.107</v>
      </c>
      <c r="S134" s="137">
        <v>0.107</v>
      </c>
    </row>
    <row r="135" spans="2:19">
      <c r="B135" s="126"/>
      <c r="C135" s="130"/>
      <c r="D135" s="130"/>
      <c r="E135" s="130"/>
      <c r="F135" s="130"/>
      <c r="G135" s="130"/>
      <c r="H135" s="126"/>
      <c r="I135" s="126"/>
      <c r="J135" s="126"/>
      <c r="K135" s="126"/>
      <c r="L135" s="126"/>
      <c r="M135" s="126"/>
      <c r="N135" s="126"/>
      <c r="O135" s="126"/>
      <c r="P135" s="126"/>
      <c r="Q135" s="126"/>
      <c r="S135" s="126"/>
    </row>
    <row r="136" spans="2:19">
      <c r="B136" s="142" t="s">
        <v>270</v>
      </c>
      <c r="C136" s="148"/>
      <c r="D136" s="148"/>
      <c r="E136" s="148"/>
      <c r="F136" s="148"/>
      <c r="G136" s="148"/>
      <c r="H136" s="125"/>
      <c r="I136" s="138">
        <v>0.47699999999999998</v>
      </c>
      <c r="J136" s="138">
        <v>0.58099999999999996</v>
      </c>
      <c r="K136" s="138">
        <v>0.56200000000000006</v>
      </c>
      <c r="L136" s="138">
        <v>0.61</v>
      </c>
      <c r="M136" s="138">
        <v>0.65200000000000002</v>
      </c>
      <c r="N136" s="138">
        <v>0.68</v>
      </c>
      <c r="O136" s="138">
        <v>0.47199999999999998</v>
      </c>
      <c r="P136" s="138">
        <v>0.64800000000000002</v>
      </c>
      <c r="Q136" s="138">
        <f>S136</f>
        <v>0.59599999999999997</v>
      </c>
      <c r="S136" s="138">
        <v>0.59599999999999997</v>
      </c>
    </row>
  </sheetData>
  <pageMargins left="0.7" right="0.7" top="0.75" bottom="0.75" header="0.3" footer="0.3"/>
  <pageSetup orientation="portrait" horizontalDpi="90" verticalDpi="9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519BE-5B41-43E8-83CA-5AFC84753AD2}">
  <dimension ref="B2:S24"/>
  <sheetViews>
    <sheetView showGridLines="0" zoomScale="85" zoomScaleNormal="85" workbookViewId="0">
      <pane xSplit="2" ySplit="6" topLeftCell="C7" activePane="bottomRight" state="frozen"/>
      <selection pane="bottomRight" activeCell="W2" sqref="W2"/>
      <selection pane="bottomLeft" activeCell="J65" sqref="J65"/>
      <selection pane="topRight" activeCell="J65" sqref="J65"/>
    </sheetView>
  </sheetViews>
  <sheetFormatPr defaultColWidth="11.42578125" defaultRowHeight="12.75" outlineLevelCol="1"/>
  <cols>
    <col min="1" max="1" width="2.7109375" style="18" customWidth="1"/>
    <col min="2" max="2" width="50.7109375" style="18" customWidth="1"/>
    <col min="3" max="3" width="12.7109375" style="18" hidden="1" customWidth="1" outlineLevel="1"/>
    <col min="4" max="4" width="12.7109375" style="18" customWidth="1" collapsed="1"/>
    <col min="5" max="7" width="12.7109375" style="18" customWidth="1"/>
    <col min="8" max="8" width="12.7109375" customWidth="1"/>
    <col min="9" max="19" width="12.7109375" style="18" customWidth="1"/>
    <col min="20" max="20" width="11.85546875" style="18" bestFit="1" customWidth="1"/>
    <col min="21" max="235" width="11.42578125" style="18"/>
    <col min="236" max="236" width="3.5703125" style="18" customWidth="1"/>
    <col min="237" max="237" width="13.28515625" style="18" customWidth="1"/>
    <col min="238" max="245" width="11.42578125" style="18" customWidth="1"/>
    <col min="246" max="246" width="9.7109375" style="18" bestFit="1" customWidth="1"/>
    <col min="247" max="250" width="0" style="18" hidden="1" customWidth="1"/>
    <col min="251" max="259" width="11.42578125" style="18" customWidth="1"/>
    <col min="260" max="491" width="11.42578125" style="18"/>
    <col min="492" max="492" width="3.5703125" style="18" customWidth="1"/>
    <col min="493" max="493" width="13.28515625" style="18" customWidth="1"/>
    <col min="494" max="501" width="11.42578125" style="18" customWidth="1"/>
    <col min="502" max="502" width="9.7109375" style="18" bestFit="1" customWidth="1"/>
    <col min="503" max="506" width="0" style="18" hidden="1" customWidth="1"/>
    <col min="507" max="515" width="11.42578125" style="18" customWidth="1"/>
    <col min="516" max="747" width="11.42578125" style="18"/>
    <col min="748" max="748" width="3.5703125" style="18" customWidth="1"/>
    <col min="749" max="749" width="13.28515625" style="18" customWidth="1"/>
    <col min="750" max="757" width="11.42578125" style="18" customWidth="1"/>
    <col min="758" max="758" width="9.7109375" style="18" bestFit="1" customWidth="1"/>
    <col min="759" max="762" width="0" style="18" hidden="1" customWidth="1"/>
    <col min="763" max="771" width="11.42578125" style="18" customWidth="1"/>
    <col min="772" max="1003" width="11.42578125" style="18"/>
    <col min="1004" max="1004" width="3.5703125" style="18" customWidth="1"/>
    <col min="1005" max="1005" width="13.28515625" style="18" customWidth="1"/>
    <col min="1006" max="1013" width="11.42578125" style="18" customWidth="1"/>
    <col min="1014" max="1014" width="9.7109375" style="18" bestFit="1" customWidth="1"/>
    <col min="1015" max="1018" width="0" style="18" hidden="1" customWidth="1"/>
    <col min="1019" max="1027" width="11.42578125" style="18" customWidth="1"/>
    <col min="1028" max="1259" width="11.42578125" style="18"/>
    <col min="1260" max="1260" width="3.5703125" style="18" customWidth="1"/>
    <col min="1261" max="1261" width="13.28515625" style="18" customWidth="1"/>
    <col min="1262" max="1269" width="11.42578125" style="18" customWidth="1"/>
    <col min="1270" max="1270" width="9.7109375" style="18" bestFit="1" customWidth="1"/>
    <col min="1271" max="1274" width="0" style="18" hidden="1" customWidth="1"/>
    <col min="1275" max="1283" width="11.42578125" style="18" customWidth="1"/>
    <col min="1284" max="1515" width="11.42578125" style="18"/>
    <col min="1516" max="1516" width="3.5703125" style="18" customWidth="1"/>
    <col min="1517" max="1517" width="13.28515625" style="18" customWidth="1"/>
    <col min="1518" max="1525" width="11.42578125" style="18" customWidth="1"/>
    <col min="1526" max="1526" width="9.7109375" style="18" bestFit="1" customWidth="1"/>
    <col min="1527" max="1530" width="0" style="18" hidden="1" customWidth="1"/>
    <col min="1531" max="1539" width="11.42578125" style="18" customWidth="1"/>
    <col min="1540" max="1771" width="11.42578125" style="18"/>
    <col min="1772" max="1772" width="3.5703125" style="18" customWidth="1"/>
    <col min="1773" max="1773" width="13.28515625" style="18" customWidth="1"/>
    <col min="1774" max="1781" width="11.42578125" style="18" customWidth="1"/>
    <col min="1782" max="1782" width="9.7109375" style="18" bestFit="1" customWidth="1"/>
    <col min="1783" max="1786" width="0" style="18" hidden="1" customWidth="1"/>
    <col min="1787" max="1795" width="11.42578125" style="18" customWidth="1"/>
    <col min="1796" max="2027" width="11.42578125" style="18"/>
    <col min="2028" max="2028" width="3.5703125" style="18" customWidth="1"/>
    <col min="2029" max="2029" width="13.28515625" style="18" customWidth="1"/>
    <col min="2030" max="2037" width="11.42578125" style="18" customWidth="1"/>
    <col min="2038" max="2038" width="9.7109375" style="18" bestFit="1" customWidth="1"/>
    <col min="2039" max="2042" width="0" style="18" hidden="1" customWidth="1"/>
    <col min="2043" max="2051" width="11.42578125" style="18" customWidth="1"/>
    <col min="2052" max="2283" width="11.42578125" style="18"/>
    <col min="2284" max="2284" width="3.5703125" style="18" customWidth="1"/>
    <col min="2285" max="2285" width="13.28515625" style="18" customWidth="1"/>
    <col min="2286" max="2293" width="11.42578125" style="18" customWidth="1"/>
    <col min="2294" max="2294" width="9.7109375" style="18" bestFit="1" customWidth="1"/>
    <col min="2295" max="2298" width="0" style="18" hidden="1" customWidth="1"/>
    <col min="2299" max="2307" width="11.42578125" style="18" customWidth="1"/>
    <col min="2308" max="2539" width="11.42578125" style="18"/>
    <col min="2540" max="2540" width="3.5703125" style="18" customWidth="1"/>
    <col min="2541" max="2541" width="13.28515625" style="18" customWidth="1"/>
    <col min="2542" max="2549" width="11.42578125" style="18" customWidth="1"/>
    <col min="2550" max="2550" width="9.7109375" style="18" bestFit="1" customWidth="1"/>
    <col min="2551" max="2554" width="0" style="18" hidden="1" customWidth="1"/>
    <col min="2555" max="2563" width="11.42578125" style="18" customWidth="1"/>
    <col min="2564" max="2795" width="11.42578125" style="18"/>
    <col min="2796" max="2796" width="3.5703125" style="18" customWidth="1"/>
    <col min="2797" max="2797" width="13.28515625" style="18" customWidth="1"/>
    <col min="2798" max="2805" width="11.42578125" style="18" customWidth="1"/>
    <col min="2806" max="2806" width="9.7109375" style="18" bestFit="1" customWidth="1"/>
    <col min="2807" max="2810" width="0" style="18" hidden="1" customWidth="1"/>
    <col min="2811" max="2819" width="11.42578125" style="18" customWidth="1"/>
    <col min="2820" max="3051" width="11.42578125" style="18"/>
    <col min="3052" max="3052" width="3.5703125" style="18" customWidth="1"/>
    <col min="3053" max="3053" width="13.28515625" style="18" customWidth="1"/>
    <col min="3054" max="3061" width="11.42578125" style="18" customWidth="1"/>
    <col min="3062" max="3062" width="9.7109375" style="18" bestFit="1" customWidth="1"/>
    <col min="3063" max="3066" width="0" style="18" hidden="1" customWidth="1"/>
    <col min="3067" max="3075" width="11.42578125" style="18" customWidth="1"/>
    <col min="3076" max="3307" width="11.42578125" style="18"/>
    <col min="3308" max="3308" width="3.5703125" style="18" customWidth="1"/>
    <col min="3309" max="3309" width="13.28515625" style="18" customWidth="1"/>
    <col min="3310" max="3317" width="11.42578125" style="18" customWidth="1"/>
    <col min="3318" max="3318" width="9.7109375" style="18" bestFit="1" customWidth="1"/>
    <col min="3319" max="3322" width="0" style="18" hidden="1" customWidth="1"/>
    <col min="3323" max="3331" width="11.42578125" style="18" customWidth="1"/>
    <col min="3332" max="3563" width="11.42578125" style="18"/>
    <col min="3564" max="3564" width="3.5703125" style="18" customWidth="1"/>
    <col min="3565" max="3565" width="13.28515625" style="18" customWidth="1"/>
    <col min="3566" max="3573" width="11.42578125" style="18" customWidth="1"/>
    <col min="3574" max="3574" width="9.7109375" style="18" bestFit="1" customWidth="1"/>
    <col min="3575" max="3578" width="0" style="18" hidden="1" customWidth="1"/>
    <col min="3579" max="3587" width="11.42578125" style="18" customWidth="1"/>
    <col min="3588" max="3819" width="11.42578125" style="18"/>
    <col min="3820" max="3820" width="3.5703125" style="18" customWidth="1"/>
    <col min="3821" max="3821" width="13.28515625" style="18" customWidth="1"/>
    <col min="3822" max="3829" width="11.42578125" style="18" customWidth="1"/>
    <col min="3830" max="3830" width="9.7109375" style="18" bestFit="1" customWidth="1"/>
    <col min="3831" max="3834" width="0" style="18" hidden="1" customWidth="1"/>
    <col min="3835" max="3843" width="11.42578125" style="18" customWidth="1"/>
    <col min="3844" max="4075" width="11.42578125" style="18"/>
    <col min="4076" max="4076" width="3.5703125" style="18" customWidth="1"/>
    <col min="4077" max="4077" width="13.28515625" style="18" customWidth="1"/>
    <col min="4078" max="4085" width="11.42578125" style="18" customWidth="1"/>
    <col min="4086" max="4086" width="9.7109375" style="18" bestFit="1" customWidth="1"/>
    <col min="4087" max="4090" width="0" style="18" hidden="1" customWidth="1"/>
    <col min="4091" max="4099" width="11.42578125" style="18" customWidth="1"/>
    <col min="4100" max="4331" width="11.42578125" style="18"/>
    <col min="4332" max="4332" width="3.5703125" style="18" customWidth="1"/>
    <col min="4333" max="4333" width="13.28515625" style="18" customWidth="1"/>
    <col min="4334" max="4341" width="11.42578125" style="18" customWidth="1"/>
    <col min="4342" max="4342" width="9.7109375" style="18" bestFit="1" customWidth="1"/>
    <col min="4343" max="4346" width="0" style="18" hidden="1" customWidth="1"/>
    <col min="4347" max="4355" width="11.42578125" style="18" customWidth="1"/>
    <col min="4356" max="4587" width="11.42578125" style="18"/>
    <col min="4588" max="4588" width="3.5703125" style="18" customWidth="1"/>
    <col min="4589" max="4589" width="13.28515625" style="18" customWidth="1"/>
    <col min="4590" max="4597" width="11.42578125" style="18" customWidth="1"/>
    <col min="4598" max="4598" width="9.7109375" style="18" bestFit="1" customWidth="1"/>
    <col min="4599" max="4602" width="0" style="18" hidden="1" customWidth="1"/>
    <col min="4603" max="4611" width="11.42578125" style="18" customWidth="1"/>
    <col min="4612" max="4843" width="11.42578125" style="18"/>
    <col min="4844" max="4844" width="3.5703125" style="18" customWidth="1"/>
    <col min="4845" max="4845" width="13.28515625" style="18" customWidth="1"/>
    <col min="4846" max="4853" width="11.42578125" style="18" customWidth="1"/>
    <col min="4854" max="4854" width="9.7109375" style="18" bestFit="1" customWidth="1"/>
    <col min="4855" max="4858" width="0" style="18" hidden="1" customWidth="1"/>
    <col min="4859" max="4867" width="11.42578125" style="18" customWidth="1"/>
    <col min="4868" max="5099" width="11.42578125" style="18"/>
    <col min="5100" max="5100" width="3.5703125" style="18" customWidth="1"/>
    <col min="5101" max="5101" width="13.28515625" style="18" customWidth="1"/>
    <col min="5102" max="5109" width="11.42578125" style="18" customWidth="1"/>
    <col min="5110" max="5110" width="9.7109375" style="18" bestFit="1" customWidth="1"/>
    <col min="5111" max="5114" width="0" style="18" hidden="1" customWidth="1"/>
    <col min="5115" max="5123" width="11.42578125" style="18" customWidth="1"/>
    <col min="5124" max="5355" width="11.42578125" style="18"/>
    <col min="5356" max="5356" width="3.5703125" style="18" customWidth="1"/>
    <col min="5357" max="5357" width="13.28515625" style="18" customWidth="1"/>
    <col min="5358" max="5365" width="11.42578125" style="18" customWidth="1"/>
    <col min="5366" max="5366" width="9.7109375" style="18" bestFit="1" customWidth="1"/>
    <col min="5367" max="5370" width="0" style="18" hidden="1" customWidth="1"/>
    <col min="5371" max="5379" width="11.42578125" style="18" customWidth="1"/>
    <col min="5380" max="5611" width="11.42578125" style="18"/>
    <col min="5612" max="5612" width="3.5703125" style="18" customWidth="1"/>
    <col min="5613" max="5613" width="13.28515625" style="18" customWidth="1"/>
    <col min="5614" max="5621" width="11.42578125" style="18" customWidth="1"/>
    <col min="5622" max="5622" width="9.7109375" style="18" bestFit="1" customWidth="1"/>
    <col min="5623" max="5626" width="0" style="18" hidden="1" customWidth="1"/>
    <col min="5627" max="5635" width="11.42578125" style="18" customWidth="1"/>
    <col min="5636" max="5867" width="11.42578125" style="18"/>
    <col min="5868" max="5868" width="3.5703125" style="18" customWidth="1"/>
    <col min="5869" max="5869" width="13.28515625" style="18" customWidth="1"/>
    <col min="5870" max="5877" width="11.42578125" style="18" customWidth="1"/>
    <col min="5878" max="5878" width="9.7109375" style="18" bestFit="1" customWidth="1"/>
    <col min="5879" max="5882" width="0" style="18" hidden="1" customWidth="1"/>
    <col min="5883" max="5891" width="11.42578125" style="18" customWidth="1"/>
    <col min="5892" max="6123" width="11.42578125" style="18"/>
    <col min="6124" max="6124" width="3.5703125" style="18" customWidth="1"/>
    <col min="6125" max="6125" width="13.28515625" style="18" customWidth="1"/>
    <col min="6126" max="6133" width="11.42578125" style="18" customWidth="1"/>
    <col min="6134" max="6134" width="9.7109375" style="18" bestFit="1" customWidth="1"/>
    <col min="6135" max="6138" width="0" style="18" hidden="1" customWidth="1"/>
    <col min="6139" max="6147" width="11.42578125" style="18" customWidth="1"/>
    <col min="6148" max="6379" width="11.42578125" style="18"/>
    <col min="6380" max="6380" width="3.5703125" style="18" customWidth="1"/>
    <col min="6381" max="6381" width="13.28515625" style="18" customWidth="1"/>
    <col min="6382" max="6389" width="11.42578125" style="18" customWidth="1"/>
    <col min="6390" max="6390" width="9.7109375" style="18" bestFit="1" customWidth="1"/>
    <col min="6391" max="6394" width="0" style="18" hidden="1" customWidth="1"/>
    <col min="6395" max="6403" width="11.42578125" style="18" customWidth="1"/>
    <col min="6404" max="6635" width="11.42578125" style="18"/>
    <col min="6636" max="6636" width="3.5703125" style="18" customWidth="1"/>
    <col min="6637" max="6637" width="13.28515625" style="18" customWidth="1"/>
    <col min="6638" max="6645" width="11.42578125" style="18" customWidth="1"/>
    <col min="6646" max="6646" width="9.7109375" style="18" bestFit="1" customWidth="1"/>
    <col min="6647" max="6650" width="0" style="18" hidden="1" customWidth="1"/>
    <col min="6651" max="6659" width="11.42578125" style="18" customWidth="1"/>
    <col min="6660" max="6891" width="11.42578125" style="18"/>
    <col min="6892" max="6892" width="3.5703125" style="18" customWidth="1"/>
    <col min="6893" max="6893" width="13.28515625" style="18" customWidth="1"/>
    <col min="6894" max="6901" width="11.42578125" style="18" customWidth="1"/>
    <col min="6902" max="6902" width="9.7109375" style="18" bestFit="1" customWidth="1"/>
    <col min="6903" max="6906" width="0" style="18" hidden="1" customWidth="1"/>
    <col min="6907" max="6915" width="11.42578125" style="18" customWidth="1"/>
    <col min="6916" max="7147" width="11.42578125" style="18"/>
    <col min="7148" max="7148" width="3.5703125" style="18" customWidth="1"/>
    <col min="7149" max="7149" width="13.28515625" style="18" customWidth="1"/>
    <col min="7150" max="7157" width="11.42578125" style="18" customWidth="1"/>
    <col min="7158" max="7158" width="9.7109375" style="18" bestFit="1" customWidth="1"/>
    <col min="7159" max="7162" width="0" style="18" hidden="1" customWidth="1"/>
    <col min="7163" max="7171" width="11.42578125" style="18" customWidth="1"/>
    <col min="7172" max="7403" width="11.42578125" style="18"/>
    <col min="7404" max="7404" width="3.5703125" style="18" customWidth="1"/>
    <col min="7405" max="7405" width="13.28515625" style="18" customWidth="1"/>
    <col min="7406" max="7413" width="11.42578125" style="18" customWidth="1"/>
    <col min="7414" max="7414" width="9.7109375" style="18" bestFit="1" customWidth="1"/>
    <col min="7415" max="7418" width="0" style="18" hidden="1" customWidth="1"/>
    <col min="7419" max="7427" width="11.42578125" style="18" customWidth="1"/>
    <col min="7428" max="7659" width="11.42578125" style="18"/>
    <col min="7660" max="7660" width="3.5703125" style="18" customWidth="1"/>
    <col min="7661" max="7661" width="13.28515625" style="18" customWidth="1"/>
    <col min="7662" max="7669" width="11.42578125" style="18" customWidth="1"/>
    <col min="7670" max="7670" width="9.7109375" style="18" bestFit="1" customWidth="1"/>
    <col min="7671" max="7674" width="0" style="18" hidden="1" customWidth="1"/>
    <col min="7675" max="7683" width="11.42578125" style="18" customWidth="1"/>
    <col min="7684" max="7915" width="11.42578125" style="18"/>
    <col min="7916" max="7916" width="3.5703125" style="18" customWidth="1"/>
    <col min="7917" max="7917" width="13.28515625" style="18" customWidth="1"/>
    <col min="7918" max="7925" width="11.42578125" style="18" customWidth="1"/>
    <col min="7926" max="7926" width="9.7109375" style="18" bestFit="1" customWidth="1"/>
    <col min="7927" max="7930" width="0" style="18" hidden="1" customWidth="1"/>
    <col min="7931" max="7939" width="11.42578125" style="18" customWidth="1"/>
    <col min="7940" max="8171" width="11.42578125" style="18"/>
    <col min="8172" max="8172" width="3.5703125" style="18" customWidth="1"/>
    <col min="8173" max="8173" width="13.28515625" style="18" customWidth="1"/>
    <col min="8174" max="8181" width="11.42578125" style="18" customWidth="1"/>
    <col min="8182" max="8182" width="9.7109375" style="18" bestFit="1" customWidth="1"/>
    <col min="8183" max="8186" width="0" style="18" hidden="1" customWidth="1"/>
    <col min="8187" max="8195" width="11.42578125" style="18" customWidth="1"/>
    <col min="8196" max="8427" width="11.42578125" style="18"/>
    <col min="8428" max="8428" width="3.5703125" style="18" customWidth="1"/>
    <col min="8429" max="8429" width="13.28515625" style="18" customWidth="1"/>
    <col min="8430" max="8437" width="11.42578125" style="18" customWidth="1"/>
    <col min="8438" max="8438" width="9.7109375" style="18" bestFit="1" customWidth="1"/>
    <col min="8439" max="8442" width="0" style="18" hidden="1" customWidth="1"/>
    <col min="8443" max="8451" width="11.42578125" style="18" customWidth="1"/>
    <col min="8452" max="8683" width="11.42578125" style="18"/>
    <col min="8684" max="8684" width="3.5703125" style="18" customWidth="1"/>
    <col min="8685" max="8685" width="13.28515625" style="18" customWidth="1"/>
    <col min="8686" max="8693" width="11.42578125" style="18" customWidth="1"/>
    <col min="8694" max="8694" width="9.7109375" style="18" bestFit="1" customWidth="1"/>
    <col min="8695" max="8698" width="0" style="18" hidden="1" customWidth="1"/>
    <col min="8699" max="8707" width="11.42578125" style="18" customWidth="1"/>
    <col min="8708" max="8939" width="11.42578125" style="18"/>
    <col min="8940" max="8940" width="3.5703125" style="18" customWidth="1"/>
    <col min="8941" max="8941" width="13.28515625" style="18" customWidth="1"/>
    <col min="8942" max="8949" width="11.42578125" style="18" customWidth="1"/>
    <col min="8950" max="8950" width="9.7109375" style="18" bestFit="1" customWidth="1"/>
    <col min="8951" max="8954" width="0" style="18" hidden="1" customWidth="1"/>
    <col min="8955" max="8963" width="11.42578125" style="18" customWidth="1"/>
    <col min="8964" max="9195" width="11.42578125" style="18"/>
    <col min="9196" max="9196" width="3.5703125" style="18" customWidth="1"/>
    <col min="9197" max="9197" width="13.28515625" style="18" customWidth="1"/>
    <col min="9198" max="9205" width="11.42578125" style="18" customWidth="1"/>
    <col min="9206" max="9206" width="9.7109375" style="18" bestFit="1" customWidth="1"/>
    <col min="9207" max="9210" width="0" style="18" hidden="1" customWidth="1"/>
    <col min="9211" max="9219" width="11.42578125" style="18" customWidth="1"/>
    <col min="9220" max="9451" width="11.42578125" style="18"/>
    <col min="9452" max="9452" width="3.5703125" style="18" customWidth="1"/>
    <col min="9453" max="9453" width="13.28515625" style="18" customWidth="1"/>
    <col min="9454" max="9461" width="11.42578125" style="18" customWidth="1"/>
    <col min="9462" max="9462" width="9.7109375" style="18" bestFit="1" customWidth="1"/>
    <col min="9463" max="9466" width="0" style="18" hidden="1" customWidth="1"/>
    <col min="9467" max="9475" width="11.42578125" style="18" customWidth="1"/>
    <col min="9476" max="9707" width="11.42578125" style="18"/>
    <col min="9708" max="9708" width="3.5703125" style="18" customWidth="1"/>
    <col min="9709" max="9709" width="13.28515625" style="18" customWidth="1"/>
    <col min="9710" max="9717" width="11.42578125" style="18" customWidth="1"/>
    <col min="9718" max="9718" width="9.7109375" style="18" bestFit="1" customWidth="1"/>
    <col min="9719" max="9722" width="0" style="18" hidden="1" customWidth="1"/>
    <col min="9723" max="9731" width="11.42578125" style="18" customWidth="1"/>
    <col min="9732" max="9963" width="11.42578125" style="18"/>
    <col min="9964" max="9964" width="3.5703125" style="18" customWidth="1"/>
    <col min="9965" max="9965" width="13.28515625" style="18" customWidth="1"/>
    <col min="9966" max="9973" width="11.42578125" style="18" customWidth="1"/>
    <col min="9974" max="9974" width="9.7109375" style="18" bestFit="1" customWidth="1"/>
    <col min="9975" max="9978" width="0" style="18" hidden="1" customWidth="1"/>
    <col min="9979" max="9987" width="11.42578125" style="18" customWidth="1"/>
    <col min="9988" max="10219" width="11.42578125" style="18"/>
    <col min="10220" max="10220" width="3.5703125" style="18" customWidth="1"/>
    <col min="10221" max="10221" width="13.28515625" style="18" customWidth="1"/>
    <col min="10222" max="10229" width="11.42578125" style="18" customWidth="1"/>
    <col min="10230" max="10230" width="9.7109375" style="18" bestFit="1" customWidth="1"/>
    <col min="10231" max="10234" width="0" style="18" hidden="1" customWidth="1"/>
    <col min="10235" max="10243" width="11.42578125" style="18" customWidth="1"/>
    <col min="10244" max="10475" width="11.42578125" style="18"/>
    <col min="10476" max="10476" width="3.5703125" style="18" customWidth="1"/>
    <col min="10477" max="10477" width="13.28515625" style="18" customWidth="1"/>
    <col min="10478" max="10485" width="11.42578125" style="18" customWidth="1"/>
    <col min="10486" max="10486" width="9.7109375" style="18" bestFit="1" customWidth="1"/>
    <col min="10487" max="10490" width="0" style="18" hidden="1" customWidth="1"/>
    <col min="10491" max="10499" width="11.42578125" style="18" customWidth="1"/>
    <col min="10500" max="10731" width="11.42578125" style="18"/>
    <col min="10732" max="10732" width="3.5703125" style="18" customWidth="1"/>
    <col min="10733" max="10733" width="13.28515625" style="18" customWidth="1"/>
    <col min="10734" max="10741" width="11.42578125" style="18" customWidth="1"/>
    <col min="10742" max="10742" width="9.7109375" style="18" bestFit="1" customWidth="1"/>
    <col min="10743" max="10746" width="0" style="18" hidden="1" customWidth="1"/>
    <col min="10747" max="10755" width="11.42578125" style="18" customWidth="1"/>
    <col min="10756" max="10987" width="11.42578125" style="18"/>
    <col min="10988" max="10988" width="3.5703125" style="18" customWidth="1"/>
    <col min="10989" max="10989" width="13.28515625" style="18" customWidth="1"/>
    <col min="10990" max="10997" width="11.42578125" style="18" customWidth="1"/>
    <col min="10998" max="10998" width="9.7109375" style="18" bestFit="1" customWidth="1"/>
    <col min="10999" max="11002" width="0" style="18" hidden="1" customWidth="1"/>
    <col min="11003" max="11011" width="11.42578125" style="18" customWidth="1"/>
    <col min="11012" max="11243" width="11.42578125" style="18"/>
    <col min="11244" max="11244" width="3.5703125" style="18" customWidth="1"/>
    <col min="11245" max="11245" width="13.28515625" style="18" customWidth="1"/>
    <col min="11246" max="11253" width="11.42578125" style="18" customWidth="1"/>
    <col min="11254" max="11254" width="9.7109375" style="18" bestFit="1" customWidth="1"/>
    <col min="11255" max="11258" width="0" style="18" hidden="1" customWidth="1"/>
    <col min="11259" max="11267" width="11.42578125" style="18" customWidth="1"/>
    <col min="11268" max="11499" width="11.42578125" style="18"/>
    <col min="11500" max="11500" width="3.5703125" style="18" customWidth="1"/>
    <col min="11501" max="11501" width="13.28515625" style="18" customWidth="1"/>
    <col min="11502" max="11509" width="11.42578125" style="18" customWidth="1"/>
    <col min="11510" max="11510" width="9.7109375" style="18" bestFit="1" customWidth="1"/>
    <col min="11511" max="11514" width="0" style="18" hidden="1" customWidth="1"/>
    <col min="11515" max="11523" width="11.42578125" style="18" customWidth="1"/>
    <col min="11524" max="11755" width="11.42578125" style="18"/>
    <col min="11756" max="11756" width="3.5703125" style="18" customWidth="1"/>
    <col min="11757" max="11757" width="13.28515625" style="18" customWidth="1"/>
    <col min="11758" max="11765" width="11.42578125" style="18" customWidth="1"/>
    <col min="11766" max="11766" width="9.7109375" style="18" bestFit="1" customWidth="1"/>
    <col min="11767" max="11770" width="0" style="18" hidden="1" customWidth="1"/>
    <col min="11771" max="11779" width="11.42578125" style="18" customWidth="1"/>
    <col min="11780" max="12011" width="11.42578125" style="18"/>
    <col min="12012" max="12012" width="3.5703125" style="18" customWidth="1"/>
    <col min="12013" max="12013" width="13.28515625" style="18" customWidth="1"/>
    <col min="12014" max="12021" width="11.42578125" style="18" customWidth="1"/>
    <col min="12022" max="12022" width="9.7109375" style="18" bestFit="1" customWidth="1"/>
    <col min="12023" max="12026" width="0" style="18" hidden="1" customWidth="1"/>
    <col min="12027" max="12035" width="11.42578125" style="18" customWidth="1"/>
    <col min="12036" max="12267" width="11.42578125" style="18"/>
    <col min="12268" max="12268" width="3.5703125" style="18" customWidth="1"/>
    <col min="12269" max="12269" width="13.28515625" style="18" customWidth="1"/>
    <col min="12270" max="12277" width="11.42578125" style="18" customWidth="1"/>
    <col min="12278" max="12278" width="9.7109375" style="18" bestFit="1" customWidth="1"/>
    <col min="12279" max="12282" width="0" style="18" hidden="1" customWidth="1"/>
    <col min="12283" max="12291" width="11.42578125" style="18" customWidth="1"/>
    <col min="12292" max="12523" width="11.42578125" style="18"/>
    <col min="12524" max="12524" width="3.5703125" style="18" customWidth="1"/>
    <col min="12525" max="12525" width="13.28515625" style="18" customWidth="1"/>
    <col min="12526" max="12533" width="11.42578125" style="18" customWidth="1"/>
    <col min="12534" max="12534" width="9.7109375" style="18" bestFit="1" customWidth="1"/>
    <col min="12535" max="12538" width="0" style="18" hidden="1" customWidth="1"/>
    <col min="12539" max="12547" width="11.42578125" style="18" customWidth="1"/>
    <col min="12548" max="12779" width="11.42578125" style="18"/>
    <col min="12780" max="12780" width="3.5703125" style="18" customWidth="1"/>
    <col min="12781" max="12781" width="13.28515625" style="18" customWidth="1"/>
    <col min="12782" max="12789" width="11.42578125" style="18" customWidth="1"/>
    <col min="12790" max="12790" width="9.7109375" style="18" bestFit="1" customWidth="1"/>
    <col min="12791" max="12794" width="0" style="18" hidden="1" customWidth="1"/>
    <col min="12795" max="12803" width="11.42578125" style="18" customWidth="1"/>
    <col min="12804" max="13035" width="11.42578125" style="18"/>
    <col min="13036" max="13036" width="3.5703125" style="18" customWidth="1"/>
    <col min="13037" max="13037" width="13.28515625" style="18" customWidth="1"/>
    <col min="13038" max="13045" width="11.42578125" style="18" customWidth="1"/>
    <col min="13046" max="13046" width="9.7109375" style="18" bestFit="1" customWidth="1"/>
    <col min="13047" max="13050" width="0" style="18" hidden="1" customWidth="1"/>
    <col min="13051" max="13059" width="11.42578125" style="18" customWidth="1"/>
    <col min="13060" max="13291" width="11.42578125" style="18"/>
    <col min="13292" max="13292" width="3.5703125" style="18" customWidth="1"/>
    <col min="13293" max="13293" width="13.28515625" style="18" customWidth="1"/>
    <col min="13294" max="13301" width="11.42578125" style="18" customWidth="1"/>
    <col min="13302" max="13302" width="9.7109375" style="18" bestFit="1" customWidth="1"/>
    <col min="13303" max="13306" width="0" style="18" hidden="1" customWidth="1"/>
    <col min="13307" max="13315" width="11.42578125" style="18" customWidth="1"/>
    <col min="13316" max="13547" width="11.42578125" style="18"/>
    <col min="13548" max="13548" width="3.5703125" style="18" customWidth="1"/>
    <col min="13549" max="13549" width="13.28515625" style="18" customWidth="1"/>
    <col min="13550" max="13557" width="11.42578125" style="18" customWidth="1"/>
    <col min="13558" max="13558" width="9.7109375" style="18" bestFit="1" customWidth="1"/>
    <col min="13559" max="13562" width="0" style="18" hidden="1" customWidth="1"/>
    <col min="13563" max="13571" width="11.42578125" style="18" customWidth="1"/>
    <col min="13572" max="13803" width="11.42578125" style="18"/>
    <col min="13804" max="13804" width="3.5703125" style="18" customWidth="1"/>
    <col min="13805" max="13805" width="13.28515625" style="18" customWidth="1"/>
    <col min="13806" max="13813" width="11.42578125" style="18" customWidth="1"/>
    <col min="13814" max="13814" width="9.7109375" style="18" bestFit="1" customWidth="1"/>
    <col min="13815" max="13818" width="0" style="18" hidden="1" customWidth="1"/>
    <col min="13819" max="13827" width="11.42578125" style="18" customWidth="1"/>
    <col min="13828" max="14059" width="11.42578125" style="18"/>
    <col min="14060" max="14060" width="3.5703125" style="18" customWidth="1"/>
    <col min="14061" max="14061" width="13.28515625" style="18" customWidth="1"/>
    <col min="14062" max="14069" width="11.42578125" style="18" customWidth="1"/>
    <col min="14070" max="14070" width="9.7109375" style="18" bestFit="1" customWidth="1"/>
    <col min="14071" max="14074" width="0" style="18" hidden="1" customWidth="1"/>
    <col min="14075" max="14083" width="11.42578125" style="18" customWidth="1"/>
    <col min="14084" max="14315" width="11.42578125" style="18"/>
    <col min="14316" max="14316" width="3.5703125" style="18" customWidth="1"/>
    <col min="14317" max="14317" width="13.28515625" style="18" customWidth="1"/>
    <col min="14318" max="14325" width="11.42578125" style="18" customWidth="1"/>
    <col min="14326" max="14326" width="9.7109375" style="18" bestFit="1" customWidth="1"/>
    <col min="14327" max="14330" width="0" style="18" hidden="1" customWidth="1"/>
    <col min="14331" max="14339" width="11.42578125" style="18" customWidth="1"/>
    <col min="14340" max="14571" width="11.42578125" style="18"/>
    <col min="14572" max="14572" width="3.5703125" style="18" customWidth="1"/>
    <col min="14573" max="14573" width="13.28515625" style="18" customWidth="1"/>
    <col min="14574" max="14581" width="11.42578125" style="18" customWidth="1"/>
    <col min="14582" max="14582" width="9.7109375" style="18" bestFit="1" customWidth="1"/>
    <col min="14583" max="14586" width="0" style="18" hidden="1" customWidth="1"/>
    <col min="14587" max="14595" width="11.42578125" style="18" customWidth="1"/>
    <col min="14596" max="14827" width="11.42578125" style="18"/>
    <col min="14828" max="14828" width="3.5703125" style="18" customWidth="1"/>
    <col min="14829" max="14829" width="13.28515625" style="18" customWidth="1"/>
    <col min="14830" max="14837" width="11.42578125" style="18" customWidth="1"/>
    <col min="14838" max="14838" width="9.7109375" style="18" bestFit="1" customWidth="1"/>
    <col min="14839" max="14842" width="0" style="18" hidden="1" customWidth="1"/>
    <col min="14843" max="14851" width="11.42578125" style="18" customWidth="1"/>
    <col min="14852" max="15083" width="11.42578125" style="18"/>
    <col min="15084" max="15084" width="3.5703125" style="18" customWidth="1"/>
    <col min="15085" max="15085" width="13.28515625" style="18" customWidth="1"/>
    <col min="15086" max="15093" width="11.42578125" style="18" customWidth="1"/>
    <col min="15094" max="15094" width="9.7109375" style="18" bestFit="1" customWidth="1"/>
    <col min="15095" max="15098" width="0" style="18" hidden="1" customWidth="1"/>
    <col min="15099" max="15107" width="11.42578125" style="18" customWidth="1"/>
    <col min="15108" max="15339" width="11.42578125" style="18"/>
    <col min="15340" max="15340" width="3.5703125" style="18" customWidth="1"/>
    <col min="15341" max="15341" width="13.28515625" style="18" customWidth="1"/>
    <col min="15342" max="15349" width="11.42578125" style="18" customWidth="1"/>
    <col min="15350" max="15350" width="9.7109375" style="18" bestFit="1" customWidth="1"/>
    <col min="15351" max="15354" width="0" style="18" hidden="1" customWidth="1"/>
    <col min="15355" max="15363" width="11.42578125" style="18" customWidth="1"/>
    <col min="15364" max="15595" width="11.42578125" style="18"/>
    <col min="15596" max="15596" width="3.5703125" style="18" customWidth="1"/>
    <col min="15597" max="15597" width="13.28515625" style="18" customWidth="1"/>
    <col min="15598" max="15605" width="11.42578125" style="18" customWidth="1"/>
    <col min="15606" max="15606" width="9.7109375" style="18" bestFit="1" customWidth="1"/>
    <col min="15607" max="15610" width="0" style="18" hidden="1" customWidth="1"/>
    <col min="15611" max="15619" width="11.42578125" style="18" customWidth="1"/>
    <col min="15620" max="15851" width="11.42578125" style="18"/>
    <col min="15852" max="15852" width="3.5703125" style="18" customWidth="1"/>
    <col min="15853" max="15853" width="13.28515625" style="18" customWidth="1"/>
    <col min="15854" max="15861" width="11.42578125" style="18" customWidth="1"/>
    <col min="15862" max="15862" width="9.7109375" style="18" bestFit="1" customWidth="1"/>
    <col min="15863" max="15866" width="0" style="18" hidden="1" customWidth="1"/>
    <col min="15867" max="15875" width="11.42578125" style="18" customWidth="1"/>
    <col min="15876" max="16107" width="11.42578125" style="18"/>
    <col min="16108" max="16108" width="3.5703125" style="18" customWidth="1"/>
    <col min="16109" max="16109" width="13.28515625" style="18" customWidth="1"/>
    <col min="16110" max="16117" width="11.42578125" style="18" customWidth="1"/>
    <col min="16118" max="16118" width="9.7109375" style="18" bestFit="1" customWidth="1"/>
    <col min="16119" max="16122" width="0" style="18" hidden="1" customWidth="1"/>
    <col min="16123" max="16131" width="11.42578125" style="18" customWidth="1"/>
    <col min="16132" max="16384" width="11.42578125" style="18"/>
  </cols>
  <sheetData>
    <row r="2" spans="2:19" s="9" customFormat="1" ht="21">
      <c r="B2" s="3" t="s">
        <v>94</v>
      </c>
      <c r="C2" s="8" t="s">
        <v>95</v>
      </c>
      <c r="D2" s="8" t="s">
        <v>95</v>
      </c>
      <c r="E2" s="8" t="s">
        <v>95</v>
      </c>
      <c r="F2" s="8" t="s">
        <v>95</v>
      </c>
      <c r="G2" s="8" t="s">
        <v>96</v>
      </c>
      <c r="I2" s="8" t="s">
        <v>97</v>
      </c>
      <c r="J2" s="8" t="s">
        <v>97</v>
      </c>
      <c r="K2" s="8" t="s">
        <v>97</v>
      </c>
      <c r="L2" s="8" t="s">
        <v>97</v>
      </c>
      <c r="M2" s="8" t="s">
        <v>97</v>
      </c>
      <c r="N2" s="8" t="s">
        <v>97</v>
      </c>
      <c r="O2" s="8" t="s">
        <v>97</v>
      </c>
      <c r="P2" s="8" t="s">
        <v>97</v>
      </c>
      <c r="Q2" s="8" t="s">
        <v>97</v>
      </c>
      <c r="R2" s="9" t="s">
        <v>271</v>
      </c>
      <c r="S2" s="8" t="s">
        <v>97</v>
      </c>
    </row>
    <row r="3" spans="2:19" s="9" customFormat="1">
      <c r="B3" s="4" t="s">
        <v>98</v>
      </c>
      <c r="C3" s="10">
        <v>44926</v>
      </c>
      <c r="D3" s="10">
        <v>45291</v>
      </c>
      <c r="E3" s="10">
        <v>45657</v>
      </c>
      <c r="F3" s="10">
        <v>46022</v>
      </c>
      <c r="G3" s="10">
        <f>Q3</f>
        <v>46112</v>
      </c>
      <c r="I3" s="10">
        <v>45382</v>
      </c>
      <c r="J3" s="10">
        <v>45473</v>
      </c>
      <c r="K3" s="10">
        <v>45565</v>
      </c>
      <c r="L3" s="10">
        <v>45657</v>
      </c>
      <c r="M3" s="10">
        <v>45747</v>
      </c>
      <c r="N3" s="10">
        <v>45838</v>
      </c>
      <c r="O3" s="10">
        <v>45930</v>
      </c>
      <c r="P3" s="10">
        <v>46022</v>
      </c>
      <c r="Q3" s="10">
        <v>46112</v>
      </c>
      <c r="S3" s="10">
        <v>46112</v>
      </c>
    </row>
    <row r="4" spans="2:19" s="11" customFormat="1">
      <c r="B4" s="46"/>
      <c r="C4" s="10" t="s">
        <v>99</v>
      </c>
      <c r="D4" s="10" t="s">
        <v>99</v>
      </c>
      <c r="E4" s="10" t="s">
        <v>99</v>
      </c>
      <c r="F4" s="10" t="s">
        <v>99</v>
      </c>
      <c r="G4" s="10" t="s">
        <v>99</v>
      </c>
      <c r="I4" s="10" t="s">
        <v>99</v>
      </c>
      <c r="J4" s="10" t="s">
        <v>99</v>
      </c>
      <c r="K4" s="10" t="s">
        <v>99</v>
      </c>
      <c r="L4" s="10" t="s">
        <v>99</v>
      </c>
      <c r="M4" s="10" t="s">
        <v>99</v>
      </c>
      <c r="N4" s="10" t="s">
        <v>99</v>
      </c>
      <c r="O4" s="10" t="s">
        <v>99</v>
      </c>
      <c r="P4" s="10" t="s">
        <v>99</v>
      </c>
      <c r="Q4" s="10" t="s">
        <v>99</v>
      </c>
      <c r="S4" s="10" t="s">
        <v>99</v>
      </c>
    </row>
    <row r="5" spans="2:19" s="12" customFormat="1">
      <c r="C5" s="13" t="s">
        <v>100</v>
      </c>
      <c r="D5" s="13" t="s">
        <v>100</v>
      </c>
      <c r="E5" s="13" t="s">
        <v>100</v>
      </c>
      <c r="F5" s="13" t="s">
        <v>100</v>
      </c>
      <c r="G5" s="14" t="s">
        <v>96</v>
      </c>
      <c r="I5" s="13" t="s">
        <v>101</v>
      </c>
      <c r="J5" s="13" t="s">
        <v>102</v>
      </c>
      <c r="K5" s="13" t="s">
        <v>103</v>
      </c>
      <c r="L5" s="14" t="s">
        <v>104</v>
      </c>
      <c r="M5" s="13" t="s">
        <v>101</v>
      </c>
      <c r="N5" s="13" t="s">
        <v>102</v>
      </c>
      <c r="O5" s="13" t="s">
        <v>103</v>
      </c>
      <c r="P5" s="14" t="s">
        <v>104</v>
      </c>
      <c r="Q5" s="13" t="s">
        <v>101</v>
      </c>
      <c r="S5" s="13" t="s">
        <v>101</v>
      </c>
    </row>
    <row r="6" spans="2:19">
      <c r="B6" s="15" t="s">
        <v>178</v>
      </c>
      <c r="C6" s="16"/>
      <c r="D6" s="16"/>
      <c r="E6" s="16"/>
      <c r="F6" s="16"/>
      <c r="G6" s="16"/>
      <c r="I6" s="17"/>
      <c r="J6" s="16"/>
      <c r="K6" s="16"/>
      <c r="L6" s="17"/>
      <c r="M6" s="17"/>
      <c r="N6" s="16"/>
      <c r="O6" s="16"/>
      <c r="P6" s="17"/>
      <c r="Q6" s="17"/>
      <c r="S6" s="264" t="s">
        <v>106</v>
      </c>
    </row>
    <row r="7" spans="2:19" ht="13.5" customHeight="1">
      <c r="C7" s="21"/>
      <c r="D7" s="21"/>
      <c r="E7" s="21"/>
      <c r="F7" s="21"/>
      <c r="G7" s="21"/>
      <c r="J7" s="21"/>
      <c r="K7" s="21"/>
      <c r="N7" s="21"/>
      <c r="O7" s="21"/>
    </row>
    <row r="8" spans="2:19" s="11" customFormat="1">
      <c r="B8" s="11" t="s">
        <v>272</v>
      </c>
      <c r="C8" s="77">
        <v>7547.7309999999998</v>
      </c>
      <c r="D8" s="77">
        <v>15031.956</v>
      </c>
      <c r="E8" s="77">
        <v>23835.615000000002</v>
      </c>
      <c r="F8" s="77">
        <v>11117.28</v>
      </c>
      <c r="G8" s="24">
        <f>SUM(N8:Q8)</f>
        <v>10961.1607327</v>
      </c>
      <c r="H8"/>
      <c r="I8" s="77">
        <v>7409.6279999999997</v>
      </c>
      <c r="J8" s="77">
        <v>1025.5509999999999</v>
      </c>
      <c r="K8" s="77">
        <v>9359.6290000000008</v>
      </c>
      <c r="L8" s="24">
        <f>E8-SUM(I8:K8)</f>
        <v>6040.8070000000007</v>
      </c>
      <c r="M8" s="77">
        <v>3242.6060000000002</v>
      </c>
      <c r="N8" s="77">
        <v>2893.51</v>
      </c>
      <c r="O8" s="77">
        <v>1610.0070000000001</v>
      </c>
      <c r="P8" s="24">
        <f>F8-SUM(M8:O8)</f>
        <v>3371.1570000000011</v>
      </c>
      <c r="Q8" s="135">
        <f>S8/Model!$Q$239</f>
        <v>3086.4867326999993</v>
      </c>
      <c r="S8" s="77">
        <v>175.70699999999999</v>
      </c>
    </row>
    <row r="9" spans="2:19">
      <c r="B9" s="75" t="s">
        <v>273</v>
      </c>
      <c r="C9" s="20">
        <v>-4942.5349999999999</v>
      </c>
      <c r="D9" s="20">
        <v>-12354.217000000001</v>
      </c>
      <c r="E9" s="20">
        <v>-18164.628000000001</v>
      </c>
      <c r="F9" s="20">
        <v>-3744.3020000000001</v>
      </c>
      <c r="G9" s="21">
        <f t="shared" ref="G9:G22" si="0">SUM(N9:Q9)</f>
        <v>-4289.3491497000005</v>
      </c>
      <c r="I9" s="20">
        <v>-6395.2439999999997</v>
      </c>
      <c r="J9" s="20">
        <v>-670.024</v>
      </c>
      <c r="K9" s="20">
        <v>-7915.6679999999997</v>
      </c>
      <c r="L9" s="21">
        <f t="shared" ref="L9:L22" si="1">E9-SUM(I9:K9)</f>
        <v>-3183.6920000000009</v>
      </c>
      <c r="M9" s="20">
        <v>-1381.55</v>
      </c>
      <c r="N9" s="20">
        <v>-981.26700000000005</v>
      </c>
      <c r="O9" s="20">
        <v>122.246</v>
      </c>
      <c r="P9" s="21">
        <f>F9-SUM(M9:O9)</f>
        <v>-1503.7310000000002</v>
      </c>
      <c r="Q9" s="128">
        <f>S9/Model!$Q$239</f>
        <v>-1926.5971496999998</v>
      </c>
      <c r="S9" s="20">
        <v>-109.67700000000001</v>
      </c>
    </row>
    <row r="10" spans="2:19">
      <c r="B10" s="75" t="s">
        <v>274</v>
      </c>
      <c r="C10" s="20">
        <v>18.911999999999999</v>
      </c>
      <c r="D10" s="20">
        <v>47.116</v>
      </c>
      <c r="E10" s="20">
        <v>-126.035</v>
      </c>
      <c r="F10" s="20">
        <v>118.586</v>
      </c>
      <c r="G10" s="21">
        <f t="shared" si="0"/>
        <v>85.713729000000001</v>
      </c>
      <c r="I10" s="20">
        <v>12.516999999999999</v>
      </c>
      <c r="J10" s="20">
        <v>-60.146000000000001</v>
      </c>
      <c r="K10" s="20">
        <v>-38.633000000000003</v>
      </c>
      <c r="L10" s="21">
        <f t="shared" si="1"/>
        <v>-39.772999999999996</v>
      </c>
      <c r="M10" s="20">
        <v>30.94</v>
      </c>
      <c r="N10" s="20">
        <v>66.680000000000007</v>
      </c>
      <c r="O10" s="20">
        <v>14.401999999999999</v>
      </c>
      <c r="P10" s="21">
        <f t="shared" ref="P10:P22" si="2">F10-SUM(M10:O10)</f>
        <v>6.563999999999993</v>
      </c>
      <c r="Q10" s="128">
        <f>S10/Model!$Q$239</f>
        <v>-1.9322709999999998</v>
      </c>
      <c r="S10" s="20">
        <v>-0.11</v>
      </c>
    </row>
    <row r="11" spans="2:19">
      <c r="B11" s="75" t="s">
        <v>275</v>
      </c>
      <c r="C11" s="20">
        <v>-21.643000000000001</v>
      </c>
      <c r="D11" s="20">
        <v>-78.555000000000007</v>
      </c>
      <c r="E11" s="20">
        <v>117.705</v>
      </c>
      <c r="F11" s="20">
        <v>-83.805999999999997</v>
      </c>
      <c r="G11" s="21">
        <f t="shared" si="0"/>
        <v>-203.12430119999999</v>
      </c>
      <c r="I11" s="20">
        <v>-10.96</v>
      </c>
      <c r="J11" s="20">
        <v>58.926000000000002</v>
      </c>
      <c r="K11" s="20">
        <v>342.93200000000002</v>
      </c>
      <c r="L11" s="21">
        <f t="shared" si="1"/>
        <v>-273.19300000000004</v>
      </c>
      <c r="M11" s="20">
        <v>114.18899999999999</v>
      </c>
      <c r="N11" s="20">
        <v>-169.58600000000001</v>
      </c>
      <c r="O11" s="20">
        <v>11.629</v>
      </c>
      <c r="P11" s="21">
        <f t="shared" si="2"/>
        <v>-40.037999999999975</v>
      </c>
      <c r="Q11" s="128">
        <f>S11/Model!$Q$239</f>
        <v>-5.1293011999999987</v>
      </c>
      <c r="S11" s="20">
        <v>-0.29199999999999998</v>
      </c>
    </row>
    <row r="12" spans="2:19">
      <c r="B12" s="75" t="s">
        <v>276</v>
      </c>
      <c r="C12" s="20">
        <v>0</v>
      </c>
      <c r="D12" s="20">
        <v>19.067</v>
      </c>
      <c r="E12" s="20">
        <v>14.752000000000001</v>
      </c>
      <c r="F12" s="20">
        <v>4.5789999999999997</v>
      </c>
      <c r="G12" s="21">
        <f t="shared" si="0"/>
        <v>421.36985469999996</v>
      </c>
      <c r="I12" s="20">
        <v>0</v>
      </c>
      <c r="J12" s="20">
        <v>0</v>
      </c>
      <c r="K12" s="20">
        <v>0</v>
      </c>
      <c r="L12" s="21">
        <f t="shared" si="1"/>
        <v>14.752000000000001</v>
      </c>
      <c r="M12" s="20">
        <v>0</v>
      </c>
      <c r="N12" s="20">
        <v>3.9460000000000002</v>
      </c>
      <c r="O12" s="20">
        <v>0</v>
      </c>
      <c r="P12" s="21">
        <f t="shared" si="2"/>
        <v>0.63299999999999956</v>
      </c>
      <c r="Q12" s="128">
        <f>S12/Model!$Q$239</f>
        <v>416.79085469999995</v>
      </c>
      <c r="S12" s="20">
        <v>23.727</v>
      </c>
    </row>
    <row r="13" spans="2:19">
      <c r="B13" s="75" t="s">
        <v>277</v>
      </c>
      <c r="C13" s="20">
        <v>33.493000000000002</v>
      </c>
      <c r="D13" s="20">
        <v>24.138999999999999</v>
      </c>
      <c r="E13" s="20">
        <v>21.681000000000001</v>
      </c>
      <c r="F13" s="20">
        <v>66.483999999999995</v>
      </c>
      <c r="G13" s="21">
        <f t="shared" si="0"/>
        <v>94.390020599999986</v>
      </c>
      <c r="I13" s="20">
        <v>4.9989999999999997</v>
      </c>
      <c r="J13" s="20">
        <v>5.0979999999999999</v>
      </c>
      <c r="K13" s="20">
        <v>5.593</v>
      </c>
      <c r="L13" s="21">
        <f t="shared" si="1"/>
        <v>5.9910000000000014</v>
      </c>
      <c r="M13" s="20">
        <v>4.5209999999999999</v>
      </c>
      <c r="N13" s="20">
        <v>10.173</v>
      </c>
      <c r="O13" s="20">
        <v>14.983000000000001</v>
      </c>
      <c r="P13" s="21">
        <f t="shared" si="2"/>
        <v>36.806999999999995</v>
      </c>
      <c r="Q13" s="128">
        <f>S13/Model!$Q$239</f>
        <v>32.427020599999999</v>
      </c>
      <c r="S13" s="20">
        <v>1.8460000000000001</v>
      </c>
    </row>
    <row r="14" spans="2:19">
      <c r="B14" s="75" t="s">
        <v>278</v>
      </c>
      <c r="C14" s="20">
        <v>-18.581</v>
      </c>
      <c r="D14" s="20">
        <v>-15.69</v>
      </c>
      <c r="E14" s="20">
        <v>5.5</v>
      </c>
      <c r="F14" s="20">
        <v>33.948999999999998</v>
      </c>
      <c r="G14" s="21">
        <f t="shared" si="0"/>
        <v>24.910433899999997</v>
      </c>
      <c r="I14" s="20">
        <v>-3.7770000000000001</v>
      </c>
      <c r="J14" s="20">
        <v>-3.8250000000000002</v>
      </c>
      <c r="K14" s="20">
        <v>3.8130000000000002</v>
      </c>
      <c r="L14" s="21">
        <f t="shared" si="1"/>
        <v>9.2889999999999997</v>
      </c>
      <c r="M14" s="20">
        <v>9.0210000000000008</v>
      </c>
      <c r="N14" s="20">
        <v>8.5120000000000005</v>
      </c>
      <c r="O14" s="20">
        <v>8.33</v>
      </c>
      <c r="P14" s="21">
        <f t="shared" si="2"/>
        <v>8.0859999999999985</v>
      </c>
      <c r="Q14" s="128">
        <f>S14/Model!$Q$239</f>
        <v>-1.7566099999999998E-2</v>
      </c>
      <c r="S14" s="20">
        <v>-1E-3</v>
      </c>
    </row>
    <row r="15" spans="2:19">
      <c r="B15" s="75" t="s">
        <v>262</v>
      </c>
      <c r="C15" s="20">
        <v>655.48800000000006</v>
      </c>
      <c r="D15" s="20">
        <v>1028.451</v>
      </c>
      <c r="E15" s="20">
        <v>716.39200000000005</v>
      </c>
      <c r="F15" s="20">
        <v>0</v>
      </c>
      <c r="G15" s="21">
        <f t="shared" si="0"/>
        <v>0</v>
      </c>
      <c r="I15" s="20">
        <v>0</v>
      </c>
      <c r="J15" s="20">
        <v>716.39200000000005</v>
      </c>
      <c r="K15" s="20">
        <v>0</v>
      </c>
      <c r="L15" s="21">
        <f t="shared" si="1"/>
        <v>0</v>
      </c>
      <c r="M15" s="20">
        <v>0</v>
      </c>
      <c r="N15" s="20">
        <v>0</v>
      </c>
      <c r="O15" s="20">
        <v>0</v>
      </c>
      <c r="P15" s="21">
        <f t="shared" si="2"/>
        <v>0</v>
      </c>
      <c r="Q15" s="128">
        <f>S15/Model!$Q$239</f>
        <v>0</v>
      </c>
      <c r="S15" s="20">
        <v>0</v>
      </c>
    </row>
    <row r="16" spans="2:19">
      <c r="B16" s="75" t="s">
        <v>124</v>
      </c>
      <c r="C16" s="20">
        <v>0</v>
      </c>
      <c r="D16" s="20">
        <v>0</v>
      </c>
      <c r="E16" s="20">
        <v>-338.83</v>
      </c>
      <c r="F16" s="20">
        <v>-61.884999999999998</v>
      </c>
      <c r="G16" s="21">
        <f t="shared" si="0"/>
        <v>-60.3347549</v>
      </c>
      <c r="I16" s="20">
        <v>-73.501999999999995</v>
      </c>
      <c r="J16" s="20">
        <v>-164.9</v>
      </c>
      <c r="K16" s="20">
        <v>-78.400000000000006</v>
      </c>
      <c r="L16" s="21">
        <f t="shared" si="1"/>
        <v>-22.027999999999963</v>
      </c>
      <c r="M16" s="20">
        <v>-12.247999999999999</v>
      </c>
      <c r="N16" s="20">
        <v>-16.606999999999999</v>
      </c>
      <c r="O16" s="20">
        <v>-17.725000000000001</v>
      </c>
      <c r="P16" s="21">
        <f t="shared" si="2"/>
        <v>-15.305</v>
      </c>
      <c r="Q16" s="128">
        <f>S16/Model!$Q$239</f>
        <v>-10.697754899999998</v>
      </c>
      <c r="S16" s="20">
        <v>-0.60899999999999999</v>
      </c>
    </row>
    <row r="17" spans="2:19">
      <c r="B17" s="75" t="s">
        <v>125</v>
      </c>
      <c r="C17" s="20">
        <v>865.89700000000005</v>
      </c>
      <c r="D17" s="20">
        <v>671.83799999999997</v>
      </c>
      <c r="E17" s="20">
        <v>1219.182</v>
      </c>
      <c r="F17" s="20">
        <v>2110.6410000000001</v>
      </c>
      <c r="G17" s="21">
        <f t="shared" si="0"/>
        <v>2099.6546386999999</v>
      </c>
      <c r="I17" s="20">
        <v>160.44999999999999</v>
      </c>
      <c r="J17" s="20">
        <v>162.39699999999999</v>
      </c>
      <c r="K17" s="20">
        <v>369.99700000000001</v>
      </c>
      <c r="L17" s="21">
        <f t="shared" si="1"/>
        <v>526.33799999999997</v>
      </c>
      <c r="M17" s="20">
        <v>558.46900000000005</v>
      </c>
      <c r="N17" s="20">
        <v>511.30599999999998</v>
      </c>
      <c r="O17" s="20">
        <v>514.04399999999998</v>
      </c>
      <c r="P17" s="21">
        <f t="shared" si="2"/>
        <v>526.82200000000012</v>
      </c>
      <c r="Q17" s="128">
        <f>S17/Model!$Q$239</f>
        <v>547.48263869999994</v>
      </c>
      <c r="S17" s="20">
        <v>31.167000000000002</v>
      </c>
    </row>
    <row r="18" spans="2:19">
      <c r="B18" s="75" t="s">
        <v>130</v>
      </c>
      <c r="C18" s="20">
        <v>23.927</v>
      </c>
      <c r="D18" s="20">
        <v>25.919</v>
      </c>
      <c r="E18" s="20">
        <v>24.31</v>
      </c>
      <c r="F18" s="20">
        <v>25.033000000000001</v>
      </c>
      <c r="G18" s="21">
        <f t="shared" si="0"/>
        <v>26.966928199999998</v>
      </c>
      <c r="I18" s="20">
        <v>5.0839999999999996</v>
      </c>
      <c r="J18" s="20">
        <v>5.4480000000000004</v>
      </c>
      <c r="K18" s="20">
        <v>7.7439999999999998</v>
      </c>
      <c r="L18" s="21">
        <f t="shared" si="1"/>
        <v>6.0339999999999989</v>
      </c>
      <c r="M18" s="20">
        <v>4.4249999999999998</v>
      </c>
      <c r="N18" s="20">
        <v>6.6</v>
      </c>
      <c r="O18" s="20">
        <v>7.1139999999999999</v>
      </c>
      <c r="P18" s="21">
        <f t="shared" si="2"/>
        <v>6.8940000000000019</v>
      </c>
      <c r="Q18" s="128">
        <f>S18/Model!$Q$239</f>
        <v>6.3589281999999994</v>
      </c>
      <c r="S18" s="20">
        <v>0.36199999999999999</v>
      </c>
    </row>
    <row r="19" spans="2:19">
      <c r="B19" s="75" t="s">
        <v>137</v>
      </c>
      <c r="C19" s="20">
        <v>0</v>
      </c>
      <c r="D19" s="20">
        <v>0</v>
      </c>
      <c r="E19" s="20">
        <v>0</v>
      </c>
      <c r="F19" s="20">
        <v>0</v>
      </c>
      <c r="G19" s="21">
        <f t="shared" si="0"/>
        <v>0</v>
      </c>
      <c r="I19" s="20">
        <v>0</v>
      </c>
      <c r="J19" s="20">
        <v>15.618</v>
      </c>
      <c r="K19" s="20">
        <v>0</v>
      </c>
      <c r="L19" s="21">
        <f t="shared" si="1"/>
        <v>-15.618</v>
      </c>
      <c r="M19" s="20">
        <v>0</v>
      </c>
      <c r="N19" s="20">
        <v>0</v>
      </c>
      <c r="O19" s="20">
        <v>0</v>
      </c>
      <c r="P19" s="21">
        <f t="shared" si="2"/>
        <v>0</v>
      </c>
      <c r="Q19" s="128">
        <f>S19/Model!$Q$239</f>
        <v>0</v>
      </c>
      <c r="S19" s="20">
        <v>0</v>
      </c>
    </row>
    <row r="20" spans="2:19">
      <c r="B20" s="75" t="s">
        <v>279</v>
      </c>
      <c r="C20" s="20">
        <v>0</v>
      </c>
      <c r="D20" s="20">
        <v>0</v>
      </c>
      <c r="E20" s="20">
        <v>-48.125</v>
      </c>
      <c r="F20" s="20">
        <v>-168.714</v>
      </c>
      <c r="G20" s="21">
        <f t="shared" si="0"/>
        <v>-88.625023599999992</v>
      </c>
      <c r="I20" s="20">
        <v>0</v>
      </c>
      <c r="J20" s="20">
        <v>0</v>
      </c>
      <c r="K20" s="20">
        <v>-6.2069999999999999</v>
      </c>
      <c r="L20" s="21">
        <f t="shared" si="1"/>
        <v>-41.917999999999999</v>
      </c>
      <c r="M20" s="20">
        <v>-81.424000000000007</v>
      </c>
      <c r="N20" s="20">
        <v>0.79200000000000004</v>
      </c>
      <c r="O20" s="20">
        <v>-88.971000000000004</v>
      </c>
      <c r="P20" s="21">
        <f t="shared" si="2"/>
        <v>0.88900000000001</v>
      </c>
      <c r="Q20" s="128">
        <f>S20/Model!$Q$239</f>
        <v>-1.3350235999999998</v>
      </c>
      <c r="S20" s="20">
        <v>-7.5999999999999998E-2</v>
      </c>
    </row>
    <row r="21" spans="2:19">
      <c r="B21" s="75" t="s">
        <v>280</v>
      </c>
      <c r="C21" s="20">
        <v>0</v>
      </c>
      <c r="D21" s="20">
        <v>0</v>
      </c>
      <c r="E21" s="20">
        <v>-1567.5619999999999</v>
      </c>
      <c r="F21" s="20">
        <v>-94.41</v>
      </c>
      <c r="G21" s="21">
        <f t="shared" si="0"/>
        <v>40.473760499999969</v>
      </c>
      <c r="I21" s="20">
        <v>0</v>
      </c>
      <c r="J21" s="20">
        <v>0</v>
      </c>
      <c r="K21" s="20">
        <v>-531.54200000000003</v>
      </c>
      <c r="L21" s="21">
        <f t="shared" si="1"/>
        <v>-1036.02</v>
      </c>
      <c r="M21" s="20">
        <v>63.701000000000001</v>
      </c>
      <c r="N21" s="20">
        <v>59.146000000000001</v>
      </c>
      <c r="O21" s="20">
        <v>-14.952999999999999</v>
      </c>
      <c r="P21" s="21">
        <f t="shared" si="2"/>
        <v>-202.304</v>
      </c>
      <c r="Q21" s="128">
        <f>S21/Model!$Q$239</f>
        <v>198.58476049999996</v>
      </c>
      <c r="S21" s="20">
        <v>11.305</v>
      </c>
    </row>
    <row r="22" spans="2:19">
      <c r="B22" s="75" t="s">
        <v>281</v>
      </c>
      <c r="C22" s="20">
        <v>-12.566000000000001</v>
      </c>
      <c r="D22" s="20">
        <v>36.941000000000003</v>
      </c>
      <c r="E22" s="20">
        <v>474.185</v>
      </c>
      <c r="F22" s="20">
        <v>-19.98</v>
      </c>
      <c r="G22" s="21">
        <f t="shared" si="0"/>
        <v>-20.751057599999999</v>
      </c>
      <c r="I22" s="20">
        <v>0</v>
      </c>
      <c r="J22" s="20">
        <v>0</v>
      </c>
      <c r="K22" s="20">
        <v>435.45</v>
      </c>
      <c r="L22" s="21">
        <f t="shared" si="1"/>
        <v>38.735000000000014</v>
      </c>
      <c r="M22" s="20">
        <v>0.49</v>
      </c>
      <c r="N22" s="20">
        <v>0</v>
      </c>
      <c r="O22" s="20">
        <v>0</v>
      </c>
      <c r="P22" s="21">
        <f t="shared" si="2"/>
        <v>-20.47</v>
      </c>
      <c r="Q22" s="128">
        <f>S22/Model!$Q$239</f>
        <v>-0.28105759999999996</v>
      </c>
      <c r="S22" s="20">
        <v>-1.6E-2</v>
      </c>
    </row>
    <row r="23" spans="2:19" s="11" customFormat="1">
      <c r="B23" s="11" t="s">
        <v>179</v>
      </c>
      <c r="C23" s="24">
        <f>SUM(C8:C22)</f>
        <v>4150.1229999999996</v>
      </c>
      <c r="D23" s="24">
        <f>SUM(D8:D22)</f>
        <v>4436.9649999999992</v>
      </c>
      <c r="E23" s="24">
        <f>SUM(E8:E22)</f>
        <v>6184.1420000000016</v>
      </c>
      <c r="F23" s="24">
        <f>SUM(F8:F22)</f>
        <v>9303.4550000000017</v>
      </c>
      <c r="G23" s="24">
        <f>SUM(G8:G22)</f>
        <v>9092.4558112999985</v>
      </c>
      <c r="H23" s="110"/>
      <c r="I23" s="24">
        <f>SUM(I8:I22)</f>
        <v>1109.1950000000002</v>
      </c>
      <c r="J23" s="24">
        <f t="shared" ref="J23:O23" si="3">SUM(J8:J22)</f>
        <v>1090.5350000000001</v>
      </c>
      <c r="K23" s="24">
        <f t="shared" si="3"/>
        <v>1954.7080000000017</v>
      </c>
      <c r="L23" s="24">
        <f t="shared" si="3"/>
        <v>2029.7040000000002</v>
      </c>
      <c r="M23" s="24">
        <f t="shared" si="3"/>
        <v>2553.1400000000003</v>
      </c>
      <c r="N23" s="24">
        <f t="shared" si="3"/>
        <v>2393.2049999999999</v>
      </c>
      <c r="O23" s="24">
        <f t="shared" si="3"/>
        <v>2181.1060000000002</v>
      </c>
      <c r="P23" s="24">
        <f t="shared" ref="P23:S23" si="4">SUM(P8:P22)</f>
        <v>2176.0040000000008</v>
      </c>
      <c r="Q23" s="24">
        <f t="shared" si="4"/>
        <v>2342.1408112999989</v>
      </c>
      <c r="S23" s="24">
        <f t="shared" si="4"/>
        <v>133.333</v>
      </c>
    </row>
    <row r="24" spans="2:19">
      <c r="B24" s="35" t="s">
        <v>32</v>
      </c>
      <c r="C24" s="35">
        <f>C23-Model!C74</f>
        <v>0</v>
      </c>
      <c r="D24" s="35">
        <f>D23-Model!D74</f>
        <v>0</v>
      </c>
      <c r="E24" s="35">
        <f>E23-Model!E74</f>
        <v>0</v>
      </c>
      <c r="F24" s="35">
        <f>F23-Model!F74</f>
        <v>0</v>
      </c>
      <c r="G24" s="35">
        <f>G23-Model!G74</f>
        <v>0</v>
      </c>
      <c r="I24" s="35">
        <f>I23-Model!I74</f>
        <v>0</v>
      </c>
      <c r="J24" s="35">
        <f>J23-Model!J74</f>
        <v>0</v>
      </c>
      <c r="K24" s="35">
        <f>K23-Model!K74</f>
        <v>0</v>
      </c>
      <c r="L24" s="35">
        <f>L23-Model!L74</f>
        <v>0</v>
      </c>
      <c r="M24" s="35">
        <f>M23-Model!M74</f>
        <v>0</v>
      </c>
      <c r="N24" s="35">
        <f>N23-Model!N74</f>
        <v>0</v>
      </c>
      <c r="O24" s="35">
        <f>O23-Model!O74</f>
        <v>0</v>
      </c>
      <c r="P24" s="35">
        <f>P23-Model!P74</f>
        <v>0</v>
      </c>
      <c r="Q24" s="35">
        <f>Q23-Model!Q74</f>
        <v>0</v>
      </c>
      <c r="S24" s="35">
        <f>S23-Model!S74</f>
        <v>0</v>
      </c>
    </row>
  </sheetData>
  <pageMargins left="0.7" right="0.7" top="0.75" bottom="0.75" header="0.3" footer="0.3"/>
  <pageSetup orientation="portrait" horizontalDpi="90" verticalDpi="9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00EECCAA3DB94895FACE15614ECBE0" ma:contentTypeVersion="3" ma:contentTypeDescription="Create a new document." ma:contentTypeScope="" ma:versionID="df48d4251bee182ecc7fb5dcb95088a2">
  <xsd:schema xmlns:xsd="http://www.w3.org/2001/XMLSchema" xmlns:xs="http://www.w3.org/2001/XMLSchema" xmlns:p="http://schemas.microsoft.com/office/2006/metadata/properties" xmlns:ns2="aa33d72f-12a9-4590-815a-2b1f92f4a722" targetNamespace="http://schemas.microsoft.com/office/2006/metadata/properties" ma:root="true" ma:fieldsID="e53bcbeb5cc26077ba81130311515115" ns2:_="">
    <xsd:import namespace="aa33d72f-12a9-4590-815a-2b1f92f4a72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33d72f-12a9-4590-815a-2b1f92f4a7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FA56C9-4F65-4893-8C8B-CF399D9CE296}"/>
</file>

<file path=customXml/itemProps2.xml><?xml version="1.0" encoding="utf-8"?>
<ds:datastoreItem xmlns:ds="http://schemas.openxmlformats.org/officeDocument/2006/customXml" ds:itemID="{68C0525E-3C84-4C2C-8079-72A8E3D8161D}"/>
</file>

<file path=customXml/itemProps3.xml><?xml version="1.0" encoding="utf-8"?>
<ds:datastoreItem xmlns:ds="http://schemas.openxmlformats.org/officeDocument/2006/customXml" ds:itemID="{2FF03360-220E-4943-A5E8-B862A9BC9CD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MassMutual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MAB</dc:creator>
  <cp:keywords/>
  <dc:description/>
  <cp:lastModifiedBy/>
  <cp:revision/>
  <dcterms:created xsi:type="dcterms:W3CDTF">2008-03-12T15:44:19Z</dcterms:created>
  <dcterms:modified xsi:type="dcterms:W3CDTF">2026-10-14T17:04:18Z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{8D3C93BF-E6B8-4ECB-AC25-765FF70B1B67}</vt:lpwstr>
  </property>
  <property fmtid="{D5CDD505-2E9C-101B-9397-08002B2CF9AE}" pid="3" name="MSIP_Label_8c63c790-1b4f-473b-b88f-a693ca173b52_Enabled">
    <vt:lpwstr>true</vt:lpwstr>
  </property>
  <property fmtid="{D5CDD505-2E9C-101B-9397-08002B2CF9AE}" pid="4" name="MSIP_Label_8c63c790-1b4f-473b-b88f-a693ca173b52_SetDate">
    <vt:lpwstr>2022-08-08T14:48:21Z</vt:lpwstr>
  </property>
  <property fmtid="{D5CDD505-2E9C-101B-9397-08002B2CF9AE}" pid="5" name="MSIP_Label_8c63c790-1b4f-473b-b88f-a693ca173b52_Method">
    <vt:lpwstr>Privileged</vt:lpwstr>
  </property>
  <property fmtid="{D5CDD505-2E9C-101B-9397-08002B2CF9AE}" pid="6" name="MSIP_Label_8c63c790-1b4f-473b-b88f-a693ca173b52_Name">
    <vt:lpwstr>Internal</vt:lpwstr>
  </property>
  <property fmtid="{D5CDD505-2E9C-101B-9397-08002B2CF9AE}" pid="7" name="MSIP_Label_8c63c790-1b4f-473b-b88f-a693ca173b52_SiteId">
    <vt:lpwstr>4d8b04bf-7a7c-48a0-b6e3-38da5008297e</vt:lpwstr>
  </property>
  <property fmtid="{D5CDD505-2E9C-101B-9397-08002B2CF9AE}" pid="8" name="MSIP_Label_8c63c790-1b4f-473b-b88f-a693ca173b52_ActionId">
    <vt:lpwstr>47ec64f0-9803-4e34-a9ec-6bb627ade86c</vt:lpwstr>
  </property>
  <property fmtid="{D5CDD505-2E9C-101B-9397-08002B2CF9AE}" pid="9" name="MSIP_Label_8c63c790-1b4f-473b-b88f-a693ca173b52_ContentBits">
    <vt:lpwstr>0</vt:lpwstr>
  </property>
  <property fmtid="{D5CDD505-2E9C-101B-9397-08002B2CF9AE}" pid="10" name="ContentTypeId">
    <vt:lpwstr>0x0101003A00EECCAA3DB94895FACE15614ECBE0</vt:lpwstr>
  </property>
</Properties>
</file>