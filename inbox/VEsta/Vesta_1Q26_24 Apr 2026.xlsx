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1"/>
  <workbookPr codeName="ThisWorkbook"/>
  <mc:AlternateContent xmlns:mc="http://schemas.openxmlformats.org/markup-compatibility/2006">
    <mc:Choice Requires="x15">
      <x15ac:absPath xmlns:x15ac="http://schemas.microsoft.com/office/spreadsheetml/2010/11/ac" url="https://crisil-my.sharepoint.com/personal/lokeshk_ad_crisil_com/Documents/1_Team_Fixed Income (Credit)/Bara Model Work/Bara - Model Update/WIP/Apr 2026 - Vesta/1Q26/"/>
    </mc:Choice>
  </mc:AlternateContent>
  <xr:revisionPtr revIDLastSave="0" documentId="8_{B4D62575-3534-4AF5-BEBE-3BA5AB8E4F5B}" xr6:coauthVersionLast="47" xr6:coauthVersionMax="47" xr10:uidLastSave="{00000000-0000-0000-0000-000000000000}"/>
  <bookViews>
    <workbookView xWindow="-120" yWindow="-120" windowWidth="29040" windowHeight="15720" activeTab="1" xr2:uid="{00000000-000D-0000-FFFF-FFFF00000000}"/>
  </bookViews>
  <sheets>
    <sheet name="Capitalisation" sheetId="22" r:id="rId1"/>
    <sheet name="Model" sheetId="23" r:id="rId2"/>
    <sheet name="EBITDA" sheetId="26" r:id="rId3"/>
    <sheet name="KPIs" sheetId="2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A">#REF!</definedName>
    <definedName name="\B">#REF!</definedName>
    <definedName name="\C">#REF!</definedName>
    <definedName name="\L">#REF!</definedName>
    <definedName name="\M">#REF!</definedName>
    <definedName name="\P">#REF!</definedName>
    <definedName name="\Y">#REF!</definedName>
    <definedName name="__FDS_HYPERLINK_TOGGLE_STATE__" hidden="1">"ON"</definedName>
    <definedName name="_01_30_04">MonthlyOpStats</definedName>
    <definedName name="_1_30_01">MonthlyOpStats</definedName>
    <definedName name="_1_30_02">MonthlyOpStats</definedName>
    <definedName name="_1_31_01">MonthlyOpStats</definedName>
    <definedName name="_1_31_02">MonthlyOpStats</definedName>
    <definedName name="_12_31_05">MonthlyOpStats</definedName>
    <definedName name="_A">#REF!</definedName>
    <definedName name="_A___0">#REF!</definedName>
    <definedName name="_B">#REF!</definedName>
    <definedName name="_B___0">#REF!</definedName>
    <definedName name="_C">#REF!</definedName>
    <definedName name="_C___0">#REF!</definedName>
    <definedName name="_ent1">[1]Inputs!$J$17</definedName>
    <definedName name="_ent10">[1]Inputs!$J$476</definedName>
    <definedName name="_ent11">[1]Inputs!$J$527</definedName>
    <definedName name="_ent12">[1]Inputs!$J$578</definedName>
    <definedName name="_ent13">[1]Inputs!$J$629</definedName>
    <definedName name="_ent14">[1]Inputs!$J$680</definedName>
    <definedName name="_ent15">[1]Inputs!$J$731</definedName>
    <definedName name="_ent2">[1]Inputs!$J$68</definedName>
    <definedName name="_ent3">[1]Inputs!$J$119</definedName>
    <definedName name="_ent4">[1]Inputs!$J$170</definedName>
    <definedName name="_ent5">[1]Inputs!$J$221</definedName>
    <definedName name="_ent6">[1]Inputs!$J$272</definedName>
    <definedName name="_ent7">[1]Inputs!$J$323</definedName>
    <definedName name="_ent8">[1]Inputs!$J$374</definedName>
    <definedName name="_ent9">[1]Inputs!$J$425</definedName>
    <definedName name="_eps1">[1]Inputs!$P$42</definedName>
    <definedName name="_eps10">[1]Inputs!$P$501</definedName>
    <definedName name="_eps11">[1]Inputs!$P$552</definedName>
    <definedName name="_eps12">[1]Inputs!$P$603</definedName>
    <definedName name="_eps13">[1]Inputs!$P$654</definedName>
    <definedName name="_eps14">[1]Inputs!$P$705</definedName>
    <definedName name="_eps15">[1]Inputs!$P$756</definedName>
    <definedName name="_eps2">[1]Inputs!$P$93</definedName>
    <definedName name="_eps3">[1]Inputs!$P$144</definedName>
    <definedName name="_eps4">[1]Inputs!$P$195</definedName>
    <definedName name="_eps5">[1]Inputs!$P$246</definedName>
    <definedName name="_eps6">[1]Inputs!$P$297</definedName>
    <definedName name="_eps7">[1]Inputs!$P$348</definedName>
    <definedName name="_eps8">[1]Inputs!$P$399</definedName>
    <definedName name="_eps9">[1]Inputs!$P$450</definedName>
    <definedName name="_Fill" hidden="1">[2]FxdChg!#REF!</definedName>
    <definedName name="_fye1">[1]Inputs!$E$12</definedName>
    <definedName name="_fye10">[1]Inputs!$E$471</definedName>
    <definedName name="_fye11">[1]Inputs!$E$522</definedName>
    <definedName name="_fye12">[1]Inputs!$E$573</definedName>
    <definedName name="_fye13">[1]Inputs!$E$624</definedName>
    <definedName name="_fye14">[1]Inputs!$E$675</definedName>
    <definedName name="_fye15">[1]Inputs!$E$726</definedName>
    <definedName name="_fye2">[1]Inputs!$E$63</definedName>
    <definedName name="_fye3">[1]Inputs!$E$114</definedName>
    <definedName name="_fye4">[1]Inputs!$E$165</definedName>
    <definedName name="_fye5">[1]Inputs!$E$216</definedName>
    <definedName name="_fye6">[1]Inputs!$E$267</definedName>
    <definedName name="_fye7">[1]Inputs!$E$318</definedName>
    <definedName name="_fye8">[1]Inputs!$E$369</definedName>
    <definedName name="_fye9">[1]Inputs!$E$420</definedName>
    <definedName name="_GEI_Returns">[3]Model!#REF!</definedName>
    <definedName name="_L">#REF!</definedName>
    <definedName name="_L___0">#REF!</definedName>
    <definedName name="_mv1">[1]Inputs!$J$16</definedName>
    <definedName name="_mv10">[1]Inputs!$J$475</definedName>
    <definedName name="_mv11">[1]Inputs!$J$526</definedName>
    <definedName name="_mv12">[1]Inputs!$J$577</definedName>
    <definedName name="_mv13">[1]Inputs!$J$628</definedName>
    <definedName name="_mv14">[1]Inputs!$J$679</definedName>
    <definedName name="_mv15">[1]Inputs!$J$730</definedName>
    <definedName name="_mv2">[1]Inputs!$J$67</definedName>
    <definedName name="_mv3">[1]Inputs!$J$118</definedName>
    <definedName name="_mv4">[1]Inputs!$J$169</definedName>
    <definedName name="_mv5">[1]Inputs!$J$220</definedName>
    <definedName name="_mv6">[1]Inputs!$J$271</definedName>
    <definedName name="_mv7">[1]Inputs!$J$322</definedName>
    <definedName name="_mv8">[1]Inputs!$J$373</definedName>
    <definedName name="_mv9">[1]Inputs!$J$424</definedName>
    <definedName name="_Order1" hidden="1">0</definedName>
    <definedName name="_Order2" hidden="1">0</definedName>
    <definedName name="_P">#REF!</definedName>
    <definedName name="_P___0">#REF!</definedName>
    <definedName name="_Table2_Out" hidden="1">#REF!</definedName>
    <definedName name="_Y">#REF!</definedName>
    <definedName name="_Y___0">#REF!</definedName>
    <definedName name="Aa_Recovery">#REF!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crued_Comp_Sales">'[4]Tanning Assumptions'!#REF!</definedName>
    <definedName name="acq">#REF!</definedName>
    <definedName name="acquiror">#REF!</definedName>
    <definedName name="AdSalesCash">#REF!</definedName>
    <definedName name="AdSalesTrade">#REF!</definedName>
    <definedName name="AdSalesWebsite">#REF!</definedName>
    <definedName name="AICORR">#REF!</definedName>
    <definedName name="AllBH">#REF!</definedName>
    <definedName name="allProjects">#REF!</definedName>
    <definedName name="amort">[5]Inputs!#REF!</definedName>
    <definedName name="AP_Sales">'[4]Tanning Assumptions'!#REF!</definedName>
    <definedName name="AR_Other_Sales">'[4]Tanning Assumptions'!#REF!</definedName>
    <definedName name="AR_Trade_Sales">'[4]Tanning Assumptions'!#REF!</definedName>
    <definedName name="As_Of_Date">[6]Selections!$C$2</definedName>
    <definedName name="asdfa">#REF!</definedName>
    <definedName name="AsOfDate">'[7]AUM YTD 2000'!$W$1</definedName>
    <definedName name="ASSUMPTIONS">#REF!</definedName>
    <definedName name="B_S">#REF!</definedName>
    <definedName name="Baa_Recovery">#REF!</definedName>
    <definedName name="bal">#REF!</definedName>
    <definedName name="banner2">[8]CONTROL!$D$10</definedName>
    <definedName name="banner2___0">[8]CONTROL!$D$10</definedName>
    <definedName name="Base_Case">#REF!</definedName>
    <definedName name="Billable">#REF!</definedName>
    <definedName name="BillableHeadcount">#REF!</definedName>
    <definedName name="body">#REF!</definedName>
    <definedName name="BREAK_EVEN">#REF!</definedName>
    <definedName name="BREAK_EVEN___0">#REF!</definedName>
    <definedName name="Broadwing__Inc__Cincinnati_Bell">#REF!</definedName>
    <definedName name="brob">#REF!</definedName>
    <definedName name="bs">[5]Inputs!#REF!</definedName>
    <definedName name="case">#REF!</definedName>
    <definedName name="case1">[9]CONTROL!$A$12</definedName>
    <definedName name="case2">[9]CONTROL!$A$13</definedName>
    <definedName name="case3">[9]CONTROL!$A$14</definedName>
    <definedName name="CASH_FLOW">#REF!</definedName>
    <definedName name="Cash_Sales">'[4]Tanning Assumptions'!#REF!</definedName>
    <definedName name="CASHBUDGET">#REF!</definedName>
    <definedName name="CASHBUDGET___0">#REF!</definedName>
    <definedName name="CASHFLOWS_MONTH">#REF!</definedName>
    <definedName name="CASHFLOWS_MONTH___0">#REF!</definedName>
    <definedName name="CASHFLOWS_YEARS">#REF!</definedName>
    <definedName name="CASHFLOWS_YEARS___0">#REF!</definedName>
    <definedName name="cashint">#REF!</definedName>
    <definedName name="cashint___0">#REF!</definedName>
    <definedName name="CBHC">#REF!</definedName>
    <definedName name="cfl">#REF!</definedName>
    <definedName name="ChartDataRange">#REF!</definedName>
    <definedName name="CINC">#REF!</definedName>
    <definedName name="CIQWBGuid" hidden="1">"d855f966-ff8d-4e40-aaf6-ffc0f204113c"</definedName>
    <definedName name="CIQWBInfo" hidden="1">"{ ""CIQVersion"":""9.45.614.5792"" }"</definedName>
    <definedName name="circ">[5]Inputs!#REF!</definedName>
    <definedName name="CircRev">#REF!</definedName>
    <definedName name="Class_3_Agg_Cash">[10]Revolver!#REF!</definedName>
    <definedName name="Class_3_Amt_BET">[10]Revolver!#REF!</definedName>
    <definedName name="Class_A_Interest">#REF!</definedName>
    <definedName name="Class_A_Principal">#REF!</definedName>
    <definedName name="Class_B_Interest">#REF!</definedName>
    <definedName name="Class_B_Principal">#REF!</definedName>
    <definedName name="Class_C_Payment">#REF!</definedName>
    <definedName name="ClassABC">'[6]Debt Structure'!$AN$7</definedName>
    <definedName name="ClassABCD">'[6]Debt Structure'!$AN$8</definedName>
    <definedName name="ClassABCDE">'[6]Debt Structure'!$AN$9</definedName>
    <definedName name="Clients">#REF!</definedName>
    <definedName name="closing_date">#REF!</definedName>
    <definedName name="closingttmrevenue">#REF!</definedName>
    <definedName name="CMBSIG">#REF!</definedName>
    <definedName name="Column_Lookup">'[11]MASTER DRIVER'!$C$5:$D$29</definedName>
    <definedName name="COMBINED_J_W__3_111403_JUP_IND_PROFORMA_List">#REF!</definedName>
    <definedName name="company">[12]CONTROL!$D$7</definedName>
    <definedName name="company___0">[8]CONTROL!$D$7</definedName>
    <definedName name="cons">#REF!</definedName>
    <definedName name="consultants">#REF!</definedName>
    <definedName name="contrib2" hidden="1">{"page1",#N/A,FALSE,"Temp";"page2",#N/A,FALSE,"Temp";"page3",#N/A,FALSE,"Temp";"page4",#N/A,FALSE,"Temp";"page5",#N/A,FALSE,"Temp";"page6",#N/A,FALSE,"Temp"}</definedName>
    <definedName name="contrib3" hidden="1">{"page1",#N/A,FALSE,"Temp";"page2",#N/A,FALSE,"Temp";"page3",#N/A,FALSE,"Temp";"page4",#N/A,FALSE,"Temp";"page5",#N/A,FALSE,"Temp";"page6",#N/A,FALSE,"Temp"}</definedName>
    <definedName name="convertamt">#REF!</definedName>
    <definedName name="convertamt___0">#REF!</definedName>
    <definedName name="convertper">#REF!</definedName>
    <definedName name="convertper___0">#REF!</definedName>
    <definedName name="CorpName">'[13]MASTER DRIVERS'!$A$1</definedName>
    <definedName name="COSTREPORT">#REF!</definedName>
    <definedName name="COSTREPORT___0">#REF!</definedName>
    <definedName name="counter">'[14]Portfolio Input'!#REF!</definedName>
    <definedName name="counter2">'[14]Portfolio Input'!#REF!</definedName>
    <definedName name="Coupon">[15]Inputs!$J$30</definedName>
    <definedName name="CSEnd">#REF!</definedName>
    <definedName name="CSHO">#REF!</definedName>
    <definedName name="CSHPRI">#REF!</definedName>
    <definedName name="current1">[1]Inputs!$E$21</definedName>
    <definedName name="current10">[1]Inputs!$E$480</definedName>
    <definedName name="current11">[1]Inputs!$E$531</definedName>
    <definedName name="current12">[1]Inputs!$E$582</definedName>
    <definedName name="current13">[1]Inputs!$E$633</definedName>
    <definedName name="current14">[1]Inputs!$E$684</definedName>
    <definedName name="current15">[1]Inputs!$E$735</definedName>
    <definedName name="current2">[1]Inputs!$E$72</definedName>
    <definedName name="current3">[1]Inputs!$E$123</definedName>
    <definedName name="current4">[1]Inputs!$E$174</definedName>
    <definedName name="current5">[1]Inputs!$E$225</definedName>
    <definedName name="current6">[1]Inputs!$E$276</definedName>
    <definedName name="current7">[1]Inputs!$E$327</definedName>
    <definedName name="current8">[1]Inputs!$E$378</definedName>
    <definedName name="current9">[1]Inputs!$E$429</definedName>
    <definedName name="CustomPubSales">#REF!</definedName>
    <definedName name="Date">[16]Comps!#REF!</definedName>
    <definedName name="Date_OC1">OFFSET([6]OCTrends!$B$2,0,0,COUNTA([6]OCTrends!$B$1:$B$65536)-1)</definedName>
    <definedName name="Date_OC2">OFFSET([6]OCTrends!$G$2,0,0,COUNTA([6]OCTrends!$G$1:$G$65536)-1)</definedName>
    <definedName name="Date_OC3">OFFSET([6]OCTrends!$L$2,0,0,COUNTA([6]OCTrends!$L$1:$L$65536)-1)</definedName>
    <definedName name="debtsched">[5]Inputs!#REF!</definedName>
    <definedName name="decconsultants">#REF!</definedName>
    <definedName name="decemberemployees">#REF!</definedName>
    <definedName name="decemployees">#REF!</definedName>
    <definedName name="default">#REF!</definedName>
    <definedName name="Default_Scenario">#REF!</definedName>
    <definedName name="Default_Table">#REF!</definedName>
    <definedName name="Default_Timing">#REF!</definedName>
    <definedName name="depsched">[5]Inputs!#REF!</definedName>
    <definedName name="DivActual">OFFSET([6]DivTrends!$C$2,0,0,COUNTA([6]DivTrends!$C$1:$C$65536)-1)</definedName>
    <definedName name="DivCovenant">OFFSET([6]DivTrends!$D$2,0,0,COUNTA([6]DivTrends!$D$1:$D$65536)-1)</definedName>
    <definedName name="DivDate">OFFSET([6]DivTrends!$B$2,0,0,COUNTA([6]DivTrends!$B$1:$B$65536)-1)</definedName>
    <definedName name="Diversity">'[7]Actual vs Covenant'!$P$41:$Q$48</definedName>
    <definedName name="DiversityScore">#REF!</definedName>
    <definedName name="earnout">#REF!</definedName>
    <definedName name="earnout___0">#REF!</definedName>
    <definedName name="EBIT">#REF!</definedName>
    <definedName name="EBITDA">#REF!</definedName>
    <definedName name="ebitda1">[1]Inputs!$P$46</definedName>
    <definedName name="ebitda10">[1]Inputs!$P$505</definedName>
    <definedName name="ebitda11">[1]Inputs!$P$556</definedName>
    <definedName name="ebitda12">[1]Inputs!$P$607</definedName>
    <definedName name="ebitda13">[1]Inputs!$P$658</definedName>
    <definedName name="ebitda14">[1]Inputs!$P$709</definedName>
    <definedName name="ebitda15">[1]Inputs!$P$760</definedName>
    <definedName name="ebitda2">[1]Inputs!$P$97</definedName>
    <definedName name="ebitda3">[1]Inputs!$P$148</definedName>
    <definedName name="ebitda4">[1]Inputs!$P$199</definedName>
    <definedName name="ebitda5">[1]Inputs!$P$250</definedName>
    <definedName name="ebitda6">[1]Inputs!$P$301</definedName>
    <definedName name="ebitda7">[1]Inputs!$P$352</definedName>
    <definedName name="ebitda8">[1]Inputs!$P$403</definedName>
    <definedName name="ebitda9">[1]Inputs!$P$454</definedName>
    <definedName name="effective_date">#REF!</definedName>
    <definedName name="ELC1_Top3">[7]TOP10!$D$3</definedName>
    <definedName name="ELC1_Top4">[7]TOP10!$D$8</definedName>
    <definedName name="ELC1FitchRatingChartData">[7]ELC1!$G$2:$H$11</definedName>
    <definedName name="ELC1FitchRatingChartSerial1">[7]ELC1!$H$2:$H$11</definedName>
    <definedName name="ELC1FitchRatingChartXScale">[7]ELC1!$G$2:$G$11</definedName>
    <definedName name="ELC1MoodyRatingChartData">[7]ELC1!$A$2:$B$14</definedName>
    <definedName name="ELC1MoodyRatingChartSerial1">[7]ELC1!$B$2:$B$14</definedName>
    <definedName name="ELC1MoodyRatingChartXScale">[7]ELC1!$A$2:$A$14</definedName>
    <definedName name="ELC1SPRatingChartData">[7]ELC1!$D$2:$E$14</definedName>
    <definedName name="ELC1SPRatingChartSerial1">[7]ELC1!$E$2:$E$14</definedName>
    <definedName name="ELC1SPRatingChartXScale">[7]ELC1!$D$2:$D$14</definedName>
    <definedName name="ELC2_Top3">[7]TOP10!$G$3</definedName>
    <definedName name="ELC2_Top4">[7]TOP10!$G$8</definedName>
    <definedName name="ELC2FitchRatingChartData">[7]ELC2!$G$2:$H$12</definedName>
    <definedName name="ELC2FitchRatingChartSerial1">[7]ELC2!$H$2:$H$12</definedName>
    <definedName name="ELC2FitchRatingChartXScale">[7]ELC2!$G$2:$G$12</definedName>
    <definedName name="ELC2MoodyRatingChartData">[7]ELC2!$A$2:$B$15</definedName>
    <definedName name="ELC2MoodyRatingChartSerial1">[7]ELC2!$B$2:$B$15</definedName>
    <definedName name="ELC2MoodyRatingChartXScale">[7]ELC2!$A$2:$A$15</definedName>
    <definedName name="ELC2SPRatingChartData">[7]ELC2!$D$2:$E$15</definedName>
    <definedName name="ELC2SPRatingChartSerial1">[7]ELC2!$E$2:$E$15</definedName>
    <definedName name="ELC2SPRatingChartXScale">[7]ELC2!$D$2:$D$15</definedName>
    <definedName name="ELC3_Top3">[7]TOP10!$J$3</definedName>
    <definedName name="ELC3_Top4">[7]TOP10!$J$8</definedName>
    <definedName name="ELC3FitchRatingChartData">[7]ELC3!$G$2:$H$14</definedName>
    <definedName name="ELC3FitchRatingChartSerial1">[7]ELC3!$H$2:$H$14</definedName>
    <definedName name="ELC3FitchRatingChartXScale">[7]ELC3!$G$2:$G$14</definedName>
    <definedName name="ELC3MoodyRatingChartData">[7]ELC3!$A$2:$B$15</definedName>
    <definedName name="ELC3MoodyRatingChartSerial1">[7]ELC3!$B$2:$B$15</definedName>
    <definedName name="ELC3MoodyRatingChartXScale">[7]ELC3!$A$2:$A$15</definedName>
    <definedName name="ELC3SPRatingChartData">[7]ELC3!$D$2:$E$16</definedName>
    <definedName name="ELC3SPRatingChartSerial1">[7]ELC3!$E$2:$E$16</definedName>
    <definedName name="ELC3SPRatingChartXScale">[7]ELC3!$D$2:$D$16</definedName>
    <definedName name="ELC4_Top3">[7]TOP10!$M$3</definedName>
    <definedName name="ELC4_Top4">[7]TOP10!$M$8</definedName>
    <definedName name="ELC4FitchRatingChartData">[7]ELC4!$G$2:$H$8</definedName>
    <definedName name="ELC4FitchRatingChartSerial1">[7]ELC4!$H$2:$H$8</definedName>
    <definedName name="ELC4FitchRatingChartXScale">[7]ELC4!$G$2:$G$8</definedName>
    <definedName name="ELC4MoodyRatingChartData">[7]ELC4!$A$2:$B$13</definedName>
    <definedName name="ELC4MoodyRatingChartSerial1">[7]ELC4!$B$2:$B$13</definedName>
    <definedName name="ELC4MoodyRatingChartXScale">[7]ELC4!$A$2:$A$13</definedName>
    <definedName name="ELC4SPRatingChartData">[7]ELC4!$D$2:$E$14</definedName>
    <definedName name="ELC4SPRatingChartSerial1">[7]ELC4!$E$2:$E$14</definedName>
    <definedName name="ELC4SPRatingChartXScale">[7]ELC4!$D$2:$D$14</definedName>
    <definedName name="ELC5_Top3">[7]TOP10!$P$3</definedName>
    <definedName name="ELC5_Top4">[7]TOP10!$P$8</definedName>
    <definedName name="ELC5FitchRatingChartData">[7]ELC5!$G$2:$H$9</definedName>
    <definedName name="ELC5FitchRatingChartSerial1">[7]ELC5!$H$2:$H$9</definedName>
    <definedName name="ELC5FitchRatingChartXScale">[7]ELC5!$G$2:$G$9</definedName>
    <definedName name="ELC5MoodyRatingChartData">[7]ELC5!$A$2:$B$14</definedName>
    <definedName name="ELC5MoodyRatingChartSerial1">[7]ELC5!$B$2:$B$14</definedName>
    <definedName name="ELC5MoodyRatingChartXScale">[7]ELC5!$A$2:$A$14</definedName>
    <definedName name="ELC5SPRatingChartData">[7]ELC5!$D$2:$E$14</definedName>
    <definedName name="ELC5SPRatingChartSerial1">[7]ELC5!$E$2:$E$14</definedName>
    <definedName name="ELC5SPRatingChartXScale">[7]ELC5!$D$2:$D$14</definedName>
    <definedName name="employees">#REF!</definedName>
    <definedName name="EndDay">[6]Selections!$R$3</definedName>
    <definedName name="EndMonth">[6]Selections!$R$2</definedName>
    <definedName name="EndYear">[6]Selections!$R$1</definedName>
    <definedName name="ePrint">[17]Consolidated!#REF!</definedName>
    <definedName name="EQUITY">'[9]S&amp;U'!$E$12</definedName>
    <definedName name="equityamt">#REF!</definedName>
    <definedName name="equityamt___0">#REF!</definedName>
    <definedName name="equityper">#REF!</definedName>
    <definedName name="equityper___0">#REF!</definedName>
    <definedName name="ev.Calculation" hidden="1">-4105</definedName>
    <definedName name="ev.Initialized" hidden="1">FALSE</definedName>
    <definedName name="exe">#REF!</definedName>
    <definedName name="fianal">[18]Preliminary!$A$1:$D$65</definedName>
    <definedName name="filename">[6]Selections!$U$2</definedName>
    <definedName name="Final_Number">#REF!</definedName>
    <definedName name="FinanceRev">#REF!</definedName>
    <definedName name="FinanceRev2">#REF!</definedName>
    <definedName name="firstHourDate">#REF!</definedName>
    <definedName name="firstProject">#REF!</definedName>
    <definedName name="Flat_Swap">#REF!</definedName>
    <definedName name="FSoPacific" hidden="1">{"BS",#N/A,FALSE,"USA"}</definedName>
    <definedName name="Fund">[6]Selections!$A$1</definedName>
    <definedName name="Fwd_Curve">#REF!</definedName>
    <definedName name="FYEMarker">#REF!</definedName>
    <definedName name="FYEMonth">#REF!</definedName>
    <definedName name="G_A_SUMMARY">#REF!</definedName>
    <definedName name="group_quarterly">#REF!</definedName>
    <definedName name="Header1">[19]_01_05_v_Wicks_xls__01_05_v_Wic!$N$1</definedName>
    <definedName name="high1">[1]Inputs!$E$23</definedName>
    <definedName name="high10">[1]Inputs!$E$482</definedName>
    <definedName name="high11">[1]Inputs!$E$533</definedName>
    <definedName name="high12">[1]Inputs!$E$584</definedName>
    <definedName name="high13">[1]Inputs!$E$635</definedName>
    <definedName name="high14">[1]Inputs!$E$686</definedName>
    <definedName name="high15">[1]Inputs!$E$737</definedName>
    <definedName name="high2">[1]Inputs!$E$74</definedName>
    <definedName name="high3">[1]Inputs!$E$125</definedName>
    <definedName name="high4">[1]Inputs!$E$176</definedName>
    <definedName name="high5">[1]Inputs!$E$227</definedName>
    <definedName name="high6">[1]Inputs!$E$278</definedName>
    <definedName name="high7">[1]Inputs!$E$329</definedName>
    <definedName name="high8">[1]Inputs!$E$380</definedName>
    <definedName name="high9">[1]Inputs!$E$431</definedName>
    <definedName name="hl">'[20]LBO Summary'!#REF!</definedName>
    <definedName name="hn.ExtDb" hidden="1">FALSE</definedName>
    <definedName name="hn.ModelType" hidden="1">"DEAL"</definedName>
    <definedName name="hn.ModelVersion" hidden="1">1</definedName>
    <definedName name="hn.NoUpload" hidden="1">0</definedName>
    <definedName name="IC1Actual">OFFSET([6]ICTrends!$C$2,0,0,COUNTA([6]ICTrends!$C$1:$C$65536)-1)</definedName>
    <definedName name="IC1ChartTitle">[6]ICTrends!$W$1</definedName>
    <definedName name="IC1Covenant">OFFSET([6]ICTrends!$D$2,0,0,COUNTA([6]ICTrends!$D$1:$D$65536)-1)</definedName>
    <definedName name="IC1Date">OFFSET([6]ICTrends!$B$2,0,0,COUNTA([6]ICTrends!$B$1:$B$65536)-1)</definedName>
    <definedName name="IC2Actual">OFFSET([6]ICTrends!$H$2,0,0,COUNTA([6]ICTrends!$H$1:$H$65536)-1)</definedName>
    <definedName name="IC2Covenant">OFFSET([6]ICTrends!$I$2,0,0,COUNTA([6]ICTrends!$I$1:$I$65536)-1)</definedName>
    <definedName name="IC2Date">OFFSET([6]ICTrends!$G$2,0,0,COUNTA([6]ICTrends!$G$1:$G$65536)-1)</definedName>
    <definedName name="IC3Actual">OFFSET([6]ICTrends!$M$2,0,0,COUNTA([6]ICTrends!$M$1:$M$65536)-1)</definedName>
    <definedName name="IC3Covenant">OFFSET([6]ICTrends!$N$2,0,0,COUNTA([6]ICTrends!$N$1:$N$65536)-1)</definedName>
    <definedName name="IC3Date">OFFSET([6]ICTrends!$L$2,0,0,COUNTA([6]ICTrends!$L$1:$L$65536)-1)</definedName>
    <definedName name="IC4Actual">OFFSET([6]ICTrends!$R$2,0,0,COUNTA([6]ICTrends!$R$1:$R$65536)-1)</definedName>
    <definedName name="IC4Covenant">OFFSET([6]ICTrends!$S$2,0,0,COUNTA([6]ICTrends!$S$1:$S$65536)-1)</definedName>
    <definedName name="IC4Date">OFFSET([6]ICTrends!$Q$2,0,0,COUNTA([6]ICTrends!$Q$1:$Q$65536)-1)</definedName>
    <definedName name="inc">#REF!</definedName>
    <definedName name="incsyntog">#REF!</definedName>
    <definedName name="incsyntog___0">#REF!</definedName>
    <definedName name="inputs">#REF!</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BONDRATING_FITCH" hidden="1">"IQ_BONDRATING_FITCH"</definedName>
    <definedName name="IQ_BONDRATING_SP" hidden="1">"IQ_BONDRATING_SP"</definedName>
    <definedName name="IQ_BOOK_VALUE" hidden="1">"IQ_BOOK_VALUE"</definedName>
    <definedName name="IQ_CAPEX_BR" hidden="1">"c111"</definedName>
    <definedName name="IQ_CH">110000</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V_RATE" hidden="1">"c2192"</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IT_10K" hidden="1">"IQ_EBIT_10K"</definedName>
    <definedName name="IQ_EBIT_10Q" hidden="1">"IQ_EBIT_10Q"</definedName>
    <definedName name="IQ_EBIT_10Q1" hidden="1">"IQ_EBIT_10Q1"</definedName>
    <definedName name="IQ_EBIT_GROWTH_1" hidden="1">"IQ_EBIT_GROWTH_1"</definedName>
    <definedName name="IQ_EBIT_GROWTH_2" hidden="1">"IQ_EBIT_GROWTH_2"</definedName>
    <definedName name="IQ_EBITDA_10K" hidden="1">"IQ_EBITDA_10K"</definedName>
    <definedName name="IQ_EBITDA_10Q" hidden="1">"IQ_EBITDA_10Q"</definedName>
    <definedName name="IQ_EBITDA_10Q1" hidden="1">"IQ_EBITDA_10Q1"</definedName>
    <definedName name="IQ_EBITDA_GROWTH_1" hidden="1">"IQ_EBITDA_GROWTH_1"</definedName>
    <definedName name="IQ_EBITDA_GROWTH_2" hidden="1">"IQ_EBITDA_GROWTH_2"</definedName>
    <definedName name="IQ_EBT_BR" hidden="1">"c378"</definedName>
    <definedName name="IQ_EBT_EXCL_BR" hidden="1">"c381"</definedName>
    <definedName name="IQ_EPS" hidden="1">"IQ_EPS"</definedName>
    <definedName name="IQ_EPS_10K" hidden="1">"IQ_EPS_10K"</definedName>
    <definedName name="IQ_EPS_10Q" hidden="1">"IQ_EPS_10Q"</definedName>
    <definedName name="IQ_EPS_10Q1" hidden="1">"IQ_EPS_10Q1"</definedName>
    <definedName name="IQ_EPS_EST_1" hidden="1">"IQ_EPS_EST_1"</definedName>
    <definedName name="IQ_EST_EPS_SURPRISE" hidden="1">"c1635"</definedName>
    <definedName name="IQ_EV_OVER_REVENUE_EST" hidden="1">"IQ_EV_OVER_REVENUE_EST"</definedName>
    <definedName name="IQ_EV_OVER_REVENUE_EST_1" hidden="1">"IQ_EV_OVER_REVENUE_EST_1"</definedName>
    <definedName name="IQ_EXTRA_ACC_ITEMS_BR" hidden="1">"c412"</definedName>
    <definedName name="IQ_FH">100000</definedName>
    <definedName name="IQ_FQ">500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1" hidden="1">"LTM"</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TEREST_INC_10K" hidden="1">"IQ_INTEREST_INC_10K"</definedName>
    <definedName name="IQ_INTEREST_INC_10Q" hidden="1">"IQ_INTEREST_INC_10Q"</definedName>
    <definedName name="IQ_INTEREST_INC_10Q1" hidden="1">"IQ_INTEREST_INC_10Q1"</definedName>
    <definedName name="IQ_INVEST_LOANS_CF_BR" hidden="1">"c630"</definedName>
    <definedName name="IQ_INVEST_SECURITY_CF_BR" hidden="1">"c639"</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44297.3725</definedName>
    <definedName name="IQ_NET_DEBT_ISSUED_BR" hidden="1">"c753"</definedName>
    <definedName name="IQ_NET_INC_10K" hidden="1">"IQ_NET_INC_10K"</definedName>
    <definedName name="IQ_NET_INC_10Q" hidden="1">"IQ_NET_INC_10Q"</definedName>
    <definedName name="IQ_NET_INC_10Q1" hidden="1">"IQ_NET_INC_10Q1"</definedName>
    <definedName name="IQ_NET_INC_GROWTH_1" hidden="1">"IQ_NET_INC_GROWTH_1"</definedName>
    <definedName name="IQ_NET_INC_GROWTH_2" hidden="1">"IQ_NET_INC_GROWTH_2"</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ICE_OVER_EPS_EST" hidden="1">"IQ_PRICE_OVER_EPS_EST"</definedName>
    <definedName name="IQ_PRICE_OVER_EPS_EST_1" hidden="1">"IQ_PRICE_OVER_EPS_EST_1"</definedName>
    <definedName name="IQ_PRICEDATETIME" hidden="1">"IQ_PRICEDATETIME"</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REVENUE_10K" hidden="1">"IQ_REVENUE_10K"</definedName>
    <definedName name="IQ_REVENUE_10Q" hidden="1">"IQ_REVENUE_10Q"</definedName>
    <definedName name="IQ_REVENUE_10Q1" hidden="1">"IQ_REVENUE_10Q1"</definedName>
    <definedName name="IQ_REVENUE_EST_1" hidden="1">"IQ_REVENUE_EST_1"</definedName>
    <definedName name="IQ_REVENUE_GROWTH_1" hidden="1">"IQ_REVENUE_GROWTH_1"</definedName>
    <definedName name="IQ_REVENUE_GROWTH_2" hidden="1">"IQ_REVENUE_GROWTH_2"</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ColHidden" hidden="1">FALSE</definedName>
    <definedName name="IsLTMColHidden" hidden="1">FALSE</definedName>
    <definedName name="Item">#REF!</definedName>
    <definedName name="K2_WBEVMODE" hidden="1">-1</definedName>
    <definedName name="lastCol">#REF!</definedName>
    <definedName name="latest1">[1]Inputs!$E$13</definedName>
    <definedName name="latest10">[1]Inputs!$E$472</definedName>
    <definedName name="latest11">[1]Inputs!$E$523</definedName>
    <definedName name="latest12">[1]Inputs!$E$574</definedName>
    <definedName name="latest13">[1]Inputs!$E$625</definedName>
    <definedName name="latest14">[1]Inputs!$E$676</definedName>
    <definedName name="latest15">[1]Inputs!$E$727</definedName>
    <definedName name="latest2">[1]Inputs!$E$64</definedName>
    <definedName name="latest3">[1]Inputs!$E$115</definedName>
    <definedName name="latest4">[1]Inputs!$E$166</definedName>
    <definedName name="latest5">[1]Inputs!$E$217</definedName>
    <definedName name="latest6">[1]Inputs!$E$268</definedName>
    <definedName name="latest7">[1]Inputs!$E$319</definedName>
    <definedName name="latest8">[1]Inputs!$E$370</definedName>
    <definedName name="latest9">[1]Inputs!$E$421</definedName>
    <definedName name="LBO">'[9]S&amp;U'!#REF!</definedName>
    <definedName name="left">#REF!</definedName>
    <definedName name="lett">#REF!</definedName>
    <definedName name="LIBOR">[21]Portfolio!$E$2</definedName>
    <definedName name="Libor_Assumptions">#REF!</definedName>
    <definedName name="Libor_Curve">#REF!</definedName>
    <definedName name="Libor_Down">#REF!</definedName>
    <definedName name="Libor_Down_Up">#REF!</definedName>
    <definedName name="LIBOR_Minus_1SD">[10]Revolver!#REF!</definedName>
    <definedName name="Libor_Minus_2SD">[10]Revolver!#REF!</definedName>
    <definedName name="Libor_Plus_0SD">[10]Revolver!#REF!</definedName>
    <definedName name="Libor_Plus_1SD">[10]Revolver!#REF!</definedName>
    <definedName name="Libor_Plus_2SD">[10]Revolver!#REF!</definedName>
    <definedName name="Libor_Scenario">#REF!</definedName>
    <definedName name="Libor_Up">#REF!</definedName>
    <definedName name="longterm">[5]Inputs!#REF!</definedName>
    <definedName name="LTM_DATE">#REF!</definedName>
    <definedName name="Marketable_securities">'[22]Fly-by-night - problem 5'!#REF!</definedName>
    <definedName name="MaxMarkDate">[7]SaleData!$M$3</definedName>
    <definedName name="mcs03g.ReqArray">{"Price","ICTG","TS131","D","0","0","H"}</definedName>
    <definedName name="mcs03g.ReqArray___0">#N/A</definedName>
    <definedName name="mcs03g.ReqArray___12">#N/A</definedName>
    <definedName name="mcs03g.ReqArray___2">#N/A</definedName>
    <definedName name="MKVALM">#REF!</definedName>
    <definedName name="MONTHLYSALES">#REF!</definedName>
    <definedName name="MONTHLYSALES___0">#REF!</definedName>
    <definedName name="moodys">#REF!</definedName>
    <definedName name="mu">'[23]LBO Summary'!$G$130</definedName>
    <definedName name="Name">[5]Info!$C$8</definedName>
    <definedName name="name1">[1]Inputs!$E$10</definedName>
    <definedName name="name10">[1]Inputs!$E$469</definedName>
    <definedName name="name11">[1]Inputs!$E$520</definedName>
    <definedName name="name12">[1]Inputs!$E$571</definedName>
    <definedName name="name13">[1]Inputs!$E$622</definedName>
    <definedName name="name14">[1]Inputs!$E$673</definedName>
    <definedName name="name15">[1]Inputs!$E$724</definedName>
    <definedName name="name2">[1]Inputs!$E$61</definedName>
    <definedName name="name3">[1]Inputs!$E$112</definedName>
    <definedName name="name4">[1]Inputs!$E$163</definedName>
    <definedName name="name5">[1]Inputs!$E$214</definedName>
    <definedName name="name6">[1]Inputs!$E$265</definedName>
    <definedName name="name7">[1]Inputs!$E$316</definedName>
    <definedName name="name8">[1]Inputs!$E$367</definedName>
    <definedName name="name9">[1]Inputs!$E$418</definedName>
    <definedName name="NDY">#REF!</definedName>
    <definedName name="NDYWGT">#REF!</definedName>
    <definedName name="OC1Actual">OFFSET([6]OCTrends!$C$2,0,0,COUNTA([6]OCTrends!$C$1:$C$65536)-1)</definedName>
    <definedName name="OC1ChartTitle">[6]OCTrends!$W$1</definedName>
    <definedName name="OC1Covenant">OFFSET([6]OCTrends!$D$2,0,0,COUNTA([6]OCTrends!$D$1:$D$65536)-1)</definedName>
    <definedName name="OC1Date">OFFSET([6]OCTrends!$B$2,0,0,COUNTA([6]OCTrends!$B$1:$B$65536)-1)</definedName>
    <definedName name="OC2Actual">OFFSET([6]OCTrends!$H$2,0,0,COUNTA([6]OCTrends!$H$1:$H$65536)-1)</definedName>
    <definedName name="OC2Covenant">OFFSET([6]OCTrends!$I$2,0,0,COUNTA([6]OCTrends!$I$1:$I$65536)-1)</definedName>
    <definedName name="OC2Date">OFFSET([6]OCTrends!$G$2,0,0,COUNTA([6]OCTrends!$G$1:$G$65536)-1)</definedName>
    <definedName name="OC3Actual">OFFSET([6]OCTrends!$M$2,0,0,COUNTA([6]OCTrends!$M$1:$M$65536)-1)</definedName>
    <definedName name="OC3Covenant">OFFSET([6]OCTrends!$N$2,0,0,COUNTA([6]OCTrends!$N$1:$N$65536)-1)</definedName>
    <definedName name="OC3Date">OFFSET([6]OCTrends!$L$2,0,0,COUNTA([6]OCTrends!$L$1:$L$65536)-1)</definedName>
    <definedName name="OC4Actual">OFFSET([6]OCTrends!$R$2,0,0,COUNTA([6]OCTrends!$R$1:$R$65536)-1)</definedName>
    <definedName name="OC4Covenant">OFFSET([6]OCTrends!$S$2,0,0,COUNTA([6]OCTrends!$S$1:$S$65536)-1)</definedName>
    <definedName name="OC4Date">OFFSET([6]OCTrends!$Q$2,0,0,COUNTA([6]OCTrends!$Q$1:$Q$65536)-1)</definedName>
    <definedName name="Order">#REF!</definedName>
    <definedName name="Other_assets">'[22]Fly-by-night - problem 5'!#REF!</definedName>
    <definedName name="Other_current_liabilities_Sales">'[4]Tanning Assumptions'!#REF!</definedName>
    <definedName name="Other_long_term_liabilities">'[4]Tanning Assumptions'!#REF!</definedName>
    <definedName name="OtherRev">#REF!</definedName>
    <definedName name="P_L">#REF!</definedName>
    <definedName name="PCV">[6]Calcs!$B$1</definedName>
    <definedName name="Percentage">#REF!</definedName>
    <definedName name="Period">#REF!</definedName>
    <definedName name="Period1">#REF!</definedName>
    <definedName name="Period2">#REF!</definedName>
    <definedName name="Period3">#REF!</definedName>
    <definedName name="Period4">#REF!</definedName>
    <definedName name="Period5">#REF!</definedName>
    <definedName name="Period6">#REF!</definedName>
    <definedName name="Period7">#REF!</definedName>
    <definedName name="Period8">#REF!</definedName>
    <definedName name="PERSONAL_FINANCIAL">#REF!</definedName>
    <definedName name="PERSONAL_FINANCIAL___0">#REF!</definedName>
    <definedName name="PFLTM">'[24]VeCTOR Import'!#REF!</definedName>
    <definedName name="pik">'[9]S&amp;U'!#REF!</definedName>
    <definedName name="portion1">[1]Inputs!$E$14</definedName>
    <definedName name="portion10">[1]Inputs!$E$473</definedName>
    <definedName name="portion11">[1]Inputs!$E$524</definedName>
    <definedName name="portion12">[1]Inputs!$E$575</definedName>
    <definedName name="portion13">[1]Inputs!$E$626</definedName>
    <definedName name="portion14">[1]Inputs!$E$677</definedName>
    <definedName name="portion15">[1]Inputs!$E$728</definedName>
    <definedName name="portion2">[1]Inputs!$E$65</definedName>
    <definedName name="portion3">[1]Inputs!$E$116</definedName>
    <definedName name="portion4">[1]Inputs!$E$167</definedName>
    <definedName name="portion5">[1]Inputs!$E$218</definedName>
    <definedName name="portion6">[1]Inputs!$E$269</definedName>
    <definedName name="portion7">[1]Inputs!$E$320</definedName>
    <definedName name="portion8">[1]Inputs!$E$371</definedName>
    <definedName name="portion9">[1]Inputs!$E$422</definedName>
    <definedName name="PP_E_Sales">'[4]Tanning Assumptions'!#REF!</definedName>
    <definedName name="prefbamt">#REF!</definedName>
    <definedName name="prefbamt___0">#REF!</definedName>
    <definedName name="prefbper">#REF!</definedName>
    <definedName name="prefbper___0">#REF!</definedName>
    <definedName name="Preliminary">#REF!</definedName>
    <definedName name="Prepaids_Sales">'[4]Tanning Assumptions'!#REF!</definedName>
    <definedName name="PRICES">#REF!</definedName>
    <definedName name="PRICES___0">#REF!</definedName>
    <definedName name="_xlnm.Print_Area">#REF!</definedName>
    <definedName name="_xlnm.Print_Titles">#REF!</definedName>
    <definedName name="project">[12]CONTROL!$D$8</definedName>
    <definedName name="project___0">[8]CONTROL!$D$8</definedName>
    <definedName name="ProjList">#REF!</definedName>
    <definedName name="PublicCompany">#REF!</definedName>
    <definedName name="purchase">[25]TRANSACTION!$Q$2</definedName>
    <definedName name="PURCHASE_PRICE">[26]Sheet5:D!$A$1:$H$23</definedName>
    <definedName name="qryWSO_Positions_ByFunds_CrossTab">#REF!</definedName>
    <definedName name="quarterly">#REF!</definedName>
    <definedName name="rate">#REF!</definedName>
    <definedName name="RateTable">[27]MASTER!#REF!</definedName>
    <definedName name="Rating">'[7]Actual vs Covenant'!$P$11:$Q$18</definedName>
    <definedName name="RatingFactors">#REF!</definedName>
    <definedName name="RATIOS">#REF!</definedName>
    <definedName name="RATIOS___0">#REF!</definedName>
    <definedName name="recovery">#REF!</definedName>
    <definedName name="refi">'[28]OBS - REFI'!$AP$5</definedName>
    <definedName name="REPORT">#REF!</definedName>
    <definedName name="REPORT___0">#REF!</definedName>
    <definedName name="ReprintRev">#REF!</definedName>
    <definedName name="ret">#REF!</definedName>
    <definedName name="rhl">'[20]LBO Summary'!#REF!</definedName>
    <definedName name="RoyaltyRev">#REF!</definedName>
    <definedName name="rptData">#REF!</definedName>
    <definedName name="rr">'[20]LBO Summary'!#REF!</definedName>
    <definedName name="s">#REF!</definedName>
    <definedName name="s.outstand">[5]Inputs!#REF!</definedName>
    <definedName name="SALES">#REF!</definedName>
    <definedName name="SALES___0">#REF!</definedName>
    <definedName name="sales1">[1]Inputs!$P$29</definedName>
    <definedName name="sales10">[1]Inputs!$P$488</definedName>
    <definedName name="sales11">[1]Inputs!$P$539</definedName>
    <definedName name="sales12">[1]Inputs!$P$590</definedName>
    <definedName name="sales13">[1]Inputs!$P$641</definedName>
    <definedName name="sales14">[1]Inputs!$P$692</definedName>
    <definedName name="sales15">[1]Inputs!$P$743</definedName>
    <definedName name="sales2">[1]Inputs!$P$80</definedName>
    <definedName name="sales3">[1]Inputs!$P$131</definedName>
    <definedName name="sales4">[1]Inputs!$P$182</definedName>
    <definedName name="sales5">[1]Inputs!$P$233</definedName>
    <definedName name="sales6">[1]Inputs!$P$284</definedName>
    <definedName name="sales7">[1]Inputs!$P$335</definedName>
    <definedName name="sales8">[1]Inputs!$P$386</definedName>
    <definedName name="sales9">[1]Inputs!$P$437</definedName>
    <definedName name="scen">#REF!</definedName>
    <definedName name="Scenario_11">#REF!</definedName>
    <definedName name="Scenario_12">#REF!</definedName>
    <definedName name="Scenario_13">#REF!</definedName>
    <definedName name="Scenario_14">#REF!</definedName>
    <definedName name="Scenario_15">#REF!</definedName>
    <definedName name="Scenario_16">#REF!</definedName>
    <definedName name="Scenario_17">#REF!</definedName>
    <definedName name="Scenario_18">#REF!</definedName>
    <definedName name="Scenario_19">#REF!</definedName>
    <definedName name="Scenario_20">#REF!</definedName>
    <definedName name="Scenario_21">#REF!</definedName>
    <definedName name="Scenario_22">#REF!</definedName>
    <definedName name="Scenario_23">#REF!</definedName>
    <definedName name="Scenario_24">#REF!</definedName>
    <definedName name="Scenario_25">#REF!</definedName>
    <definedName name="Scenario_26">#REF!</definedName>
    <definedName name="Scenario_27">#REF!</definedName>
    <definedName name="Scenario_28">#REF!</definedName>
    <definedName name="Scenario_31">#REF!</definedName>
    <definedName name="Scenario_32">#REF!</definedName>
    <definedName name="Scenario_33">#REF!</definedName>
    <definedName name="Scenario_34">#REF!</definedName>
    <definedName name="Scenario_35">#REF!</definedName>
    <definedName name="Scenario_36">#REF!</definedName>
    <definedName name="Scenario_37">#REF!</definedName>
    <definedName name="Scenario_38">#REF!</definedName>
    <definedName name="Scenario_39">#REF!</definedName>
    <definedName name="Scenario_41">#REF!</definedName>
    <definedName name="Scenario_42">#REF!</definedName>
    <definedName name="Scenario_43">#REF!</definedName>
    <definedName name="Scenario_44">#REF!</definedName>
    <definedName name="Scenario_51">#REF!</definedName>
    <definedName name="Scenario_52">#REF!</definedName>
    <definedName name="Scenario_53">#REF!</definedName>
    <definedName name="Section">#REF!</definedName>
    <definedName name="SENSITIVITY">#REF!</definedName>
    <definedName name="SENSITIVITY___0">#REF!</definedName>
    <definedName name="sh.equity">[5]Inputs!#REF!</definedName>
    <definedName name="sl">'[20]LBO Summary'!#REF!</definedName>
    <definedName name="snapshotdate">#REF!</definedName>
    <definedName name="sort_range">#REF!</definedName>
    <definedName name="sponsor">'[9]S&amp;U'!$J$21</definedName>
    <definedName name="Start">#REF!</definedName>
    <definedName name="Start_Date">[6]Selections!$C$1</definedName>
    <definedName name="StartDay">[6]Selections!$P$3</definedName>
    <definedName name="StartMonth">[6]Selections!$P$2</definedName>
    <definedName name="StartRefresh">'[14]Portfolio Input'!#REF!</definedName>
    <definedName name="StartYear">[6]Selections!$P$1</definedName>
    <definedName name="Strip_Amount">#REF!</definedName>
    <definedName name="Strip_PV">#REF!</definedName>
    <definedName name="stub">#REF!</definedName>
    <definedName name="stubmonths">'[29]D&amp;A'!$C$5</definedName>
    <definedName name="sub">'[20]LBO Summary'!#REF!</definedName>
    <definedName name="subdebtamount">[15]Inputs!$J$26</definedName>
    <definedName name="subdebtdate">[15]Inputs!$J$28</definedName>
    <definedName name="Subhead1">[19]_01_05_v_Wicks_xls__01_05_v_Wic!$N$2</definedName>
    <definedName name="subHeading">#REF!</definedName>
    <definedName name="summary">#REF!</definedName>
    <definedName name="support">#REF!</definedName>
    <definedName name="sweep___9">[30]COVS_ACTUAL!#REF!</definedName>
    <definedName name="target">#REF!</definedName>
    <definedName name="tax">[31]ISCF!#REF!</definedName>
    <definedName name="Taxes_Receivable_Sales">'[4]Tanning Assumptions'!#REF!</definedName>
    <definedName name="Test">#REF!</definedName>
    <definedName name="tgt">#REF!</definedName>
    <definedName name="ticker1">[1]Inputs!$E$11</definedName>
    <definedName name="ticker10">[1]Inputs!$E$470</definedName>
    <definedName name="ticker11">[1]Inputs!$E$521</definedName>
    <definedName name="ticker12">[1]Inputs!$E$572</definedName>
    <definedName name="ticker13">[1]Inputs!$E$623</definedName>
    <definedName name="ticker14">[1]Inputs!$E$674</definedName>
    <definedName name="ticker15">[1]Inputs!$E$725</definedName>
    <definedName name="ticker2">[1]Inputs!$E$62</definedName>
    <definedName name="ticker3">[1]Inputs!$E$113</definedName>
    <definedName name="ticker4">[1]Inputs!$E$164</definedName>
    <definedName name="ticker5">[1]Inputs!$E$215</definedName>
    <definedName name="ticker6">[1]Inputs!$E$266</definedName>
    <definedName name="ticker7">[1]Inputs!$E$317</definedName>
    <definedName name="ticker8">[1]Inputs!$E$368</definedName>
    <definedName name="ticker9">[1]Inputs!$E$419</definedName>
    <definedName name="TimeEnd">[6]Selections!$L$3</definedName>
    <definedName name="TimeStart">[6]Selections!$L$2</definedName>
    <definedName name="title">[28]SUM!$A$2</definedName>
    <definedName name="today">#REF!</definedName>
    <definedName name="top">#REF!</definedName>
    <definedName name="TopIC">'[7]Actual vs Covenant'!$P$31:$Q$38</definedName>
    <definedName name="TopOC">'[7]Actual vs Covenant'!$P$21:$Q$28</definedName>
    <definedName name="TOTAL">#REF!</definedName>
    <definedName name="TOTAL___0">#REF!</definedName>
    <definedName name="Total_Europe">#REF!</definedName>
    <definedName name="TotalRev">#REF!</definedName>
    <definedName name="TradedCash">[6]Principal!$G$5</definedName>
    <definedName name="trigger">[8]OBS!$U$5</definedName>
    <definedName name="TRYN_Top3">[7]TOP10!$S$3</definedName>
    <definedName name="TRYN_Top4">[7]TOP10!$S$8</definedName>
    <definedName name="TryonFitchRatingChartData">[7]TRYN!$G$2:$H$9</definedName>
    <definedName name="TryonFitchRatingChartSerial1">[7]TRYN!$H$2:$H$9</definedName>
    <definedName name="TryonFitchRatingChartXScale">[7]TRYN!$G$2:$G$9</definedName>
    <definedName name="TryonMoodyRatingChartData">[7]TRYN!$A$2:$B$15</definedName>
    <definedName name="TryonMoodyRatingChartSerial1">[7]TRYN!$B$2:$B$15</definedName>
    <definedName name="TryonMoodyRatingChartXScale">[7]TRYN!$A$2:$A$15</definedName>
    <definedName name="TryonSPRatingChartData">[7]TRYN!$D$2:$E$15</definedName>
    <definedName name="TryonSPRatingChartSerial1">[7]TRYN!$E$2:$E$15</definedName>
    <definedName name="TryonSPRatingChartXScale">[7]TRYN!$D$2:$D$15</definedName>
    <definedName name="units">'[9]S&amp;U'!$K$2</definedName>
    <definedName name="version">[28]SUM!$AE$2</definedName>
    <definedName name="version___0">[8]CONTROL!$D$9</definedName>
    <definedName name="WACActual">OFFSET([6]WACTrends!$C$2,0,0,COUNTA([6]WACTrends!$C$1:$C$65536)-1)</definedName>
    <definedName name="WACCovenant">OFFSET([6]WACTrends!$D$2,0,0,COUNTA([6]WACTrends!$D$1:$D$65536)-1)</definedName>
    <definedName name="WACDate">OFFSET([6]WACTrends!$B$2,0,0,COUNTA([6]WACTrends!$B$1:$B$65536)-1)</definedName>
    <definedName name="WALActual">OFFSET([6]WALTrends!$C$2,0,0,COUNTA([6]WALTrends!$C$1:$C$65536)-1)</definedName>
    <definedName name="WALCovenant">OFFSET([6]WALTrends!$D$2,0,0,COUNTA([6]WALTrends!$D$1:$D$65536)-1)</definedName>
    <definedName name="WALDate">OFFSET([6]WALTrends!$B$2,0,0,COUNTA([6]WALTrends!$B$1:$B$65536)-1)</definedName>
    <definedName name="WARFActual">OFFSET([6]WARFTrends!$C$2,0,0,COUNTA([6]WARFTrends!$C$1:$C$65536)-1)</definedName>
    <definedName name="WARFCovenant">OFFSET([6]WARFTrends!$D$2,0,0,COUNTA([6]WARFTrends!$D$1:$D$65536)-1)</definedName>
    <definedName name="WARFDate">OFFSET([6]WARFTrends!$B$2,0,0,COUNTA([6]WARFTrends!$B$1:$B$65536)-1)</definedName>
    <definedName name="WARFFitchActual">OFFSET([6]WARFFitchTrends!$C$2,0,0,COUNTA([6]WARFFitchTrends!$C$1:$C$65536)-1)</definedName>
    <definedName name="WARFFitchCovenant">OFFSET([6]WARFFitchTrends!$D$2,0,0,COUNTA([6]WARFFitchTrends!$D$1:$D$65536)-1)</definedName>
    <definedName name="WARFFitchDate">OFFSET([6]WARFFitchTrends!$B$2,0,0,COUNTA([6]WARFFitchTrends!$B$1:$B$65536)-1)</definedName>
    <definedName name="warrants">[15]Inputs!$O$13</definedName>
    <definedName name="WASActual">OFFSET([6]WASTrends!$C$2,0,0,COUNTA([6]WASTrends!$C$1:$C$65536)-1)</definedName>
    <definedName name="WASCovenant">OFFSET([6]WASTrends!$D$2,0,0,COUNTA([6]WASTrends!$D$1:$D$65536)-1)</definedName>
    <definedName name="WASDate">OFFSET([6]WASTrends!$B$2,0,0,COUNTA([6]WASTrends!$B$1:$B$65536)-1)</definedName>
    <definedName name="WBMIN">'[14]Portfolio Input'!#REF!</definedName>
    <definedName name="WHAT_IF">#REF!</definedName>
    <definedName name="WHAT_IF___0">#REF!</definedName>
    <definedName name="whec">[28]WHEC!$AX$2</definedName>
    <definedName name="wicksequity">[15]Inputs!$E$35</definedName>
    <definedName name="WORKING_CAPITAL">#REF!</definedName>
    <definedName name="WORKING_CAPITAL___0">#REF!</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rossroads." hidden="1">{#N/A,#N/A,FALSE,"RENT ROLL";#N/A,#N/A,FALSE,"CAM";#N/A,#N/A,FALSE,"TAXES";#N/A,#N/A,FALSE,"INSURANCE";#N/A,#N/A,FALSE,"HVAC";#N/A,#N/A,FALSE,"MARKETING"}</definedName>
    <definedName name="wrn.crossroads2" hidden="1">{#N/A,#N/A,FALSE,"RENT ROLL";#N/A,#N/A,FALSE,"CAM";#N/A,#N/A,FALSE,"TAXES";#N/A,#N/A,FALSE,"INSURANCE";#N/A,#N/A,FALSE,"HVAC";#N/A,#N/A,FALSE,"MARKETING"}</definedName>
    <definedName name="wrn.dcf." hidden="1">{"mgmt forecast",#N/A,FALSE,"Mgmt Forecast";"dcf table",#N/A,FALSE,"Mgmt Forecast";"sensitivity",#N/A,FALSE,"Mgmt Forecast";"table inputs",#N/A,FALSE,"Mgmt Forecast";"calculations",#N/A,FALSE,"Mgmt Forecast"}</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Sales._.Activity." hidden="1">{#N/A,#N/A,FALSE,"Integration Systems"}</definedName>
    <definedName name="wrn.Summary." hidden="1">{#N/A,#N/A,FALSE,"Deal Summary";#N/A,#N/A,FALSE,"CGIC &amp;PLICO Results";#N/A,#N/A,FALSE,"Consolidated Results";#N/A,#N/A,FALSE,"Consolidated Source_Uses&amp;Debt ";#N/A,#N/A,FALSE,"Bal_Sht";#N/A,#N/A,FALSE,"Income Statement";#N/A,#N/A,FALSE,"Accretion_Dilution";#N/A,#N/A,FALSE,"Matrix";#N/A,#N/A,FALSE,"Purchase_sensitivity"}</definedName>
    <definedName name="wrn.UHCO._.Statutory._.Results." hidden="1">{#N/A,#N/A,FALSE,"UHCO Statutory Info ----&gt;";#N/A,#N/A,FALSE,"UHCO Source_Use";#N/A,#N/A,FALSE,"UHCO_Debt Paydown";#N/A,#N/A,FALSE,"Union Bankers";#N/A,#N/A,FALSE,"Penn Life";#N/A,#N/A,FALSE,"Constitution"}</definedName>
    <definedName name="wrn.Weekly._.Inventory._.Report." hidden="1">{#N/A,#N/A,FALSE,"Combo"}</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zip">#REF!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22" l="1"/>
  <c r="C40" i="22"/>
  <c r="C38" i="22"/>
  <c r="C39" i="22"/>
  <c r="C43" i="22" s="1"/>
  <c r="C25" i="22"/>
  <c r="C23" i="22"/>
  <c r="C21" i="22"/>
  <c r="C18" i="22"/>
  <c r="C51" i="22"/>
  <c r="C42" i="22"/>
  <c r="C33" i="22"/>
  <c r="C34" i="22" s="1"/>
  <c r="C6" i="22"/>
  <c r="C20" i="22" s="1"/>
  <c r="C26" i="22" s="1"/>
  <c r="L101" i="24"/>
  <c r="L100" i="24"/>
  <c r="L99" i="24"/>
  <c r="L90" i="24"/>
  <c r="L89" i="24"/>
  <c r="L88" i="24"/>
  <c r="L79" i="24"/>
  <c r="L78" i="24"/>
  <c r="L77" i="24"/>
  <c r="L68" i="24"/>
  <c r="L64" i="24"/>
  <c r="L61" i="24"/>
  <c r="L106" i="24"/>
  <c r="L105" i="24"/>
  <c r="L104" i="24"/>
  <c r="L96" i="24"/>
  <c r="L95" i="24"/>
  <c r="L94" i="24"/>
  <c r="L85" i="24"/>
  <c r="L84" i="24"/>
  <c r="L83" i="24"/>
  <c r="L74" i="24"/>
  <c r="L73" i="24"/>
  <c r="L72" i="24"/>
  <c r="L66" i="24"/>
  <c r="L63" i="24"/>
  <c r="L60" i="24"/>
  <c r="L44" i="24"/>
  <c r="L43" i="24"/>
  <c r="L42" i="24"/>
  <c r="L39" i="24"/>
  <c r="L38" i="24"/>
  <c r="L35" i="24"/>
  <c r="L34" i="24"/>
  <c r="L31" i="24"/>
  <c r="L30" i="24"/>
  <c r="L29" i="24"/>
  <c r="L26" i="24"/>
  <c r="L25" i="24"/>
  <c r="L22" i="24"/>
  <c r="L21" i="24"/>
  <c r="L18" i="24"/>
  <c r="L17" i="24"/>
  <c r="L16" i="24"/>
  <c r="L13" i="24"/>
  <c r="L12" i="24"/>
  <c r="L9" i="24"/>
  <c r="L8" i="24"/>
  <c r="L3" i="24"/>
  <c r="AP57" i="24"/>
  <c r="AP56" i="24"/>
  <c r="AP55" i="24"/>
  <c r="AP52" i="24"/>
  <c r="AP51" i="24"/>
  <c r="AP53" i="24" s="1"/>
  <c r="AP48" i="24"/>
  <c r="AP47" i="24"/>
  <c r="AP40" i="24"/>
  <c r="AP36" i="24"/>
  <c r="AP27" i="24"/>
  <c r="AP23" i="24"/>
  <c r="AP14" i="24"/>
  <c r="AP10" i="24"/>
  <c r="N11" i="26"/>
  <c r="AH269" i="23"/>
  <c r="AI269" i="23"/>
  <c r="AJ269" i="23"/>
  <c r="AK269" i="23"/>
  <c r="AH270" i="23"/>
  <c r="AI270" i="23"/>
  <c r="AJ270" i="23"/>
  <c r="AK270" i="23"/>
  <c r="AH272" i="23"/>
  <c r="AI272" i="23"/>
  <c r="AJ272" i="23"/>
  <c r="AK272" i="23"/>
  <c r="AH273" i="23"/>
  <c r="AI273" i="23"/>
  <c r="AJ273" i="23"/>
  <c r="AK273" i="23"/>
  <c r="AH275" i="23"/>
  <c r="AI275" i="23"/>
  <c r="AJ275" i="23"/>
  <c r="AK275" i="23"/>
  <c r="AH277" i="23"/>
  <c r="AI277" i="23"/>
  <c r="AJ277" i="23"/>
  <c r="AK277" i="23"/>
  <c r="AH278" i="23"/>
  <c r="AI278" i="23"/>
  <c r="AJ278" i="23"/>
  <c r="AK278" i="23"/>
  <c r="AH280" i="23"/>
  <c r="AI280" i="23"/>
  <c r="AJ280" i="23"/>
  <c r="AK280" i="23"/>
  <c r="AL269" i="23"/>
  <c r="AM269" i="23"/>
  <c r="AN269" i="23"/>
  <c r="AL270" i="23"/>
  <c r="AM270" i="23"/>
  <c r="AN270" i="23"/>
  <c r="AL272" i="23"/>
  <c r="AM272" i="23"/>
  <c r="AN272" i="23"/>
  <c r="AL273" i="23"/>
  <c r="AM273" i="23"/>
  <c r="AN273" i="23"/>
  <c r="AL275" i="23"/>
  <c r="AM275" i="23"/>
  <c r="AN275" i="23"/>
  <c r="AL277" i="23"/>
  <c r="AM277" i="23"/>
  <c r="AN277" i="23"/>
  <c r="AL278" i="23"/>
  <c r="AM278" i="23"/>
  <c r="AN278" i="23"/>
  <c r="AL280" i="23"/>
  <c r="AM280" i="23"/>
  <c r="AN280" i="23"/>
  <c r="AP130" i="23"/>
  <c r="AO130" i="23"/>
  <c r="AN130" i="23"/>
  <c r="AM130" i="23"/>
  <c r="AL130" i="23"/>
  <c r="AK130" i="23"/>
  <c r="AJ130" i="23"/>
  <c r="AI130" i="23"/>
  <c r="L131" i="23"/>
  <c r="L127" i="23"/>
  <c r="L120" i="23"/>
  <c r="L119" i="23"/>
  <c r="L115" i="23"/>
  <c r="L114" i="23"/>
  <c r="L109" i="23"/>
  <c r="L108" i="23"/>
  <c r="L107" i="23"/>
  <c r="L106" i="23"/>
  <c r="AP106" i="23"/>
  <c r="L89" i="23"/>
  <c r="L87" i="23"/>
  <c r="L86" i="23"/>
  <c r="L84" i="23"/>
  <c r="L83" i="23"/>
  <c r="L82" i="23"/>
  <c r="L81" i="23"/>
  <c r="L80" i="23"/>
  <c r="L78" i="23"/>
  <c r="L77" i="23"/>
  <c r="L76" i="23"/>
  <c r="L74" i="23"/>
  <c r="L73" i="23"/>
  <c r="L72" i="23"/>
  <c r="AP92" i="23"/>
  <c r="AP86" i="23"/>
  <c r="AP83" i="23"/>
  <c r="AP76" i="23"/>
  <c r="AP67" i="23"/>
  <c r="AP72" i="23"/>
  <c r="AP68" i="23" s="1"/>
  <c r="L63" i="23"/>
  <c r="AP57" i="23"/>
  <c r="L57" i="23" s="1"/>
  <c r="AP47" i="23"/>
  <c r="AO47" i="23"/>
  <c r="AN47" i="23"/>
  <c r="AM47" i="23"/>
  <c r="AL47" i="23"/>
  <c r="AK47" i="23"/>
  <c r="AJ47" i="23"/>
  <c r="AI47" i="23"/>
  <c r="AH47" i="23"/>
  <c r="AG47" i="23"/>
  <c r="AF47" i="23"/>
  <c r="AE47" i="23"/>
  <c r="AD47" i="23"/>
  <c r="AC47" i="23"/>
  <c r="AB47" i="23"/>
  <c r="AA47" i="23"/>
  <c r="Z47" i="23"/>
  <c r="Y47" i="23"/>
  <c r="X47" i="23"/>
  <c r="W47" i="23"/>
  <c r="V47" i="23"/>
  <c r="U47" i="23"/>
  <c r="T47" i="23"/>
  <c r="S47" i="23"/>
  <c r="R47" i="23"/>
  <c r="Q47" i="23"/>
  <c r="P47" i="23"/>
  <c r="O47" i="23"/>
  <c r="N47" i="23"/>
  <c r="L47" i="23"/>
  <c r="K47" i="23"/>
  <c r="J47" i="23"/>
  <c r="I47" i="23"/>
  <c r="H47" i="23"/>
  <c r="G47" i="23"/>
  <c r="F47" i="23"/>
  <c r="E47" i="23"/>
  <c r="D47" i="23"/>
  <c r="C47" i="23"/>
  <c r="AP46" i="23"/>
  <c r="AO46" i="23"/>
  <c r="AN46" i="23"/>
  <c r="AM46" i="23"/>
  <c r="AL46" i="23"/>
  <c r="AK46" i="23"/>
  <c r="AJ46" i="23"/>
  <c r="AI46" i="23"/>
  <c r="AH46" i="23"/>
  <c r="AG46" i="23"/>
  <c r="AF46" i="23"/>
  <c r="AE46" i="23"/>
  <c r="AD46" i="23"/>
  <c r="AC46" i="23"/>
  <c r="AB46" i="23"/>
  <c r="AA46" i="23"/>
  <c r="Z46" i="23"/>
  <c r="Y46" i="23"/>
  <c r="X46" i="23"/>
  <c r="W46" i="23"/>
  <c r="V46" i="23"/>
  <c r="U46" i="23"/>
  <c r="T46" i="23"/>
  <c r="S46" i="23"/>
  <c r="R46" i="23"/>
  <c r="Q46" i="23"/>
  <c r="P46" i="23"/>
  <c r="O46" i="23"/>
  <c r="N46" i="23"/>
  <c r="L46" i="23"/>
  <c r="K46" i="23"/>
  <c r="J46" i="23"/>
  <c r="I46" i="23"/>
  <c r="H46" i="23"/>
  <c r="G46" i="23"/>
  <c r="F46" i="23"/>
  <c r="E46" i="23"/>
  <c r="D46" i="23"/>
  <c r="C46" i="23"/>
  <c r="AP45" i="23"/>
  <c r="AO45" i="23"/>
  <c r="AN45" i="23"/>
  <c r="AM45" i="23"/>
  <c r="AL45" i="23"/>
  <c r="AK45" i="23"/>
  <c r="AJ45" i="23"/>
  <c r="AI45" i="23"/>
  <c r="AH45" i="23"/>
  <c r="AG45" i="23"/>
  <c r="AF45" i="23"/>
  <c r="AE45" i="23"/>
  <c r="AD45" i="23"/>
  <c r="AC45" i="23"/>
  <c r="AB45" i="23"/>
  <c r="AA45" i="23"/>
  <c r="Z45" i="23"/>
  <c r="Y45" i="23"/>
  <c r="X45" i="23"/>
  <c r="W45" i="23"/>
  <c r="V45" i="23"/>
  <c r="U45" i="23"/>
  <c r="T45" i="23"/>
  <c r="S45" i="23"/>
  <c r="R45" i="23"/>
  <c r="Q45" i="23"/>
  <c r="P45" i="23"/>
  <c r="O45" i="23"/>
  <c r="N45" i="23"/>
  <c r="L45" i="23"/>
  <c r="K45" i="23"/>
  <c r="J45" i="23"/>
  <c r="I45" i="23"/>
  <c r="H45" i="23"/>
  <c r="G45" i="23"/>
  <c r="F45" i="23"/>
  <c r="E45" i="23"/>
  <c r="D45" i="23"/>
  <c r="C45" i="23"/>
  <c r="AP42" i="23"/>
  <c r="AO42" i="23"/>
  <c r="AN42" i="23"/>
  <c r="AM42" i="23"/>
  <c r="AL42" i="23"/>
  <c r="AK42" i="23"/>
  <c r="AJ42" i="23"/>
  <c r="AI42" i="23"/>
  <c r="AH42" i="23"/>
  <c r="AG42" i="23"/>
  <c r="AF42" i="23"/>
  <c r="AE42" i="23"/>
  <c r="AD42" i="23"/>
  <c r="AC42" i="23"/>
  <c r="AB42" i="23"/>
  <c r="AA42" i="23"/>
  <c r="Z42" i="23"/>
  <c r="Y42" i="23"/>
  <c r="X42" i="23"/>
  <c r="W42" i="23"/>
  <c r="V42" i="23"/>
  <c r="U42" i="23"/>
  <c r="T42" i="23"/>
  <c r="S42" i="23"/>
  <c r="R42" i="23"/>
  <c r="Q42" i="23"/>
  <c r="P42" i="23"/>
  <c r="O42" i="23"/>
  <c r="N42" i="23"/>
  <c r="L42" i="23"/>
  <c r="K42" i="23"/>
  <c r="J42" i="23"/>
  <c r="I42" i="23"/>
  <c r="H42" i="23"/>
  <c r="G42" i="23"/>
  <c r="F42" i="23"/>
  <c r="E42" i="23"/>
  <c r="D42" i="23"/>
  <c r="C42" i="23"/>
  <c r="AP41" i="23"/>
  <c r="AO41" i="23"/>
  <c r="AN41" i="23"/>
  <c r="AM41" i="23"/>
  <c r="AL41" i="23"/>
  <c r="AK41" i="23"/>
  <c r="AJ41" i="23"/>
  <c r="AI41" i="23"/>
  <c r="AH41" i="23"/>
  <c r="AG41" i="23"/>
  <c r="AF41" i="23"/>
  <c r="AE41" i="23"/>
  <c r="AD41" i="23"/>
  <c r="AC41" i="23"/>
  <c r="AB41" i="23"/>
  <c r="AA41" i="23"/>
  <c r="Z41" i="23"/>
  <c r="Y41" i="23"/>
  <c r="X41" i="23"/>
  <c r="W41" i="23"/>
  <c r="V41" i="23"/>
  <c r="U41" i="23"/>
  <c r="T41" i="23"/>
  <c r="S41" i="23"/>
  <c r="R41" i="23"/>
  <c r="Q41" i="23"/>
  <c r="P41" i="23"/>
  <c r="O41" i="23"/>
  <c r="N41" i="23"/>
  <c r="L41" i="23"/>
  <c r="K41" i="23"/>
  <c r="J41" i="23"/>
  <c r="I41" i="23"/>
  <c r="H41" i="23"/>
  <c r="G41" i="23"/>
  <c r="F41" i="23"/>
  <c r="E41" i="23"/>
  <c r="D41" i="23"/>
  <c r="C41" i="23"/>
  <c r="AP37" i="23"/>
  <c r="AO37" i="23"/>
  <c r="AN37" i="23"/>
  <c r="AM37" i="23"/>
  <c r="AL37" i="23"/>
  <c r="AK37" i="23"/>
  <c r="AJ37" i="23"/>
  <c r="AI37" i="23"/>
  <c r="AH37" i="23"/>
  <c r="AG37" i="23"/>
  <c r="AF37" i="23"/>
  <c r="AE37" i="23"/>
  <c r="AD37" i="23"/>
  <c r="AC37" i="23"/>
  <c r="AB37" i="23"/>
  <c r="AA37" i="23"/>
  <c r="Z37" i="23"/>
  <c r="Y37" i="23"/>
  <c r="X37" i="23"/>
  <c r="W37" i="23"/>
  <c r="V37" i="23"/>
  <c r="U37" i="23"/>
  <c r="T37" i="23"/>
  <c r="S37" i="23"/>
  <c r="R37" i="23"/>
  <c r="Q37" i="23"/>
  <c r="P37" i="23"/>
  <c r="O37" i="23"/>
  <c r="N37" i="23"/>
  <c r="L37" i="23"/>
  <c r="K37" i="23"/>
  <c r="J37" i="23"/>
  <c r="I37" i="23"/>
  <c r="H37" i="23"/>
  <c r="G37" i="23"/>
  <c r="F37" i="23"/>
  <c r="E37" i="23"/>
  <c r="D37" i="23"/>
  <c r="C37" i="23"/>
  <c r="L32" i="23"/>
  <c r="L31" i="23"/>
  <c r="L29" i="23"/>
  <c r="L28" i="23"/>
  <c r="L27" i="23"/>
  <c r="L26" i="23"/>
  <c r="L25" i="23"/>
  <c r="L24" i="23"/>
  <c r="L22" i="23"/>
  <c r="L17" i="23"/>
  <c r="L12" i="23"/>
  <c r="L11" i="23"/>
  <c r="L7" i="23"/>
  <c r="AP23" i="23"/>
  <c r="AP16" i="23"/>
  <c r="L3" i="23"/>
  <c r="AP264" i="23"/>
  <c r="AP263" i="23"/>
  <c r="AP265" i="23" s="1"/>
  <c r="AP260" i="23"/>
  <c r="AP255" i="23"/>
  <c r="AP251" i="23"/>
  <c r="AP248" i="23"/>
  <c r="AP246" i="23"/>
  <c r="AP245" i="23"/>
  <c r="AP244" i="23"/>
  <c r="AP242" i="23"/>
  <c r="AP241" i="23"/>
  <c r="AP238" i="23"/>
  <c r="AP237" i="23"/>
  <c r="AP231" i="23"/>
  <c r="AP228" i="23"/>
  <c r="AP225" i="23"/>
  <c r="AP214" i="23"/>
  <c r="AP191" i="23"/>
  <c r="AP187" i="23"/>
  <c r="AP184" i="23"/>
  <c r="AP182" i="23"/>
  <c r="AP181" i="23"/>
  <c r="AP180" i="23"/>
  <c r="AP178" i="23"/>
  <c r="AP177" i="23"/>
  <c r="AP174" i="23"/>
  <c r="AP173" i="23"/>
  <c r="AP167" i="23"/>
  <c r="AP164" i="23"/>
  <c r="AP161" i="23"/>
  <c r="AP155" i="23"/>
  <c r="AP219" i="23" s="1"/>
  <c r="AP150" i="23"/>
  <c r="AP134" i="23"/>
  <c r="AP125" i="23"/>
  <c r="AP124" i="23"/>
  <c r="AP126" i="23" s="1"/>
  <c r="AP121" i="23"/>
  <c r="AP116" i="23"/>
  <c r="AP110" i="23"/>
  <c r="AP104" i="23"/>
  <c r="AP95" i="23"/>
  <c r="AP151" i="23" s="1"/>
  <c r="AP215" i="23" s="1"/>
  <c r="AP94" i="23"/>
  <c r="AP71" i="23"/>
  <c r="AP70" i="23"/>
  <c r="AP65" i="23"/>
  <c r="AP169" i="23" s="1"/>
  <c r="AP64" i="23"/>
  <c r="AP168" i="23" s="1"/>
  <c r="AP55" i="23"/>
  <c r="AP44" i="23"/>
  <c r="AP10" i="23"/>
  <c r="AP9" i="23"/>
  <c r="I63" i="22"/>
  <c r="C102" i="22"/>
  <c r="C96" i="22"/>
  <c r="C95" i="22"/>
  <c r="C93" i="22"/>
  <c r="C94" i="22"/>
  <c r="C80" i="22"/>
  <c r="C78" i="22"/>
  <c r="C97" i="22"/>
  <c r="C89" i="22"/>
  <c r="C61" i="22"/>
  <c r="AO106" i="24"/>
  <c r="AO104" i="24"/>
  <c r="AO105" i="24"/>
  <c r="AO96" i="24"/>
  <c r="AO95" i="24"/>
  <c r="AO94" i="24"/>
  <c r="AO101" i="24"/>
  <c r="AO100" i="24"/>
  <c r="AO99" i="24"/>
  <c r="AO90" i="24"/>
  <c r="AO89" i="24"/>
  <c r="AO88" i="24"/>
  <c r="AO85" i="24"/>
  <c r="AO84" i="24"/>
  <c r="AO83" i="24"/>
  <c r="AO79" i="24"/>
  <c r="AO78" i="24"/>
  <c r="AO77" i="24"/>
  <c r="AO74" i="24"/>
  <c r="AO73" i="24"/>
  <c r="AO72" i="24"/>
  <c r="AO68" i="24"/>
  <c r="AO67" i="24"/>
  <c r="L67" i="24" s="1"/>
  <c r="AO66" i="24"/>
  <c r="AO64" i="24"/>
  <c r="AO63" i="24"/>
  <c r="AO61" i="24"/>
  <c r="AO60" i="24"/>
  <c r="AO44" i="24"/>
  <c r="AO43" i="24"/>
  <c r="AO42" i="24"/>
  <c r="AO39" i="24"/>
  <c r="AO38" i="24"/>
  <c r="AO35" i="24"/>
  <c r="AO34" i="24"/>
  <c r="AO31" i="24"/>
  <c r="AO30" i="24"/>
  <c r="AO29" i="24"/>
  <c r="AO26" i="24"/>
  <c r="AO25" i="24"/>
  <c r="AO22" i="24"/>
  <c r="AO21" i="24"/>
  <c r="AO18" i="24"/>
  <c r="AO17" i="24"/>
  <c r="AO16" i="24"/>
  <c r="AO13" i="24"/>
  <c r="AO12" i="24"/>
  <c r="AO9" i="24"/>
  <c r="AO8" i="24"/>
  <c r="K57" i="24"/>
  <c r="AO40" i="24"/>
  <c r="AO47" i="24"/>
  <c r="K56" i="24"/>
  <c r="K55" i="24"/>
  <c r="K52" i="24"/>
  <c r="K51" i="24"/>
  <c r="K48" i="24"/>
  <c r="K47" i="24"/>
  <c r="K40" i="24"/>
  <c r="K36" i="24"/>
  <c r="K27" i="24"/>
  <c r="K23" i="24"/>
  <c r="K14" i="24"/>
  <c r="K10" i="24"/>
  <c r="M11" i="26"/>
  <c r="I11" i="26"/>
  <c r="C11" i="26"/>
  <c r="D11" i="26"/>
  <c r="D16" i="26" s="1"/>
  <c r="AO131" i="23"/>
  <c r="AO127" i="23"/>
  <c r="AO155" i="23" s="1"/>
  <c r="AO219" i="23" s="1"/>
  <c r="AO120" i="23"/>
  <c r="AO119" i="23"/>
  <c r="AO263" i="23" s="1"/>
  <c r="AO115" i="23"/>
  <c r="AO114" i="23"/>
  <c r="AO109" i="23"/>
  <c r="AO108" i="23"/>
  <c r="AO107" i="23"/>
  <c r="K106" i="23"/>
  <c r="AO106" i="23" s="1"/>
  <c r="K83" i="23"/>
  <c r="K84" i="23"/>
  <c r="K184" i="23" s="1"/>
  <c r="K82" i="23"/>
  <c r="K182" i="23" s="1"/>
  <c r="K183" i="23"/>
  <c r="K76" i="23"/>
  <c r="K240" i="23" s="1"/>
  <c r="K72" i="23"/>
  <c r="K68" i="23" s="1"/>
  <c r="K57" i="23"/>
  <c r="AO32" i="23"/>
  <c r="AO31" i="23"/>
  <c r="AO29" i="23"/>
  <c r="AO28" i="23"/>
  <c r="AO27" i="23"/>
  <c r="AO26" i="23"/>
  <c r="AO25" i="23"/>
  <c r="AO24" i="23"/>
  <c r="AO22" i="23"/>
  <c r="AO17" i="23"/>
  <c r="AO12" i="23"/>
  <c r="AO11" i="23"/>
  <c r="AO7" i="23"/>
  <c r="AO164" i="23" s="1"/>
  <c r="K23" i="23"/>
  <c r="K16" i="23"/>
  <c r="AO225" i="23"/>
  <c r="AO214" i="23"/>
  <c r="AO161" i="23"/>
  <c r="AO150" i="23"/>
  <c r="AO134" i="23"/>
  <c r="AO260" i="23"/>
  <c r="AO264" i="23"/>
  <c r="AO125" i="23"/>
  <c r="AO104" i="23"/>
  <c r="AO94" i="23"/>
  <c r="AO70" i="23"/>
  <c r="AO55" i="23"/>
  <c r="K264" i="23"/>
  <c r="K263" i="23"/>
  <c r="K260" i="23"/>
  <c r="K255" i="23"/>
  <c r="K251" i="23"/>
  <c r="K246" i="23"/>
  <c r="K245" i="23"/>
  <c r="K244" i="23"/>
  <c r="K242" i="23"/>
  <c r="K241" i="23"/>
  <c r="K238" i="23"/>
  <c r="K237" i="23"/>
  <c r="K228" i="23"/>
  <c r="K225" i="23"/>
  <c r="K214" i="23"/>
  <c r="K191" i="23"/>
  <c r="K187" i="23"/>
  <c r="K181" i="23"/>
  <c r="K180" i="23"/>
  <c r="K178" i="23"/>
  <c r="K177" i="23"/>
  <c r="K174" i="23"/>
  <c r="K173" i="23"/>
  <c r="K164" i="23"/>
  <c r="K161" i="23"/>
  <c r="K155" i="23"/>
  <c r="K219" i="23" s="1"/>
  <c r="K150" i="23"/>
  <c r="K134" i="23"/>
  <c r="K125" i="23"/>
  <c r="K124" i="23"/>
  <c r="K121" i="23"/>
  <c r="K116" i="23"/>
  <c r="K44" i="23" s="1"/>
  <c r="K110" i="23"/>
  <c r="K104" i="23"/>
  <c r="K99" i="23"/>
  <c r="K95" i="23"/>
  <c r="K151" i="23" s="1"/>
  <c r="K215" i="23" s="1"/>
  <c r="K94" i="23"/>
  <c r="K70" i="23"/>
  <c r="K55" i="23"/>
  <c r="K10" i="23"/>
  <c r="K9" i="23"/>
  <c r="C157" i="22"/>
  <c r="C156" i="22"/>
  <c r="C150" i="22"/>
  <c r="C149" i="22"/>
  <c r="C148" i="22"/>
  <c r="C147" i="22"/>
  <c r="C146" i="22"/>
  <c r="C133" i="22"/>
  <c r="C131" i="22"/>
  <c r="C151" i="22"/>
  <c r="C142" i="22"/>
  <c r="C115" i="22"/>
  <c r="AN57" i="24"/>
  <c r="AN56" i="24"/>
  <c r="L56" i="24" s="1"/>
  <c r="AN55" i="24"/>
  <c r="L55" i="24" s="1"/>
  <c r="AN52" i="24"/>
  <c r="L52" i="24" s="1"/>
  <c r="AN51" i="24"/>
  <c r="L51" i="24" s="1"/>
  <c r="AN48" i="24"/>
  <c r="AN47" i="24"/>
  <c r="AN40" i="24"/>
  <c r="AN36" i="24"/>
  <c r="AN27" i="24"/>
  <c r="AN23" i="24"/>
  <c r="AN14" i="24"/>
  <c r="AN10" i="24"/>
  <c r="H11" i="26"/>
  <c r="L11" i="26"/>
  <c r="C52" i="22" l="1"/>
  <c r="C44" i="22"/>
  <c r="D20" i="22"/>
  <c r="C22" i="22"/>
  <c r="AP49" i="24"/>
  <c r="AO57" i="24"/>
  <c r="AO56" i="24"/>
  <c r="AO55" i="24"/>
  <c r="AO14" i="24"/>
  <c r="AP111" i="23"/>
  <c r="AO116" i="23"/>
  <c r="AO44" i="23" s="1"/>
  <c r="AP233" i="23"/>
  <c r="AP128" i="23"/>
  <c r="AP132" i="23"/>
  <c r="AP154" i="23"/>
  <c r="AP190" i="23"/>
  <c r="AP254" i="23"/>
  <c r="AP183" i="23"/>
  <c r="AP247" i="23"/>
  <c r="AP176" i="23"/>
  <c r="AP240" i="23"/>
  <c r="AP172" i="23"/>
  <c r="AP236" i="23"/>
  <c r="AP171" i="23"/>
  <c r="AP75" i="23"/>
  <c r="AP235" i="23"/>
  <c r="AP39" i="23"/>
  <c r="AP18" i="23"/>
  <c r="AP13" i="23"/>
  <c r="AP53" i="23"/>
  <c r="AP43" i="23"/>
  <c r="AP52" i="23"/>
  <c r="AP40" i="23"/>
  <c r="AP49" i="23"/>
  <c r="AP38" i="23"/>
  <c r="AP48" i="23"/>
  <c r="C105" i="22"/>
  <c r="C98" i="22"/>
  <c r="C99" i="22" s="1"/>
  <c r="C159" i="22"/>
  <c r="AO36" i="24"/>
  <c r="AO48" i="24"/>
  <c r="AO49" i="24" s="1"/>
  <c r="AO23" i="24"/>
  <c r="AO52" i="24"/>
  <c r="K53" i="24"/>
  <c r="K49" i="24"/>
  <c r="AO27" i="24"/>
  <c r="AO51" i="24"/>
  <c r="L57" i="24"/>
  <c r="AO10" i="24"/>
  <c r="AO110" i="23"/>
  <c r="K172" i="23"/>
  <c r="K18" i="23"/>
  <c r="K236" i="23"/>
  <c r="AO255" i="23"/>
  <c r="AO265" i="23"/>
  <c r="AO124" i="23"/>
  <c r="AO126" i="23" s="1"/>
  <c r="AO132" i="23" s="1"/>
  <c r="AO121" i="23"/>
  <c r="C76" i="22" s="1"/>
  <c r="K126" i="23"/>
  <c r="K190" i="23" s="1"/>
  <c r="K248" i="23"/>
  <c r="K39" i="23"/>
  <c r="K40" i="23"/>
  <c r="AO228" i="23"/>
  <c r="K111" i="23"/>
  <c r="K48" i="23"/>
  <c r="AO95" i="23"/>
  <c r="AO151" i="23" s="1"/>
  <c r="AO215" i="23" s="1"/>
  <c r="AO191" i="23"/>
  <c r="K176" i="23"/>
  <c r="K38" i="23"/>
  <c r="K67" i="23"/>
  <c r="K265" i="23"/>
  <c r="K49" i="23"/>
  <c r="K13" i="23"/>
  <c r="K43" i="23"/>
  <c r="K52" i="23"/>
  <c r="K53" i="23"/>
  <c r="K247" i="23"/>
  <c r="K101" i="23"/>
  <c r="C152" i="22"/>
  <c r="C153" i="22" s="1"/>
  <c r="AN53" i="24"/>
  <c r="AN49" i="24"/>
  <c r="D22" i="22" l="1"/>
  <c r="C24" i="22"/>
  <c r="L130" i="23"/>
  <c r="AP147" i="23"/>
  <c r="AP207" i="23" s="1"/>
  <c r="AP192" i="23"/>
  <c r="AP156" i="23"/>
  <c r="AP220" i="23" s="1"/>
  <c r="AP218" i="23"/>
  <c r="AP256" i="23"/>
  <c r="AP79" i="23"/>
  <c r="AP175" i="23"/>
  <c r="AP239" i="23"/>
  <c r="AP14" i="23"/>
  <c r="AP19" i="23"/>
  <c r="C106" i="22"/>
  <c r="C77" i="22"/>
  <c r="AO53" i="24"/>
  <c r="K154" i="23"/>
  <c r="K218" i="23" s="1"/>
  <c r="K132" i="23"/>
  <c r="K254" i="23"/>
  <c r="K128" i="23"/>
  <c r="AO111" i="23"/>
  <c r="AO154" i="23"/>
  <c r="AO128" i="23"/>
  <c r="AO190" i="23"/>
  <c r="AO254" i="23"/>
  <c r="K156" i="23"/>
  <c r="K220" i="23" s="1"/>
  <c r="K256" i="23"/>
  <c r="K192" i="23"/>
  <c r="K147" i="23"/>
  <c r="K207" i="23" s="1"/>
  <c r="K130" i="23"/>
  <c r="K14" i="23"/>
  <c r="K19" i="23"/>
  <c r="AN106" i="23"/>
  <c r="AN57" i="23"/>
  <c r="AN23" i="23"/>
  <c r="AN8" i="23"/>
  <c r="AN9" i="23" s="1"/>
  <c r="AN264" i="23"/>
  <c r="AN263" i="23"/>
  <c r="AN260" i="23"/>
  <c r="AN255" i="23"/>
  <c r="AN228" i="23"/>
  <c r="AN225" i="23"/>
  <c r="AN214" i="23"/>
  <c r="AN191" i="23"/>
  <c r="AN164" i="23"/>
  <c r="AN161" i="23"/>
  <c r="AN155" i="23"/>
  <c r="AN219" i="23" s="1"/>
  <c r="AN150" i="23"/>
  <c r="AN134" i="23"/>
  <c r="AN125" i="23"/>
  <c r="AN124" i="23"/>
  <c r="AN121" i="23"/>
  <c r="C129" i="22" s="1"/>
  <c r="AN116" i="23"/>
  <c r="AN110" i="23"/>
  <c r="AN104" i="23"/>
  <c r="AN94" i="23"/>
  <c r="AN78" i="23"/>
  <c r="AN77" i="23"/>
  <c r="AN70" i="23"/>
  <c r="AN55" i="23"/>
  <c r="AN18" i="23"/>
  <c r="AN10" i="23"/>
  <c r="C202" i="22"/>
  <c r="C200" i="22"/>
  <c r="C199" i="22"/>
  <c r="C194" i="22"/>
  <c r="C196" i="22" s="1"/>
  <c r="C187" i="22"/>
  <c r="C185" i="22"/>
  <c r="C181" i="22"/>
  <c r="C167" i="22" s="1"/>
  <c r="C211" i="22"/>
  <c r="C204" i="22"/>
  <c r="C203" i="22"/>
  <c r="AM57" i="24"/>
  <c r="AM56" i="24"/>
  <c r="AM55" i="24"/>
  <c r="AM52" i="24"/>
  <c r="AM51" i="24"/>
  <c r="AM48" i="24"/>
  <c r="AM47" i="24"/>
  <c r="AM40" i="24"/>
  <c r="AM36" i="24"/>
  <c r="AM27" i="24"/>
  <c r="AM23" i="24"/>
  <c r="AM14" i="24"/>
  <c r="AM10" i="24"/>
  <c r="G11" i="26"/>
  <c r="G16" i="26" s="1"/>
  <c r="G21" i="26" s="1"/>
  <c r="K11" i="26"/>
  <c r="K16" i="26" s="1"/>
  <c r="K21" i="26" s="1"/>
  <c r="AM106" i="23"/>
  <c r="AM125" i="23"/>
  <c r="AM124" i="23"/>
  <c r="AM121" i="23"/>
  <c r="C183" i="22" s="1"/>
  <c r="AM116" i="23"/>
  <c r="AM110" i="23"/>
  <c r="AM87" i="23"/>
  <c r="AM81" i="23"/>
  <c r="AM82" i="23"/>
  <c r="AM80" i="23"/>
  <c r="AM74" i="23"/>
  <c r="AM73" i="23"/>
  <c r="AM57" i="23"/>
  <c r="AM8" i="23"/>
  <c r="AM264" i="23"/>
  <c r="AM263" i="23"/>
  <c r="AM260" i="23"/>
  <c r="AM255" i="23"/>
  <c r="AM242" i="23"/>
  <c r="AM241" i="23"/>
  <c r="AM228" i="23"/>
  <c r="AM225" i="23"/>
  <c r="AM214" i="23"/>
  <c r="AM191" i="23"/>
  <c r="AM178" i="23"/>
  <c r="AM177" i="23"/>
  <c r="AM164" i="23"/>
  <c r="AM161" i="23"/>
  <c r="AM155" i="23"/>
  <c r="AM219" i="23" s="1"/>
  <c r="AM150" i="23"/>
  <c r="AM134" i="23"/>
  <c r="AM104" i="23"/>
  <c r="AM94" i="23"/>
  <c r="AM84" i="23"/>
  <c r="AM70" i="23"/>
  <c r="AM55" i="23"/>
  <c r="AM18" i="23"/>
  <c r="AM10" i="23"/>
  <c r="J11" i="26"/>
  <c r="J16" i="26" s="1"/>
  <c r="F11" i="26"/>
  <c r="F16" i="26" s="1"/>
  <c r="C261" i="22"/>
  <c r="C262" i="22" s="1"/>
  <c r="C254" i="22"/>
  <c r="C251" i="22"/>
  <c r="C250" i="22"/>
  <c r="C238" i="22"/>
  <c r="C236" i="22"/>
  <c r="C255" i="22"/>
  <c r="C247" i="22"/>
  <c r="C219" i="22"/>
  <c r="Q106" i="24"/>
  <c r="Q105" i="24"/>
  <c r="Q104" i="24"/>
  <c r="U106" i="24"/>
  <c r="U105" i="24"/>
  <c r="U104" i="24"/>
  <c r="Y106" i="24"/>
  <c r="Y105" i="24"/>
  <c r="Y104" i="24"/>
  <c r="AC106" i="24"/>
  <c r="AC105" i="24"/>
  <c r="AC104" i="24"/>
  <c r="AG106" i="24"/>
  <c r="AG105" i="24"/>
  <c r="AG104" i="24"/>
  <c r="AK106" i="24"/>
  <c r="AK105" i="24"/>
  <c r="AK104" i="24"/>
  <c r="AL57" i="24"/>
  <c r="AL56" i="24"/>
  <c r="AL55" i="24"/>
  <c r="AL52" i="24"/>
  <c r="AL51" i="24"/>
  <c r="AL48" i="24"/>
  <c r="AL47" i="24"/>
  <c r="AL40" i="24"/>
  <c r="AL36" i="24"/>
  <c r="AL27" i="24"/>
  <c r="AL23" i="24"/>
  <c r="AL14" i="24"/>
  <c r="AL10" i="24"/>
  <c r="AL264" i="23"/>
  <c r="AJ264" i="23"/>
  <c r="AI264" i="23"/>
  <c r="AH264" i="23"/>
  <c r="AF264" i="23"/>
  <c r="AE264" i="23"/>
  <c r="AD264" i="23"/>
  <c r="AB264" i="23"/>
  <c r="AA264" i="23"/>
  <c r="Z264" i="23"/>
  <c r="X264" i="23"/>
  <c r="W264" i="23"/>
  <c r="V264" i="23"/>
  <c r="T264" i="23"/>
  <c r="S264" i="23"/>
  <c r="R264" i="23"/>
  <c r="P264" i="23"/>
  <c r="O264" i="23"/>
  <c r="AL263" i="23"/>
  <c r="AJ263" i="23"/>
  <c r="AI263" i="23"/>
  <c r="AH263" i="23"/>
  <c r="AF263" i="23"/>
  <c r="AE263" i="23"/>
  <c r="AD263" i="23"/>
  <c r="AB263" i="23"/>
  <c r="AA263" i="23"/>
  <c r="Z263" i="23"/>
  <c r="X263" i="23"/>
  <c r="W263" i="23"/>
  <c r="V263" i="23"/>
  <c r="T263" i="23"/>
  <c r="S263" i="23"/>
  <c r="R263" i="23"/>
  <c r="P263" i="23"/>
  <c r="O263" i="23"/>
  <c r="N264" i="23"/>
  <c r="N263" i="23"/>
  <c r="J264" i="23"/>
  <c r="F264" i="23"/>
  <c r="E264" i="23"/>
  <c r="D264" i="23"/>
  <c r="C264" i="23"/>
  <c r="J263" i="23"/>
  <c r="F263" i="23"/>
  <c r="E263" i="23"/>
  <c r="D263" i="23"/>
  <c r="C263" i="23"/>
  <c r="AL260" i="23"/>
  <c r="AJ260" i="23"/>
  <c r="AI260" i="23"/>
  <c r="AH260" i="23"/>
  <c r="AF260" i="23"/>
  <c r="AE260" i="23"/>
  <c r="AD260" i="23"/>
  <c r="AB260" i="23"/>
  <c r="AA260" i="23"/>
  <c r="Z260" i="23"/>
  <c r="X260" i="23"/>
  <c r="W260" i="23"/>
  <c r="V260" i="23"/>
  <c r="T260" i="23"/>
  <c r="S260" i="23"/>
  <c r="R260" i="23"/>
  <c r="P260" i="23"/>
  <c r="O260" i="23"/>
  <c r="N260" i="23"/>
  <c r="J260" i="23"/>
  <c r="I260" i="23"/>
  <c r="H260" i="23"/>
  <c r="G260" i="23"/>
  <c r="F260" i="23"/>
  <c r="E260" i="23"/>
  <c r="D260" i="23"/>
  <c r="C260" i="23"/>
  <c r="AL106" i="23"/>
  <c r="AL72" i="23"/>
  <c r="AL83" i="23"/>
  <c r="AL76" i="23"/>
  <c r="AL57" i="23"/>
  <c r="AL23" i="23"/>
  <c r="AL16" i="23"/>
  <c r="AL255" i="23"/>
  <c r="AL251" i="23"/>
  <c r="AL248" i="23"/>
  <c r="AL246" i="23"/>
  <c r="AL245" i="23"/>
  <c r="AL242" i="23"/>
  <c r="AL241" i="23"/>
  <c r="AL238" i="23"/>
  <c r="AL237" i="23"/>
  <c r="AL228" i="23"/>
  <c r="AP229" i="23" s="1"/>
  <c r="AL225" i="23"/>
  <c r="AL214" i="23"/>
  <c r="AL191" i="23"/>
  <c r="AL187" i="23"/>
  <c r="AL184" i="23"/>
  <c r="AL182" i="23"/>
  <c r="AL181" i="23"/>
  <c r="AL180" i="23"/>
  <c r="AL178" i="23"/>
  <c r="AL177" i="23"/>
  <c r="AL174" i="23"/>
  <c r="AL173" i="23"/>
  <c r="AL164" i="23"/>
  <c r="AP165" i="23" s="1"/>
  <c r="AL161" i="23"/>
  <c r="AL155" i="23"/>
  <c r="AL219" i="23" s="1"/>
  <c r="AL150" i="23"/>
  <c r="AL134" i="23"/>
  <c r="AL125" i="23"/>
  <c r="AL124" i="23"/>
  <c r="AL121" i="23"/>
  <c r="C234" i="22" s="1"/>
  <c r="AL116" i="23"/>
  <c r="AL110" i="23"/>
  <c r="AL104" i="23"/>
  <c r="AL94" i="23"/>
  <c r="AL244" i="23"/>
  <c r="AL70" i="23"/>
  <c r="AL55" i="23"/>
  <c r="AL10" i="23"/>
  <c r="AL9" i="23"/>
  <c r="C307" i="22"/>
  <c r="C298" i="22"/>
  <c r="C270" i="22"/>
  <c r="AK101" i="24"/>
  <c r="AK100" i="24"/>
  <c r="AK99" i="24"/>
  <c r="AK96" i="24"/>
  <c r="AK95" i="24"/>
  <c r="AK94" i="24"/>
  <c r="AK90" i="24"/>
  <c r="AK89" i="24"/>
  <c r="AK88" i="24"/>
  <c r="AK85" i="24"/>
  <c r="AK84" i="24"/>
  <c r="AK83" i="24"/>
  <c r="AK79" i="24"/>
  <c r="AK78" i="24"/>
  <c r="AK77" i="24"/>
  <c r="AK74" i="24"/>
  <c r="AK73" i="24"/>
  <c r="AK72" i="24"/>
  <c r="AK68" i="24"/>
  <c r="AK67" i="24"/>
  <c r="AK66" i="24"/>
  <c r="AK64" i="24"/>
  <c r="AK63" i="24"/>
  <c r="AK61" i="24"/>
  <c r="AK60" i="24"/>
  <c r="AK44" i="24"/>
  <c r="AK43" i="24"/>
  <c r="AK42" i="24"/>
  <c r="AK39" i="24"/>
  <c r="AK38" i="24"/>
  <c r="AK35" i="24"/>
  <c r="AK34" i="24"/>
  <c r="AK31" i="24"/>
  <c r="AK30" i="24"/>
  <c r="AK29" i="24"/>
  <c r="AK26" i="24"/>
  <c r="AK25" i="24"/>
  <c r="AK22" i="24"/>
  <c r="AK21" i="24"/>
  <c r="AK18" i="24"/>
  <c r="AK17" i="24"/>
  <c r="AK16" i="24"/>
  <c r="AK13" i="24"/>
  <c r="AK12" i="24"/>
  <c r="AK9" i="24"/>
  <c r="AK8" i="24"/>
  <c r="AP194" i="23" l="1"/>
  <c r="AP258" i="23"/>
  <c r="AP280" i="23"/>
  <c r="AP85" i="23"/>
  <c r="AP179" i="23"/>
  <c r="AP243" i="23"/>
  <c r="AP20" i="23"/>
  <c r="AP30" i="23"/>
  <c r="AP56" i="23"/>
  <c r="AP58" i="23" s="1"/>
  <c r="C79" i="22"/>
  <c r="C83" i="22"/>
  <c r="AO57" i="23"/>
  <c r="AO8" i="23"/>
  <c r="AO77" i="23"/>
  <c r="AL247" i="23"/>
  <c r="AM72" i="23"/>
  <c r="AN72" i="23" s="1"/>
  <c r="AN172" i="23" s="1"/>
  <c r="AO16" i="23"/>
  <c r="R265" i="23"/>
  <c r="AN84" i="23"/>
  <c r="AO84" i="23"/>
  <c r="AN80" i="23"/>
  <c r="AO80" i="23"/>
  <c r="AO78" i="23"/>
  <c r="AO23" i="23"/>
  <c r="L23" i="23" s="1"/>
  <c r="AO256" i="23"/>
  <c r="AM246" i="23"/>
  <c r="AN81" i="23"/>
  <c r="AO192" i="23"/>
  <c r="AO147" i="23"/>
  <c r="AO207" i="23" s="1"/>
  <c r="AM174" i="23"/>
  <c r="AM76" i="23"/>
  <c r="AM251" i="23"/>
  <c r="AM9" i="23"/>
  <c r="AN241" i="23"/>
  <c r="AN242" i="23"/>
  <c r="L124" i="23"/>
  <c r="AO156" i="23"/>
  <c r="AO220" i="23" s="1"/>
  <c r="AO218" i="23"/>
  <c r="AM173" i="23"/>
  <c r="L125" i="23"/>
  <c r="K56" i="23"/>
  <c r="K58" i="23" s="1"/>
  <c r="K20" i="23"/>
  <c r="K30" i="23"/>
  <c r="K96" i="23"/>
  <c r="K280" i="23"/>
  <c r="K258" i="23"/>
  <c r="K194" i="23"/>
  <c r="C160" i="22"/>
  <c r="C130" i="22"/>
  <c r="AN73" i="23"/>
  <c r="AO73" i="23" s="1"/>
  <c r="AN87" i="23"/>
  <c r="AN251" i="23" s="1"/>
  <c r="AN74" i="23"/>
  <c r="AA265" i="23"/>
  <c r="V265" i="23"/>
  <c r="AF265" i="23"/>
  <c r="AN82" i="23"/>
  <c r="AL53" i="24"/>
  <c r="L48" i="24"/>
  <c r="L47" i="24"/>
  <c r="AN126" i="23"/>
  <c r="AN254" i="23" s="1"/>
  <c r="AM248" i="23"/>
  <c r="AN177" i="23"/>
  <c r="AM83" i="23"/>
  <c r="AN83" i="23" s="1"/>
  <c r="AM182" i="23"/>
  <c r="AN265" i="23"/>
  <c r="AN48" i="23"/>
  <c r="AN40" i="23"/>
  <c r="AN49" i="23"/>
  <c r="AN39" i="23"/>
  <c r="AN38" i="23"/>
  <c r="AN13" i="23"/>
  <c r="AN43" i="23"/>
  <c r="E265" i="23"/>
  <c r="AM181" i="23"/>
  <c r="AN178" i="23"/>
  <c r="C184" i="22"/>
  <c r="C186" i="22" s="1"/>
  <c r="S265" i="23"/>
  <c r="AM245" i="23"/>
  <c r="AE265" i="23"/>
  <c r="AM184" i="23"/>
  <c r="J265" i="23"/>
  <c r="O265" i="23"/>
  <c r="Z265" i="23"/>
  <c r="C205" i="22"/>
  <c r="AM49" i="24"/>
  <c r="AM53" i="24"/>
  <c r="AM126" i="23"/>
  <c r="AM154" i="23" s="1"/>
  <c r="AM237" i="23"/>
  <c r="AM187" i="23"/>
  <c r="D265" i="23"/>
  <c r="AM265" i="23"/>
  <c r="W265" i="23"/>
  <c r="AH265" i="23"/>
  <c r="AM238" i="23"/>
  <c r="F265" i="23"/>
  <c r="X265" i="23"/>
  <c r="AI265" i="23"/>
  <c r="AM244" i="23"/>
  <c r="AM180" i="23"/>
  <c r="AL172" i="23"/>
  <c r="AJ265" i="23"/>
  <c r="C265" i="23"/>
  <c r="P265" i="23"/>
  <c r="AL265" i="23"/>
  <c r="AB265" i="23"/>
  <c r="T265" i="23"/>
  <c r="AD265" i="23"/>
  <c r="AL52" i="23"/>
  <c r="AL126" i="23"/>
  <c r="AL154" i="23" s="1"/>
  <c r="N265" i="23"/>
  <c r="C256" i="22"/>
  <c r="C235" i="22"/>
  <c r="AL49" i="24"/>
  <c r="AL236" i="23"/>
  <c r="AL183" i="23"/>
  <c r="AL68" i="23"/>
  <c r="AL39" i="23"/>
  <c r="AL38" i="23"/>
  <c r="AL53" i="23"/>
  <c r="AL67" i="23"/>
  <c r="AL40" i="23"/>
  <c r="AL48" i="23"/>
  <c r="AL176" i="23"/>
  <c r="AL240" i="23"/>
  <c r="AL18" i="23"/>
  <c r="AL49" i="23"/>
  <c r="AL13" i="23"/>
  <c r="AL43" i="23"/>
  <c r="AK48" i="24"/>
  <c r="AK40" i="24"/>
  <c r="AK36" i="24"/>
  <c r="AK27" i="24"/>
  <c r="AK23" i="24"/>
  <c r="AK57" i="24"/>
  <c r="AK56" i="24"/>
  <c r="AK55" i="24"/>
  <c r="AK52" i="24"/>
  <c r="AK51" i="24"/>
  <c r="AK47" i="24"/>
  <c r="J57" i="24"/>
  <c r="J56" i="24"/>
  <c r="J55" i="24"/>
  <c r="J52" i="24"/>
  <c r="J51" i="24"/>
  <c r="J48" i="24"/>
  <c r="J47" i="24"/>
  <c r="J40" i="24"/>
  <c r="J36" i="24"/>
  <c r="J27" i="24"/>
  <c r="J23" i="24"/>
  <c r="J14" i="24"/>
  <c r="J10" i="24"/>
  <c r="AO9" i="23" l="1"/>
  <c r="L8" i="23"/>
  <c r="AO18" i="23"/>
  <c r="L16" i="23"/>
  <c r="AM49" i="23"/>
  <c r="AM39" i="23"/>
  <c r="AM48" i="23"/>
  <c r="AM43" i="23"/>
  <c r="AN182" i="23"/>
  <c r="AO82" i="23"/>
  <c r="AP88" i="23"/>
  <c r="AP185" i="23"/>
  <c r="AP249" i="23"/>
  <c r="AP33" i="23"/>
  <c r="AP34" i="23" s="1"/>
  <c r="AP50" i="23"/>
  <c r="AP60" i="23"/>
  <c r="AP62" i="23"/>
  <c r="C81" i="22"/>
  <c r="AO39" i="23"/>
  <c r="AN248" i="23"/>
  <c r="AN184" i="23"/>
  <c r="AN180" i="23"/>
  <c r="AN244" i="23"/>
  <c r="AO280" i="23"/>
  <c r="AO81" i="23"/>
  <c r="AN245" i="23"/>
  <c r="AN76" i="23"/>
  <c r="AN236" i="23"/>
  <c r="AN68" i="23"/>
  <c r="AN52" i="23"/>
  <c r="AO72" i="23"/>
  <c r="AM67" i="23"/>
  <c r="AO74" i="23"/>
  <c r="AM240" i="23"/>
  <c r="AM176" i="23"/>
  <c r="AN154" i="23"/>
  <c r="AN218" i="23" s="1"/>
  <c r="AO76" i="23"/>
  <c r="AN190" i="23"/>
  <c r="AO87" i="23"/>
  <c r="AO83" i="23"/>
  <c r="AO99" i="23"/>
  <c r="AO181" i="23"/>
  <c r="AO245" i="23"/>
  <c r="AO173" i="23"/>
  <c r="AO237" i="23"/>
  <c r="AM13" i="23"/>
  <c r="AM19" i="23" s="1"/>
  <c r="AN132" i="23"/>
  <c r="AN181" i="23"/>
  <c r="AN128" i="23"/>
  <c r="AN147" i="23" s="1"/>
  <c r="AN207" i="23" s="1"/>
  <c r="AO178" i="23"/>
  <c r="AO242" i="23"/>
  <c r="AO194" i="23"/>
  <c r="AO258" i="23"/>
  <c r="AO13" i="23"/>
  <c r="AO38" i="23"/>
  <c r="AO49" i="23"/>
  <c r="AO40" i="23"/>
  <c r="AO43" i="23"/>
  <c r="AO48" i="23"/>
  <c r="AM53" i="23"/>
  <c r="AM40" i="23"/>
  <c r="AM38" i="23"/>
  <c r="AO177" i="23"/>
  <c r="AO241" i="23"/>
  <c r="K33" i="23"/>
  <c r="K50" i="23"/>
  <c r="K97" i="23"/>
  <c r="K60" i="23"/>
  <c r="AL132" i="23"/>
  <c r="AN187" i="23"/>
  <c r="AL254" i="23"/>
  <c r="AL256" i="23" s="1"/>
  <c r="C132" i="22"/>
  <c r="C136" i="22"/>
  <c r="L49" i="24"/>
  <c r="AL190" i="23"/>
  <c r="C241" i="22"/>
  <c r="AN246" i="23"/>
  <c r="AM183" i="23"/>
  <c r="AN183" i="23"/>
  <c r="AN247" i="23"/>
  <c r="AN176" i="23"/>
  <c r="AN53" i="23"/>
  <c r="AM254" i="23"/>
  <c r="AM256" i="23" s="1"/>
  <c r="AN174" i="23"/>
  <c r="AN238" i="23"/>
  <c r="C190" i="22"/>
  <c r="AN19" i="23"/>
  <c r="AN14" i="23"/>
  <c r="AN173" i="23"/>
  <c r="AN237" i="23"/>
  <c r="AM128" i="23"/>
  <c r="AM132" i="23"/>
  <c r="AN256" i="23"/>
  <c r="C188" i="22"/>
  <c r="AM190" i="23"/>
  <c r="AL128" i="23"/>
  <c r="AM247" i="23"/>
  <c r="AM156" i="23"/>
  <c r="AM220" i="23" s="1"/>
  <c r="AM218" i="23"/>
  <c r="AM236" i="23"/>
  <c r="AM172" i="23"/>
  <c r="AM52" i="23"/>
  <c r="AM68" i="23"/>
  <c r="C237" i="22"/>
  <c r="C239" i="22" s="1"/>
  <c r="AK49" i="24"/>
  <c r="AL156" i="23"/>
  <c r="AL220" i="23" s="1"/>
  <c r="AL218" i="23"/>
  <c r="AL14" i="23"/>
  <c r="AL19" i="23"/>
  <c r="AK53" i="24"/>
  <c r="AK10" i="24"/>
  <c r="AK14" i="24"/>
  <c r="J53" i="24"/>
  <c r="J49" i="24"/>
  <c r="AK131" i="23"/>
  <c r="AK260" i="23" s="1"/>
  <c r="AK127" i="23"/>
  <c r="AK120" i="23"/>
  <c r="AK264" i="23" s="1"/>
  <c r="AK119" i="23"/>
  <c r="AK263" i="23" s="1"/>
  <c r="AK115" i="23"/>
  <c r="AK114" i="23"/>
  <c r="AK109" i="23"/>
  <c r="AK108" i="23"/>
  <c r="AK107" i="23"/>
  <c r="AK32" i="23"/>
  <c r="AK31" i="23"/>
  <c r="AK29" i="23"/>
  <c r="AK27" i="23"/>
  <c r="AK26" i="23"/>
  <c r="AK25" i="23"/>
  <c r="AK24" i="23"/>
  <c r="AK22" i="23"/>
  <c r="AK17" i="23"/>
  <c r="AK12" i="23"/>
  <c r="AK11" i="23"/>
  <c r="AK7" i="23"/>
  <c r="AK225" i="23"/>
  <c r="AK214" i="23"/>
  <c r="AK161" i="23"/>
  <c r="AK150" i="23"/>
  <c r="AK134" i="23"/>
  <c r="AK104" i="23"/>
  <c r="AK94" i="23"/>
  <c r="AK70" i="23"/>
  <c r="AK55" i="23"/>
  <c r="J106" i="23"/>
  <c r="AK106" i="23" s="1"/>
  <c r="I84" i="23"/>
  <c r="J83" i="23"/>
  <c r="J183" i="23" s="1"/>
  <c r="AJ81" i="23"/>
  <c r="J76" i="23"/>
  <c r="J101" i="23" s="1"/>
  <c r="I72" i="23"/>
  <c r="J72" i="23"/>
  <c r="J68" i="23" s="1"/>
  <c r="J57" i="23"/>
  <c r="J23" i="23"/>
  <c r="J16" i="23"/>
  <c r="J255" i="23"/>
  <c r="J251" i="23"/>
  <c r="J246" i="23"/>
  <c r="J245" i="23"/>
  <c r="J244" i="23"/>
  <c r="J242" i="23"/>
  <c r="J241" i="23"/>
  <c r="J238" i="23"/>
  <c r="J237" i="23"/>
  <c r="J228" i="23"/>
  <c r="K229" i="23" s="1"/>
  <c r="J225" i="23"/>
  <c r="J214" i="23"/>
  <c r="J191" i="23"/>
  <c r="J187" i="23"/>
  <c r="J182" i="23"/>
  <c r="J181" i="23"/>
  <c r="J180" i="23"/>
  <c r="J178" i="23"/>
  <c r="J177" i="23"/>
  <c r="J174" i="23"/>
  <c r="J173" i="23"/>
  <c r="J164" i="23"/>
  <c r="K165" i="23" s="1"/>
  <c r="J161" i="23"/>
  <c r="J155" i="23"/>
  <c r="J219" i="23" s="1"/>
  <c r="J150" i="23"/>
  <c r="J134" i="23"/>
  <c r="J124" i="23"/>
  <c r="J121" i="23"/>
  <c r="J116" i="23"/>
  <c r="J44" i="23" s="1"/>
  <c r="J110" i="23"/>
  <c r="J104" i="23"/>
  <c r="J99" i="23"/>
  <c r="J95" i="23"/>
  <c r="J94" i="23"/>
  <c r="J184" i="23"/>
  <c r="J70" i="23"/>
  <c r="J55" i="23"/>
  <c r="J10" i="23"/>
  <c r="J9" i="23"/>
  <c r="J43" i="23" s="1"/>
  <c r="AN67" i="23" l="1"/>
  <c r="AN240" i="23"/>
  <c r="AP101" i="23"/>
  <c r="AP188" i="23"/>
  <c r="AP252" i="23"/>
  <c r="AP186" i="23"/>
  <c r="AP250" i="23"/>
  <c r="AO174" i="23"/>
  <c r="AP99" i="23"/>
  <c r="AN156" i="23"/>
  <c r="AN220" i="23" s="1"/>
  <c r="AL44" i="23"/>
  <c r="AM44" i="23"/>
  <c r="AN44" i="23"/>
  <c r="AO238" i="23"/>
  <c r="AM14" i="23"/>
  <c r="AN258" i="23"/>
  <c r="AN192" i="23"/>
  <c r="AO182" i="23"/>
  <c r="AO246" i="23"/>
  <c r="AO10" i="23"/>
  <c r="AO251" i="23"/>
  <c r="AO187" i="23"/>
  <c r="AO14" i="23"/>
  <c r="AO19" i="23"/>
  <c r="K231" i="23"/>
  <c r="K65" i="23"/>
  <c r="K169" i="23" s="1"/>
  <c r="K62" i="23"/>
  <c r="K167" i="23"/>
  <c r="K98" i="23"/>
  <c r="K136" i="23" s="1"/>
  <c r="K71" i="23"/>
  <c r="K100" i="23"/>
  <c r="K34" i="23"/>
  <c r="C134" i="22"/>
  <c r="AL147" i="23"/>
  <c r="AL207" i="23" s="1"/>
  <c r="AM147" i="23"/>
  <c r="AM207" i="23" s="1"/>
  <c r="AM192" i="23"/>
  <c r="AL192" i="23"/>
  <c r="AN95" i="23"/>
  <c r="AK265" i="23"/>
  <c r="AN20" i="23"/>
  <c r="AN56" i="23"/>
  <c r="AN58" i="23" s="1"/>
  <c r="AN30" i="23"/>
  <c r="AM194" i="23"/>
  <c r="AM258" i="23"/>
  <c r="AM56" i="23"/>
  <c r="AM58" i="23" s="1"/>
  <c r="AM20" i="23"/>
  <c r="AM30" i="23"/>
  <c r="AK81" i="23"/>
  <c r="AM95" i="23"/>
  <c r="AM111" i="23" s="1"/>
  <c r="AK125" i="23"/>
  <c r="AK121" i="23"/>
  <c r="C285" i="22" s="1"/>
  <c r="C286" i="22" s="1"/>
  <c r="C289" i="22"/>
  <c r="J67" i="23"/>
  <c r="J240" i="23"/>
  <c r="AK110" i="23"/>
  <c r="AL95" i="23"/>
  <c r="AK124" i="23"/>
  <c r="C301" i="22"/>
  <c r="C308" i="22" s="1"/>
  <c r="AL258" i="23"/>
  <c r="AL194" i="23"/>
  <c r="J176" i="23"/>
  <c r="AL30" i="23"/>
  <c r="AL20" i="23"/>
  <c r="AL56" i="23"/>
  <c r="AL58" i="23" s="1"/>
  <c r="AP59" i="23" s="1"/>
  <c r="AK255" i="23"/>
  <c r="C287" i="22"/>
  <c r="AK155" i="23"/>
  <c r="AK219" i="23" s="1"/>
  <c r="AK95" i="23"/>
  <c r="AK151" i="23" s="1"/>
  <c r="AK215" i="23" s="1"/>
  <c r="AK164" i="23"/>
  <c r="AO165" i="23" s="1"/>
  <c r="AK191" i="23"/>
  <c r="AK116" i="23"/>
  <c r="AK44" i="23" s="1"/>
  <c r="AK228" i="23"/>
  <c r="AO229" i="23" s="1"/>
  <c r="J111" i="23"/>
  <c r="J236" i="23"/>
  <c r="J172" i="23"/>
  <c r="J38" i="23"/>
  <c r="J39" i="23"/>
  <c r="J247" i="23"/>
  <c r="J40" i="23"/>
  <c r="J49" i="23"/>
  <c r="J125" i="23"/>
  <c r="J126" i="23" s="1"/>
  <c r="J48" i="23"/>
  <c r="J151" i="23"/>
  <c r="J215" i="23" s="1"/>
  <c r="J248" i="23"/>
  <c r="J52" i="23"/>
  <c r="J53" i="23"/>
  <c r="J13" i="23"/>
  <c r="J18" i="23"/>
  <c r="C349" i="22"/>
  <c r="AO96" i="23" l="1"/>
  <c r="AP96" i="23"/>
  <c r="AN194" i="23"/>
  <c r="AO30" i="23"/>
  <c r="AO20" i="23"/>
  <c r="AO56" i="23"/>
  <c r="K75" i="23"/>
  <c r="K235" i="23"/>
  <c r="K267" i="23" s="1"/>
  <c r="K171" i="23"/>
  <c r="K152" i="23"/>
  <c r="K144" i="23"/>
  <c r="K204" i="23" s="1"/>
  <c r="K145" i="23"/>
  <c r="K205" i="23" s="1"/>
  <c r="K137" i="23"/>
  <c r="K197" i="23" s="1"/>
  <c r="K140" i="23"/>
  <c r="K139" i="23"/>
  <c r="K196" i="23"/>
  <c r="K142" i="23"/>
  <c r="K202" i="23" s="1"/>
  <c r="K233" i="23"/>
  <c r="AK181" i="23"/>
  <c r="AN33" i="23"/>
  <c r="AN34" i="23" s="1"/>
  <c r="AN50" i="23"/>
  <c r="AN60" i="23"/>
  <c r="AN151" i="23"/>
  <c r="AN215" i="23" s="1"/>
  <c r="AN111" i="23"/>
  <c r="AM63" i="23"/>
  <c r="AM60" i="23"/>
  <c r="AM33" i="23"/>
  <c r="AM50" i="23"/>
  <c r="AM151" i="23"/>
  <c r="AM215" i="23" s="1"/>
  <c r="AK245" i="23"/>
  <c r="C288" i="22"/>
  <c r="C290" i="22" s="1"/>
  <c r="AL33" i="23"/>
  <c r="AL50" i="23"/>
  <c r="AK126" i="23"/>
  <c r="C292" i="22" s="1"/>
  <c r="AL151" i="23"/>
  <c r="AL215" i="23" s="1"/>
  <c r="AL111" i="23"/>
  <c r="AL60" i="23"/>
  <c r="AK111" i="23"/>
  <c r="J14" i="23"/>
  <c r="J19" i="23"/>
  <c r="J254" i="23"/>
  <c r="J132" i="23"/>
  <c r="J154" i="23"/>
  <c r="J128" i="23"/>
  <c r="J190" i="23"/>
  <c r="C345" i="22"/>
  <c r="C350" i="22" s="1"/>
  <c r="C342" i="22"/>
  <c r="C333" i="22"/>
  <c r="C331" i="22"/>
  <c r="C314" i="22"/>
  <c r="L40" i="24"/>
  <c r="L36" i="24"/>
  <c r="L27" i="24"/>
  <c r="L23" i="24"/>
  <c r="AJ55" i="24"/>
  <c r="AJ56" i="24"/>
  <c r="AJ57" i="24"/>
  <c r="AJ51" i="24"/>
  <c r="AJ52" i="24"/>
  <c r="AJ40" i="24"/>
  <c r="AJ27" i="24"/>
  <c r="AJ14" i="24"/>
  <c r="AJ47" i="24"/>
  <c r="AJ48" i="24"/>
  <c r="AI47" i="24"/>
  <c r="AJ36" i="24"/>
  <c r="AJ23" i="24"/>
  <c r="AJ10" i="24"/>
  <c r="L126" i="23"/>
  <c r="L121" i="23"/>
  <c r="L116" i="23"/>
  <c r="L44" i="23" s="1"/>
  <c r="AJ255" i="23"/>
  <c r="AJ225" i="23"/>
  <c r="AJ228" i="23"/>
  <c r="AN229" i="23" s="1"/>
  <c r="AJ214" i="23"/>
  <c r="AJ191" i="23"/>
  <c r="AJ161" i="23"/>
  <c r="AJ164" i="23"/>
  <c r="AN165" i="23" s="1"/>
  <c r="AJ155" i="23"/>
  <c r="AJ219" i="23" s="1"/>
  <c r="AJ150" i="23"/>
  <c r="AJ134" i="23"/>
  <c r="AJ124" i="23"/>
  <c r="AJ125" i="23"/>
  <c r="AI125" i="23"/>
  <c r="AI124" i="23"/>
  <c r="AJ121" i="23"/>
  <c r="C329" i="22" s="1"/>
  <c r="AJ116" i="23"/>
  <c r="AI110" i="23"/>
  <c r="AJ110" i="23"/>
  <c r="AJ106" i="23"/>
  <c r="AJ104" i="23"/>
  <c r="AJ94" i="23"/>
  <c r="AJ245" i="23"/>
  <c r="AJ78" i="23"/>
  <c r="AJ77" i="23"/>
  <c r="AJ70" i="23"/>
  <c r="AI57" i="23"/>
  <c r="AJ57" i="23"/>
  <c r="AF57" i="23"/>
  <c r="AE57" i="23"/>
  <c r="AJ55" i="23"/>
  <c r="AF23" i="23"/>
  <c r="AJ23" i="23"/>
  <c r="AJ18" i="23"/>
  <c r="AF8" i="23"/>
  <c r="AJ10" i="23"/>
  <c r="AJ8" i="23"/>
  <c r="AI84" i="23"/>
  <c r="AI8" i="23"/>
  <c r="C387" i="22"/>
  <c r="C375" i="22"/>
  <c r="C373" i="22"/>
  <c r="AI106" i="23"/>
  <c r="AI87" i="23"/>
  <c r="AI82" i="23"/>
  <c r="AI74" i="23"/>
  <c r="AI73" i="23"/>
  <c r="AI23" i="23"/>
  <c r="AE106" i="23"/>
  <c r="AI255" i="23"/>
  <c r="AI245" i="23"/>
  <c r="AI242" i="23"/>
  <c r="AI241" i="23"/>
  <c r="AI228" i="23"/>
  <c r="AM229" i="23" s="1"/>
  <c r="AI225" i="23"/>
  <c r="AI214" i="23"/>
  <c r="AI191" i="23"/>
  <c r="AI181" i="23"/>
  <c r="AI178" i="23"/>
  <c r="AI177" i="23"/>
  <c r="AI164" i="23"/>
  <c r="AM165" i="23" s="1"/>
  <c r="AI161" i="23"/>
  <c r="AI155" i="23"/>
  <c r="AI219" i="23" s="1"/>
  <c r="AI150" i="23"/>
  <c r="AI134" i="23"/>
  <c r="AI121" i="23"/>
  <c r="C371" i="22" s="1"/>
  <c r="AI116" i="23"/>
  <c r="AI104" i="23"/>
  <c r="AI94" i="23"/>
  <c r="AI70" i="23"/>
  <c r="AI55" i="23"/>
  <c r="AI18" i="23"/>
  <c r="AI10" i="23"/>
  <c r="C390" i="22"/>
  <c r="B389" i="22"/>
  <c r="C384" i="22"/>
  <c r="C391" i="22"/>
  <c r="C356" i="22"/>
  <c r="AI57" i="24"/>
  <c r="AI56" i="24"/>
  <c r="AI55" i="24"/>
  <c r="AI52" i="24"/>
  <c r="AI51" i="24"/>
  <c r="AI48" i="24"/>
  <c r="AI40" i="24"/>
  <c r="AI36" i="24"/>
  <c r="AI27" i="24"/>
  <c r="AI23" i="24"/>
  <c r="AI14" i="24"/>
  <c r="AI10" i="24"/>
  <c r="C432" i="22"/>
  <c r="C475" i="22"/>
  <c r="C412" i="22"/>
  <c r="C433" i="22" s="1"/>
  <c r="AD23" i="23"/>
  <c r="AD16" i="23"/>
  <c r="AH23" i="23"/>
  <c r="AH16" i="23"/>
  <c r="I17" i="23"/>
  <c r="K275" i="23" l="1"/>
  <c r="K269" i="23"/>
  <c r="K272" i="23"/>
  <c r="K270" i="23"/>
  <c r="K273" i="23"/>
  <c r="K278" i="23"/>
  <c r="K277" i="23"/>
  <c r="AM34" i="23"/>
  <c r="AO63" i="23"/>
  <c r="AL34" i="23"/>
  <c r="AO33" i="23"/>
  <c r="AO50" i="23"/>
  <c r="K200" i="23"/>
  <c r="K157" i="23"/>
  <c r="K216" i="23"/>
  <c r="K153" i="23"/>
  <c r="K158" i="23"/>
  <c r="K199" i="23"/>
  <c r="K79" i="23"/>
  <c r="K239" i="23"/>
  <c r="K175" i="23"/>
  <c r="AJ9" i="23"/>
  <c r="AN231" i="23"/>
  <c r="AN65" i="23"/>
  <c r="AN169" i="23" s="1"/>
  <c r="AN71" i="23"/>
  <c r="AN167" i="23"/>
  <c r="AN62" i="23"/>
  <c r="L260" i="23"/>
  <c r="L264" i="23"/>
  <c r="L263" i="23"/>
  <c r="AK254" i="23"/>
  <c r="AK256" i="23" s="1"/>
  <c r="AI173" i="23"/>
  <c r="AI246" i="23"/>
  <c r="AM167" i="23"/>
  <c r="AM65" i="23"/>
  <c r="AM169" i="23" s="1"/>
  <c r="AM231" i="23"/>
  <c r="AM71" i="23"/>
  <c r="AM62" i="23"/>
  <c r="AJ49" i="24"/>
  <c r="AK128" i="23"/>
  <c r="AK258" i="23" s="1"/>
  <c r="AI238" i="23"/>
  <c r="AH18" i="23"/>
  <c r="AK16" i="23"/>
  <c r="AL62" i="23"/>
  <c r="AL71" i="23"/>
  <c r="AL65" i="23"/>
  <c r="AL169" i="23" s="1"/>
  <c r="AL231" i="23"/>
  <c r="AP232" i="23" s="1"/>
  <c r="AL167" i="23"/>
  <c r="AK23" i="23"/>
  <c r="AK154" i="23"/>
  <c r="AK218" i="23" s="1"/>
  <c r="AJ177" i="23"/>
  <c r="AK77" i="23"/>
  <c r="AK132" i="23"/>
  <c r="AJ242" i="23"/>
  <c r="AK78" i="23"/>
  <c r="AI237" i="23"/>
  <c r="AI9" i="23"/>
  <c r="AK8" i="23"/>
  <c r="AK190" i="23"/>
  <c r="AJ84" i="23"/>
  <c r="AJ82" i="23"/>
  <c r="AJ87" i="23"/>
  <c r="C330" i="22"/>
  <c r="C332" i="22" s="1"/>
  <c r="L14" i="24"/>
  <c r="L10" i="24"/>
  <c r="L53" i="24"/>
  <c r="AJ53" i="24"/>
  <c r="AI184" i="23"/>
  <c r="AI251" i="23"/>
  <c r="AI248" i="23"/>
  <c r="AI187" i="23"/>
  <c r="AJ73" i="23"/>
  <c r="AJ241" i="23"/>
  <c r="J130" i="23"/>
  <c r="J192" i="23"/>
  <c r="J147" i="23"/>
  <c r="J207" i="23" s="1"/>
  <c r="J56" i="23"/>
  <c r="J58" i="23" s="1"/>
  <c r="K59" i="23" s="1"/>
  <c r="J96" i="23"/>
  <c r="J30" i="23"/>
  <c r="J20" i="23"/>
  <c r="J156" i="23"/>
  <c r="J220" i="23" s="1"/>
  <c r="J218" i="23"/>
  <c r="J256" i="23"/>
  <c r="AJ40" i="23"/>
  <c r="L132" i="23"/>
  <c r="L128" i="23"/>
  <c r="AJ126" i="23"/>
  <c r="AJ74" i="23"/>
  <c r="AJ178" i="23"/>
  <c r="AJ181" i="23"/>
  <c r="C372" i="22"/>
  <c r="AI53" i="24"/>
  <c r="AI49" i="24"/>
  <c r="AI126" i="23"/>
  <c r="AI190" i="23" s="1"/>
  <c r="AI174" i="23"/>
  <c r="AI182" i="23"/>
  <c r="C392" i="22"/>
  <c r="C429" i="22"/>
  <c r="C417" i="22"/>
  <c r="C415" i="22"/>
  <c r="B431" i="22"/>
  <c r="C426" i="22"/>
  <c r="C398" i="22"/>
  <c r="AH57" i="24"/>
  <c r="AH56" i="24"/>
  <c r="AH55" i="24"/>
  <c r="AH52" i="24"/>
  <c r="AH51" i="24"/>
  <c r="AH48" i="24"/>
  <c r="AH47" i="24"/>
  <c r="AH40" i="24"/>
  <c r="AH36" i="24"/>
  <c r="AH27" i="24"/>
  <c r="AH23" i="24"/>
  <c r="AH14" i="24"/>
  <c r="AH10" i="24"/>
  <c r="AH106" i="23"/>
  <c r="AH83" i="23"/>
  <c r="AH80" i="23"/>
  <c r="AH76" i="23"/>
  <c r="AH72" i="23"/>
  <c r="AH236" i="23" s="1"/>
  <c r="AH57" i="23"/>
  <c r="AH255" i="23"/>
  <c r="AH251" i="23"/>
  <c r="AH248" i="23"/>
  <c r="AH246" i="23"/>
  <c r="AH245" i="23"/>
  <c r="AH242" i="23"/>
  <c r="AH241" i="23"/>
  <c r="AH238" i="23"/>
  <c r="AH237" i="23"/>
  <c r="AH228" i="23"/>
  <c r="AL229" i="23" s="1"/>
  <c r="AH225" i="23"/>
  <c r="AH214" i="23"/>
  <c r="AH191" i="23"/>
  <c r="AH187" i="23"/>
  <c r="AH184" i="23"/>
  <c r="AH182" i="23"/>
  <c r="AH181" i="23"/>
  <c r="AH178" i="23"/>
  <c r="AH177" i="23"/>
  <c r="AH174" i="23"/>
  <c r="AH173" i="23"/>
  <c r="AH164" i="23"/>
  <c r="AL165" i="23" s="1"/>
  <c r="AH161" i="23"/>
  <c r="AH155" i="23"/>
  <c r="AH219" i="23" s="1"/>
  <c r="AH150" i="23"/>
  <c r="AH134" i="23"/>
  <c r="AH125" i="23"/>
  <c r="AH124" i="23"/>
  <c r="AH121" i="23"/>
  <c r="C413" i="22" s="1"/>
  <c r="AH116" i="23"/>
  <c r="AH110" i="23"/>
  <c r="AH104" i="23"/>
  <c r="AH94" i="23"/>
  <c r="AH70" i="23"/>
  <c r="AH55" i="23"/>
  <c r="AH10" i="23"/>
  <c r="AH9" i="23"/>
  <c r="C474" i="22"/>
  <c r="B473" i="22"/>
  <c r="C513" i="22"/>
  <c r="C468" i="22"/>
  <c r="C440" i="22"/>
  <c r="C516" i="22"/>
  <c r="C517" i="22"/>
  <c r="C501" i="22"/>
  <c r="C499" i="22"/>
  <c r="AG101" i="24"/>
  <c r="AG100" i="24"/>
  <c r="AG99" i="24"/>
  <c r="AG96" i="24"/>
  <c r="AG95" i="24"/>
  <c r="AG94" i="24"/>
  <c r="AG90" i="24"/>
  <c r="AG89" i="24"/>
  <c r="AG88" i="24"/>
  <c r="AG85" i="24"/>
  <c r="AG84" i="24"/>
  <c r="AG83" i="24"/>
  <c r="AG79" i="24"/>
  <c r="AG78" i="24"/>
  <c r="AG77" i="24"/>
  <c r="AG74" i="24"/>
  <c r="AG73" i="24"/>
  <c r="AG72" i="24"/>
  <c r="AG68" i="24"/>
  <c r="AG67" i="24"/>
  <c r="AG66" i="24"/>
  <c r="AG64" i="24"/>
  <c r="AG63" i="24"/>
  <c r="AG61" i="24"/>
  <c r="AG60" i="24"/>
  <c r="AG44" i="24"/>
  <c r="AG43" i="24"/>
  <c r="AG42" i="24"/>
  <c r="AG39" i="24"/>
  <c r="AG38" i="24"/>
  <c r="AG35" i="24"/>
  <c r="AG34" i="24"/>
  <c r="AG31" i="24"/>
  <c r="AG30" i="24"/>
  <c r="AG29" i="24"/>
  <c r="AG26" i="24"/>
  <c r="AG25" i="24"/>
  <c r="AG22" i="24"/>
  <c r="AG21" i="24"/>
  <c r="AG18" i="24"/>
  <c r="AG17" i="24"/>
  <c r="AG16" i="24"/>
  <c r="AG13" i="24"/>
  <c r="AG12" i="24"/>
  <c r="AG9" i="24"/>
  <c r="AG8" i="24"/>
  <c r="I57" i="24"/>
  <c r="I56" i="24"/>
  <c r="I55" i="24"/>
  <c r="I52" i="24"/>
  <c r="I51" i="24"/>
  <c r="I48" i="24"/>
  <c r="I47" i="24"/>
  <c r="I40" i="24"/>
  <c r="I36" i="24"/>
  <c r="I27" i="24"/>
  <c r="I23" i="24"/>
  <c r="I14" i="24"/>
  <c r="I10" i="24"/>
  <c r="I57" i="23"/>
  <c r="L225" i="23"/>
  <c r="L214" i="23"/>
  <c r="L161" i="23"/>
  <c r="L150" i="23"/>
  <c r="L134" i="23"/>
  <c r="L104" i="23"/>
  <c r="L94" i="23"/>
  <c r="L70" i="23"/>
  <c r="L55" i="23"/>
  <c r="AG131" i="23"/>
  <c r="AG127" i="23"/>
  <c r="AG191" i="23" s="1"/>
  <c r="AG115" i="23"/>
  <c r="AG114" i="23"/>
  <c r="C471" i="22" s="1"/>
  <c r="AG109" i="23"/>
  <c r="AG108" i="23"/>
  <c r="AG107" i="23"/>
  <c r="L110" i="23" s="1"/>
  <c r="AG24" i="23"/>
  <c r="AG8" i="23"/>
  <c r="AG7" i="23"/>
  <c r="AK10" i="23" s="1"/>
  <c r="AG225" i="23"/>
  <c r="AG214" i="23"/>
  <c r="AG161" i="23"/>
  <c r="AG150" i="23"/>
  <c r="AG134" i="23"/>
  <c r="AG104" i="23"/>
  <c r="AG94" i="23"/>
  <c r="AG70" i="23"/>
  <c r="AG55" i="23"/>
  <c r="I120" i="23"/>
  <c r="I119" i="23"/>
  <c r="I263" i="23" s="1"/>
  <c r="I106" i="23"/>
  <c r="AG106" i="23" s="1"/>
  <c r="G80" i="23"/>
  <c r="I184" i="23"/>
  <c r="I83" i="23"/>
  <c r="I247" i="23" s="1"/>
  <c r="I180" i="23"/>
  <c r="H76" i="23"/>
  <c r="I76" i="23"/>
  <c r="I176" i="23" s="1"/>
  <c r="H72" i="23"/>
  <c r="I68" i="23"/>
  <c r="I32" i="23"/>
  <c r="AG32" i="23" s="1"/>
  <c r="H32" i="23"/>
  <c r="I31" i="23"/>
  <c r="AG31" i="23" s="1"/>
  <c r="H29" i="23"/>
  <c r="I29" i="23"/>
  <c r="AG29" i="23" s="1"/>
  <c r="I27" i="23"/>
  <c r="AG27" i="23" s="1"/>
  <c r="I26" i="23"/>
  <c r="AG26" i="23" s="1"/>
  <c r="I25" i="23"/>
  <c r="I23" i="23"/>
  <c r="AG23" i="23" s="1"/>
  <c r="H23" i="23"/>
  <c r="I22" i="23"/>
  <c r="AG22" i="23" s="1"/>
  <c r="AG17" i="23"/>
  <c r="I16" i="23"/>
  <c r="AG16" i="23" s="1"/>
  <c r="I12" i="23"/>
  <c r="AG12" i="23" s="1"/>
  <c r="I11" i="23"/>
  <c r="AG11" i="23" s="1"/>
  <c r="I255" i="23"/>
  <c r="I242" i="23"/>
  <c r="I241" i="23"/>
  <c r="I238" i="23"/>
  <c r="I237" i="23"/>
  <c r="I228" i="23"/>
  <c r="J229" i="23" s="1"/>
  <c r="I225" i="23"/>
  <c r="I214" i="23"/>
  <c r="I191" i="23"/>
  <c r="I181" i="23"/>
  <c r="I178" i="23"/>
  <c r="I177" i="23"/>
  <c r="I174" i="23"/>
  <c r="I173" i="23"/>
  <c r="I164" i="23"/>
  <c r="J165" i="23" s="1"/>
  <c r="I161" i="23"/>
  <c r="I155" i="23"/>
  <c r="I219" i="23" s="1"/>
  <c r="I150" i="23"/>
  <c r="I134" i="23"/>
  <c r="I116" i="23"/>
  <c r="I110" i="23"/>
  <c r="I104" i="23"/>
  <c r="I99" i="23"/>
  <c r="I95" i="23"/>
  <c r="I151" i="23" s="1"/>
  <c r="I215" i="23" s="1"/>
  <c r="I94" i="23"/>
  <c r="I187" i="23"/>
  <c r="I246" i="23"/>
  <c r="I245" i="23"/>
  <c r="I70" i="23"/>
  <c r="I55" i="23"/>
  <c r="I10" i="23"/>
  <c r="I9" i="23"/>
  <c r="B515" i="22"/>
  <c r="C510" i="22"/>
  <c r="C482" i="22"/>
  <c r="AF57" i="24"/>
  <c r="AF56" i="24"/>
  <c r="AF55" i="24"/>
  <c r="AF52" i="24"/>
  <c r="AF51" i="24"/>
  <c r="AF48" i="24"/>
  <c r="AF47" i="24"/>
  <c r="AF40" i="24"/>
  <c r="AF36" i="24"/>
  <c r="AF27" i="24"/>
  <c r="AF23" i="24"/>
  <c r="AF14" i="24"/>
  <c r="AF10" i="24"/>
  <c r="H106" i="23"/>
  <c r="AF106" i="23"/>
  <c r="AF81" i="23"/>
  <c r="AG81" i="23" s="1"/>
  <c r="AF80" i="23"/>
  <c r="AG80" i="23" s="1"/>
  <c r="AF78" i="23"/>
  <c r="AG78" i="23" s="1"/>
  <c r="AF77" i="23"/>
  <c r="AG77" i="23" s="1"/>
  <c r="L71" i="23" l="1"/>
  <c r="AP98" i="23"/>
  <c r="AO34" i="23"/>
  <c r="AP100" i="23"/>
  <c r="AJ49" i="23"/>
  <c r="AG25" i="23"/>
  <c r="I44" i="23"/>
  <c r="AO100" i="23"/>
  <c r="AJ13" i="23"/>
  <c r="AJ14" i="23" s="1"/>
  <c r="AJ48" i="23"/>
  <c r="AJ43" i="23"/>
  <c r="AJ38" i="23"/>
  <c r="AJ39" i="23"/>
  <c r="K217" i="23"/>
  <c r="K222" i="23"/>
  <c r="K221" i="23"/>
  <c r="K85" i="23"/>
  <c r="K86" i="23" s="1"/>
  <c r="K102" i="23"/>
  <c r="K179" i="23"/>
  <c r="K243" i="23"/>
  <c r="AK9" i="23"/>
  <c r="AI40" i="23"/>
  <c r="AN75" i="23"/>
  <c r="AN235" i="23"/>
  <c r="AN171" i="23"/>
  <c r="AK87" i="23"/>
  <c r="AJ246" i="23"/>
  <c r="AN233" i="23"/>
  <c r="AK84" i="23"/>
  <c r="L265" i="23"/>
  <c r="AJ187" i="23"/>
  <c r="AJ251" i="23"/>
  <c r="AK147" i="23"/>
  <c r="AK207" i="23" s="1"/>
  <c r="AK194" i="23"/>
  <c r="AG120" i="23"/>
  <c r="AG264" i="23" s="1"/>
  <c r="I264" i="23"/>
  <c r="I265" i="23" s="1"/>
  <c r="AJ182" i="23"/>
  <c r="AJ184" i="23"/>
  <c r="AM233" i="23"/>
  <c r="AJ248" i="23"/>
  <c r="J280" i="23"/>
  <c r="AK156" i="23"/>
  <c r="AK220" i="23" s="1"/>
  <c r="AM235" i="23"/>
  <c r="AM75" i="23"/>
  <c r="AM171" i="23"/>
  <c r="C459" i="22"/>
  <c r="AG260" i="23"/>
  <c r="AG23" i="24"/>
  <c r="AK192" i="23"/>
  <c r="AK82" i="23"/>
  <c r="AI49" i="23"/>
  <c r="I67" i="23"/>
  <c r="AK177" i="23"/>
  <c r="AK241" i="23"/>
  <c r="AH172" i="23"/>
  <c r="AI39" i="23"/>
  <c r="AK73" i="23"/>
  <c r="AK18" i="23"/>
  <c r="AH247" i="23"/>
  <c r="AI38" i="23"/>
  <c r="AL75" i="23"/>
  <c r="AL171" i="23"/>
  <c r="AL235" i="23"/>
  <c r="L18" i="23"/>
  <c r="AI13" i="23"/>
  <c r="AI19" i="23" s="1"/>
  <c r="AI20" i="23" s="1"/>
  <c r="C336" i="22"/>
  <c r="AL233" i="23"/>
  <c r="AK74" i="23"/>
  <c r="AI72" i="23"/>
  <c r="AH68" i="23"/>
  <c r="AK57" i="23"/>
  <c r="AK178" i="23"/>
  <c r="AK242" i="23"/>
  <c r="I121" i="23"/>
  <c r="AI48" i="23"/>
  <c r="AI43" i="23"/>
  <c r="AG10" i="24"/>
  <c r="AG48" i="24"/>
  <c r="AJ237" i="23"/>
  <c r="AJ173" i="23"/>
  <c r="J258" i="23"/>
  <c r="J194" i="23"/>
  <c r="J33" i="23"/>
  <c r="J50" i="23"/>
  <c r="K64" i="23"/>
  <c r="K168" i="23" s="1"/>
  <c r="J97" i="23"/>
  <c r="J60" i="23"/>
  <c r="AG180" i="23"/>
  <c r="C334" i="22"/>
  <c r="AI128" i="23"/>
  <c r="AI192" i="23" s="1"/>
  <c r="AI154" i="23"/>
  <c r="AI218" i="23" s="1"/>
  <c r="AJ174" i="23"/>
  <c r="AJ238" i="23"/>
  <c r="AI132" i="23"/>
  <c r="AJ95" i="23"/>
  <c r="AI95" i="23"/>
  <c r="C457" i="22"/>
  <c r="AH240" i="23"/>
  <c r="AI76" i="23"/>
  <c r="AI254" i="23"/>
  <c r="AJ190" i="23"/>
  <c r="AJ128" i="23"/>
  <c r="AJ254" i="23"/>
  <c r="AJ132" i="23"/>
  <c r="AJ154" i="23"/>
  <c r="AG181" i="23"/>
  <c r="I124" i="23"/>
  <c r="I125" i="23"/>
  <c r="AH49" i="23"/>
  <c r="I248" i="23"/>
  <c r="AH126" i="23"/>
  <c r="AH254" i="23" s="1"/>
  <c r="AH180" i="23"/>
  <c r="AI80" i="23"/>
  <c r="AI83" i="23"/>
  <c r="C374" i="22"/>
  <c r="C376" i="22" s="1"/>
  <c r="C378" i="22"/>
  <c r="AG36" i="24"/>
  <c r="AG95" i="23"/>
  <c r="AG151" i="23" s="1"/>
  <c r="AG215" i="23" s="1"/>
  <c r="AG57" i="23"/>
  <c r="C476" i="22"/>
  <c r="AH95" i="23"/>
  <c r="AH151" i="23" s="1"/>
  <c r="AH215" i="23" s="1"/>
  <c r="C414" i="22"/>
  <c r="C434" i="22"/>
  <c r="AH53" i="24"/>
  <c r="AH49" i="24"/>
  <c r="AH244" i="23"/>
  <c r="AH176" i="23"/>
  <c r="AH38" i="23"/>
  <c r="AH40" i="23"/>
  <c r="AH13" i="23"/>
  <c r="AH48" i="23"/>
  <c r="AH39" i="23"/>
  <c r="AH67" i="23"/>
  <c r="AH183" i="23"/>
  <c r="AH43" i="23"/>
  <c r="AH52" i="23"/>
  <c r="AH53" i="23"/>
  <c r="AG55" i="24"/>
  <c r="AG56" i="24"/>
  <c r="AG57" i="24"/>
  <c r="AG51" i="24"/>
  <c r="AG27" i="24"/>
  <c r="AG52" i="24"/>
  <c r="AG40" i="24"/>
  <c r="AG47" i="24"/>
  <c r="AG14" i="24"/>
  <c r="I53" i="24"/>
  <c r="I49" i="24"/>
  <c r="AG241" i="23"/>
  <c r="AG177" i="23"/>
  <c r="AG18" i="23"/>
  <c r="AG178" i="23"/>
  <c r="AG242" i="23"/>
  <c r="AG119" i="23"/>
  <c r="AG263" i="23" s="1"/>
  <c r="AG110" i="23"/>
  <c r="AG255" i="23"/>
  <c r="AG164" i="23"/>
  <c r="AK165" i="23" s="1"/>
  <c r="AG228" i="23"/>
  <c r="AK229" i="23" s="1"/>
  <c r="AG9" i="23"/>
  <c r="AG155" i="23"/>
  <c r="AG219" i="23" s="1"/>
  <c r="AG244" i="23"/>
  <c r="AG245" i="23"/>
  <c r="AG116" i="23"/>
  <c r="I240" i="23"/>
  <c r="I101" i="23"/>
  <c r="I236" i="23"/>
  <c r="I172" i="23"/>
  <c r="I49" i="23"/>
  <c r="I40" i="23"/>
  <c r="I38" i="23"/>
  <c r="I111" i="23"/>
  <c r="I18" i="23"/>
  <c r="I39" i="23"/>
  <c r="I182" i="23"/>
  <c r="I48" i="23"/>
  <c r="I183" i="23"/>
  <c r="I13" i="23"/>
  <c r="I43" i="23"/>
  <c r="I52" i="23"/>
  <c r="I251" i="23"/>
  <c r="I244" i="23"/>
  <c r="I53" i="23"/>
  <c r="C518" i="22"/>
  <c r="AF53" i="24"/>
  <c r="AF49" i="24"/>
  <c r="AF255" i="23"/>
  <c r="AF244" i="23"/>
  <c r="AF242" i="23"/>
  <c r="AF241" i="23"/>
  <c r="AF228" i="23"/>
  <c r="AJ229" i="23" s="1"/>
  <c r="AF225" i="23"/>
  <c r="AF214" i="23"/>
  <c r="AF191" i="23"/>
  <c r="AF178" i="23"/>
  <c r="AF177" i="23"/>
  <c r="AF164" i="23"/>
  <c r="AJ165" i="23" s="1"/>
  <c r="AF161" i="23"/>
  <c r="AF155" i="23"/>
  <c r="AF219" i="23" s="1"/>
  <c r="AF150" i="23"/>
  <c r="AF134" i="23"/>
  <c r="AF125" i="23"/>
  <c r="AF124" i="23"/>
  <c r="AF121" i="23"/>
  <c r="AF116" i="23"/>
  <c r="AF110" i="23"/>
  <c r="AF104" i="23"/>
  <c r="AF94" i="23"/>
  <c r="AF181" i="23"/>
  <c r="AF180" i="23"/>
  <c r="AF70" i="23"/>
  <c r="AF55" i="23"/>
  <c r="AF18" i="23"/>
  <c r="AF10" i="23"/>
  <c r="AF9" i="23"/>
  <c r="C559" i="22"/>
  <c r="C558" i="22"/>
  <c r="C555" i="22"/>
  <c r="C552" i="22"/>
  <c r="C543" i="22"/>
  <c r="C541" i="22"/>
  <c r="B557" i="22"/>
  <c r="C524" i="22"/>
  <c r="AE57" i="24"/>
  <c r="AE56" i="24"/>
  <c r="AE55" i="24"/>
  <c r="AE52" i="24"/>
  <c r="AE51" i="24"/>
  <c r="AE48" i="24"/>
  <c r="AE47" i="24"/>
  <c r="AE40" i="24"/>
  <c r="AE36" i="24"/>
  <c r="AE27" i="24"/>
  <c r="AE23" i="24"/>
  <c r="AE14" i="24"/>
  <c r="AE10" i="24"/>
  <c r="AE10" i="23"/>
  <c r="AE125" i="23"/>
  <c r="AE124" i="23"/>
  <c r="AE121" i="23"/>
  <c r="C539" i="22" s="1"/>
  <c r="AE87" i="23"/>
  <c r="AE82" i="23"/>
  <c r="AE180" i="23"/>
  <c r="AE74" i="23"/>
  <c r="AE73" i="23"/>
  <c r="AE237" i="23" s="1"/>
  <c r="AE9" i="23"/>
  <c r="AE13" i="23" s="1"/>
  <c r="AE255" i="23"/>
  <c r="AE245" i="23"/>
  <c r="AE242" i="23"/>
  <c r="AE241" i="23"/>
  <c r="AE228" i="23"/>
  <c r="AI229" i="23" s="1"/>
  <c r="AE225" i="23"/>
  <c r="AE214" i="23"/>
  <c r="AE191" i="23"/>
  <c r="AE178" i="23"/>
  <c r="AE177" i="23"/>
  <c r="AE164" i="23"/>
  <c r="AI165" i="23" s="1"/>
  <c r="AE161" i="23"/>
  <c r="AE155" i="23"/>
  <c r="AE219" i="23" s="1"/>
  <c r="AE150" i="23"/>
  <c r="AE134" i="23"/>
  <c r="AE116" i="23"/>
  <c r="AE110" i="23"/>
  <c r="AE104" i="23"/>
  <c r="AE94" i="23"/>
  <c r="AE84" i="23"/>
  <c r="AE181" i="23"/>
  <c r="AE70" i="23"/>
  <c r="AE55" i="23"/>
  <c r="AE18" i="23"/>
  <c r="AD57" i="24"/>
  <c r="AD56" i="24"/>
  <c r="AD55" i="24"/>
  <c r="AD52" i="24"/>
  <c r="AD51" i="24"/>
  <c r="AD48" i="24"/>
  <c r="AD47" i="24"/>
  <c r="AD40" i="24"/>
  <c r="AD36" i="24"/>
  <c r="AD27" i="24"/>
  <c r="AD23" i="24"/>
  <c r="AD14" i="24"/>
  <c r="AD10" i="24"/>
  <c r="C600" i="22"/>
  <c r="C602" i="22" s="1"/>
  <c r="C585" i="22"/>
  <c r="C583" i="22"/>
  <c r="B599" i="22"/>
  <c r="C594" i="22"/>
  <c r="C566" i="22"/>
  <c r="AD255" i="23"/>
  <c r="AD251" i="23"/>
  <c r="AD248" i="23"/>
  <c r="AD246" i="23"/>
  <c r="AD245" i="23"/>
  <c r="AD244" i="23"/>
  <c r="AD242" i="23"/>
  <c r="AD241" i="23"/>
  <c r="AD238" i="23"/>
  <c r="AD237" i="23"/>
  <c r="AD228" i="23"/>
  <c r="AH229" i="23" s="1"/>
  <c r="AD225" i="23"/>
  <c r="AD214" i="23"/>
  <c r="AD191" i="23"/>
  <c r="AD187" i="23"/>
  <c r="AD184" i="23"/>
  <c r="AD182" i="23"/>
  <c r="AD181" i="23"/>
  <c r="AD180" i="23"/>
  <c r="AD178" i="23"/>
  <c r="AD177" i="23"/>
  <c r="AD174" i="23"/>
  <c r="AD173" i="23"/>
  <c r="AD164" i="23"/>
  <c r="AH165" i="23" s="1"/>
  <c r="AD161" i="23"/>
  <c r="AD155" i="23"/>
  <c r="AD150" i="23"/>
  <c r="AD134" i="23"/>
  <c r="AD125" i="23"/>
  <c r="AD124" i="23"/>
  <c r="AD121" i="23"/>
  <c r="C581" i="22" s="1"/>
  <c r="AD116" i="23"/>
  <c r="AD110" i="23"/>
  <c r="AD106" i="23"/>
  <c r="AD104" i="23"/>
  <c r="AD94" i="23"/>
  <c r="AD83" i="23"/>
  <c r="AD76" i="23"/>
  <c r="AD72" i="23"/>
  <c r="AD57" i="23"/>
  <c r="AD70" i="23"/>
  <c r="AD55" i="23"/>
  <c r="AD18" i="23"/>
  <c r="AD10" i="23"/>
  <c r="AD9" i="23"/>
  <c r="AD49" i="23" s="1"/>
  <c r="AC131" i="23"/>
  <c r="AC260" i="23" s="1"/>
  <c r="AC127" i="23"/>
  <c r="AC115" i="23"/>
  <c r="AC107" i="23"/>
  <c r="AC78" i="23"/>
  <c r="AC242" i="23" s="1"/>
  <c r="AC77" i="23"/>
  <c r="AC24" i="23"/>
  <c r="AC8" i="23"/>
  <c r="AC7" i="23"/>
  <c r="AF95" i="23" s="1"/>
  <c r="AF151" i="23" s="1"/>
  <c r="AF215" i="23" s="1"/>
  <c r="H172" i="23"/>
  <c r="H87" i="23"/>
  <c r="H251" i="23" s="1"/>
  <c r="H81" i="23"/>
  <c r="H181" i="23" s="1"/>
  <c r="H84" i="23"/>
  <c r="H184" i="23" s="1"/>
  <c r="H83" i="23"/>
  <c r="H183" i="23" s="1"/>
  <c r="H82" i="23"/>
  <c r="H246" i="23" s="1"/>
  <c r="H180" i="23"/>
  <c r="H176" i="23"/>
  <c r="H120" i="23"/>
  <c r="H119" i="23"/>
  <c r="H114" i="23"/>
  <c r="AC114" i="23" s="1"/>
  <c r="H109" i="23"/>
  <c r="AC109" i="23" s="1"/>
  <c r="AC108" i="23"/>
  <c r="AC106" i="23"/>
  <c r="H26" i="23"/>
  <c r="AC26" i="23" s="1"/>
  <c r="H16" i="23"/>
  <c r="AC16" i="23" s="1"/>
  <c r="H17" i="23"/>
  <c r="H57" i="23" s="1"/>
  <c r="AC32" i="23"/>
  <c r="H31" i="23"/>
  <c r="AC31" i="23" s="1"/>
  <c r="AC29" i="23"/>
  <c r="H27" i="23"/>
  <c r="AC27" i="23" s="1"/>
  <c r="H25" i="23"/>
  <c r="AC23" i="23"/>
  <c r="H22" i="23"/>
  <c r="AC22" i="23" s="1"/>
  <c r="H12" i="23"/>
  <c r="AC12" i="23" s="1"/>
  <c r="H11" i="23"/>
  <c r="AC11" i="23" s="1"/>
  <c r="AC225" i="23"/>
  <c r="AC214" i="23"/>
  <c r="AC161" i="23"/>
  <c r="AC150" i="23"/>
  <c r="AC134" i="23"/>
  <c r="AC104" i="23"/>
  <c r="AC94" i="23"/>
  <c r="AC70" i="23"/>
  <c r="AC55" i="23"/>
  <c r="H255" i="23"/>
  <c r="H242" i="23"/>
  <c r="H241" i="23"/>
  <c r="H238" i="23"/>
  <c r="H237" i="23"/>
  <c r="H228" i="23"/>
  <c r="I229" i="23" s="1"/>
  <c r="H225" i="23"/>
  <c r="H214" i="23"/>
  <c r="H191" i="23"/>
  <c r="H178" i="23"/>
  <c r="H177" i="23"/>
  <c r="H174" i="23"/>
  <c r="H173" i="23"/>
  <c r="H164" i="23"/>
  <c r="I165" i="23" s="1"/>
  <c r="H161" i="23"/>
  <c r="H155" i="23"/>
  <c r="H219" i="23" s="1"/>
  <c r="H150" i="23"/>
  <c r="H134" i="23"/>
  <c r="H104" i="23"/>
  <c r="H99" i="23"/>
  <c r="H95" i="23"/>
  <c r="H151" i="23" s="1"/>
  <c r="H215" i="23" s="1"/>
  <c r="H94" i="23"/>
  <c r="H70" i="23"/>
  <c r="H55" i="23"/>
  <c r="H10" i="23"/>
  <c r="H9" i="23"/>
  <c r="AC101" i="24"/>
  <c r="AC100" i="24"/>
  <c r="AC99" i="24"/>
  <c r="AC90" i="24"/>
  <c r="AC89" i="24"/>
  <c r="AC88" i="24"/>
  <c r="AC79" i="24"/>
  <c r="AC78" i="24"/>
  <c r="AC77" i="24"/>
  <c r="AC68" i="24"/>
  <c r="AC67" i="24"/>
  <c r="AC64" i="24"/>
  <c r="AC96" i="24"/>
  <c r="AC95" i="24"/>
  <c r="AC94" i="24"/>
  <c r="AC85" i="24"/>
  <c r="AC84" i="24"/>
  <c r="AC83" i="24"/>
  <c r="AC74" i="24"/>
  <c r="AC73" i="24"/>
  <c r="AC72" i="24"/>
  <c r="AC66" i="24"/>
  <c r="AC63" i="24"/>
  <c r="AC61" i="24"/>
  <c r="AC60" i="24"/>
  <c r="AC44" i="24"/>
  <c r="AC43" i="24"/>
  <c r="AC42" i="24"/>
  <c r="AC39" i="24"/>
  <c r="AC38" i="24"/>
  <c r="AC35" i="24"/>
  <c r="AC34" i="24"/>
  <c r="AC31" i="24"/>
  <c r="AC30" i="24"/>
  <c r="AC29" i="24"/>
  <c r="AC26" i="24"/>
  <c r="AC25" i="24"/>
  <c r="AC22" i="24"/>
  <c r="AC21" i="24"/>
  <c r="AC18" i="24"/>
  <c r="AC17" i="24"/>
  <c r="AC16" i="24"/>
  <c r="AC13" i="24"/>
  <c r="AC12" i="24"/>
  <c r="AC9" i="24"/>
  <c r="AC8" i="24"/>
  <c r="H57" i="24"/>
  <c r="H56" i="24"/>
  <c r="H55" i="24"/>
  <c r="H52" i="24"/>
  <c r="H51" i="24"/>
  <c r="H48" i="24"/>
  <c r="H47" i="24"/>
  <c r="H40" i="24"/>
  <c r="H36" i="24"/>
  <c r="H27" i="24"/>
  <c r="H23" i="24"/>
  <c r="H14" i="24"/>
  <c r="H10" i="24"/>
  <c r="C644" i="22"/>
  <c r="B641" i="22"/>
  <c r="C636" i="22"/>
  <c r="C608" i="22"/>
  <c r="X57" i="23"/>
  <c r="AB57" i="23"/>
  <c r="AB57" i="24"/>
  <c r="AB56" i="24"/>
  <c r="AB55" i="24"/>
  <c r="AB52" i="24"/>
  <c r="AB51" i="24"/>
  <c r="AB48" i="24"/>
  <c r="AB47" i="24"/>
  <c r="AB40" i="24"/>
  <c r="AB36" i="24"/>
  <c r="AB27" i="24"/>
  <c r="AB23" i="24"/>
  <c r="AB14" i="24"/>
  <c r="AB10" i="24"/>
  <c r="C666" i="22"/>
  <c r="C683" i="22"/>
  <c r="C685" i="22" s="1"/>
  <c r="C668" i="22"/>
  <c r="B682" i="22"/>
  <c r="C677" i="22"/>
  <c r="C649" i="22"/>
  <c r="AB106" i="23"/>
  <c r="AB9" i="23"/>
  <c r="AB255" i="23"/>
  <c r="AB242" i="23"/>
  <c r="AB241" i="23"/>
  <c r="AB228" i="23"/>
  <c r="AB225" i="23"/>
  <c r="AB214" i="23"/>
  <c r="AB191" i="23"/>
  <c r="AB178" i="23"/>
  <c r="AB177" i="23"/>
  <c r="AB164" i="23"/>
  <c r="AB161" i="23"/>
  <c r="AB155" i="23"/>
  <c r="AB219" i="23" s="1"/>
  <c r="AB150" i="23"/>
  <c r="AB134" i="23"/>
  <c r="AB125" i="23"/>
  <c r="AB124" i="23"/>
  <c r="AB121" i="23"/>
  <c r="C664" i="22" s="1"/>
  <c r="AB116" i="23"/>
  <c r="AB110" i="23"/>
  <c r="AB104" i="23"/>
  <c r="AB94" i="23"/>
  <c r="AB70" i="23"/>
  <c r="AB55" i="23"/>
  <c r="AB18" i="23"/>
  <c r="AB10" i="23"/>
  <c r="C709" i="22"/>
  <c r="C707" i="22"/>
  <c r="C724" i="22"/>
  <c r="C726" i="22" s="1"/>
  <c r="B723" i="22"/>
  <c r="C718" i="22"/>
  <c r="C690" i="22"/>
  <c r="AA57" i="24"/>
  <c r="AA56" i="24"/>
  <c r="AA55" i="24"/>
  <c r="AA52" i="24"/>
  <c r="AA51" i="24"/>
  <c r="AA48" i="24"/>
  <c r="AA47" i="24"/>
  <c r="AA40" i="24"/>
  <c r="AA36" i="24"/>
  <c r="AA27" i="24"/>
  <c r="AA23" i="24"/>
  <c r="AA14" i="24"/>
  <c r="AA10" i="24"/>
  <c r="AA106" i="23"/>
  <c r="AA125" i="23"/>
  <c r="AA124" i="23"/>
  <c r="AA116" i="23"/>
  <c r="AA110" i="23"/>
  <c r="AA87" i="23"/>
  <c r="AA251" i="23" s="1"/>
  <c r="AA81" i="23"/>
  <c r="AB81" i="23" s="1"/>
  <c r="AA82" i="23"/>
  <c r="AA246" i="23" s="1"/>
  <c r="AA80" i="23"/>
  <c r="AA74" i="23"/>
  <c r="AA174" i="23" s="1"/>
  <c r="AA73" i="23"/>
  <c r="AA237" i="23" s="1"/>
  <c r="AA57" i="23"/>
  <c r="AA255" i="23"/>
  <c r="AA242" i="23"/>
  <c r="AA241" i="23"/>
  <c r="AA228" i="23"/>
  <c r="AA225" i="23"/>
  <c r="AA214" i="23"/>
  <c r="AA191" i="23"/>
  <c r="AA178" i="23"/>
  <c r="AA177" i="23"/>
  <c r="AA164" i="23"/>
  <c r="AA161" i="23"/>
  <c r="AA155" i="23"/>
  <c r="AA219" i="23" s="1"/>
  <c r="AA150" i="23"/>
  <c r="AA134" i="23"/>
  <c r="AA104" i="23"/>
  <c r="AA94" i="23"/>
  <c r="AA84" i="23"/>
  <c r="AA184" i="23" s="1"/>
  <c r="AA70" i="23"/>
  <c r="AA55" i="23"/>
  <c r="AA18" i="23"/>
  <c r="AA10" i="23"/>
  <c r="AA9" i="23"/>
  <c r="AA49" i="23" s="1"/>
  <c r="AP152" i="23" l="1"/>
  <c r="AP145" i="23"/>
  <c r="AP205" i="23" s="1"/>
  <c r="AP144" i="23"/>
  <c r="AP204" i="23" s="1"/>
  <c r="AP137" i="23"/>
  <c r="AP197" i="23" s="1"/>
  <c r="AP140" i="23"/>
  <c r="AP136" i="23"/>
  <c r="AP196" i="23" s="1"/>
  <c r="AP139" i="23"/>
  <c r="AP142" i="23"/>
  <c r="AP202" i="23" s="1"/>
  <c r="AK48" i="23"/>
  <c r="AJ19" i="23"/>
  <c r="AK38" i="23"/>
  <c r="K92" i="23"/>
  <c r="AC25" i="23"/>
  <c r="AJ44" i="23"/>
  <c r="AI44" i="23"/>
  <c r="AG44" i="23"/>
  <c r="AH44" i="23"/>
  <c r="AK43" i="23"/>
  <c r="AK13" i="23"/>
  <c r="AK49" i="23"/>
  <c r="AK39" i="23"/>
  <c r="AK40" i="23"/>
  <c r="K185" i="23"/>
  <c r="K249" i="23"/>
  <c r="K88" i="23"/>
  <c r="AN99" i="23"/>
  <c r="AK251" i="23"/>
  <c r="AK187" i="23"/>
  <c r="AK184" i="23"/>
  <c r="AK248" i="23"/>
  <c r="AN175" i="23"/>
  <c r="AN239" i="23"/>
  <c r="AN79" i="23"/>
  <c r="AG265" i="23"/>
  <c r="AG125" i="23"/>
  <c r="AI30" i="23"/>
  <c r="AI50" i="23" s="1"/>
  <c r="AI56" i="23"/>
  <c r="AI58" i="23" s="1"/>
  <c r="AM59" i="23" s="1"/>
  <c r="AJ83" i="23"/>
  <c r="AJ247" i="23" s="1"/>
  <c r="AI68" i="23"/>
  <c r="AM175" i="23"/>
  <c r="AM79" i="23"/>
  <c r="AM239" i="23"/>
  <c r="AK182" i="23"/>
  <c r="AK246" i="23"/>
  <c r="AC119" i="23"/>
  <c r="AC263" i="23" s="1"/>
  <c r="H263" i="23"/>
  <c r="AC120" i="23"/>
  <c r="AC264" i="23" s="1"/>
  <c r="H264" i="23"/>
  <c r="AI256" i="23"/>
  <c r="AI14" i="23"/>
  <c r="AM99" i="23"/>
  <c r="AI172" i="23"/>
  <c r="AJ72" i="23"/>
  <c r="I126" i="23"/>
  <c r="I128" i="23" s="1"/>
  <c r="I130" i="23" s="1"/>
  <c r="AK173" i="23"/>
  <c r="AK237" i="23"/>
  <c r="AK238" i="23"/>
  <c r="AK174" i="23"/>
  <c r="AL99" i="23"/>
  <c r="AL239" i="23"/>
  <c r="AL175" i="23"/>
  <c r="AL79" i="23"/>
  <c r="AK99" i="23"/>
  <c r="AK14" i="23"/>
  <c r="AK19" i="23"/>
  <c r="AI236" i="23"/>
  <c r="AI52" i="23"/>
  <c r="C420" i="22"/>
  <c r="AI258" i="23"/>
  <c r="AH128" i="23"/>
  <c r="AH192" i="23" s="1"/>
  <c r="AH190" i="23"/>
  <c r="AI147" i="23"/>
  <c r="AI207" i="23" s="1"/>
  <c r="AH154" i="23"/>
  <c r="AH218" i="23" s="1"/>
  <c r="AH132" i="23"/>
  <c r="AE126" i="23"/>
  <c r="AE128" i="23" s="1"/>
  <c r="J231" i="23"/>
  <c r="K232" i="23" s="1"/>
  <c r="J167" i="23"/>
  <c r="J98" i="23"/>
  <c r="J62" i="23"/>
  <c r="J65" i="23"/>
  <c r="J169" i="23" s="1"/>
  <c r="J71" i="23"/>
  <c r="J100" i="23"/>
  <c r="J34" i="23"/>
  <c r="AI183" i="23"/>
  <c r="AI247" i="23"/>
  <c r="AJ256" i="23"/>
  <c r="AE19" i="23"/>
  <c r="AE30" i="23" s="1"/>
  <c r="AE33" i="23" s="1"/>
  <c r="AF43" i="23"/>
  <c r="AI244" i="23"/>
  <c r="AI180" i="23"/>
  <c r="AJ147" i="23"/>
  <c r="AJ207" i="23" s="1"/>
  <c r="AJ192" i="23"/>
  <c r="L9" i="23"/>
  <c r="L40" i="23" s="1"/>
  <c r="L95" i="23"/>
  <c r="AJ56" i="23"/>
  <c r="AJ58" i="23" s="1"/>
  <c r="AN59" i="23" s="1"/>
  <c r="AJ30" i="23"/>
  <c r="AJ20" i="23"/>
  <c r="AI176" i="23"/>
  <c r="AI67" i="23"/>
  <c r="AI240" i="23"/>
  <c r="AI53" i="23"/>
  <c r="AJ76" i="23"/>
  <c r="AJ80" i="23"/>
  <c r="AI156" i="23"/>
  <c r="AI220" i="23" s="1"/>
  <c r="AJ151" i="23"/>
  <c r="AJ215" i="23" s="1"/>
  <c r="AJ111" i="23"/>
  <c r="AJ156" i="23"/>
  <c r="AJ220" i="23" s="1"/>
  <c r="AJ218" i="23"/>
  <c r="AG111" i="23"/>
  <c r="AI111" i="23"/>
  <c r="AI151" i="23"/>
  <c r="AI215" i="23" s="1"/>
  <c r="C416" i="22"/>
  <c r="C418" i="22" s="1"/>
  <c r="AE187" i="23"/>
  <c r="AG40" i="23"/>
  <c r="C497" i="22"/>
  <c r="C498" i="22" s="1"/>
  <c r="AG13" i="23"/>
  <c r="AG14" i="23" s="1"/>
  <c r="AG39" i="23"/>
  <c r="AH111" i="23"/>
  <c r="AH19" i="23"/>
  <c r="AH14" i="23"/>
  <c r="AH256" i="23"/>
  <c r="AG53" i="24"/>
  <c r="AG49" i="24"/>
  <c r="AC40" i="24"/>
  <c r="H247" i="23"/>
  <c r="AF73" i="23"/>
  <c r="AF173" i="23" s="1"/>
  <c r="AG10" i="23"/>
  <c r="L241" i="23"/>
  <c r="L177" i="23"/>
  <c r="AD172" i="23"/>
  <c r="L181" i="23"/>
  <c r="L245" i="23"/>
  <c r="AC155" i="23"/>
  <c r="AC219" i="23" s="1"/>
  <c r="AD176" i="23"/>
  <c r="L191" i="23"/>
  <c r="L255" i="23"/>
  <c r="L155" i="23"/>
  <c r="L219" i="23" s="1"/>
  <c r="AD247" i="23"/>
  <c r="L228" i="23"/>
  <c r="L164" i="23"/>
  <c r="AF87" i="23"/>
  <c r="AG87" i="23" s="1"/>
  <c r="AG38" i="23"/>
  <c r="L178" i="23"/>
  <c r="L242" i="23"/>
  <c r="AF48" i="23"/>
  <c r="AG121" i="23"/>
  <c r="C455" i="22" s="1"/>
  <c r="C456" i="22" s="1"/>
  <c r="AG124" i="23"/>
  <c r="AG43" i="23"/>
  <c r="AG48" i="23"/>
  <c r="AG49" i="23"/>
  <c r="AE248" i="23"/>
  <c r="AF84" i="23"/>
  <c r="AF248" i="23" s="1"/>
  <c r="AF165" i="23"/>
  <c r="AF229" i="23"/>
  <c r="AC164" i="23"/>
  <c r="AG165" i="23" s="1"/>
  <c r="AE238" i="23"/>
  <c r="AF74" i="23"/>
  <c r="AA244" i="23"/>
  <c r="AB80" i="23"/>
  <c r="AE165" i="23"/>
  <c r="C560" i="22"/>
  <c r="I14" i="23"/>
  <c r="I19" i="23"/>
  <c r="AE246" i="23"/>
  <c r="AF82" i="23"/>
  <c r="AC241" i="23"/>
  <c r="C540" i="22"/>
  <c r="AC47" i="24"/>
  <c r="AF126" i="23"/>
  <c r="AF132" i="23" s="1"/>
  <c r="AF40" i="23"/>
  <c r="AF13" i="23"/>
  <c r="AF19" i="23" s="1"/>
  <c r="AF56" i="23" s="1"/>
  <c r="AF38" i="23"/>
  <c r="AF39" i="23"/>
  <c r="AF111" i="23"/>
  <c r="AF49" i="23"/>
  <c r="AF245" i="23"/>
  <c r="AE76" i="23"/>
  <c r="AD67" i="23"/>
  <c r="AE72" i="23"/>
  <c r="AE83" i="23"/>
  <c r="AE49" i="24"/>
  <c r="AE53" i="24"/>
  <c r="AE182" i="23"/>
  <c r="AE173" i="23"/>
  <c r="AE43" i="23"/>
  <c r="AE49" i="23"/>
  <c r="AE38" i="23"/>
  <c r="AE229" i="23"/>
  <c r="AE174" i="23"/>
  <c r="AE14" i="23"/>
  <c r="AE95" i="23"/>
  <c r="AE39" i="23"/>
  <c r="AE184" i="23"/>
  <c r="AE251" i="23"/>
  <c r="AE40" i="23"/>
  <c r="AE48" i="23"/>
  <c r="AE244" i="23"/>
  <c r="C582" i="22"/>
  <c r="C584" i="22" s="1"/>
  <c r="C586" i="22" s="1"/>
  <c r="H38" i="23"/>
  <c r="AC255" i="23"/>
  <c r="H125" i="23"/>
  <c r="AD53" i="24"/>
  <c r="AD49" i="24"/>
  <c r="H248" i="23"/>
  <c r="AC178" i="23"/>
  <c r="AD240" i="23"/>
  <c r="H121" i="23"/>
  <c r="AD38" i="23"/>
  <c r="AD236" i="23"/>
  <c r="AD40" i="23"/>
  <c r="AD48" i="23"/>
  <c r="AD183" i="23"/>
  <c r="AD13" i="23"/>
  <c r="AD14" i="23" s="1"/>
  <c r="AD39" i="23"/>
  <c r="AD43" i="23"/>
  <c r="AD53" i="23"/>
  <c r="AD219" i="23"/>
  <c r="AD95" i="23"/>
  <c r="AD151" i="23" s="1"/>
  <c r="AD52" i="23"/>
  <c r="AD126" i="23"/>
  <c r="AD68" i="23"/>
  <c r="C625" i="22"/>
  <c r="C627" i="22"/>
  <c r="AC228" i="23"/>
  <c r="AG229" i="23" s="1"/>
  <c r="H240" i="23"/>
  <c r="AC95" i="23"/>
  <c r="AC151" i="23" s="1"/>
  <c r="AC215" i="23" s="1"/>
  <c r="AC17" i="23"/>
  <c r="AC81" i="23"/>
  <c r="H101" i="23"/>
  <c r="H53" i="23"/>
  <c r="AC110" i="23"/>
  <c r="AC177" i="23"/>
  <c r="AC9" i="23"/>
  <c r="AC13" i="23" s="1"/>
  <c r="H187" i="23"/>
  <c r="H124" i="23"/>
  <c r="H110" i="23"/>
  <c r="H111" i="23" s="1"/>
  <c r="H39" i="23"/>
  <c r="H49" i="23"/>
  <c r="AC191" i="23"/>
  <c r="AC116" i="23"/>
  <c r="H40" i="23"/>
  <c r="H48" i="23"/>
  <c r="H68" i="23"/>
  <c r="H182" i="23"/>
  <c r="H13" i="23"/>
  <c r="H43" i="23"/>
  <c r="H52" i="23"/>
  <c r="H116" i="23"/>
  <c r="H44" i="23" s="1"/>
  <c r="H236" i="23"/>
  <c r="H244" i="23"/>
  <c r="H245" i="23"/>
  <c r="H18" i="23"/>
  <c r="H67" i="23"/>
  <c r="AB87" i="23"/>
  <c r="AB82" i="23"/>
  <c r="AB74" i="23"/>
  <c r="AB245" i="23"/>
  <c r="AB181" i="23"/>
  <c r="AB73" i="23"/>
  <c r="AB84" i="23"/>
  <c r="AA245" i="23"/>
  <c r="C665" i="22"/>
  <c r="C667" i="22" s="1"/>
  <c r="AC36" i="24"/>
  <c r="AC23" i="24"/>
  <c r="AC57" i="24"/>
  <c r="AC27" i="24"/>
  <c r="AC51" i="24"/>
  <c r="AC52" i="24"/>
  <c r="AC48" i="24"/>
  <c r="AC56" i="24"/>
  <c r="AC55" i="24"/>
  <c r="H53" i="24"/>
  <c r="H49" i="24"/>
  <c r="AC10" i="24"/>
  <c r="AC14" i="24"/>
  <c r="AB53" i="24"/>
  <c r="AB49" i="24"/>
  <c r="AB126" i="23"/>
  <c r="AB128" i="23" s="1"/>
  <c r="AB48" i="23"/>
  <c r="AB49" i="23"/>
  <c r="AB39" i="23"/>
  <c r="AB40" i="23"/>
  <c r="AB43" i="23"/>
  <c r="AB13" i="23"/>
  <c r="AB38" i="23"/>
  <c r="AA49" i="24"/>
  <c r="AA53" i="24"/>
  <c r="AA126" i="23"/>
  <c r="AA128" i="23" s="1"/>
  <c r="AA130" i="23" s="1"/>
  <c r="AA121" i="23"/>
  <c r="C705" i="22" s="1"/>
  <c r="C706" i="22" s="1"/>
  <c r="AA187" i="23"/>
  <c r="AA182" i="23"/>
  <c r="AA13" i="23"/>
  <c r="AA14" i="23" s="1"/>
  <c r="AA39" i="23"/>
  <c r="AA238" i="23"/>
  <c r="AA43" i="23"/>
  <c r="AA180" i="23"/>
  <c r="AA173" i="23"/>
  <c r="AA181" i="23"/>
  <c r="AA248" i="23"/>
  <c r="AA38" i="23"/>
  <c r="AA40" i="23"/>
  <c r="AA48" i="23"/>
  <c r="C766" i="22"/>
  <c r="C768" i="22" s="1"/>
  <c r="C751" i="22"/>
  <c r="C749" i="22"/>
  <c r="B765" i="22"/>
  <c r="C760" i="22"/>
  <c r="C732" i="22"/>
  <c r="Z57" i="24"/>
  <c r="Z56" i="24"/>
  <c r="Z55" i="24"/>
  <c r="Z52" i="24"/>
  <c r="Z51" i="24"/>
  <c r="Z48" i="24"/>
  <c r="Z47" i="24"/>
  <c r="Z40" i="24"/>
  <c r="Z36" i="24"/>
  <c r="Z27" i="24"/>
  <c r="Z23" i="24"/>
  <c r="Z14" i="24"/>
  <c r="Z10" i="24"/>
  <c r="AP153" i="23" l="1"/>
  <c r="AP216" i="23"/>
  <c r="AP200" i="23"/>
  <c r="AP157" i="23"/>
  <c r="AP199" i="23"/>
  <c r="AP158" i="23"/>
  <c r="AI60" i="23"/>
  <c r="AD44" i="23"/>
  <c r="AC44" i="23"/>
  <c r="AE44" i="23"/>
  <c r="AF44" i="23"/>
  <c r="K250" i="23"/>
  <c r="K186" i="23"/>
  <c r="K188" i="23"/>
  <c r="K252" i="23"/>
  <c r="AJ183" i="23"/>
  <c r="AK83" i="23"/>
  <c r="AK183" i="23" s="1"/>
  <c r="AI33" i="23"/>
  <c r="AI34" i="23" s="1"/>
  <c r="AM96" i="23"/>
  <c r="AN96" i="23"/>
  <c r="AG126" i="23"/>
  <c r="C462" i="22" s="1"/>
  <c r="AN85" i="23"/>
  <c r="AN243" i="23"/>
  <c r="AN179" i="23"/>
  <c r="AJ52" i="23"/>
  <c r="AI63" i="23"/>
  <c r="AM64" i="23" s="1"/>
  <c r="AM168" i="23" s="1"/>
  <c r="AG73" i="23"/>
  <c r="AG173" i="23" s="1"/>
  <c r="AK72" i="23"/>
  <c r="AK76" i="23"/>
  <c r="I132" i="23"/>
  <c r="AJ172" i="23"/>
  <c r="AM243" i="23"/>
  <c r="AM85" i="23"/>
  <c r="AM179" i="23"/>
  <c r="H265" i="23"/>
  <c r="AC125" i="23"/>
  <c r="I192" i="23"/>
  <c r="AJ68" i="23"/>
  <c r="AC265" i="23"/>
  <c r="AC124" i="23"/>
  <c r="I147" i="23"/>
  <c r="I207" i="23" s="1"/>
  <c r="I190" i="23"/>
  <c r="AJ236" i="23"/>
  <c r="I254" i="23"/>
  <c r="AC121" i="23"/>
  <c r="C623" i="22" s="1"/>
  <c r="C624" i="22" s="1"/>
  <c r="AH147" i="23"/>
  <c r="AH207" i="23" s="1"/>
  <c r="AH130" i="23"/>
  <c r="AH258" i="23" s="1"/>
  <c r="I154" i="23"/>
  <c r="I156" i="23" s="1"/>
  <c r="I220" i="23" s="1"/>
  <c r="AG84" i="23"/>
  <c r="AG248" i="23" s="1"/>
  <c r="AE254" i="23"/>
  <c r="AE256" i="23" s="1"/>
  <c r="AE190" i="23"/>
  <c r="C546" i="22"/>
  <c r="AK96" i="23"/>
  <c r="AK30" i="23"/>
  <c r="AK20" i="23"/>
  <c r="AK56" i="23"/>
  <c r="AK58" i="23" s="1"/>
  <c r="AN97" i="23" s="1"/>
  <c r="AK80" i="23"/>
  <c r="AI194" i="23"/>
  <c r="AL179" i="23"/>
  <c r="AL85" i="23"/>
  <c r="AL86" i="23" s="1"/>
  <c r="AL243" i="23"/>
  <c r="AL96" i="23"/>
  <c r="AH156" i="23"/>
  <c r="AH220" i="23" s="1"/>
  <c r="J171" i="23"/>
  <c r="J75" i="23"/>
  <c r="J235" i="23"/>
  <c r="J267" i="23" s="1"/>
  <c r="J145" i="23"/>
  <c r="J205" i="23" s="1"/>
  <c r="J144" i="23"/>
  <c r="J204" i="23" s="1"/>
  <c r="J152" i="23"/>
  <c r="J137" i="23"/>
  <c r="J197" i="23" s="1"/>
  <c r="J140" i="23"/>
  <c r="J139" i="23"/>
  <c r="J136" i="23"/>
  <c r="J196" i="23" s="1"/>
  <c r="J142" i="23"/>
  <c r="J202" i="23" s="1"/>
  <c r="J233" i="23"/>
  <c r="AJ240" i="23"/>
  <c r="AJ53" i="23"/>
  <c r="AJ176" i="23"/>
  <c r="AJ67" i="23"/>
  <c r="L13" i="23"/>
  <c r="AF184" i="23"/>
  <c r="AJ33" i="23"/>
  <c r="AJ50" i="23"/>
  <c r="AJ60" i="23"/>
  <c r="AJ63" i="23"/>
  <c r="AJ194" i="23"/>
  <c r="AJ258" i="23"/>
  <c r="H126" i="23"/>
  <c r="H154" i="23" s="1"/>
  <c r="H218" i="23" s="1"/>
  <c r="AF237" i="23"/>
  <c r="AJ244" i="23"/>
  <c r="AJ180" i="23"/>
  <c r="C458" i="22"/>
  <c r="C460" i="22" s="1"/>
  <c r="C504" i="22"/>
  <c r="C500" i="22"/>
  <c r="C502" i="22" s="1"/>
  <c r="AF83" i="23"/>
  <c r="AG83" i="23" s="1"/>
  <c r="AF174" i="23"/>
  <c r="L187" i="23"/>
  <c r="AF58" i="23"/>
  <c r="AJ59" i="23" s="1"/>
  <c r="AG19" i="23"/>
  <c r="AH20" i="23"/>
  <c r="AH30" i="23"/>
  <c r="AH56" i="23"/>
  <c r="AH58" i="23" s="1"/>
  <c r="L39" i="23"/>
  <c r="C542" i="22"/>
  <c r="C544" i="22" s="1"/>
  <c r="AF72" i="23"/>
  <c r="AF52" i="23" s="1"/>
  <c r="AG74" i="23"/>
  <c r="AI99" i="23" s="1"/>
  <c r="AF187" i="23"/>
  <c r="AF251" i="23"/>
  <c r="AF76" i="23"/>
  <c r="L151" i="23"/>
  <c r="L215" i="23" s="1"/>
  <c r="L111" i="23"/>
  <c r="AG82" i="23"/>
  <c r="AG187" i="23"/>
  <c r="AG251" i="23"/>
  <c r="L38" i="23"/>
  <c r="L43" i="23"/>
  <c r="L49" i="23"/>
  <c r="L48" i="23"/>
  <c r="I96" i="23"/>
  <c r="I20" i="23"/>
  <c r="I56" i="23"/>
  <c r="I58" i="23" s="1"/>
  <c r="J59" i="23" s="1"/>
  <c r="I30" i="23"/>
  <c r="AF30" i="23"/>
  <c r="AF33" i="23" s="1"/>
  <c r="I258" i="23"/>
  <c r="I194" i="23"/>
  <c r="AF20" i="23"/>
  <c r="AF182" i="23"/>
  <c r="AF246" i="23"/>
  <c r="AF238" i="23"/>
  <c r="AF14" i="23"/>
  <c r="AF254" i="23"/>
  <c r="AF154" i="23"/>
  <c r="AF218" i="23" s="1"/>
  <c r="AF190" i="23"/>
  <c r="AF128" i="23"/>
  <c r="AF130" i="23" s="1"/>
  <c r="AC80" i="23"/>
  <c r="AB251" i="23"/>
  <c r="AC73" i="23"/>
  <c r="AC173" i="23" s="1"/>
  <c r="AB246" i="23"/>
  <c r="AB248" i="23"/>
  <c r="AE154" i="23"/>
  <c r="AE218" i="23" s="1"/>
  <c r="AE132" i="23"/>
  <c r="AE56" i="23"/>
  <c r="AE58" i="23" s="1"/>
  <c r="AE20" i="23"/>
  <c r="C588" i="22"/>
  <c r="AE151" i="23"/>
  <c r="AE215" i="23" s="1"/>
  <c r="AE111" i="23"/>
  <c r="AE247" i="23"/>
  <c r="AE183" i="23"/>
  <c r="AE240" i="23"/>
  <c r="AE53" i="23"/>
  <c r="AE176" i="23"/>
  <c r="AE67" i="23"/>
  <c r="AB238" i="23"/>
  <c r="AE172" i="23"/>
  <c r="AE52" i="23"/>
  <c r="AE236" i="23"/>
  <c r="AE68" i="23"/>
  <c r="AE147" i="23"/>
  <c r="AE207" i="23" s="1"/>
  <c r="AE130" i="23"/>
  <c r="AE192" i="23"/>
  <c r="AE34" i="23"/>
  <c r="AE50" i="23"/>
  <c r="AD19" i="23"/>
  <c r="AD20" i="23" s="1"/>
  <c r="AD215" i="23"/>
  <c r="AD111" i="23"/>
  <c r="AC84" i="23"/>
  <c r="AD190" i="23"/>
  <c r="AD254" i="23"/>
  <c r="AD128" i="23"/>
  <c r="AD154" i="23"/>
  <c r="AD132" i="23"/>
  <c r="AC74" i="23"/>
  <c r="C712" i="22"/>
  <c r="AC48" i="23"/>
  <c r="AC57" i="23"/>
  <c r="AC18" i="23"/>
  <c r="AC19" i="23" s="1"/>
  <c r="AC111" i="23"/>
  <c r="AC87" i="23"/>
  <c r="AC40" i="23"/>
  <c r="AC43" i="23"/>
  <c r="AC82" i="23"/>
  <c r="AC49" i="23"/>
  <c r="AC245" i="23"/>
  <c r="AC181" i="23"/>
  <c r="AC14" i="23"/>
  <c r="AC38" i="23"/>
  <c r="AC39" i="23"/>
  <c r="H14" i="23"/>
  <c r="H19" i="23"/>
  <c r="AB187" i="23"/>
  <c r="AB182" i="23"/>
  <c r="AA19" i="23"/>
  <c r="AA20" i="23" s="1"/>
  <c r="AB174" i="23"/>
  <c r="AB184" i="23"/>
  <c r="AB173" i="23"/>
  <c r="AB237" i="23"/>
  <c r="AB244" i="23"/>
  <c r="AB180" i="23"/>
  <c r="C671" i="22"/>
  <c r="AC53" i="24"/>
  <c r="AC49" i="24"/>
  <c r="C669" i="22"/>
  <c r="AB132" i="23"/>
  <c r="AB190" i="23"/>
  <c r="AB154" i="23"/>
  <c r="AB218" i="23" s="1"/>
  <c r="AB254" i="23"/>
  <c r="AB192" i="23"/>
  <c r="AB130" i="23"/>
  <c r="AB147" i="23"/>
  <c r="AB207" i="23" s="1"/>
  <c r="AB14" i="23"/>
  <c r="AB19" i="23"/>
  <c r="C708" i="22"/>
  <c r="AA154" i="23"/>
  <c r="AA156" i="23" s="1"/>
  <c r="AA220" i="23" s="1"/>
  <c r="AA254" i="23"/>
  <c r="AA190" i="23"/>
  <c r="AA132" i="23"/>
  <c r="AA192" i="23"/>
  <c r="AA147" i="23"/>
  <c r="AA207" i="23" s="1"/>
  <c r="Z53" i="24"/>
  <c r="Z49" i="24"/>
  <c r="Z110" i="23"/>
  <c r="Z106" i="23"/>
  <c r="Z83" i="23"/>
  <c r="Z76" i="23"/>
  <c r="Z72" i="23"/>
  <c r="Z57" i="23"/>
  <c r="Z255" i="23"/>
  <c r="Z251" i="23"/>
  <c r="Z248" i="23"/>
  <c r="Z246" i="23"/>
  <c r="Z245" i="23"/>
  <c r="Z242" i="23"/>
  <c r="Z241" i="23"/>
  <c r="Z238" i="23"/>
  <c r="Z237" i="23"/>
  <c r="Z228" i="23"/>
  <c r="AD229" i="23" s="1"/>
  <c r="Z225" i="23"/>
  <c r="Z214" i="23"/>
  <c r="Z191" i="23"/>
  <c r="Z187" i="23"/>
  <c r="Z184" i="23"/>
  <c r="Z182" i="23"/>
  <c r="Z181" i="23"/>
  <c r="Z178" i="23"/>
  <c r="Z177" i="23"/>
  <c r="Z174" i="23"/>
  <c r="Z173" i="23"/>
  <c r="Z164" i="23"/>
  <c r="AD165" i="23" s="1"/>
  <c r="Z161" i="23"/>
  <c r="Z155" i="23"/>
  <c r="Z219" i="23" s="1"/>
  <c r="Z150" i="23"/>
  <c r="Z134" i="23"/>
  <c r="Z125" i="23"/>
  <c r="Z124" i="23"/>
  <c r="Z121" i="23"/>
  <c r="C747" i="22" s="1"/>
  <c r="C748" i="22" s="1"/>
  <c r="Z116" i="23"/>
  <c r="Z104" i="23"/>
  <c r="Z94" i="23"/>
  <c r="Z244" i="23"/>
  <c r="Z70" i="23"/>
  <c r="Z55" i="23"/>
  <c r="Z18" i="23"/>
  <c r="Z10" i="23"/>
  <c r="Z9" i="23"/>
  <c r="G84" i="23"/>
  <c r="Y101" i="24"/>
  <c r="U101" i="24"/>
  <c r="Q101" i="24"/>
  <c r="Y100" i="24"/>
  <c r="U100" i="24"/>
  <c r="Q100" i="24"/>
  <c r="Y99" i="24"/>
  <c r="U99" i="24"/>
  <c r="Q99" i="24"/>
  <c r="Y96" i="24"/>
  <c r="U96" i="24"/>
  <c r="Q96" i="24"/>
  <c r="Y95" i="24"/>
  <c r="U95" i="24"/>
  <c r="Q95" i="24"/>
  <c r="Y94" i="24"/>
  <c r="U94" i="24"/>
  <c r="Q94" i="24"/>
  <c r="Y90" i="24"/>
  <c r="U90" i="24"/>
  <c r="Q90" i="24"/>
  <c r="Y89" i="24"/>
  <c r="U89" i="24"/>
  <c r="Q89" i="24"/>
  <c r="Y88" i="24"/>
  <c r="U88" i="24"/>
  <c r="Q88" i="24"/>
  <c r="Y85" i="24"/>
  <c r="U85" i="24"/>
  <c r="Q85" i="24"/>
  <c r="Y84" i="24"/>
  <c r="U84" i="24"/>
  <c r="Q84" i="24"/>
  <c r="Y83" i="24"/>
  <c r="U83" i="24"/>
  <c r="Q83" i="24"/>
  <c r="Y79" i="24"/>
  <c r="U79" i="24"/>
  <c r="Q79" i="24"/>
  <c r="Y78" i="24"/>
  <c r="U78" i="24"/>
  <c r="Q78" i="24"/>
  <c r="Y77" i="24"/>
  <c r="U77" i="24"/>
  <c r="Q77" i="24"/>
  <c r="Y74" i="24"/>
  <c r="U74" i="24"/>
  <c r="Q74" i="24"/>
  <c r="Y73" i="24"/>
  <c r="U73" i="24"/>
  <c r="Q73" i="24"/>
  <c r="Y72" i="24"/>
  <c r="U72" i="24"/>
  <c r="Q72" i="24"/>
  <c r="Y68" i="24"/>
  <c r="U68" i="24"/>
  <c r="Q68" i="24"/>
  <c r="Y67" i="24"/>
  <c r="U67" i="24"/>
  <c r="Q67" i="24"/>
  <c r="Y66" i="24"/>
  <c r="U66" i="24"/>
  <c r="Q66" i="24"/>
  <c r="Y64" i="24"/>
  <c r="U64" i="24"/>
  <c r="Q64" i="24"/>
  <c r="Y63" i="24"/>
  <c r="U63" i="24"/>
  <c r="Q63" i="24"/>
  <c r="Y61" i="24"/>
  <c r="U61" i="24"/>
  <c r="Q61" i="24"/>
  <c r="Y60" i="24"/>
  <c r="U60" i="24"/>
  <c r="Q60" i="24"/>
  <c r="X57" i="24"/>
  <c r="W57" i="24"/>
  <c r="V57" i="24"/>
  <c r="T57" i="24"/>
  <c r="S57" i="24"/>
  <c r="R57" i="24"/>
  <c r="P57" i="24"/>
  <c r="O57" i="24"/>
  <c r="N57" i="24"/>
  <c r="G57" i="24"/>
  <c r="F57" i="24"/>
  <c r="E57" i="24"/>
  <c r="D57" i="24"/>
  <c r="C57" i="24"/>
  <c r="X56" i="24"/>
  <c r="W56" i="24"/>
  <c r="V56" i="24"/>
  <c r="T56" i="24"/>
  <c r="S56" i="24"/>
  <c r="R56" i="24"/>
  <c r="P56" i="24"/>
  <c r="O56" i="24"/>
  <c r="N56" i="24"/>
  <c r="G56" i="24"/>
  <c r="F56" i="24"/>
  <c r="E56" i="24"/>
  <c r="D56" i="24"/>
  <c r="C56" i="24"/>
  <c r="X55" i="24"/>
  <c r="W55" i="24"/>
  <c r="V55" i="24"/>
  <c r="T55" i="24"/>
  <c r="S55" i="24"/>
  <c r="R55" i="24"/>
  <c r="P55" i="24"/>
  <c r="O55" i="24"/>
  <c r="N55" i="24"/>
  <c r="G55" i="24"/>
  <c r="F55" i="24"/>
  <c r="E55" i="24"/>
  <c r="D55" i="24"/>
  <c r="C55" i="24"/>
  <c r="X52" i="24"/>
  <c r="W52" i="24"/>
  <c r="V52" i="24"/>
  <c r="T52" i="24"/>
  <c r="S52" i="24"/>
  <c r="R52" i="24"/>
  <c r="P52" i="24"/>
  <c r="O52" i="24"/>
  <c r="N52" i="24"/>
  <c r="G52" i="24"/>
  <c r="F52" i="24"/>
  <c r="E52" i="24"/>
  <c r="D52" i="24"/>
  <c r="C52" i="24"/>
  <c r="X51" i="24"/>
  <c r="W51" i="24"/>
  <c r="V51" i="24"/>
  <c r="T51" i="24"/>
  <c r="S51" i="24"/>
  <c r="R51" i="24"/>
  <c r="P51" i="24"/>
  <c r="O51" i="24"/>
  <c r="N51" i="24"/>
  <c r="G51" i="24"/>
  <c r="F51" i="24"/>
  <c r="E51" i="24"/>
  <c r="D51" i="24"/>
  <c r="C51" i="24"/>
  <c r="X48" i="24"/>
  <c r="W48" i="24"/>
  <c r="V48" i="24"/>
  <c r="T48" i="24"/>
  <c r="S48" i="24"/>
  <c r="R48" i="24"/>
  <c r="P48" i="24"/>
  <c r="O48" i="24"/>
  <c r="N48" i="24"/>
  <c r="G48" i="24"/>
  <c r="F48" i="24"/>
  <c r="E48" i="24"/>
  <c r="D48" i="24"/>
  <c r="C48" i="24"/>
  <c r="X47" i="24"/>
  <c r="W47" i="24"/>
  <c r="V47" i="24"/>
  <c r="T47" i="24"/>
  <c r="S47" i="24"/>
  <c r="R47" i="24"/>
  <c r="P47" i="24"/>
  <c r="O47" i="24"/>
  <c r="N47" i="24"/>
  <c r="G47" i="24"/>
  <c r="F47" i="24"/>
  <c r="E47" i="24"/>
  <c r="D47" i="24"/>
  <c r="C47" i="24"/>
  <c r="Y44" i="24"/>
  <c r="U44" i="24"/>
  <c r="Q44" i="24"/>
  <c r="Y43" i="24"/>
  <c r="U43" i="24"/>
  <c r="Q43" i="24"/>
  <c r="Y42" i="24"/>
  <c r="U42" i="24"/>
  <c r="Q42" i="24"/>
  <c r="X40" i="24"/>
  <c r="W40" i="24"/>
  <c r="V40" i="24"/>
  <c r="T40" i="24"/>
  <c r="S40" i="24"/>
  <c r="R40" i="24"/>
  <c r="P40" i="24"/>
  <c r="O40" i="24"/>
  <c r="N40" i="24"/>
  <c r="G40" i="24"/>
  <c r="F40" i="24"/>
  <c r="E40" i="24"/>
  <c r="D40" i="24"/>
  <c r="C40" i="24"/>
  <c r="Y39" i="24"/>
  <c r="U39" i="24"/>
  <c r="Q39" i="24"/>
  <c r="Y38" i="24"/>
  <c r="U38" i="24"/>
  <c r="Q38" i="24"/>
  <c r="X36" i="24"/>
  <c r="W36" i="24"/>
  <c r="V36" i="24"/>
  <c r="T36" i="24"/>
  <c r="S36" i="24"/>
  <c r="R36" i="24"/>
  <c r="P36" i="24"/>
  <c r="O36" i="24"/>
  <c r="N36" i="24"/>
  <c r="G36" i="24"/>
  <c r="F36" i="24"/>
  <c r="E36" i="24"/>
  <c r="D36" i="24"/>
  <c r="C36" i="24"/>
  <c r="Y35" i="24"/>
  <c r="U35" i="24"/>
  <c r="Q35" i="24"/>
  <c r="Y34" i="24"/>
  <c r="U34" i="24"/>
  <c r="Q34" i="24"/>
  <c r="Y31" i="24"/>
  <c r="U31" i="24"/>
  <c r="Q31" i="24"/>
  <c r="Y30" i="24"/>
  <c r="U30" i="24"/>
  <c r="Q30" i="24"/>
  <c r="Y29" i="24"/>
  <c r="U29" i="24"/>
  <c r="Q29" i="24"/>
  <c r="X27" i="24"/>
  <c r="W27" i="24"/>
  <c r="V27" i="24"/>
  <c r="T27" i="24"/>
  <c r="S27" i="24"/>
  <c r="R27" i="24"/>
  <c r="P27" i="24"/>
  <c r="O27" i="24"/>
  <c r="N27" i="24"/>
  <c r="G27" i="24"/>
  <c r="F27" i="24"/>
  <c r="E27" i="24"/>
  <c r="D27" i="24"/>
  <c r="C27" i="24"/>
  <c r="Y26" i="24"/>
  <c r="U26" i="24"/>
  <c r="Q26" i="24"/>
  <c r="Y25" i="24"/>
  <c r="U25" i="24"/>
  <c r="Q25" i="24"/>
  <c r="X23" i="24"/>
  <c r="W23" i="24"/>
  <c r="V23" i="24"/>
  <c r="T23" i="24"/>
  <c r="S23" i="24"/>
  <c r="R23" i="24"/>
  <c r="P23" i="24"/>
  <c r="O23" i="24"/>
  <c r="N23" i="24"/>
  <c r="G23" i="24"/>
  <c r="F23" i="24"/>
  <c r="E23" i="24"/>
  <c r="D23" i="24"/>
  <c r="C23" i="24"/>
  <c r="Y22" i="24"/>
  <c r="U22" i="24"/>
  <c r="Q22" i="24"/>
  <c r="Y21" i="24"/>
  <c r="U21" i="24"/>
  <c r="Q21" i="24"/>
  <c r="Y18" i="24"/>
  <c r="U18" i="24"/>
  <c r="Q18" i="24"/>
  <c r="Y17" i="24"/>
  <c r="U17" i="24"/>
  <c r="Q17" i="24"/>
  <c r="Y16" i="24"/>
  <c r="U16" i="24"/>
  <c r="Q16" i="24"/>
  <c r="X14" i="24"/>
  <c r="W14" i="24"/>
  <c r="V14" i="24"/>
  <c r="T14" i="24"/>
  <c r="S14" i="24"/>
  <c r="R14" i="24"/>
  <c r="P14" i="24"/>
  <c r="O14" i="24"/>
  <c r="N14" i="24"/>
  <c r="G14" i="24"/>
  <c r="F14" i="24"/>
  <c r="E14" i="24"/>
  <c r="D14" i="24"/>
  <c r="C14" i="24"/>
  <c r="Y13" i="24"/>
  <c r="U13" i="24"/>
  <c r="Q13" i="24"/>
  <c r="Y12" i="24"/>
  <c r="U12" i="24"/>
  <c r="Q12" i="24"/>
  <c r="X10" i="24"/>
  <c r="W10" i="24"/>
  <c r="V10" i="24"/>
  <c r="T10" i="24"/>
  <c r="S10" i="24"/>
  <c r="R10" i="24"/>
  <c r="P10" i="24"/>
  <c r="O10" i="24"/>
  <c r="N10" i="24"/>
  <c r="G10" i="24"/>
  <c r="F10" i="24"/>
  <c r="E10" i="24"/>
  <c r="D10" i="24"/>
  <c r="C10" i="24"/>
  <c r="Y9" i="24"/>
  <c r="U9" i="24"/>
  <c r="Q9" i="24"/>
  <c r="Y8" i="24"/>
  <c r="U8" i="24"/>
  <c r="Q8" i="24"/>
  <c r="B280" i="23"/>
  <c r="B278" i="23"/>
  <c r="B277" i="23"/>
  <c r="B275" i="23"/>
  <c r="B273" i="23"/>
  <c r="B272" i="23"/>
  <c r="B270" i="23"/>
  <c r="B269" i="23"/>
  <c r="B258" i="23"/>
  <c r="B256" i="23"/>
  <c r="X255" i="23"/>
  <c r="W255" i="23"/>
  <c r="V255" i="23"/>
  <c r="T255" i="23"/>
  <c r="S255" i="23"/>
  <c r="R255" i="23"/>
  <c r="P255" i="23"/>
  <c r="O255" i="23"/>
  <c r="N255" i="23"/>
  <c r="G255" i="23"/>
  <c r="F255" i="23"/>
  <c r="E255" i="23"/>
  <c r="D255" i="23"/>
  <c r="C255" i="23"/>
  <c r="B255" i="23"/>
  <c r="B254" i="23"/>
  <c r="B252" i="23"/>
  <c r="V251" i="23"/>
  <c r="R251" i="23"/>
  <c r="N251" i="23"/>
  <c r="F251" i="23"/>
  <c r="E251" i="23"/>
  <c r="D251" i="23"/>
  <c r="C251" i="23"/>
  <c r="B251" i="23"/>
  <c r="B250" i="23"/>
  <c r="B249" i="23"/>
  <c r="X248" i="23"/>
  <c r="V248" i="23"/>
  <c r="R248" i="23"/>
  <c r="B248" i="23"/>
  <c r="V247" i="23"/>
  <c r="C247" i="23"/>
  <c r="B247" i="23"/>
  <c r="V246" i="23"/>
  <c r="R246" i="23"/>
  <c r="N246" i="23"/>
  <c r="F246" i="23"/>
  <c r="E246" i="23"/>
  <c r="D246" i="23"/>
  <c r="C246" i="23"/>
  <c r="B246" i="23"/>
  <c r="V245" i="23"/>
  <c r="T245" i="23"/>
  <c r="S245" i="23"/>
  <c r="R245" i="23"/>
  <c r="P245" i="23"/>
  <c r="O245" i="23"/>
  <c r="N245" i="23"/>
  <c r="F245" i="23"/>
  <c r="E245" i="23"/>
  <c r="D245" i="23"/>
  <c r="C245" i="23"/>
  <c r="B245" i="23"/>
  <c r="B244" i="23"/>
  <c r="B243" i="23"/>
  <c r="X242" i="23"/>
  <c r="W242" i="23"/>
  <c r="V242" i="23"/>
  <c r="T242" i="23"/>
  <c r="S242" i="23"/>
  <c r="R242" i="23"/>
  <c r="P242" i="23"/>
  <c r="O242" i="23"/>
  <c r="N242" i="23"/>
  <c r="G242" i="23"/>
  <c r="F242" i="23"/>
  <c r="E242" i="23"/>
  <c r="D242" i="23"/>
  <c r="C242" i="23"/>
  <c r="B242" i="23"/>
  <c r="X241" i="23"/>
  <c r="W241" i="23"/>
  <c r="V241" i="23"/>
  <c r="T241" i="23"/>
  <c r="S241" i="23"/>
  <c r="R241" i="23"/>
  <c r="P241" i="23"/>
  <c r="O241" i="23"/>
  <c r="N241" i="23"/>
  <c r="G241" i="23"/>
  <c r="F241" i="23"/>
  <c r="E241" i="23"/>
  <c r="D241" i="23"/>
  <c r="C241" i="23"/>
  <c r="B241" i="23"/>
  <c r="R240" i="23"/>
  <c r="B240" i="23"/>
  <c r="B239" i="23"/>
  <c r="V238" i="23"/>
  <c r="R238" i="23"/>
  <c r="N238" i="23"/>
  <c r="G238" i="23"/>
  <c r="F238" i="23"/>
  <c r="E238" i="23"/>
  <c r="D238" i="23"/>
  <c r="C238" i="23"/>
  <c r="B238" i="23"/>
  <c r="V237" i="23"/>
  <c r="R237" i="23"/>
  <c r="N237" i="23"/>
  <c r="G237" i="23"/>
  <c r="F237" i="23"/>
  <c r="E237" i="23"/>
  <c r="D237" i="23"/>
  <c r="C237" i="23"/>
  <c r="B237" i="23"/>
  <c r="B236" i="23"/>
  <c r="B235" i="23"/>
  <c r="B233" i="23"/>
  <c r="B232" i="23"/>
  <c r="B231" i="23"/>
  <c r="X228" i="23"/>
  <c r="AB229" i="23" s="1"/>
  <c r="W228" i="23"/>
  <c r="AA229" i="23" s="1"/>
  <c r="V228" i="23"/>
  <c r="T228" i="23"/>
  <c r="S228" i="23"/>
  <c r="R228" i="23"/>
  <c r="P228" i="23"/>
  <c r="O228" i="23"/>
  <c r="N228" i="23"/>
  <c r="G228" i="23"/>
  <c r="H229" i="23" s="1"/>
  <c r="F228" i="23"/>
  <c r="E228" i="23"/>
  <c r="D228" i="23"/>
  <c r="B228" i="23"/>
  <c r="Y225" i="23"/>
  <c r="X225" i="23"/>
  <c r="W225" i="23"/>
  <c r="V225" i="23"/>
  <c r="U225" i="23"/>
  <c r="T225" i="23"/>
  <c r="S225" i="23"/>
  <c r="R225" i="23"/>
  <c r="Q225" i="23"/>
  <c r="P225" i="23"/>
  <c r="O225" i="23"/>
  <c r="N225" i="23"/>
  <c r="G225" i="23"/>
  <c r="F225" i="23"/>
  <c r="E225" i="23"/>
  <c r="D225" i="23"/>
  <c r="C225" i="23"/>
  <c r="Y214" i="23"/>
  <c r="X214" i="23"/>
  <c r="W214" i="23"/>
  <c r="V214" i="23"/>
  <c r="U214" i="23"/>
  <c r="T214" i="23"/>
  <c r="S214" i="23"/>
  <c r="R214" i="23"/>
  <c r="Q214" i="23"/>
  <c r="P214" i="23"/>
  <c r="O214" i="23"/>
  <c r="N214" i="23"/>
  <c r="G214" i="23"/>
  <c r="F214" i="23"/>
  <c r="E214" i="23"/>
  <c r="D214" i="23"/>
  <c r="C214" i="23"/>
  <c r="B207" i="23"/>
  <c r="B205" i="23"/>
  <c r="B204" i="23"/>
  <c r="B202" i="23"/>
  <c r="B200" i="23"/>
  <c r="B199" i="23"/>
  <c r="B197" i="23"/>
  <c r="B196" i="23"/>
  <c r="B194" i="23"/>
  <c r="B192" i="23"/>
  <c r="X191" i="23"/>
  <c r="W191" i="23"/>
  <c r="V191" i="23"/>
  <c r="T191" i="23"/>
  <c r="S191" i="23"/>
  <c r="R191" i="23"/>
  <c r="P191" i="23"/>
  <c r="O191" i="23"/>
  <c r="N191" i="23"/>
  <c r="G191" i="23"/>
  <c r="F191" i="23"/>
  <c r="E191" i="23"/>
  <c r="D191" i="23"/>
  <c r="C191" i="23"/>
  <c r="B191" i="23"/>
  <c r="B190" i="23"/>
  <c r="B188" i="23"/>
  <c r="V187" i="23"/>
  <c r="R187" i="23"/>
  <c r="N187" i="23"/>
  <c r="F187" i="23"/>
  <c r="E187" i="23"/>
  <c r="D187" i="23"/>
  <c r="C187" i="23"/>
  <c r="B187" i="23"/>
  <c r="B186" i="23"/>
  <c r="B185" i="23"/>
  <c r="X184" i="23"/>
  <c r="V184" i="23"/>
  <c r="R184" i="23"/>
  <c r="B184" i="23"/>
  <c r="V183" i="23"/>
  <c r="C183" i="23"/>
  <c r="B183" i="23"/>
  <c r="V182" i="23"/>
  <c r="R182" i="23"/>
  <c r="N182" i="23"/>
  <c r="F182" i="23"/>
  <c r="E182" i="23"/>
  <c r="D182" i="23"/>
  <c r="C182" i="23"/>
  <c r="B182" i="23"/>
  <c r="V181" i="23"/>
  <c r="T181" i="23"/>
  <c r="S181" i="23"/>
  <c r="R181" i="23"/>
  <c r="P181" i="23"/>
  <c r="O181" i="23"/>
  <c r="N181" i="23"/>
  <c r="F181" i="23"/>
  <c r="E181" i="23"/>
  <c r="D181" i="23"/>
  <c r="C181" i="23"/>
  <c r="B181" i="23"/>
  <c r="B180" i="23"/>
  <c r="B179" i="23"/>
  <c r="X178" i="23"/>
  <c r="W178" i="23"/>
  <c r="V178" i="23"/>
  <c r="T178" i="23"/>
  <c r="S178" i="23"/>
  <c r="R178" i="23"/>
  <c r="P178" i="23"/>
  <c r="O178" i="23"/>
  <c r="N178" i="23"/>
  <c r="G178" i="23"/>
  <c r="F178" i="23"/>
  <c r="E178" i="23"/>
  <c r="D178" i="23"/>
  <c r="C178" i="23"/>
  <c r="B178" i="23"/>
  <c r="X177" i="23"/>
  <c r="W177" i="23"/>
  <c r="V177" i="23"/>
  <c r="T177" i="23"/>
  <c r="S177" i="23"/>
  <c r="R177" i="23"/>
  <c r="P177" i="23"/>
  <c r="O177" i="23"/>
  <c r="N177" i="23"/>
  <c r="G177" i="23"/>
  <c r="F177" i="23"/>
  <c r="E177" i="23"/>
  <c r="D177" i="23"/>
  <c r="C177" i="23"/>
  <c r="B177" i="23"/>
  <c r="R176" i="23"/>
  <c r="B176" i="23"/>
  <c r="B175" i="23"/>
  <c r="V174" i="23"/>
  <c r="R174" i="23"/>
  <c r="N174" i="23"/>
  <c r="G174" i="23"/>
  <c r="F174" i="23"/>
  <c r="E174" i="23"/>
  <c r="D174" i="23"/>
  <c r="C174" i="23"/>
  <c r="B174" i="23"/>
  <c r="V173" i="23"/>
  <c r="R173" i="23"/>
  <c r="N173" i="23"/>
  <c r="G173" i="23"/>
  <c r="F173" i="23"/>
  <c r="E173" i="23"/>
  <c r="D173" i="23"/>
  <c r="C173" i="23"/>
  <c r="B173" i="23"/>
  <c r="B172" i="23"/>
  <c r="B171" i="23"/>
  <c r="B169" i="23"/>
  <c r="C168" i="23"/>
  <c r="B168" i="23"/>
  <c r="B167" i="23"/>
  <c r="X164" i="23"/>
  <c r="AB165" i="23" s="1"/>
  <c r="W164" i="23"/>
  <c r="AA165" i="23" s="1"/>
  <c r="V164" i="23"/>
  <c r="T164" i="23"/>
  <c r="S164" i="23"/>
  <c r="R164" i="23"/>
  <c r="P164" i="23"/>
  <c r="O164" i="23"/>
  <c r="N164" i="23"/>
  <c r="G164" i="23"/>
  <c r="H165" i="23" s="1"/>
  <c r="F164" i="23"/>
  <c r="E164" i="23"/>
  <c r="D164" i="23"/>
  <c r="B164" i="23"/>
  <c r="Y161" i="23"/>
  <c r="X161" i="23"/>
  <c r="W161" i="23"/>
  <c r="V161" i="23"/>
  <c r="U161" i="23"/>
  <c r="T161" i="23"/>
  <c r="S161" i="23"/>
  <c r="R161" i="23"/>
  <c r="Q161" i="23"/>
  <c r="P161" i="23"/>
  <c r="O161" i="23"/>
  <c r="N161" i="23"/>
  <c r="G161" i="23"/>
  <c r="F161" i="23"/>
  <c r="E161" i="23"/>
  <c r="D161" i="23"/>
  <c r="C161" i="23"/>
  <c r="X155" i="23"/>
  <c r="X219" i="23" s="1"/>
  <c r="W155" i="23"/>
  <c r="W219" i="23" s="1"/>
  <c r="V155" i="23"/>
  <c r="V219" i="23" s="1"/>
  <c r="T155" i="23"/>
  <c r="T219" i="23" s="1"/>
  <c r="S155" i="23"/>
  <c r="S219" i="23" s="1"/>
  <c r="R155" i="23"/>
  <c r="R219" i="23" s="1"/>
  <c r="P155" i="23"/>
  <c r="P219" i="23" s="1"/>
  <c r="O155" i="23"/>
  <c r="O219" i="23" s="1"/>
  <c r="N155" i="23"/>
  <c r="N219" i="23" s="1"/>
  <c r="G155" i="23"/>
  <c r="G219" i="23" s="1"/>
  <c r="F155" i="23"/>
  <c r="F219" i="23" s="1"/>
  <c r="E155" i="23"/>
  <c r="E219" i="23" s="1"/>
  <c r="D155" i="23"/>
  <c r="D219" i="23" s="1"/>
  <c r="C155" i="23"/>
  <c r="C219" i="23" s="1"/>
  <c r="Y150" i="23"/>
  <c r="X150" i="23"/>
  <c r="W150" i="23"/>
  <c r="V150" i="23"/>
  <c r="U150" i="23"/>
  <c r="T150" i="23"/>
  <c r="S150" i="23"/>
  <c r="R150" i="23"/>
  <c r="Q150" i="23"/>
  <c r="P150" i="23"/>
  <c r="O150" i="23"/>
  <c r="N150" i="23"/>
  <c r="G150" i="23"/>
  <c r="F150" i="23"/>
  <c r="E150" i="23"/>
  <c r="D150" i="23"/>
  <c r="C150" i="23"/>
  <c r="Y134" i="23"/>
  <c r="X134" i="23"/>
  <c r="W134" i="23"/>
  <c r="V134" i="23"/>
  <c r="U134" i="23"/>
  <c r="T134" i="23"/>
  <c r="S134" i="23"/>
  <c r="R134" i="23"/>
  <c r="Q134" i="23"/>
  <c r="P134" i="23"/>
  <c r="O134" i="23"/>
  <c r="N134" i="23"/>
  <c r="G134" i="23"/>
  <c r="F134" i="23"/>
  <c r="E134" i="23"/>
  <c r="D134" i="23"/>
  <c r="C134" i="23"/>
  <c r="Y131" i="23"/>
  <c r="U131" i="23"/>
  <c r="U260" i="23" s="1"/>
  <c r="Q131" i="23"/>
  <c r="Q260" i="23" s="1"/>
  <c r="Y127" i="23"/>
  <c r="C791" i="22" s="1"/>
  <c r="U127" i="23"/>
  <c r="Q127" i="23"/>
  <c r="X125" i="23"/>
  <c r="W125" i="23"/>
  <c r="V125" i="23"/>
  <c r="T125" i="23"/>
  <c r="S125" i="23"/>
  <c r="R125" i="23"/>
  <c r="P125" i="23"/>
  <c r="O125" i="23"/>
  <c r="N125" i="23"/>
  <c r="F125" i="23"/>
  <c r="E125" i="23"/>
  <c r="Q125" i="23" s="1"/>
  <c r="D125" i="23"/>
  <c r="C125" i="23"/>
  <c r="X124" i="23"/>
  <c r="W124" i="23"/>
  <c r="V124" i="23"/>
  <c r="T124" i="23"/>
  <c r="S124" i="23"/>
  <c r="R124" i="23"/>
  <c r="P124" i="23"/>
  <c r="O124" i="23"/>
  <c r="N124" i="23"/>
  <c r="F124" i="23"/>
  <c r="E124" i="23"/>
  <c r="D124" i="23"/>
  <c r="C124" i="23"/>
  <c r="X121" i="23"/>
  <c r="C830" i="22" s="1"/>
  <c r="W121" i="23"/>
  <c r="C873" i="22" s="1"/>
  <c r="V121" i="23"/>
  <c r="C918" i="22" s="1"/>
  <c r="T121" i="23"/>
  <c r="S121" i="23"/>
  <c r="R121" i="23"/>
  <c r="P121" i="23"/>
  <c r="O121" i="23"/>
  <c r="N121" i="23"/>
  <c r="F121" i="23"/>
  <c r="E121" i="23"/>
  <c r="D121" i="23"/>
  <c r="C121" i="23"/>
  <c r="U120" i="23"/>
  <c r="U264" i="23" s="1"/>
  <c r="Q120" i="23"/>
  <c r="Q264" i="23" s="1"/>
  <c r="G120" i="23"/>
  <c r="U119" i="23"/>
  <c r="U263" i="23" s="1"/>
  <c r="Q119" i="23"/>
  <c r="Q263" i="23" s="1"/>
  <c r="G119" i="23"/>
  <c r="G263" i="23" s="1"/>
  <c r="X116" i="23"/>
  <c r="W116" i="23"/>
  <c r="V116" i="23"/>
  <c r="T116" i="23"/>
  <c r="S116" i="23"/>
  <c r="R116" i="23"/>
  <c r="P116" i="23"/>
  <c r="O116" i="23"/>
  <c r="N116" i="23"/>
  <c r="F116" i="23"/>
  <c r="F44" i="23" s="1"/>
  <c r="E116" i="23"/>
  <c r="E44" i="23" s="1"/>
  <c r="D116" i="23"/>
  <c r="D44" i="23" s="1"/>
  <c r="C116" i="23"/>
  <c r="C44" i="23" s="1"/>
  <c r="Y115" i="23"/>
  <c r="U115" i="23"/>
  <c r="Q115" i="23"/>
  <c r="U114" i="23"/>
  <c r="Q114" i="23"/>
  <c r="G114" i="23"/>
  <c r="G116" i="23" s="1"/>
  <c r="X110" i="23"/>
  <c r="W110" i="23"/>
  <c r="V110" i="23"/>
  <c r="T110" i="23"/>
  <c r="S110" i="23"/>
  <c r="R110" i="23"/>
  <c r="P110" i="23"/>
  <c r="O110" i="23"/>
  <c r="N110" i="23"/>
  <c r="F110" i="23"/>
  <c r="E110" i="23"/>
  <c r="D110" i="23"/>
  <c r="C110" i="23"/>
  <c r="U109" i="23"/>
  <c r="Q109" i="23"/>
  <c r="G109" i="23"/>
  <c r="Y109" i="23" s="1"/>
  <c r="U108" i="23"/>
  <c r="Q108" i="23"/>
  <c r="G108" i="23"/>
  <c r="Y107" i="23"/>
  <c r="U107" i="23"/>
  <c r="Q107" i="23"/>
  <c r="X106" i="23"/>
  <c r="W106" i="23"/>
  <c r="V106" i="23"/>
  <c r="T106" i="23"/>
  <c r="S106" i="23"/>
  <c r="R106" i="23"/>
  <c r="P106" i="23"/>
  <c r="O106" i="23"/>
  <c r="N106" i="23"/>
  <c r="G106" i="23"/>
  <c r="Y106" i="23" s="1"/>
  <c r="F106" i="23"/>
  <c r="U106" i="23" s="1"/>
  <c r="E106" i="23"/>
  <c r="Q106" i="23" s="1"/>
  <c r="D106" i="23"/>
  <c r="C106" i="23"/>
  <c r="Y104" i="23"/>
  <c r="X104" i="23"/>
  <c r="W104" i="23"/>
  <c r="V104" i="23"/>
  <c r="U104" i="23"/>
  <c r="T104" i="23"/>
  <c r="S104" i="23"/>
  <c r="R104" i="23"/>
  <c r="Q104" i="23"/>
  <c r="P104" i="23"/>
  <c r="O104" i="23"/>
  <c r="N104" i="23"/>
  <c r="G104" i="23"/>
  <c r="F104" i="23"/>
  <c r="E104" i="23"/>
  <c r="D104" i="23"/>
  <c r="C104" i="23"/>
  <c r="G99" i="23"/>
  <c r="F99" i="23"/>
  <c r="E99" i="23"/>
  <c r="D99" i="23"/>
  <c r="C99" i="23"/>
  <c r="P95" i="23"/>
  <c r="G95" i="23"/>
  <c r="G151" i="23" s="1"/>
  <c r="G215" i="23" s="1"/>
  <c r="F95" i="23"/>
  <c r="F151" i="23" s="1"/>
  <c r="F215" i="23" s="1"/>
  <c r="E95" i="23"/>
  <c r="E151" i="23" s="1"/>
  <c r="E215" i="23" s="1"/>
  <c r="D95" i="23"/>
  <c r="D151" i="23" s="1"/>
  <c r="D215" i="23" s="1"/>
  <c r="B95" i="23"/>
  <c r="Y94" i="23"/>
  <c r="X94" i="23"/>
  <c r="W94" i="23"/>
  <c r="V94" i="23"/>
  <c r="U94" i="23"/>
  <c r="T94" i="23"/>
  <c r="S94" i="23"/>
  <c r="R94" i="23"/>
  <c r="Q94" i="23"/>
  <c r="P94" i="23"/>
  <c r="O94" i="23"/>
  <c r="N94" i="23"/>
  <c r="G94" i="23"/>
  <c r="F94" i="23"/>
  <c r="E94" i="23"/>
  <c r="D94" i="23"/>
  <c r="C94" i="23"/>
  <c r="W87" i="23"/>
  <c r="S87" i="23"/>
  <c r="O87" i="23"/>
  <c r="G87" i="23"/>
  <c r="W84" i="23"/>
  <c r="S84" i="23"/>
  <c r="T84" i="23" s="1"/>
  <c r="N84" i="23"/>
  <c r="F84" i="23"/>
  <c r="E84" i="23"/>
  <c r="D84" i="23"/>
  <c r="C84" i="23"/>
  <c r="W83" i="23"/>
  <c r="R83" i="23"/>
  <c r="S83" i="23" s="1"/>
  <c r="N83" i="23"/>
  <c r="G83" i="23"/>
  <c r="F83" i="23"/>
  <c r="E83" i="23"/>
  <c r="D83" i="23"/>
  <c r="W82" i="23"/>
  <c r="S82" i="23"/>
  <c r="T82" i="23" s="1"/>
  <c r="O82" i="23"/>
  <c r="P82" i="23" s="1"/>
  <c r="G82" i="23"/>
  <c r="W81" i="23"/>
  <c r="X81" i="23" s="1"/>
  <c r="U81" i="23"/>
  <c r="Q81" i="23"/>
  <c r="G81" i="23"/>
  <c r="V80" i="23"/>
  <c r="R80" i="23"/>
  <c r="N80" i="23"/>
  <c r="F80" i="23"/>
  <c r="E80" i="23"/>
  <c r="D80" i="23"/>
  <c r="C80" i="23"/>
  <c r="Y78" i="23"/>
  <c r="U78" i="23"/>
  <c r="Q78" i="23"/>
  <c r="Y77" i="23"/>
  <c r="U77" i="23"/>
  <c r="Q77" i="23"/>
  <c r="V76" i="23"/>
  <c r="V67" i="23" s="1"/>
  <c r="S76" i="23"/>
  <c r="N76" i="23"/>
  <c r="G76" i="23"/>
  <c r="G67" i="23" s="1"/>
  <c r="F76" i="23"/>
  <c r="E76" i="23"/>
  <c r="D76" i="23"/>
  <c r="D67" i="23" s="1"/>
  <c r="C76" i="23"/>
  <c r="W74" i="23"/>
  <c r="S74" i="23"/>
  <c r="O74" i="23"/>
  <c r="W73" i="23"/>
  <c r="S73" i="23"/>
  <c r="T73" i="23" s="1"/>
  <c r="O73" i="23"/>
  <c r="V72" i="23"/>
  <c r="V68" i="23" s="1"/>
  <c r="R72" i="23"/>
  <c r="S72" i="23" s="1"/>
  <c r="S68" i="23" s="1"/>
  <c r="N72" i="23"/>
  <c r="G72" i="23"/>
  <c r="F72" i="23"/>
  <c r="F68" i="23" s="1"/>
  <c r="E72" i="23"/>
  <c r="D72" i="23"/>
  <c r="C72" i="23"/>
  <c r="Y70" i="23"/>
  <c r="X70" i="23"/>
  <c r="W70" i="23"/>
  <c r="V70" i="23"/>
  <c r="U70" i="23"/>
  <c r="T70" i="23"/>
  <c r="S70" i="23"/>
  <c r="R70" i="23"/>
  <c r="Q70" i="23"/>
  <c r="P70" i="23"/>
  <c r="O70" i="23"/>
  <c r="N70" i="23"/>
  <c r="G70" i="23"/>
  <c r="F70" i="23"/>
  <c r="E70" i="23"/>
  <c r="D70" i="23"/>
  <c r="C70" i="23"/>
  <c r="R67" i="23"/>
  <c r="W57" i="23"/>
  <c r="V57" i="23"/>
  <c r="T57" i="23"/>
  <c r="S57" i="23"/>
  <c r="R57" i="23"/>
  <c r="P57" i="23"/>
  <c r="O57" i="23"/>
  <c r="N57" i="23"/>
  <c r="AO58" i="23" s="1"/>
  <c r="AP97" i="23" s="1"/>
  <c r="F57" i="23"/>
  <c r="E57" i="23"/>
  <c r="D57" i="23"/>
  <c r="C57" i="23"/>
  <c r="Y55" i="23"/>
  <c r="X55" i="23"/>
  <c r="W55" i="23"/>
  <c r="V55" i="23"/>
  <c r="U55" i="23"/>
  <c r="T55" i="23"/>
  <c r="S55" i="23"/>
  <c r="R55" i="23"/>
  <c r="Q55" i="23"/>
  <c r="P55" i="23"/>
  <c r="O55" i="23"/>
  <c r="N55" i="23"/>
  <c r="G55" i="23"/>
  <c r="F55" i="23"/>
  <c r="E55" i="23"/>
  <c r="D55" i="23"/>
  <c r="C55" i="23"/>
  <c r="B49" i="23"/>
  <c r="B48" i="23"/>
  <c r="B47" i="23"/>
  <c r="B46" i="23"/>
  <c r="B45" i="23"/>
  <c r="B43" i="23"/>
  <c r="B42" i="23"/>
  <c r="B41" i="23"/>
  <c r="B40" i="23"/>
  <c r="B39" i="23"/>
  <c r="B38" i="23"/>
  <c r="B37" i="23"/>
  <c r="U32" i="23"/>
  <c r="Q32" i="23"/>
  <c r="G32" i="23"/>
  <c r="Y32" i="23" s="1"/>
  <c r="U31" i="23"/>
  <c r="Q31" i="23"/>
  <c r="G31" i="23"/>
  <c r="Y31" i="23" s="1"/>
  <c r="U29" i="23"/>
  <c r="Q29" i="23"/>
  <c r="G29" i="23"/>
  <c r="Y29" i="23" s="1"/>
  <c r="U27" i="23"/>
  <c r="Q27" i="23"/>
  <c r="G27" i="23"/>
  <c r="U26" i="23"/>
  <c r="Q26" i="23"/>
  <c r="G26" i="23"/>
  <c r="U25" i="23"/>
  <c r="Q25" i="23"/>
  <c r="G25" i="23"/>
  <c r="Y24" i="23"/>
  <c r="U24" i="23"/>
  <c r="Q24" i="23"/>
  <c r="U23" i="23"/>
  <c r="Q23" i="23"/>
  <c r="G23" i="23"/>
  <c r="Y23" i="23" s="1"/>
  <c r="U22" i="23"/>
  <c r="Q22" i="23"/>
  <c r="G22" i="23"/>
  <c r="X18" i="23"/>
  <c r="W18" i="23"/>
  <c r="V18" i="23"/>
  <c r="T18" i="23"/>
  <c r="S18" i="23"/>
  <c r="R18" i="23"/>
  <c r="P18" i="23"/>
  <c r="O18" i="23"/>
  <c r="N18" i="23"/>
  <c r="F18" i="23"/>
  <c r="E18" i="23"/>
  <c r="D18" i="23"/>
  <c r="C18" i="23"/>
  <c r="U17" i="23"/>
  <c r="Q17" i="23"/>
  <c r="Q57" i="23" s="1"/>
  <c r="G17" i="23"/>
  <c r="G57" i="23" s="1"/>
  <c r="U16" i="23"/>
  <c r="Q16" i="23"/>
  <c r="G16" i="23"/>
  <c r="U12" i="23"/>
  <c r="Q12" i="23"/>
  <c r="G12" i="23"/>
  <c r="Y12" i="23" s="1"/>
  <c r="U11" i="23"/>
  <c r="Q11" i="23"/>
  <c r="G11" i="23"/>
  <c r="Y11" i="23" s="1"/>
  <c r="X10" i="23"/>
  <c r="W10" i="23"/>
  <c r="V10" i="23"/>
  <c r="T10" i="23"/>
  <c r="S10" i="23"/>
  <c r="R10" i="23"/>
  <c r="G10" i="23"/>
  <c r="F10" i="23"/>
  <c r="E10" i="23"/>
  <c r="X9" i="23"/>
  <c r="X38" i="23" s="1"/>
  <c r="W9" i="23"/>
  <c r="V9" i="23"/>
  <c r="V40" i="23" s="1"/>
  <c r="T9" i="23"/>
  <c r="S9" i="23"/>
  <c r="S49" i="23" s="1"/>
  <c r="R9" i="23"/>
  <c r="P9" i="23"/>
  <c r="O9" i="23"/>
  <c r="O43" i="23" s="1"/>
  <c r="N9" i="23"/>
  <c r="G9" i="23"/>
  <c r="F9" i="23"/>
  <c r="E9" i="23"/>
  <c r="D9" i="23"/>
  <c r="D39" i="23" s="1"/>
  <c r="Y8" i="23"/>
  <c r="U8" i="23"/>
  <c r="Q8" i="23"/>
  <c r="Y7" i="23"/>
  <c r="U7" i="23"/>
  <c r="Q7" i="23"/>
  <c r="C7" i="23"/>
  <c r="C940" i="22"/>
  <c r="B935" i="22"/>
  <c r="B936" i="22" s="1"/>
  <c r="B937" i="22" s="1"/>
  <c r="C929" i="22"/>
  <c r="C928" i="22"/>
  <c r="C922" i="22"/>
  <c r="C920" i="22"/>
  <c r="C904" i="22"/>
  <c r="C894" i="22"/>
  <c r="B891" i="22"/>
  <c r="C886" i="22"/>
  <c r="C877" i="22"/>
  <c r="C875" i="22"/>
  <c r="C858" i="22"/>
  <c r="C851" i="22"/>
  <c r="B848" i="22"/>
  <c r="C843" i="22"/>
  <c r="C834" i="22"/>
  <c r="C832" i="22"/>
  <c r="C815" i="22"/>
  <c r="C808" i="22"/>
  <c r="C810" i="22" s="1"/>
  <c r="B807" i="22"/>
  <c r="C802" i="22"/>
  <c r="C788" i="22"/>
  <c r="C782" i="22"/>
  <c r="AP222" i="23" l="1"/>
  <c r="AP221" i="23"/>
  <c r="AP217" i="23"/>
  <c r="J275" i="23"/>
  <c r="J272" i="23"/>
  <c r="J269" i="23"/>
  <c r="J270" i="23"/>
  <c r="J273" i="23"/>
  <c r="J277" i="23"/>
  <c r="J278" i="23"/>
  <c r="AG154" i="23"/>
  <c r="AG254" i="23"/>
  <c r="AG237" i="23"/>
  <c r="Y25" i="23"/>
  <c r="G44" i="23"/>
  <c r="T44" i="23"/>
  <c r="S44" i="23"/>
  <c r="R44" i="23"/>
  <c r="V44" i="23"/>
  <c r="W44" i="23"/>
  <c r="X44" i="23"/>
  <c r="AI231" i="23"/>
  <c r="AI233" i="23" s="1"/>
  <c r="AL92" i="23"/>
  <c r="O76" i="23"/>
  <c r="O67" i="23" s="1"/>
  <c r="N172" i="23"/>
  <c r="AO60" i="23"/>
  <c r="AO59" i="23"/>
  <c r="AO97" i="23"/>
  <c r="AO184" i="23"/>
  <c r="AO248" i="23"/>
  <c r="AO183" i="23"/>
  <c r="AO247" i="23"/>
  <c r="O80" i="23"/>
  <c r="AI71" i="23"/>
  <c r="AI171" i="23" s="1"/>
  <c r="AI62" i="23"/>
  <c r="AG132" i="23"/>
  <c r="AK172" i="23"/>
  <c r="AK247" i="23"/>
  <c r="AG190" i="23"/>
  <c r="H190" i="23"/>
  <c r="AI167" i="23"/>
  <c r="AI65" i="23"/>
  <c r="AI169" i="23" s="1"/>
  <c r="AM97" i="23"/>
  <c r="Q265" i="23"/>
  <c r="U265" i="23"/>
  <c r="AK68" i="23"/>
  <c r="AG128" i="23"/>
  <c r="AG130" i="23" s="1"/>
  <c r="AK236" i="23"/>
  <c r="I218" i="23"/>
  <c r="AC126" i="23"/>
  <c r="AC132" i="23" s="1"/>
  <c r="AK176" i="23"/>
  <c r="AN101" i="23"/>
  <c r="AK240" i="23"/>
  <c r="AL101" i="23"/>
  <c r="AM86" i="23"/>
  <c r="AM92" i="23" s="1"/>
  <c r="AN249" i="23"/>
  <c r="AN185" i="23"/>
  <c r="AK101" i="23"/>
  <c r="AN64" i="23"/>
  <c r="AN168" i="23" s="1"/>
  <c r="AM101" i="23"/>
  <c r="AK67" i="23"/>
  <c r="AK52" i="23"/>
  <c r="AK53" i="23"/>
  <c r="H254" i="23"/>
  <c r="AF60" i="23"/>
  <c r="H128" i="23"/>
  <c r="H192" i="23" s="1"/>
  <c r="AF63" i="23"/>
  <c r="AF65" i="23" s="1"/>
  <c r="AF169" i="23" s="1"/>
  <c r="AF256" i="23"/>
  <c r="AJ34" i="23"/>
  <c r="C793" i="22"/>
  <c r="Y260" i="23"/>
  <c r="H132" i="23"/>
  <c r="AG184" i="23"/>
  <c r="Y120" i="23"/>
  <c r="Y264" i="23" s="1"/>
  <c r="G264" i="23"/>
  <c r="G265" i="23" s="1"/>
  <c r="AA256" i="23"/>
  <c r="AA280" i="23" s="1"/>
  <c r="AB256" i="23"/>
  <c r="AB280" i="23" s="1"/>
  <c r="AH194" i="23"/>
  <c r="I256" i="23"/>
  <c r="AG256" i="23"/>
  <c r="AM185" i="23"/>
  <c r="AM249" i="23"/>
  <c r="AL185" i="23"/>
  <c r="AL249" i="23"/>
  <c r="AK33" i="23"/>
  <c r="AK50" i="23"/>
  <c r="AK180" i="23"/>
  <c r="AK244" i="23"/>
  <c r="AK63" i="23"/>
  <c r="AK60" i="23"/>
  <c r="AL97" i="23"/>
  <c r="AL59" i="23"/>
  <c r="AK97" i="23"/>
  <c r="J200" i="23"/>
  <c r="J157" i="23"/>
  <c r="J79" i="23"/>
  <c r="J175" i="23"/>
  <c r="J239" i="23"/>
  <c r="J158" i="23"/>
  <c r="J199" i="23"/>
  <c r="J216" i="23"/>
  <c r="J153" i="23"/>
  <c r="AJ62" i="23"/>
  <c r="AJ167" i="23"/>
  <c r="AJ71" i="23"/>
  <c r="AJ231" i="23"/>
  <c r="AN232" i="23" s="1"/>
  <c r="AJ65" i="23"/>
  <c r="AJ169" i="23" s="1"/>
  <c r="AE63" i="23"/>
  <c r="AI64" i="23" s="1"/>
  <c r="AI168" i="23" s="1"/>
  <c r="AI59" i="23"/>
  <c r="AH99" i="23"/>
  <c r="AJ99" i="23"/>
  <c r="L19" i="23"/>
  <c r="L14" i="23"/>
  <c r="AF247" i="23"/>
  <c r="AH96" i="23"/>
  <c r="AJ96" i="23"/>
  <c r="AF183" i="23"/>
  <c r="AI96" i="23"/>
  <c r="AF50" i="23"/>
  <c r="AF240" i="23"/>
  <c r="L251" i="23"/>
  <c r="AG20" i="23"/>
  <c r="AG30" i="23"/>
  <c r="AG50" i="23" s="1"/>
  <c r="AG56" i="23"/>
  <c r="AG58" i="23" s="1"/>
  <c r="AJ97" i="23" s="1"/>
  <c r="AH60" i="23"/>
  <c r="AH50" i="23"/>
  <c r="AH33" i="23"/>
  <c r="D53" i="24"/>
  <c r="AG72" i="23"/>
  <c r="AG172" i="23" s="1"/>
  <c r="AF172" i="23"/>
  <c r="L248" i="23"/>
  <c r="L184" i="23"/>
  <c r="L247" i="23"/>
  <c r="L183" i="23"/>
  <c r="AF176" i="23"/>
  <c r="L173" i="23"/>
  <c r="L237" i="23"/>
  <c r="AG76" i="23"/>
  <c r="AG238" i="23"/>
  <c r="AG174" i="23"/>
  <c r="AF67" i="23"/>
  <c r="L190" i="23"/>
  <c r="L254" i="23"/>
  <c r="L154" i="23"/>
  <c r="AF68" i="23"/>
  <c r="AG246" i="23"/>
  <c r="AG182" i="23"/>
  <c r="AF236" i="23"/>
  <c r="AG218" i="23"/>
  <c r="AG156" i="23"/>
  <c r="AG220" i="23" s="1"/>
  <c r="AG96" i="23"/>
  <c r="AG99" i="23"/>
  <c r="AF53" i="23"/>
  <c r="AG247" i="23"/>
  <c r="AG183" i="23"/>
  <c r="AC180" i="23"/>
  <c r="AC184" i="23"/>
  <c r="I33" i="23"/>
  <c r="I50" i="23"/>
  <c r="AF96" i="23"/>
  <c r="I63" i="23"/>
  <c r="J64" i="23" s="1"/>
  <c r="J168" i="23" s="1"/>
  <c r="I60" i="23"/>
  <c r="I97" i="23"/>
  <c r="AC174" i="23"/>
  <c r="AF99" i="23"/>
  <c r="AD30" i="23"/>
  <c r="AD50" i="23" s="1"/>
  <c r="AC237" i="23"/>
  <c r="Y23" i="24"/>
  <c r="AF156" i="23"/>
  <c r="AF220" i="23" s="1"/>
  <c r="AF192" i="23"/>
  <c r="AF147" i="23"/>
  <c r="AF207" i="23" s="1"/>
  <c r="AC244" i="23"/>
  <c r="AF34" i="23"/>
  <c r="AF258" i="23"/>
  <c r="AF194" i="23"/>
  <c r="AE96" i="23"/>
  <c r="AC254" i="23"/>
  <c r="AE156" i="23"/>
  <c r="AE220" i="23" s="1"/>
  <c r="AE60" i="23"/>
  <c r="AE280" i="23"/>
  <c r="AA30" i="23"/>
  <c r="AA50" i="23" s="1"/>
  <c r="AE258" i="23"/>
  <c r="AE194" i="23"/>
  <c r="AE99" i="23"/>
  <c r="AC99" i="23"/>
  <c r="AC248" i="23"/>
  <c r="AD56" i="23"/>
  <c r="AD58" i="23" s="1"/>
  <c r="AD63" i="23" s="1"/>
  <c r="AC238" i="23"/>
  <c r="AD256" i="23"/>
  <c r="AD218" i="23"/>
  <c r="AD156" i="23"/>
  <c r="AD220" i="23" s="1"/>
  <c r="AA56" i="23"/>
  <c r="AA58" i="23" s="1"/>
  <c r="AE59" i="23" s="1"/>
  <c r="AD96" i="23"/>
  <c r="AD130" i="23"/>
  <c r="AD192" i="23"/>
  <c r="AD147" i="23"/>
  <c r="AD207" i="23" s="1"/>
  <c r="AD99" i="23"/>
  <c r="E53" i="24"/>
  <c r="U23" i="24"/>
  <c r="AC30" i="23"/>
  <c r="AC33" i="23" s="1"/>
  <c r="AC20" i="23"/>
  <c r="AC56" i="23"/>
  <c r="AC58" i="23" s="1"/>
  <c r="G124" i="23"/>
  <c r="Z52" i="23"/>
  <c r="U116" i="23"/>
  <c r="U44" i="23" s="1"/>
  <c r="Z95" i="23"/>
  <c r="Z151" i="23" s="1"/>
  <c r="Z215" i="23" s="1"/>
  <c r="AC10" i="23"/>
  <c r="N53" i="23"/>
  <c r="N67" i="23"/>
  <c r="AC187" i="23"/>
  <c r="AC251" i="23"/>
  <c r="AA72" i="23"/>
  <c r="AA68" i="23" s="1"/>
  <c r="AA76" i="23"/>
  <c r="AC182" i="23"/>
  <c r="AC246" i="23"/>
  <c r="W72" i="23"/>
  <c r="W68" i="23" s="1"/>
  <c r="N126" i="23"/>
  <c r="N254" i="23" s="1"/>
  <c r="N256" i="23" s="1"/>
  <c r="H156" i="23"/>
  <c r="H220" i="23" s="1"/>
  <c r="H56" i="23"/>
  <c r="H58" i="23" s="1"/>
  <c r="I59" i="23" s="1"/>
  <c r="H96" i="23"/>
  <c r="H20" i="23"/>
  <c r="H30" i="23"/>
  <c r="D126" i="23"/>
  <c r="D128" i="23" s="1"/>
  <c r="T126" i="23"/>
  <c r="T128" i="23" s="1"/>
  <c r="G125" i="23"/>
  <c r="Q9" i="23"/>
  <c r="Q39" i="23" s="1"/>
  <c r="G110" i="23"/>
  <c r="G111" i="23" s="1"/>
  <c r="R126" i="23"/>
  <c r="R254" i="23" s="1"/>
  <c r="S126" i="23"/>
  <c r="S254" i="23" s="1"/>
  <c r="V126" i="23"/>
  <c r="V132" i="23" s="1"/>
  <c r="D111" i="23"/>
  <c r="Q110" i="23"/>
  <c r="G53" i="23"/>
  <c r="Y114" i="23"/>
  <c r="Y116" i="23" s="1"/>
  <c r="AB156" i="23"/>
  <c r="AB220" i="23" s="1"/>
  <c r="V165" i="23"/>
  <c r="Z165" i="23"/>
  <c r="F38" i="23"/>
  <c r="P13" i="23"/>
  <c r="P19" i="23" s="1"/>
  <c r="P30" i="23" s="1"/>
  <c r="N38" i="23"/>
  <c r="F111" i="23"/>
  <c r="O126" i="23"/>
  <c r="O254" i="23" s="1"/>
  <c r="O256" i="23" s="1"/>
  <c r="Z68" i="23"/>
  <c r="Q18" i="23"/>
  <c r="T13" i="23"/>
  <c r="T19" i="23" s="1"/>
  <c r="T30" i="23" s="1"/>
  <c r="T33" i="23" s="1"/>
  <c r="U110" i="23"/>
  <c r="S229" i="23"/>
  <c r="E111" i="23"/>
  <c r="V13" i="23"/>
  <c r="V19" i="23" s="1"/>
  <c r="V20" i="23" s="1"/>
  <c r="Y27" i="23"/>
  <c r="X39" i="23"/>
  <c r="X48" i="23"/>
  <c r="E229" i="23"/>
  <c r="T229" i="23"/>
  <c r="Z236" i="23"/>
  <c r="R13" i="23"/>
  <c r="R19" i="23" s="1"/>
  <c r="F229" i="23"/>
  <c r="R38" i="23"/>
  <c r="T40" i="23"/>
  <c r="U125" i="23"/>
  <c r="G165" i="23"/>
  <c r="O72" i="23"/>
  <c r="O68" i="23" s="1"/>
  <c r="Z183" i="23"/>
  <c r="AA83" i="23"/>
  <c r="G40" i="23"/>
  <c r="G229" i="23"/>
  <c r="X13" i="23"/>
  <c r="X14" i="23" s="1"/>
  <c r="S38" i="23"/>
  <c r="R49" i="23"/>
  <c r="T74" i="23"/>
  <c r="U74" i="23" s="1"/>
  <c r="Q121" i="23"/>
  <c r="F126" i="23"/>
  <c r="F128" i="23" s="1"/>
  <c r="W126" i="23"/>
  <c r="W254" i="23" s="1"/>
  <c r="R165" i="23"/>
  <c r="W229" i="23"/>
  <c r="Z229" i="23"/>
  <c r="Y9" i="23"/>
  <c r="Y43" i="23" s="1"/>
  <c r="Y22" i="23"/>
  <c r="S43" i="23"/>
  <c r="T49" i="23"/>
  <c r="N68" i="23"/>
  <c r="U121" i="23"/>
  <c r="X126" i="23"/>
  <c r="X154" i="23" s="1"/>
  <c r="S165" i="23"/>
  <c r="W165" i="23"/>
  <c r="Y119" i="23"/>
  <c r="F165" i="23"/>
  <c r="O95" i="23"/>
  <c r="O111" i="23" s="1"/>
  <c r="AB95" i="23"/>
  <c r="AA95" i="23"/>
  <c r="S39" i="23"/>
  <c r="Q116" i="23"/>
  <c r="Q44" i="23" s="1"/>
  <c r="G121" i="23"/>
  <c r="Q14" i="24"/>
  <c r="C49" i="24"/>
  <c r="G53" i="24"/>
  <c r="U36" i="24"/>
  <c r="U51" i="24"/>
  <c r="X53" i="24"/>
  <c r="P53" i="24"/>
  <c r="G49" i="24"/>
  <c r="Q47" i="24"/>
  <c r="U52" i="24"/>
  <c r="W49" i="24"/>
  <c r="V53" i="24"/>
  <c r="V49" i="24"/>
  <c r="Y57" i="24"/>
  <c r="O49" i="24"/>
  <c r="U10" i="24"/>
  <c r="U55" i="24"/>
  <c r="Y40" i="24"/>
  <c r="Y55" i="24"/>
  <c r="R53" i="24"/>
  <c r="Y36" i="24"/>
  <c r="D49" i="24"/>
  <c r="F53" i="24"/>
  <c r="O53" i="24"/>
  <c r="Y48" i="24"/>
  <c r="U48" i="24"/>
  <c r="Q52" i="24"/>
  <c r="U57" i="24"/>
  <c r="Y47" i="24"/>
  <c r="X49" i="24"/>
  <c r="Q27" i="24"/>
  <c r="Q48" i="24"/>
  <c r="U27" i="24"/>
  <c r="P49" i="24"/>
  <c r="Y10" i="24"/>
  <c r="Q23" i="24"/>
  <c r="R49" i="24"/>
  <c r="N53" i="24"/>
  <c r="W53" i="24"/>
  <c r="Q56" i="24"/>
  <c r="Q40" i="24"/>
  <c r="T49" i="24"/>
  <c r="C53" i="24"/>
  <c r="U56" i="24"/>
  <c r="Y27" i="24"/>
  <c r="Q36" i="24"/>
  <c r="U40" i="24"/>
  <c r="U47" i="24"/>
  <c r="N49" i="24"/>
  <c r="S53" i="24"/>
  <c r="AB194" i="23"/>
  <c r="AB258" i="23"/>
  <c r="AB56" i="23"/>
  <c r="AB58" i="23" s="1"/>
  <c r="AF59" i="23" s="1"/>
  <c r="AB20" i="23"/>
  <c r="AB30" i="23"/>
  <c r="C710" i="22"/>
  <c r="AA218" i="23"/>
  <c r="AA194" i="23"/>
  <c r="AA258" i="23"/>
  <c r="C750" i="22"/>
  <c r="C752" i="22" s="1"/>
  <c r="C931" i="22"/>
  <c r="C874" i="22"/>
  <c r="C774" i="22"/>
  <c r="C919" i="22"/>
  <c r="C831" i="22"/>
  <c r="Z126" i="23"/>
  <c r="Z154" i="23" s="1"/>
  <c r="Z247" i="23"/>
  <c r="Z48" i="23"/>
  <c r="Z13" i="23"/>
  <c r="Z19" i="23" s="1"/>
  <c r="AC96" i="23" s="1"/>
  <c r="Z38" i="23"/>
  <c r="Z40" i="23"/>
  <c r="Z53" i="23"/>
  <c r="Z172" i="23"/>
  <c r="Z180" i="23"/>
  <c r="Z39" i="23"/>
  <c r="Z67" i="23"/>
  <c r="Z240" i="23"/>
  <c r="Z176" i="23"/>
  <c r="Z49" i="23"/>
  <c r="Z43" i="23"/>
  <c r="D38" i="23"/>
  <c r="D48" i="23"/>
  <c r="D40" i="23"/>
  <c r="D43" i="23"/>
  <c r="D52" i="23"/>
  <c r="D49" i="23"/>
  <c r="Q228" i="23"/>
  <c r="Q164" i="23"/>
  <c r="T95" i="23"/>
  <c r="S95" i="23"/>
  <c r="S151" i="23" s="1"/>
  <c r="S215" i="23" s="1"/>
  <c r="R95" i="23"/>
  <c r="R151" i="23" s="1"/>
  <c r="R215" i="23" s="1"/>
  <c r="Q95" i="23"/>
  <c r="E43" i="23"/>
  <c r="E48" i="23"/>
  <c r="E38" i="23"/>
  <c r="E39" i="23"/>
  <c r="E13" i="23"/>
  <c r="E49" i="23"/>
  <c r="E40" i="23"/>
  <c r="U57" i="23"/>
  <c r="N95" i="23"/>
  <c r="N111" i="23" s="1"/>
  <c r="D13" i="23"/>
  <c r="W49" i="23"/>
  <c r="W38" i="23"/>
  <c r="W43" i="23"/>
  <c r="W13" i="23"/>
  <c r="W39" i="23"/>
  <c r="W40" i="23"/>
  <c r="W48" i="23"/>
  <c r="U10" i="23"/>
  <c r="G39" i="23"/>
  <c r="G18" i="23"/>
  <c r="Y16" i="23"/>
  <c r="C228" i="23"/>
  <c r="D229" i="23" s="1"/>
  <c r="C164" i="23"/>
  <c r="D165" i="23" s="1"/>
  <c r="C67" i="23"/>
  <c r="D10" i="23"/>
  <c r="C9" i="23"/>
  <c r="C68" i="23"/>
  <c r="C95" i="23"/>
  <c r="C151" i="23" s="1"/>
  <c r="C215" i="23" s="1"/>
  <c r="O49" i="23"/>
  <c r="O38" i="23"/>
  <c r="O39" i="23"/>
  <c r="O40" i="23"/>
  <c r="O48" i="23"/>
  <c r="O13" i="23"/>
  <c r="N39" i="23"/>
  <c r="N49" i="23"/>
  <c r="V39" i="23"/>
  <c r="V49" i="23"/>
  <c r="P39" i="23"/>
  <c r="R40" i="23"/>
  <c r="N43" i="23"/>
  <c r="G48" i="23"/>
  <c r="D236" i="23"/>
  <c r="D172" i="23"/>
  <c r="R236" i="23"/>
  <c r="R172" i="23"/>
  <c r="R52" i="23"/>
  <c r="R68" i="23"/>
  <c r="N244" i="23"/>
  <c r="N180" i="23"/>
  <c r="W245" i="23"/>
  <c r="W181" i="23"/>
  <c r="Y81" i="23"/>
  <c r="T248" i="23"/>
  <c r="T184" i="23"/>
  <c r="E236" i="23"/>
  <c r="E172" i="23"/>
  <c r="E52" i="23"/>
  <c r="E68" i="23"/>
  <c r="S236" i="23"/>
  <c r="S172" i="23"/>
  <c r="S52" i="23"/>
  <c r="T72" i="23"/>
  <c r="U72" i="23" s="1"/>
  <c r="S240" i="23"/>
  <c r="S176" i="23"/>
  <c r="X245" i="23"/>
  <c r="X181" i="23"/>
  <c r="P49" i="23"/>
  <c r="P43" i="23"/>
  <c r="X49" i="23"/>
  <c r="X43" i="23"/>
  <c r="Y17" i="23"/>
  <c r="P38" i="23"/>
  <c r="R39" i="23"/>
  <c r="N48" i="23"/>
  <c r="V52" i="23"/>
  <c r="D68" i="23"/>
  <c r="F236" i="23"/>
  <c r="F172" i="23"/>
  <c r="F52" i="23"/>
  <c r="W238" i="23"/>
  <c r="W174" i="23"/>
  <c r="X74" i="23"/>
  <c r="D240" i="23"/>
  <c r="D176" i="23"/>
  <c r="D53" i="23"/>
  <c r="D101" i="23"/>
  <c r="T76" i="23"/>
  <c r="U76" i="23" s="1"/>
  <c r="F247" i="23"/>
  <c r="F183" i="23"/>
  <c r="S53" i="23"/>
  <c r="W237" i="23"/>
  <c r="W173" i="23"/>
  <c r="E240" i="23"/>
  <c r="E101" i="23"/>
  <c r="E176" i="23"/>
  <c r="E53" i="23"/>
  <c r="V244" i="23"/>
  <c r="V180" i="23"/>
  <c r="G247" i="23"/>
  <c r="G183" i="23"/>
  <c r="E248" i="23"/>
  <c r="E184" i="23"/>
  <c r="G251" i="23"/>
  <c r="G187" i="23"/>
  <c r="P48" i="23"/>
  <c r="X73" i="23"/>
  <c r="Y73" i="23" s="1"/>
  <c r="F240" i="23"/>
  <c r="F176" i="23"/>
  <c r="F101" i="23"/>
  <c r="W80" i="23"/>
  <c r="F248" i="23"/>
  <c r="F184" i="23"/>
  <c r="U84" i="23"/>
  <c r="U228" i="23"/>
  <c r="V95" i="23"/>
  <c r="V151" i="23" s="1"/>
  <c r="V215" i="23" s="1"/>
  <c r="U164" i="23"/>
  <c r="X95" i="23"/>
  <c r="X151" i="23" s="1"/>
  <c r="X215" i="23" s="1"/>
  <c r="W95" i="23"/>
  <c r="U95" i="23"/>
  <c r="U151" i="23" s="1"/>
  <c r="U215" i="23" s="1"/>
  <c r="Y26" i="23"/>
  <c r="T43" i="23"/>
  <c r="Y228" i="23"/>
  <c r="AC229" i="23" s="1"/>
  <c r="Y164" i="23"/>
  <c r="AC165" i="23" s="1"/>
  <c r="Y95" i="23"/>
  <c r="Y151" i="23" s="1"/>
  <c r="Y215" i="23" s="1"/>
  <c r="F48" i="23"/>
  <c r="F40" i="23"/>
  <c r="F13" i="23"/>
  <c r="S48" i="23"/>
  <c r="S40" i="23"/>
  <c r="S13" i="23"/>
  <c r="G13" i="23"/>
  <c r="T38" i="23"/>
  <c r="F39" i="23"/>
  <c r="N40" i="23"/>
  <c r="X40" i="23"/>
  <c r="F43" i="23"/>
  <c r="T48" i="23"/>
  <c r="F49" i="23"/>
  <c r="N52" i="23"/>
  <c r="E67" i="23"/>
  <c r="S67" i="23"/>
  <c r="Q241" i="23"/>
  <c r="Q177" i="23"/>
  <c r="S246" i="23"/>
  <c r="S182" i="23"/>
  <c r="U82" i="23"/>
  <c r="G43" i="23"/>
  <c r="V43" i="23"/>
  <c r="G49" i="23"/>
  <c r="F53" i="23"/>
  <c r="V53" i="23"/>
  <c r="F67" i="23"/>
  <c r="U241" i="23"/>
  <c r="U177" i="23"/>
  <c r="T246" i="23"/>
  <c r="T182" i="23"/>
  <c r="S247" i="23"/>
  <c r="S183" i="23"/>
  <c r="R53" i="23"/>
  <c r="R43" i="23"/>
  <c r="R48" i="23"/>
  <c r="U18" i="23"/>
  <c r="T39" i="23"/>
  <c r="U9" i="23"/>
  <c r="U38" i="23" s="1"/>
  <c r="Y10" i="23"/>
  <c r="N13" i="23"/>
  <c r="G38" i="23"/>
  <c r="V38" i="23"/>
  <c r="P40" i="23"/>
  <c r="V48" i="23"/>
  <c r="O237" i="23"/>
  <c r="O173" i="23"/>
  <c r="P73" i="23"/>
  <c r="T83" i="23"/>
  <c r="U83" i="23" s="1"/>
  <c r="S248" i="23"/>
  <c r="S184" i="23"/>
  <c r="W251" i="23"/>
  <c r="W187" i="23"/>
  <c r="X87" i="23"/>
  <c r="Y87" i="23" s="1"/>
  <c r="C244" i="23"/>
  <c r="C180" i="23"/>
  <c r="G248" i="23"/>
  <c r="G184" i="23"/>
  <c r="P126" i="23"/>
  <c r="G236" i="23"/>
  <c r="G172" i="23"/>
  <c r="G240" i="23"/>
  <c r="G176" i="23"/>
  <c r="G101" i="23"/>
  <c r="Y241" i="23"/>
  <c r="Y177" i="23"/>
  <c r="D244" i="23"/>
  <c r="D180" i="23"/>
  <c r="G246" i="23"/>
  <c r="G182" i="23"/>
  <c r="W246" i="23"/>
  <c r="W182" i="23"/>
  <c r="N247" i="23"/>
  <c r="N183" i="23"/>
  <c r="W247" i="23"/>
  <c r="W183" i="23"/>
  <c r="W248" i="23"/>
  <c r="W184" i="23"/>
  <c r="O251" i="23"/>
  <c r="O187" i="23"/>
  <c r="O238" i="23"/>
  <c r="O174" i="23"/>
  <c r="V240" i="23"/>
  <c r="V176" i="23"/>
  <c r="E244" i="23"/>
  <c r="E180" i="23"/>
  <c r="R244" i="23"/>
  <c r="R180" i="23"/>
  <c r="G245" i="23"/>
  <c r="G181" i="23"/>
  <c r="X82" i="23"/>
  <c r="O83" i="23"/>
  <c r="X83" i="23"/>
  <c r="N248" i="23"/>
  <c r="N184" i="23"/>
  <c r="Y84" i="23"/>
  <c r="P87" i="23"/>
  <c r="C126" i="23"/>
  <c r="G68" i="23"/>
  <c r="V236" i="23"/>
  <c r="V172" i="23"/>
  <c r="S237" i="23"/>
  <c r="S173" i="23"/>
  <c r="P74" i="23"/>
  <c r="N240" i="23"/>
  <c r="N176" i="23"/>
  <c r="W76" i="23"/>
  <c r="Q242" i="23"/>
  <c r="Q178" i="23"/>
  <c r="F244" i="23"/>
  <c r="F180" i="23"/>
  <c r="S80" i="23"/>
  <c r="O246" i="23"/>
  <c r="O182" i="23"/>
  <c r="O84" i="23"/>
  <c r="P111" i="23"/>
  <c r="T237" i="23"/>
  <c r="T173" i="23"/>
  <c r="U242" i="23"/>
  <c r="U178" i="23"/>
  <c r="G244" i="23"/>
  <c r="G180" i="23"/>
  <c r="Q245" i="23"/>
  <c r="Q181" i="23"/>
  <c r="P246" i="23"/>
  <c r="P182" i="23"/>
  <c r="D247" i="23"/>
  <c r="D183" i="23"/>
  <c r="C248" i="23"/>
  <c r="C184" i="23"/>
  <c r="S251" i="23"/>
  <c r="S187" i="23"/>
  <c r="Q124" i="23"/>
  <c r="Q126" i="23" s="1"/>
  <c r="E126" i="23"/>
  <c r="U255" i="23"/>
  <c r="U191" i="23"/>
  <c r="U155" i="23"/>
  <c r="U219" i="23" s="1"/>
  <c r="G52" i="23"/>
  <c r="C236" i="23"/>
  <c r="C172" i="23"/>
  <c r="U73" i="23"/>
  <c r="S238" i="23"/>
  <c r="S174" i="23"/>
  <c r="C240" i="23"/>
  <c r="C176" i="23"/>
  <c r="C101" i="23"/>
  <c r="Y242" i="23"/>
  <c r="Y178" i="23"/>
  <c r="U245" i="23"/>
  <c r="U181" i="23"/>
  <c r="Q82" i="23"/>
  <c r="E247" i="23"/>
  <c r="E183" i="23"/>
  <c r="R247" i="23"/>
  <c r="R183" i="23"/>
  <c r="D248" i="23"/>
  <c r="D184" i="23"/>
  <c r="T87" i="23"/>
  <c r="T165" i="23"/>
  <c r="X165" i="23"/>
  <c r="N236" i="23"/>
  <c r="U124" i="23"/>
  <c r="Y108" i="23"/>
  <c r="Q255" i="23"/>
  <c r="Q191" i="23"/>
  <c r="E165" i="23"/>
  <c r="Y255" i="23"/>
  <c r="Y191" i="23"/>
  <c r="Q155" i="23"/>
  <c r="Q219" i="23" s="1"/>
  <c r="Y155" i="23"/>
  <c r="Y219" i="23" s="1"/>
  <c r="R229" i="23"/>
  <c r="V229" i="23"/>
  <c r="Y52" i="24"/>
  <c r="Q55" i="24"/>
  <c r="Q57" i="24"/>
  <c r="Q10" i="24"/>
  <c r="Y14" i="24"/>
  <c r="Y56" i="24"/>
  <c r="X229" i="23"/>
  <c r="Q51" i="24"/>
  <c r="U14" i="24"/>
  <c r="E49" i="24"/>
  <c r="Y51" i="24"/>
  <c r="F49" i="24"/>
  <c r="S49" i="24"/>
  <c r="T53" i="24"/>
  <c r="O244" i="23" l="1"/>
  <c r="O180" i="23"/>
  <c r="P80" i="23"/>
  <c r="H256" i="23"/>
  <c r="AM232" i="23"/>
  <c r="AI75" i="23"/>
  <c r="AI235" i="23"/>
  <c r="O240" i="23"/>
  <c r="O53" i="23"/>
  <c r="P76" i="23"/>
  <c r="O176" i="23"/>
  <c r="AB44" i="23"/>
  <c r="AA44" i="23"/>
  <c r="Z44" i="23"/>
  <c r="Y44" i="23"/>
  <c r="AO71" i="23"/>
  <c r="AO65" i="23"/>
  <c r="AO169" i="23" s="1"/>
  <c r="AO62" i="23"/>
  <c r="AO167" i="23"/>
  <c r="AO231" i="23"/>
  <c r="AO64" i="23"/>
  <c r="AO168" i="23" s="1"/>
  <c r="AO98" i="23"/>
  <c r="C82" i="22" s="1"/>
  <c r="AO244" i="23"/>
  <c r="AO180" i="23"/>
  <c r="AO236" i="23"/>
  <c r="AO52" i="23"/>
  <c r="AO68" i="23"/>
  <c r="AO172" i="23"/>
  <c r="AO240" i="23"/>
  <c r="AO53" i="23"/>
  <c r="AO176" i="23"/>
  <c r="AO67" i="23"/>
  <c r="AO101" i="23"/>
  <c r="AC128" i="23"/>
  <c r="AC147" i="23" s="1"/>
  <c r="AC207" i="23" s="1"/>
  <c r="C630" i="22"/>
  <c r="AC154" i="23"/>
  <c r="AC218" i="23" s="1"/>
  <c r="H147" i="23"/>
  <c r="H207" i="23" s="1"/>
  <c r="AC190" i="23"/>
  <c r="AN98" i="23"/>
  <c r="C135" i="22" s="1"/>
  <c r="AN86" i="23"/>
  <c r="AN92" i="23" s="1"/>
  <c r="H130" i="23"/>
  <c r="H194" i="23" s="1"/>
  <c r="AG192" i="23"/>
  <c r="AG147" i="23"/>
  <c r="AG207" i="23" s="1"/>
  <c r="AF71" i="23"/>
  <c r="AF75" i="23" s="1"/>
  <c r="AF231" i="23"/>
  <c r="AJ232" i="23" s="1"/>
  <c r="L68" i="23"/>
  <c r="AM88" i="23"/>
  <c r="AM188" i="23" s="1"/>
  <c r="AF62" i="23"/>
  <c r="AK34" i="23"/>
  <c r="AN100" i="23"/>
  <c r="AM98" i="23"/>
  <c r="C189" i="22" s="1"/>
  <c r="AJ64" i="23"/>
  <c r="AJ168" i="23" s="1"/>
  <c r="AN145" i="23"/>
  <c r="AN205" i="23" s="1"/>
  <c r="AN144" i="23"/>
  <c r="AN204" i="23" s="1"/>
  <c r="AN140" i="23"/>
  <c r="AN139" i="23"/>
  <c r="AF167" i="23"/>
  <c r="Y125" i="23"/>
  <c r="AE231" i="23"/>
  <c r="AE233" i="23" s="1"/>
  <c r="H280" i="23"/>
  <c r="AC256" i="23"/>
  <c r="I280" i="23"/>
  <c r="AE65" i="23"/>
  <c r="AE169" i="23" s="1"/>
  <c r="Y121" i="23"/>
  <c r="Y263" i="23"/>
  <c r="Y265" i="23" s="1"/>
  <c r="AE167" i="23"/>
  <c r="AF280" i="23"/>
  <c r="AG280" i="23"/>
  <c r="AM100" i="23"/>
  <c r="AM250" i="23"/>
  <c r="AM186" i="23"/>
  <c r="AE71" i="23"/>
  <c r="AE62" i="23"/>
  <c r="AK100" i="23"/>
  <c r="AL100" i="23"/>
  <c r="AH62" i="23"/>
  <c r="AL64" i="23"/>
  <c r="AL168" i="23" s="1"/>
  <c r="AK98" i="23"/>
  <c r="AK62" i="23"/>
  <c r="AK231" i="23"/>
  <c r="AK65" i="23"/>
  <c r="AK169" i="23" s="1"/>
  <c r="AK71" i="23"/>
  <c r="AK167" i="23"/>
  <c r="AL98" i="23"/>
  <c r="C240" i="22" s="1"/>
  <c r="AK59" i="23"/>
  <c r="AL186" i="23"/>
  <c r="AL250" i="23"/>
  <c r="L180" i="23"/>
  <c r="L244" i="23"/>
  <c r="AL88" i="23"/>
  <c r="W236" i="23"/>
  <c r="AG52" i="23"/>
  <c r="AG68" i="23"/>
  <c r="AG236" i="23"/>
  <c r="J217" i="23"/>
  <c r="J221" i="23"/>
  <c r="J222" i="23"/>
  <c r="J102" i="23"/>
  <c r="J179" i="23"/>
  <c r="J243" i="23"/>
  <c r="J85" i="23"/>
  <c r="J86" i="23" s="1"/>
  <c r="P56" i="23"/>
  <c r="P58" i="23" s="1"/>
  <c r="P63" i="23" s="1"/>
  <c r="AJ233" i="23"/>
  <c r="AI97" i="23"/>
  <c r="AJ171" i="23"/>
  <c r="AJ75" i="23"/>
  <c r="AJ235" i="23"/>
  <c r="AJ101" i="23"/>
  <c r="L67" i="23"/>
  <c r="V111" i="23"/>
  <c r="L20" i="23"/>
  <c r="L56" i="23"/>
  <c r="L58" i="23" s="1"/>
  <c r="AG101" i="23"/>
  <c r="AI101" i="23"/>
  <c r="AH97" i="23"/>
  <c r="AG59" i="23"/>
  <c r="AG60" i="23"/>
  <c r="AG63" i="23"/>
  <c r="AK64" i="23" s="1"/>
  <c r="AK168" i="23" s="1"/>
  <c r="AG33" i="23"/>
  <c r="AI175" i="23"/>
  <c r="AI239" i="23"/>
  <c r="AI79" i="23"/>
  <c r="AH101" i="23"/>
  <c r="AH59" i="23"/>
  <c r="AH71" i="23"/>
  <c r="AH65" i="23"/>
  <c r="AH169" i="23" s="1"/>
  <c r="AH167" i="23"/>
  <c r="AH231" i="23"/>
  <c r="AH64" i="23"/>
  <c r="AH168" i="23" s="1"/>
  <c r="AH34" i="23"/>
  <c r="U53" i="24"/>
  <c r="L174" i="23"/>
  <c r="L238" i="23"/>
  <c r="L99" i="23"/>
  <c r="AG97" i="23"/>
  <c r="L52" i="23"/>
  <c r="L172" i="23"/>
  <c r="L236" i="23"/>
  <c r="N132" i="23"/>
  <c r="N128" i="23"/>
  <c r="N192" i="23" s="1"/>
  <c r="AD33" i="23"/>
  <c r="AD34" i="23" s="1"/>
  <c r="N154" i="23"/>
  <c r="N218" i="23" s="1"/>
  <c r="L147" i="23"/>
  <c r="L207" i="23" s="1"/>
  <c r="L192" i="23"/>
  <c r="L30" i="23"/>
  <c r="L33" i="23" s="1"/>
  <c r="L34" i="23" s="1"/>
  <c r="L96" i="23"/>
  <c r="L182" i="23"/>
  <c r="L246" i="23"/>
  <c r="L156" i="23"/>
  <c r="L220" i="23" s="1"/>
  <c r="L218" i="23"/>
  <c r="L256" i="23"/>
  <c r="AG240" i="23"/>
  <c r="AG176" i="23"/>
  <c r="AG67" i="23"/>
  <c r="AG53" i="23"/>
  <c r="AC60" i="23"/>
  <c r="AF97" i="23"/>
  <c r="AD60" i="23"/>
  <c r="I231" i="23"/>
  <c r="I71" i="23"/>
  <c r="I167" i="23"/>
  <c r="I62" i="23"/>
  <c r="I98" i="23"/>
  <c r="I142" i="23" s="1"/>
  <c r="I65" i="23"/>
  <c r="I169" i="23" s="1"/>
  <c r="I34" i="23"/>
  <c r="I100" i="23"/>
  <c r="T56" i="23"/>
  <c r="T58" i="23" s="1"/>
  <c r="T60" i="23" s="1"/>
  <c r="W172" i="23"/>
  <c r="T50" i="23"/>
  <c r="X72" i="23"/>
  <c r="X236" i="23" s="1"/>
  <c r="D254" i="23"/>
  <c r="P99" i="23"/>
  <c r="AE97" i="23"/>
  <c r="AA33" i="23"/>
  <c r="AA34" i="23" s="1"/>
  <c r="R132" i="23"/>
  <c r="AC63" i="23"/>
  <c r="R154" i="23"/>
  <c r="R218" i="23" s="1"/>
  <c r="R190" i="23"/>
  <c r="R128" i="23"/>
  <c r="R147" i="23" s="1"/>
  <c r="R207" i="23" s="1"/>
  <c r="G126" i="23"/>
  <c r="G132" i="23" s="1"/>
  <c r="AC50" i="23"/>
  <c r="P20" i="23"/>
  <c r="AD231" i="23"/>
  <c r="AD167" i="23"/>
  <c r="AD65" i="23"/>
  <c r="AD169" i="23" s="1"/>
  <c r="AD62" i="23"/>
  <c r="AD71" i="23"/>
  <c r="AB76" i="23"/>
  <c r="AA63" i="23"/>
  <c r="AE64" i="23" s="1"/>
  <c r="AE168" i="23" s="1"/>
  <c r="AD97" i="23"/>
  <c r="D154" i="23"/>
  <c r="D156" i="23" s="1"/>
  <c r="D220" i="23" s="1"/>
  <c r="V154" i="23"/>
  <c r="V218" i="23" s="1"/>
  <c r="T254" i="23"/>
  <c r="N190" i="23"/>
  <c r="AA53" i="23"/>
  <c r="AA60" i="23"/>
  <c r="AD280" i="23"/>
  <c r="D190" i="23"/>
  <c r="AA172" i="23"/>
  <c r="AD258" i="23"/>
  <c r="AD194" i="23"/>
  <c r="Q49" i="24"/>
  <c r="V190" i="23"/>
  <c r="V254" i="23"/>
  <c r="O172" i="23"/>
  <c r="Z111" i="23"/>
  <c r="D132" i="23"/>
  <c r="T132" i="23"/>
  <c r="O52" i="23"/>
  <c r="T190" i="23"/>
  <c r="Y48" i="23"/>
  <c r="P14" i="23"/>
  <c r="Q43" i="23"/>
  <c r="AB72" i="23"/>
  <c r="P72" i="23"/>
  <c r="Q72" i="23" s="1"/>
  <c r="Q52" i="23" s="1"/>
  <c r="W52" i="23"/>
  <c r="S132" i="23"/>
  <c r="Q40" i="23"/>
  <c r="V56" i="23"/>
  <c r="V58" i="23" s="1"/>
  <c r="V63" i="23" s="1"/>
  <c r="AA67" i="23"/>
  <c r="AA236" i="23"/>
  <c r="T154" i="23"/>
  <c r="T156" i="23" s="1"/>
  <c r="T220" i="23" s="1"/>
  <c r="U165" i="23"/>
  <c r="Y49" i="23"/>
  <c r="AA240" i="23"/>
  <c r="AA52" i="23"/>
  <c r="AA176" i="23"/>
  <c r="AC34" i="23"/>
  <c r="H33" i="23"/>
  <c r="H50" i="23"/>
  <c r="H97" i="23"/>
  <c r="H63" i="23"/>
  <c r="I64" i="23" s="1"/>
  <c r="I168" i="23" s="1"/>
  <c r="H60" i="23"/>
  <c r="Q48" i="23"/>
  <c r="T238" i="23"/>
  <c r="O132" i="23"/>
  <c r="U229" i="23"/>
  <c r="W154" i="23"/>
  <c r="W218" i="23" s="1"/>
  <c r="Q38" i="23"/>
  <c r="V14" i="23"/>
  <c r="Q49" i="23"/>
  <c r="O236" i="23"/>
  <c r="V128" i="23"/>
  <c r="V130" i="23" s="1"/>
  <c r="Q13" i="23"/>
  <c r="Q14" i="23" s="1"/>
  <c r="Y13" i="23"/>
  <c r="Y14" i="23" s="1"/>
  <c r="S190" i="23"/>
  <c r="S154" i="23"/>
  <c r="S218" i="23" s="1"/>
  <c r="S128" i="23"/>
  <c r="S192" i="23" s="1"/>
  <c r="Y124" i="23"/>
  <c r="X190" i="23"/>
  <c r="F132" i="23"/>
  <c r="O154" i="23"/>
  <c r="O218" i="23" s="1"/>
  <c r="X254" i="23"/>
  <c r="R14" i="23"/>
  <c r="V30" i="23"/>
  <c r="V50" i="23" s="1"/>
  <c r="F254" i="23"/>
  <c r="O128" i="23"/>
  <c r="O192" i="23" s="1"/>
  <c r="T174" i="23"/>
  <c r="Y38" i="23"/>
  <c r="Z14" i="23"/>
  <c r="O190" i="23"/>
  <c r="T14" i="23"/>
  <c r="T20" i="23"/>
  <c r="W99" i="23"/>
  <c r="U99" i="23"/>
  <c r="U238" i="23"/>
  <c r="V99" i="23"/>
  <c r="U174" i="23"/>
  <c r="AB151" i="23"/>
  <c r="AB215" i="23" s="1"/>
  <c r="AB111" i="23"/>
  <c r="W132" i="23"/>
  <c r="C111" i="23"/>
  <c r="X111" i="23"/>
  <c r="C837" i="22"/>
  <c r="X19" i="23"/>
  <c r="AB83" i="23"/>
  <c r="AA183" i="23"/>
  <c r="AA247" i="23"/>
  <c r="AA151" i="23"/>
  <c r="AA215" i="23" s="1"/>
  <c r="AA111" i="23"/>
  <c r="W190" i="23"/>
  <c r="Q74" i="23"/>
  <c r="Q238" i="23" s="1"/>
  <c r="W128" i="23"/>
  <c r="W130" i="23" s="1"/>
  <c r="X132" i="23"/>
  <c r="C754" i="22"/>
  <c r="U126" i="23"/>
  <c r="U154" i="23" s="1"/>
  <c r="F190" i="23"/>
  <c r="F154" i="23"/>
  <c r="F218" i="23" s="1"/>
  <c r="X128" i="23"/>
  <c r="X192" i="23" s="1"/>
  <c r="C880" i="22"/>
  <c r="Y165" i="23"/>
  <c r="U49" i="24"/>
  <c r="Q53" i="24"/>
  <c r="Y49" i="24"/>
  <c r="AB33" i="23"/>
  <c r="AB50" i="23"/>
  <c r="AB60" i="23"/>
  <c r="AB63" i="23"/>
  <c r="AF64" i="23" s="1"/>
  <c r="AF168" i="23" s="1"/>
  <c r="Z20" i="23"/>
  <c r="C876" i="22"/>
  <c r="C878" i="22" s="1"/>
  <c r="C833" i="22"/>
  <c r="C835" i="22" s="1"/>
  <c r="C925" i="22"/>
  <c r="C921" i="22"/>
  <c r="C923" i="22" s="1"/>
  <c r="Z128" i="23"/>
  <c r="Z130" i="23" s="1"/>
  <c r="Z190" i="23"/>
  <c r="Z132" i="23"/>
  <c r="Z254" i="23"/>
  <c r="Z30" i="23"/>
  <c r="Z33" i="23" s="1"/>
  <c r="Z56" i="23"/>
  <c r="Z58" i="23" s="1"/>
  <c r="Z156" i="23"/>
  <c r="Z220" i="23" s="1"/>
  <c r="Z218" i="23"/>
  <c r="U247" i="23"/>
  <c r="U183" i="23"/>
  <c r="U240" i="23"/>
  <c r="U176" i="23"/>
  <c r="U67" i="23"/>
  <c r="U53" i="23"/>
  <c r="U101" i="23"/>
  <c r="Y251" i="23"/>
  <c r="Y187" i="23"/>
  <c r="Q254" i="23"/>
  <c r="Q190" i="23"/>
  <c r="Q154" i="23"/>
  <c r="Q132" i="23"/>
  <c r="Q128" i="23"/>
  <c r="Y82" i="23"/>
  <c r="W240" i="23"/>
  <c r="W176" i="23"/>
  <c r="X76" i="23"/>
  <c r="X101" i="23" s="1"/>
  <c r="W67" i="23"/>
  <c r="W53" i="23"/>
  <c r="C254" i="23"/>
  <c r="C190" i="23"/>
  <c r="C154" i="23"/>
  <c r="C132" i="23"/>
  <c r="C128" i="23"/>
  <c r="U246" i="23"/>
  <c r="U182" i="23"/>
  <c r="G19" i="23"/>
  <c r="G14" i="23"/>
  <c r="U248" i="23"/>
  <c r="U184" i="23"/>
  <c r="Q151" i="23"/>
  <c r="Q215" i="23" s="1"/>
  <c r="Q111" i="23"/>
  <c r="F192" i="23"/>
  <c r="F130" i="23"/>
  <c r="F147" i="23"/>
  <c r="F207" i="23" s="1"/>
  <c r="P251" i="23"/>
  <c r="P187" i="23"/>
  <c r="P254" i="23"/>
  <c r="P256" i="23" s="1"/>
  <c r="P190" i="23"/>
  <c r="P154" i="23"/>
  <c r="P132" i="23"/>
  <c r="P128" i="23"/>
  <c r="X251" i="23"/>
  <c r="X187" i="23"/>
  <c r="T236" i="23"/>
  <c r="T172" i="23"/>
  <c r="T52" i="23"/>
  <c r="T68" i="23"/>
  <c r="Y110" i="23"/>
  <c r="Y111" i="23" s="1"/>
  <c r="D192" i="23"/>
  <c r="D147" i="23"/>
  <c r="D207" i="23" s="1"/>
  <c r="D130" i="23"/>
  <c r="Y248" i="23"/>
  <c r="Y184" i="23"/>
  <c r="R256" i="23"/>
  <c r="U48" i="23"/>
  <c r="U13" i="23"/>
  <c r="X218" i="23"/>
  <c r="X156" i="23"/>
  <c r="X220" i="23" s="1"/>
  <c r="U236" i="23"/>
  <c r="U172" i="23"/>
  <c r="U68" i="23"/>
  <c r="U52" i="23"/>
  <c r="U43" i="23"/>
  <c r="T34" i="23"/>
  <c r="S244" i="23"/>
  <c r="S180" i="23"/>
  <c r="T80" i="23"/>
  <c r="S19" i="23"/>
  <c r="S14" i="23"/>
  <c r="W151" i="23"/>
  <c r="W215" i="23" s="1"/>
  <c r="W111" i="23"/>
  <c r="W244" i="23"/>
  <c r="W180" i="23"/>
  <c r="X80" i="23"/>
  <c r="X237" i="23"/>
  <c r="X173" i="23"/>
  <c r="Y40" i="23"/>
  <c r="Y57" i="23"/>
  <c r="V101" i="23"/>
  <c r="Y245" i="23"/>
  <c r="Y181" i="23"/>
  <c r="C49" i="23"/>
  <c r="C53" i="23"/>
  <c r="C43" i="23"/>
  <c r="C48" i="23"/>
  <c r="C38" i="23"/>
  <c r="C52" i="23"/>
  <c r="C39" i="23"/>
  <c r="C13" i="23"/>
  <c r="C40" i="23"/>
  <c r="Y39" i="23"/>
  <c r="Y18" i="23"/>
  <c r="T151" i="23"/>
  <c r="T215" i="23" s="1"/>
  <c r="T111" i="23"/>
  <c r="Y53" i="24"/>
  <c r="U237" i="23"/>
  <c r="U173" i="23"/>
  <c r="P238" i="23"/>
  <c r="P174" i="23"/>
  <c r="T192" i="23"/>
  <c r="T147" i="23"/>
  <c r="T207" i="23" s="1"/>
  <c r="T130" i="23"/>
  <c r="Y229" i="23"/>
  <c r="U49" i="23"/>
  <c r="U39" i="23"/>
  <c r="X247" i="23"/>
  <c r="X183" i="23"/>
  <c r="U111" i="23"/>
  <c r="Y237" i="23"/>
  <c r="Y173" i="23"/>
  <c r="X238" i="23"/>
  <c r="X174" i="23"/>
  <c r="W14" i="23"/>
  <c r="W19" i="23"/>
  <c r="U40" i="23"/>
  <c r="R111" i="23"/>
  <c r="Q246" i="23"/>
  <c r="Q182" i="23"/>
  <c r="Q87" i="23"/>
  <c r="O247" i="23"/>
  <c r="O183" i="23"/>
  <c r="P83" i="23"/>
  <c r="T247" i="23"/>
  <c r="T183" i="23"/>
  <c r="Y83" i="23"/>
  <c r="Y74" i="23"/>
  <c r="AA99" i="23" s="1"/>
  <c r="X99" i="23"/>
  <c r="D14" i="23"/>
  <c r="D19" i="23"/>
  <c r="E19" i="23"/>
  <c r="E14" i="23"/>
  <c r="W256" i="23"/>
  <c r="T251" i="23"/>
  <c r="T187" i="23"/>
  <c r="U87" i="23"/>
  <c r="E254" i="23"/>
  <c r="E190" i="23"/>
  <c r="E132" i="23"/>
  <c r="E128" i="23"/>
  <c r="E154" i="23"/>
  <c r="O248" i="23"/>
  <c r="O184" i="23"/>
  <c r="P84" i="23"/>
  <c r="S256" i="23"/>
  <c r="X246" i="23"/>
  <c r="X182" i="23"/>
  <c r="P237" i="23"/>
  <c r="P173" i="23"/>
  <c r="Q73" i="23"/>
  <c r="N14" i="23"/>
  <c r="N19" i="23"/>
  <c r="F19" i="23"/>
  <c r="F14" i="23"/>
  <c r="S111" i="23"/>
  <c r="T240" i="23"/>
  <c r="T176" i="23"/>
  <c r="T67" i="23"/>
  <c r="T53" i="23"/>
  <c r="W101" i="23"/>
  <c r="P244" i="23"/>
  <c r="P180" i="23"/>
  <c r="Q80" i="23"/>
  <c r="O14" i="23"/>
  <c r="O19" i="23"/>
  <c r="R30" i="23"/>
  <c r="R56" i="23"/>
  <c r="R58" i="23" s="1"/>
  <c r="R20" i="23"/>
  <c r="P33" i="23"/>
  <c r="P50" i="23"/>
  <c r="Y126" i="23" l="1"/>
  <c r="P176" i="23"/>
  <c r="P67" i="23"/>
  <c r="P240" i="23"/>
  <c r="P53" i="23"/>
  <c r="Q76" i="23"/>
  <c r="AP273" i="23"/>
  <c r="AP275" i="23"/>
  <c r="AP272" i="23"/>
  <c r="AP270" i="23"/>
  <c r="AP269" i="23"/>
  <c r="D79" i="22"/>
  <c r="D77" i="22"/>
  <c r="J61" i="22"/>
  <c r="J63" i="22"/>
  <c r="AE75" i="23"/>
  <c r="AE171" i="23"/>
  <c r="L280" i="23"/>
  <c r="D256" i="23"/>
  <c r="D280" i="23" s="1"/>
  <c r="AF235" i="23"/>
  <c r="AN142" i="23"/>
  <c r="AN202" i="23" s="1"/>
  <c r="AC156" i="23"/>
  <c r="AC220" i="23" s="1"/>
  <c r="AO86" i="23"/>
  <c r="AO144" i="23"/>
  <c r="AO204" i="23" s="1"/>
  <c r="AO145" i="23"/>
  <c r="AO205" i="23" s="1"/>
  <c r="AO152" i="23"/>
  <c r="AO137" i="23"/>
  <c r="AO197" i="23" s="1"/>
  <c r="AO140" i="23"/>
  <c r="AO139" i="23"/>
  <c r="AO136" i="23"/>
  <c r="AO196" i="23" s="1"/>
  <c r="AO142" i="23"/>
  <c r="AO202" i="23" s="1"/>
  <c r="H258" i="23"/>
  <c r="AF233" i="23"/>
  <c r="AC192" i="23"/>
  <c r="AO233" i="23"/>
  <c r="AO232" i="23"/>
  <c r="AO235" i="23"/>
  <c r="AO75" i="23"/>
  <c r="AO171" i="23"/>
  <c r="AF171" i="23"/>
  <c r="AM252" i="23"/>
  <c r="AN152" i="23"/>
  <c r="AN136" i="23"/>
  <c r="AN196" i="23" s="1"/>
  <c r="AN137" i="23"/>
  <c r="AN197" i="23" s="1"/>
  <c r="AG231" i="23"/>
  <c r="AG272" i="23" s="1"/>
  <c r="AM136" i="23"/>
  <c r="AM196" i="23" s="1"/>
  <c r="D130" i="22"/>
  <c r="D132" i="22"/>
  <c r="AC130" i="23"/>
  <c r="AC258" i="23" s="1"/>
  <c r="AE235" i="23"/>
  <c r="AM139" i="23"/>
  <c r="AM158" i="23" s="1"/>
  <c r="AM145" i="23"/>
  <c r="AM205" i="23" s="1"/>
  <c r="AM144" i="23"/>
  <c r="AM204" i="23" s="1"/>
  <c r="AN186" i="23"/>
  <c r="AN88" i="23"/>
  <c r="AN188" i="23" s="1"/>
  <c r="AN250" i="23"/>
  <c r="AM137" i="23"/>
  <c r="AM197" i="23" s="1"/>
  <c r="AM152" i="23"/>
  <c r="AM216" i="23" s="1"/>
  <c r="AM142" i="23"/>
  <c r="AM202" i="23" s="1"/>
  <c r="AN158" i="23"/>
  <c r="AN199" i="23"/>
  <c r="D184" i="22"/>
  <c r="D186" i="22"/>
  <c r="AN200" i="23"/>
  <c r="AN157" i="23"/>
  <c r="AG98" i="23"/>
  <c r="AG137" i="23" s="1"/>
  <c r="AG197" i="23" s="1"/>
  <c r="AM140" i="23"/>
  <c r="AM200" i="23" s="1"/>
  <c r="L62" i="23"/>
  <c r="N130" i="23"/>
  <c r="AH98" i="23"/>
  <c r="AH145" i="23" s="1"/>
  <c r="AH205" i="23" s="1"/>
  <c r="V59" i="23"/>
  <c r="F256" i="23"/>
  <c r="D237" i="22"/>
  <c r="D235" i="22"/>
  <c r="AI232" i="23"/>
  <c r="AM153" i="23"/>
  <c r="AC280" i="23"/>
  <c r="Z256" i="23"/>
  <c r="Z280" i="23" s="1"/>
  <c r="X256" i="23"/>
  <c r="X280" i="23" s="1"/>
  <c r="V256" i="23"/>
  <c r="V280" i="23" s="1"/>
  <c r="T256" i="23"/>
  <c r="J232" i="23"/>
  <c r="AL232" i="23"/>
  <c r="P60" i="23"/>
  <c r="AG64" i="23"/>
  <c r="AG168" i="23" s="1"/>
  <c r="J92" i="23"/>
  <c r="AI179" i="23"/>
  <c r="AK75" i="23"/>
  <c r="AK171" i="23"/>
  <c r="AK235" i="23"/>
  <c r="AL188" i="23"/>
  <c r="AL252" i="23"/>
  <c r="AK233" i="23"/>
  <c r="C291" i="22"/>
  <c r="AK142" i="23"/>
  <c r="AK202" i="23" s="1"/>
  <c r="AK140" i="23"/>
  <c r="AK139" i="23"/>
  <c r="AK137" i="23"/>
  <c r="AK197" i="23" s="1"/>
  <c r="AK136" i="23"/>
  <c r="AK196" i="23" s="1"/>
  <c r="AK152" i="23"/>
  <c r="AK145" i="23"/>
  <c r="AK205" i="23" s="1"/>
  <c r="AK144" i="23"/>
  <c r="AK204" i="23" s="1"/>
  <c r="AL145" i="23"/>
  <c r="AL205" i="23" s="1"/>
  <c r="AL144" i="23"/>
  <c r="AL204" i="23" s="1"/>
  <c r="AL152" i="23"/>
  <c r="AL140" i="23"/>
  <c r="AL137" i="23"/>
  <c r="AL197" i="23" s="1"/>
  <c r="AL136" i="23"/>
  <c r="AL196" i="23" s="1"/>
  <c r="AL139" i="23"/>
  <c r="AL142" i="23"/>
  <c r="AL202" i="23" s="1"/>
  <c r="L176" i="23"/>
  <c r="N156" i="23"/>
  <c r="N220" i="23" s="1"/>
  <c r="L53" i="23"/>
  <c r="L101" i="23"/>
  <c r="R130" i="23"/>
  <c r="R258" i="23" s="1"/>
  <c r="L240" i="23"/>
  <c r="T59" i="23"/>
  <c r="J185" i="23"/>
  <c r="J249" i="23"/>
  <c r="AF100" i="23"/>
  <c r="AJ239" i="23"/>
  <c r="AJ79" i="23"/>
  <c r="AJ175" i="23"/>
  <c r="AI100" i="23"/>
  <c r="AJ100" i="23"/>
  <c r="L60" i="23"/>
  <c r="Y19" i="23"/>
  <c r="AB96" i="23" s="1"/>
  <c r="T63" i="23"/>
  <c r="T231" i="23" s="1"/>
  <c r="AI98" i="23"/>
  <c r="AI152" i="23" s="1"/>
  <c r="AJ98" i="23"/>
  <c r="R192" i="23"/>
  <c r="AG34" i="23"/>
  <c r="AG71" i="23"/>
  <c r="AG75" i="23" s="1"/>
  <c r="AG167" i="23"/>
  <c r="AH100" i="23"/>
  <c r="AG62" i="23"/>
  <c r="AG65" i="23"/>
  <c r="AG169" i="23" s="1"/>
  <c r="AI85" i="23"/>
  <c r="AI243" i="23"/>
  <c r="X52" i="23"/>
  <c r="AG100" i="23"/>
  <c r="AH233" i="23"/>
  <c r="AH232" i="23"/>
  <c r="AH235" i="23"/>
  <c r="AK267" i="23" s="1"/>
  <c r="AH75" i="23"/>
  <c r="AH171" i="23"/>
  <c r="X172" i="23"/>
  <c r="X68" i="23"/>
  <c r="L50" i="23"/>
  <c r="AC100" i="23"/>
  <c r="L258" i="23"/>
  <c r="L194" i="23"/>
  <c r="AG258" i="23"/>
  <c r="AG194" i="23"/>
  <c r="L97" i="23"/>
  <c r="AC71" i="23"/>
  <c r="AC171" i="23" s="1"/>
  <c r="AF98" i="23"/>
  <c r="C503" i="22" s="1"/>
  <c r="I171" i="23"/>
  <c r="I75" i="23"/>
  <c r="I235" i="23"/>
  <c r="I267" i="23" s="1"/>
  <c r="I233" i="23"/>
  <c r="G154" i="23"/>
  <c r="G156" i="23" s="1"/>
  <c r="G220" i="23" s="1"/>
  <c r="I144" i="23"/>
  <c r="I204" i="23" s="1"/>
  <c r="I145" i="23"/>
  <c r="I205" i="23" s="1"/>
  <c r="I152" i="23"/>
  <c r="I140" i="23"/>
  <c r="I137" i="23"/>
  <c r="I197" i="23" s="1"/>
  <c r="I139" i="23"/>
  <c r="I136" i="23"/>
  <c r="I196" i="23" s="1"/>
  <c r="AF239" i="23"/>
  <c r="AF79" i="23"/>
  <c r="AF175" i="23"/>
  <c r="AC83" i="23"/>
  <c r="AC183" i="23" s="1"/>
  <c r="P52" i="23"/>
  <c r="Y72" i="23"/>
  <c r="Y172" i="23" s="1"/>
  <c r="G254" i="23"/>
  <c r="AB68" i="23"/>
  <c r="AC62" i="23"/>
  <c r="AE98" i="23"/>
  <c r="AE136" i="23" s="1"/>
  <c r="AE196" i="23" s="1"/>
  <c r="AC65" i="23"/>
  <c r="AC169" i="23" s="1"/>
  <c r="T218" i="23"/>
  <c r="AC231" i="23"/>
  <c r="AB240" i="23"/>
  <c r="AC167" i="23"/>
  <c r="AE239" i="23"/>
  <c r="AE79" i="23"/>
  <c r="AE85" i="23" s="1"/>
  <c r="AE175" i="23"/>
  <c r="AD100" i="23"/>
  <c r="AE100" i="23"/>
  <c r="P172" i="23"/>
  <c r="R156" i="23"/>
  <c r="R220" i="23" s="1"/>
  <c r="V156" i="23"/>
  <c r="V220" i="23" s="1"/>
  <c r="G128" i="23"/>
  <c r="G130" i="23" s="1"/>
  <c r="G258" i="23" s="1"/>
  <c r="AB53" i="23"/>
  <c r="G190" i="23"/>
  <c r="D218" i="23"/>
  <c r="V33" i="23"/>
  <c r="V34" i="23" s="1"/>
  <c r="AB176" i="23"/>
  <c r="AC76" i="23"/>
  <c r="AD98" i="23"/>
  <c r="AA231" i="23"/>
  <c r="AA62" i="23"/>
  <c r="AA71" i="23"/>
  <c r="AA167" i="23"/>
  <c r="AA65" i="23"/>
  <c r="AA169" i="23" s="1"/>
  <c r="AD235" i="23"/>
  <c r="AD171" i="23"/>
  <c r="AD75" i="23"/>
  <c r="Q19" i="23"/>
  <c r="Q30" i="23" s="1"/>
  <c r="AC97" i="23"/>
  <c r="AD59" i="23"/>
  <c r="AB67" i="23"/>
  <c r="AD233" i="23"/>
  <c r="V147" i="23"/>
  <c r="V207" i="23" s="1"/>
  <c r="V192" i="23"/>
  <c r="P236" i="23"/>
  <c r="S130" i="23"/>
  <c r="S258" i="23" s="1"/>
  <c r="W147" i="23"/>
  <c r="W207" i="23" s="1"/>
  <c r="Q68" i="23"/>
  <c r="S147" i="23"/>
  <c r="S207" i="23" s="1"/>
  <c r="W192" i="23"/>
  <c r="Q172" i="23"/>
  <c r="AB52" i="23"/>
  <c r="V60" i="23"/>
  <c r="AB236" i="23"/>
  <c r="W156" i="23"/>
  <c r="W220" i="23" s="1"/>
  <c r="AB172" i="23"/>
  <c r="AC72" i="23"/>
  <c r="S156" i="23"/>
  <c r="S220" i="23" s="1"/>
  <c r="Q236" i="23"/>
  <c r="P68" i="23"/>
  <c r="AC194" i="23"/>
  <c r="H34" i="23"/>
  <c r="H100" i="23"/>
  <c r="H231" i="23"/>
  <c r="H98" i="23"/>
  <c r="H71" i="23"/>
  <c r="H65" i="23"/>
  <c r="H169" i="23" s="1"/>
  <c r="H167" i="23"/>
  <c r="H62" i="23"/>
  <c r="U190" i="23"/>
  <c r="X130" i="23"/>
  <c r="X194" i="23" s="1"/>
  <c r="O156" i="23"/>
  <c r="O220" i="23" s="1"/>
  <c r="X147" i="23"/>
  <c r="X207" i="23" s="1"/>
  <c r="O130" i="23"/>
  <c r="O258" i="23" s="1"/>
  <c r="F156" i="23"/>
  <c r="F220" i="23" s="1"/>
  <c r="X56" i="23"/>
  <c r="X58" i="23" s="1"/>
  <c r="X30" i="23"/>
  <c r="X20" i="23"/>
  <c r="T99" i="23"/>
  <c r="AB99" i="23"/>
  <c r="Q99" i="23"/>
  <c r="U254" i="23"/>
  <c r="Z99" i="23"/>
  <c r="R99" i="23"/>
  <c r="Q174" i="23"/>
  <c r="S99" i="23"/>
  <c r="U128" i="23"/>
  <c r="U147" i="23" s="1"/>
  <c r="U207" i="23" s="1"/>
  <c r="U132" i="23"/>
  <c r="AB247" i="23"/>
  <c r="AB183" i="23"/>
  <c r="AB34" i="23"/>
  <c r="AB167" i="23"/>
  <c r="AB65" i="23"/>
  <c r="AB169" i="23" s="1"/>
  <c r="AB231" i="23"/>
  <c r="AB62" i="23"/>
  <c r="AB71" i="23"/>
  <c r="Z59" i="23"/>
  <c r="Z192" i="23"/>
  <c r="Z147" i="23"/>
  <c r="Z207" i="23" s="1"/>
  <c r="Z50" i="23"/>
  <c r="Z60" i="23"/>
  <c r="Z63" i="23"/>
  <c r="AD64" i="23" s="1"/>
  <c r="AD168" i="23" s="1"/>
  <c r="Z34" i="23"/>
  <c r="Z194" i="23"/>
  <c r="Z258" i="23"/>
  <c r="W280" i="23"/>
  <c r="N56" i="23"/>
  <c r="N58" i="23" s="1"/>
  <c r="R59" i="23" s="1"/>
  <c r="N30" i="23"/>
  <c r="N20" i="23"/>
  <c r="E192" i="23"/>
  <c r="E147" i="23"/>
  <c r="E207" i="23" s="1"/>
  <c r="E130" i="23"/>
  <c r="P231" i="23"/>
  <c r="P167" i="23"/>
  <c r="P71" i="23"/>
  <c r="P65" i="23"/>
  <c r="P169" i="23" s="1"/>
  <c r="P62" i="23"/>
  <c r="C218" i="23"/>
  <c r="C156" i="23"/>
  <c r="C220" i="23" s="1"/>
  <c r="Q237" i="23"/>
  <c r="Q173" i="23"/>
  <c r="Y247" i="23"/>
  <c r="Y183" i="23"/>
  <c r="Q251" i="23"/>
  <c r="Q187" i="23"/>
  <c r="C256" i="23"/>
  <c r="Y246" i="23"/>
  <c r="Y182" i="23"/>
  <c r="S30" i="23"/>
  <c r="S20" i="23"/>
  <c r="S56" i="23"/>
  <c r="S58" i="23" s="1"/>
  <c r="P34" i="23"/>
  <c r="Q180" i="23"/>
  <c r="Q244" i="23"/>
  <c r="S280" i="23"/>
  <c r="X244" i="23"/>
  <c r="X180" i="23"/>
  <c r="Y80" i="23"/>
  <c r="U19" i="23"/>
  <c r="U96" i="23" s="1"/>
  <c r="U14" i="23"/>
  <c r="Q192" i="23"/>
  <c r="Q147" i="23"/>
  <c r="Q207" i="23" s="1"/>
  <c r="P248" i="23"/>
  <c r="P184" i="23"/>
  <c r="E96" i="23"/>
  <c r="E20" i="23"/>
  <c r="E30" i="23"/>
  <c r="E56" i="23"/>
  <c r="E58" i="23" s="1"/>
  <c r="W30" i="23"/>
  <c r="W56" i="23"/>
  <c r="W58" i="23" s="1"/>
  <c r="AA59" i="23" s="1"/>
  <c r="W20" i="23"/>
  <c r="T244" i="23"/>
  <c r="T180" i="23"/>
  <c r="U80" i="23"/>
  <c r="P192" i="23"/>
  <c r="P130" i="23"/>
  <c r="G96" i="23"/>
  <c r="G56" i="23"/>
  <c r="G58" i="23" s="1"/>
  <c r="H59" i="23" s="1"/>
  <c r="G20" i="23"/>
  <c r="G30" i="23"/>
  <c r="C192" i="23"/>
  <c r="C147" i="23"/>
  <c r="C207" i="23" s="1"/>
  <c r="C130" i="23"/>
  <c r="U156" i="23"/>
  <c r="U220" i="23" s="1"/>
  <c r="U218" i="23"/>
  <c r="Q84" i="23"/>
  <c r="O30" i="23"/>
  <c r="O56" i="23"/>
  <c r="O58" i="23" s="1"/>
  <c r="O20" i="23"/>
  <c r="Y238" i="23"/>
  <c r="Y174" i="23"/>
  <c r="Y99" i="23"/>
  <c r="R60" i="23"/>
  <c r="R63" i="23"/>
  <c r="V64" i="23" s="1"/>
  <c r="V168" i="23" s="1"/>
  <c r="E256" i="23"/>
  <c r="D20" i="23"/>
  <c r="D96" i="23"/>
  <c r="D56" i="23"/>
  <c r="D58" i="23" s="1"/>
  <c r="D30" i="23"/>
  <c r="T258" i="23"/>
  <c r="T194" i="23"/>
  <c r="D258" i="23"/>
  <c r="D194" i="23"/>
  <c r="Q256" i="23"/>
  <c r="R50" i="23"/>
  <c r="R33" i="23"/>
  <c r="U251" i="23"/>
  <c r="U187" i="23"/>
  <c r="C14" i="23"/>
  <c r="C19" i="23"/>
  <c r="P96" i="23"/>
  <c r="P156" i="23"/>
  <c r="P220" i="23" s="1"/>
  <c r="P218" i="23"/>
  <c r="F258" i="23"/>
  <c r="F194" i="23"/>
  <c r="U130" i="23"/>
  <c r="W258" i="23"/>
  <c r="W194" i="23"/>
  <c r="F30" i="23"/>
  <c r="F96" i="23"/>
  <c r="F56" i="23"/>
  <c r="F58" i="23" s="1"/>
  <c r="F20" i="23"/>
  <c r="E218" i="23"/>
  <c r="E156" i="23"/>
  <c r="E220" i="23" s="1"/>
  <c r="P247" i="23"/>
  <c r="P183" i="23"/>
  <c r="Q83" i="23"/>
  <c r="V231" i="23"/>
  <c r="V167" i="23"/>
  <c r="V71" i="23"/>
  <c r="V65" i="23"/>
  <c r="V169" i="23" s="1"/>
  <c r="V62" i="23"/>
  <c r="C795" i="22"/>
  <c r="R280" i="23"/>
  <c r="V258" i="23"/>
  <c r="V194" i="23"/>
  <c r="X240" i="23"/>
  <c r="X176" i="23"/>
  <c r="X67" i="23"/>
  <c r="X53" i="23"/>
  <c r="Y76" i="23"/>
  <c r="Q218" i="23"/>
  <c r="Q156" i="23"/>
  <c r="Q220" i="23" s="1"/>
  <c r="Y254" i="23" l="1"/>
  <c r="Y190" i="23"/>
  <c r="Y154" i="23"/>
  <c r="Y132" i="23"/>
  <c r="Y128" i="23"/>
  <c r="Q240" i="23"/>
  <c r="Q176" i="23"/>
  <c r="T101" i="23"/>
  <c r="Q53" i="23"/>
  <c r="Q67" i="23"/>
  <c r="R101" i="23"/>
  <c r="Q101" i="23"/>
  <c r="S101" i="23"/>
  <c r="AP267" i="23"/>
  <c r="AO267" i="23"/>
  <c r="AN153" i="23"/>
  <c r="AN216" i="23"/>
  <c r="N258" i="23"/>
  <c r="N194" i="23"/>
  <c r="AN267" i="23"/>
  <c r="AL267" i="23"/>
  <c r="AM267" i="23"/>
  <c r="I269" i="23"/>
  <c r="I272" i="23"/>
  <c r="I270" i="23"/>
  <c r="I273" i="23"/>
  <c r="I275" i="23"/>
  <c r="I278" i="23"/>
  <c r="I277" i="23"/>
  <c r="AG269" i="23"/>
  <c r="AG144" i="23"/>
  <c r="AG204" i="23" s="1"/>
  <c r="AG270" i="23"/>
  <c r="AM199" i="23"/>
  <c r="AG273" i="23"/>
  <c r="AO158" i="23"/>
  <c r="AO199" i="23"/>
  <c r="AG275" i="23"/>
  <c r="AO200" i="23"/>
  <c r="AO157" i="23"/>
  <c r="AO79" i="23"/>
  <c r="AP102" i="23" s="1"/>
  <c r="AO175" i="23"/>
  <c r="AO239" i="23"/>
  <c r="AO153" i="23"/>
  <c r="AO216" i="23"/>
  <c r="AG233" i="23"/>
  <c r="AK232" i="23"/>
  <c r="AN252" i="23"/>
  <c r="AH152" i="23"/>
  <c r="AG142" i="23"/>
  <c r="AG202" i="23" s="1"/>
  <c r="AM157" i="23"/>
  <c r="AG152" i="23"/>
  <c r="AG153" i="23" s="1"/>
  <c r="C461" i="22"/>
  <c r="D458" i="22" s="1"/>
  <c r="AH137" i="23"/>
  <c r="AH197" i="23" s="1"/>
  <c r="AG139" i="23"/>
  <c r="AG158" i="23" s="1"/>
  <c r="AH136" i="23"/>
  <c r="AH196" i="23" s="1"/>
  <c r="AG136" i="23"/>
  <c r="AG196" i="23" s="1"/>
  <c r="C419" i="22"/>
  <c r="D414" i="22" s="1"/>
  <c r="AG145" i="23"/>
  <c r="AG205" i="23" s="1"/>
  <c r="R194" i="23"/>
  <c r="AG140" i="23"/>
  <c r="AG200" i="23" s="1"/>
  <c r="AH140" i="23"/>
  <c r="AH144" i="23"/>
  <c r="AH204" i="23" s="1"/>
  <c r="G194" i="23"/>
  <c r="AN217" i="23"/>
  <c r="AN221" i="23"/>
  <c r="AN222" i="23"/>
  <c r="Y130" i="23"/>
  <c r="Y194" i="23" s="1"/>
  <c r="AH139" i="23"/>
  <c r="AH199" i="23" s="1"/>
  <c r="AH142" i="23"/>
  <c r="AH202" i="23" s="1"/>
  <c r="AD275" i="23"/>
  <c r="AC233" i="23"/>
  <c r="AF273" i="23"/>
  <c r="AF270" i="23"/>
  <c r="AF275" i="23"/>
  <c r="AF269" i="23"/>
  <c r="AF272" i="23"/>
  <c r="I232" i="23"/>
  <c r="F280" i="23"/>
  <c r="AF232" i="23"/>
  <c r="AE269" i="23"/>
  <c r="AE272" i="23"/>
  <c r="AE273" i="23"/>
  <c r="AE270" i="23"/>
  <c r="AE275" i="23"/>
  <c r="AM217" i="23"/>
  <c r="AM222" i="23"/>
  <c r="AM221" i="23"/>
  <c r="T280" i="23"/>
  <c r="AD270" i="23"/>
  <c r="AD273" i="23"/>
  <c r="AD269" i="23"/>
  <c r="AD272" i="23"/>
  <c r="G192" i="23"/>
  <c r="G256" i="23"/>
  <c r="P233" i="23"/>
  <c r="U256" i="23"/>
  <c r="U280" i="23" s="1"/>
  <c r="Z96" i="23"/>
  <c r="T62" i="23"/>
  <c r="T71" i="23"/>
  <c r="T235" i="23" s="1"/>
  <c r="T64" i="23"/>
  <c r="T168" i="23" s="1"/>
  <c r="T167" i="23"/>
  <c r="Y30" i="23"/>
  <c r="Y33" i="23" s="1"/>
  <c r="T65" i="23"/>
  <c r="T169" i="23" s="1"/>
  <c r="Y20" i="23"/>
  <c r="AA96" i="23"/>
  <c r="AE145" i="23"/>
  <c r="AE205" i="23" s="1"/>
  <c r="Q56" i="23"/>
  <c r="Q58" i="23" s="1"/>
  <c r="Q63" i="23" s="1"/>
  <c r="AC247" i="23"/>
  <c r="Q20" i="23"/>
  <c r="AK200" i="23"/>
  <c r="AK157" i="23"/>
  <c r="Y96" i="23"/>
  <c r="AK199" i="23"/>
  <c r="AK158" i="23"/>
  <c r="Y56" i="23"/>
  <c r="Y58" i="23" s="1"/>
  <c r="AC59" i="23" s="1"/>
  <c r="D286" i="22"/>
  <c r="D288" i="22"/>
  <c r="AL158" i="23"/>
  <c r="AL199" i="23"/>
  <c r="AK79" i="23"/>
  <c r="AK239" i="23"/>
  <c r="AK175" i="23"/>
  <c r="AK216" i="23"/>
  <c r="AK153" i="23"/>
  <c r="AL200" i="23"/>
  <c r="AL157" i="23"/>
  <c r="AL216" i="23"/>
  <c r="AL153" i="23"/>
  <c r="AC235" i="23"/>
  <c r="AF267" i="23" s="1"/>
  <c r="J186" i="23"/>
  <c r="J250" i="23"/>
  <c r="J88" i="23"/>
  <c r="AG235" i="23"/>
  <c r="AJ145" i="23"/>
  <c r="AJ205" i="23" s="1"/>
  <c r="AJ144" i="23"/>
  <c r="AJ204" i="23" s="1"/>
  <c r="C335" i="22"/>
  <c r="AJ152" i="23"/>
  <c r="AJ137" i="23"/>
  <c r="AJ197" i="23" s="1"/>
  <c r="AJ140" i="23"/>
  <c r="AJ136" i="23"/>
  <c r="AJ196" i="23" s="1"/>
  <c r="AJ139" i="23"/>
  <c r="AJ142" i="23"/>
  <c r="AJ202" i="23" s="1"/>
  <c r="AG171" i="23"/>
  <c r="AI145" i="23"/>
  <c r="AI205" i="23" s="1"/>
  <c r="AI144" i="23"/>
  <c r="AI204" i="23" s="1"/>
  <c r="AI137" i="23"/>
  <c r="AI197" i="23" s="1"/>
  <c r="AI140" i="23"/>
  <c r="AI157" i="23" s="1"/>
  <c r="AI136" i="23"/>
  <c r="AI196" i="23" s="1"/>
  <c r="AI142" i="23"/>
  <c r="AI202" i="23" s="1"/>
  <c r="C377" i="22"/>
  <c r="D374" i="22" s="1"/>
  <c r="AJ179" i="23"/>
  <c r="AJ85" i="23"/>
  <c r="AJ243" i="23"/>
  <c r="L65" i="23"/>
  <c r="L169" i="23" s="1"/>
  <c r="L75" i="23"/>
  <c r="L79" i="23" s="1"/>
  <c r="L85" i="23" s="1"/>
  <c r="Y52" i="23"/>
  <c r="AI139" i="23"/>
  <c r="AI158" i="23" s="1"/>
  <c r="AI216" i="23"/>
  <c r="AI153" i="23"/>
  <c r="AI249" i="23"/>
  <c r="AI185" i="23"/>
  <c r="Y68" i="23"/>
  <c r="I202" i="23"/>
  <c r="C587" i="22"/>
  <c r="D584" i="22" s="1"/>
  <c r="AD142" i="23"/>
  <c r="AH239" i="23"/>
  <c r="AH175" i="23"/>
  <c r="AH79" i="23"/>
  <c r="AE142" i="23"/>
  <c r="AE202" i="23" s="1"/>
  <c r="AG232" i="23"/>
  <c r="L98" i="23"/>
  <c r="L136" i="23" s="1"/>
  <c r="L231" i="23"/>
  <c r="L167" i="23"/>
  <c r="L100" i="23"/>
  <c r="AG239" i="23"/>
  <c r="AG79" i="23"/>
  <c r="AG175" i="23"/>
  <c r="AE139" i="23"/>
  <c r="AE199" i="23" s="1"/>
  <c r="Y236" i="23"/>
  <c r="AE137" i="23"/>
  <c r="AE197" i="23" s="1"/>
  <c r="I200" i="23"/>
  <c r="I157" i="23"/>
  <c r="AC240" i="23"/>
  <c r="AF101" i="23"/>
  <c r="AF144" i="23" s="1"/>
  <c r="AF204" i="23" s="1"/>
  <c r="AC176" i="23"/>
  <c r="I216" i="23"/>
  <c r="I153" i="23"/>
  <c r="G218" i="23"/>
  <c r="AF152" i="23"/>
  <c r="AF142" i="23"/>
  <c r="AF202" i="23" s="1"/>
  <c r="AF136" i="23"/>
  <c r="AF196" i="23" s="1"/>
  <c r="AF140" i="23"/>
  <c r="AF137" i="23"/>
  <c r="AF197" i="23" s="1"/>
  <c r="AF139" i="23"/>
  <c r="AF145" i="23"/>
  <c r="AF205" i="23" s="1"/>
  <c r="I158" i="23"/>
  <c r="I199" i="23"/>
  <c r="I239" i="23"/>
  <c r="I79" i="23"/>
  <c r="I175" i="23"/>
  <c r="AF179" i="23"/>
  <c r="AF243" i="23"/>
  <c r="AF85" i="23"/>
  <c r="X258" i="23"/>
  <c r="AE152" i="23"/>
  <c r="AE216" i="23" s="1"/>
  <c r="C545" i="22"/>
  <c r="AC53" i="23"/>
  <c r="AE140" i="23"/>
  <c r="AE157" i="23" s="1"/>
  <c r="AC67" i="23"/>
  <c r="AE101" i="23"/>
  <c r="AE144" i="23" s="1"/>
  <c r="AE204" i="23" s="1"/>
  <c r="AC75" i="23"/>
  <c r="AC239" i="23" s="1"/>
  <c r="AC101" i="23"/>
  <c r="AA233" i="23"/>
  <c r="AE232" i="23"/>
  <c r="AE179" i="23"/>
  <c r="AE243" i="23"/>
  <c r="G147" i="23"/>
  <c r="G207" i="23" s="1"/>
  <c r="S194" i="23"/>
  <c r="R96" i="23"/>
  <c r="S96" i="23"/>
  <c r="T96" i="23"/>
  <c r="AD239" i="23"/>
  <c r="AD79" i="23"/>
  <c r="AD175" i="23"/>
  <c r="AD152" i="23"/>
  <c r="AD145" i="23"/>
  <c r="AD205" i="23" s="1"/>
  <c r="AD140" i="23"/>
  <c r="AD137" i="23"/>
  <c r="AD197" i="23" s="1"/>
  <c r="AD139" i="23"/>
  <c r="AD136" i="23"/>
  <c r="AD196" i="23" s="1"/>
  <c r="Q96" i="23"/>
  <c r="AA75" i="23"/>
  <c r="AA171" i="23"/>
  <c r="AA235" i="23"/>
  <c r="AD101" i="23"/>
  <c r="AD144" i="23" s="1"/>
  <c r="AD204" i="23" s="1"/>
  <c r="Z65" i="23"/>
  <c r="Z169" i="23" s="1"/>
  <c r="AC98" i="23"/>
  <c r="C629" i="22" s="1"/>
  <c r="D624" i="22" s="1"/>
  <c r="AC236" i="23"/>
  <c r="AC172" i="23"/>
  <c r="AC52" i="23"/>
  <c r="AC68" i="23"/>
  <c r="H145" i="23"/>
  <c r="H205" i="23" s="1"/>
  <c r="H144" i="23"/>
  <c r="H204" i="23" s="1"/>
  <c r="H152" i="23"/>
  <c r="H137" i="23"/>
  <c r="H197" i="23" s="1"/>
  <c r="H140" i="23"/>
  <c r="H139" i="23"/>
  <c r="H136" i="23"/>
  <c r="H196" i="23" s="1"/>
  <c r="H142" i="23"/>
  <c r="AC142" i="23" s="1"/>
  <c r="H171" i="23"/>
  <c r="H75" i="23"/>
  <c r="H235" i="23"/>
  <c r="H267" i="23" s="1"/>
  <c r="H233" i="23"/>
  <c r="O194" i="23"/>
  <c r="N99" i="23"/>
  <c r="Z167" i="23"/>
  <c r="X33" i="23"/>
  <c r="X50" i="23"/>
  <c r="AB101" i="23"/>
  <c r="X60" i="23"/>
  <c r="X59" i="23"/>
  <c r="AB59" i="23"/>
  <c r="X63" i="23"/>
  <c r="O99" i="23"/>
  <c r="Z101" i="23"/>
  <c r="U192" i="23"/>
  <c r="AA101" i="23"/>
  <c r="AB235" i="23"/>
  <c r="AB75" i="23"/>
  <c r="AB171" i="23"/>
  <c r="AB233" i="23"/>
  <c r="Z71" i="23"/>
  <c r="Z64" i="23"/>
  <c r="Z168" i="23" s="1"/>
  <c r="Z62" i="23"/>
  <c r="Z231" i="23"/>
  <c r="AC275" i="23" s="1"/>
  <c r="Q248" i="23"/>
  <c r="Q184" i="23"/>
  <c r="G33" i="23"/>
  <c r="G50" i="23"/>
  <c r="U244" i="23"/>
  <c r="U180" i="23"/>
  <c r="W63" i="23"/>
  <c r="W59" i="23"/>
  <c r="W60" i="23"/>
  <c r="S50" i="23"/>
  <c r="S33" i="23"/>
  <c r="E280" i="23"/>
  <c r="G60" i="23"/>
  <c r="G63" i="23"/>
  <c r="H64" i="23" s="1"/>
  <c r="H168" i="23" s="1"/>
  <c r="G97" i="23"/>
  <c r="G59" i="23"/>
  <c r="E97" i="23"/>
  <c r="E60" i="23"/>
  <c r="E63" i="23"/>
  <c r="E59" i="23"/>
  <c r="N50" i="23"/>
  <c r="N33" i="23"/>
  <c r="F60" i="23"/>
  <c r="F63" i="23"/>
  <c r="F59" i="23"/>
  <c r="F97" i="23"/>
  <c r="D33" i="23"/>
  <c r="D50" i="23"/>
  <c r="C258" i="23"/>
  <c r="C194" i="23"/>
  <c r="E33" i="23"/>
  <c r="E50" i="23"/>
  <c r="Y218" i="23"/>
  <c r="Y156" i="23"/>
  <c r="Y220" i="23" s="1"/>
  <c r="P97" i="23"/>
  <c r="N63" i="23"/>
  <c r="N60" i="23"/>
  <c r="O96" i="23"/>
  <c r="N97" i="23"/>
  <c r="Y240" i="23"/>
  <c r="Y176" i="23"/>
  <c r="Y53" i="23"/>
  <c r="Y67" i="23"/>
  <c r="Y101" i="23"/>
  <c r="D97" i="23"/>
  <c r="D63" i="23"/>
  <c r="D60" i="23"/>
  <c r="P258" i="23"/>
  <c r="P194" i="23"/>
  <c r="P235" i="23"/>
  <c r="P171" i="23"/>
  <c r="P75" i="23"/>
  <c r="E258" i="23"/>
  <c r="Q130" i="23"/>
  <c r="E194" i="23"/>
  <c r="Q183" i="23"/>
  <c r="Q247" i="23"/>
  <c r="F33" i="23"/>
  <c r="F50" i="23"/>
  <c r="R34" i="23"/>
  <c r="R231" i="23"/>
  <c r="V232" i="23" s="1"/>
  <c r="R167" i="23"/>
  <c r="R71" i="23"/>
  <c r="R65" i="23"/>
  <c r="R169" i="23" s="1"/>
  <c r="R62" i="23"/>
  <c r="O63" i="23"/>
  <c r="O60" i="23"/>
  <c r="S60" i="23"/>
  <c r="S59" i="23"/>
  <c r="S63" i="23"/>
  <c r="Y256" i="23"/>
  <c r="V233" i="23"/>
  <c r="W33" i="23"/>
  <c r="W50" i="23"/>
  <c r="T232" i="23"/>
  <c r="T233" i="23"/>
  <c r="N96" i="23"/>
  <c r="O33" i="23"/>
  <c r="O50" i="23"/>
  <c r="U30" i="23"/>
  <c r="U56" i="23"/>
  <c r="U58" i="23" s="1"/>
  <c r="V97" i="23" s="1"/>
  <c r="X96" i="23"/>
  <c r="U20" i="23"/>
  <c r="W96" i="23"/>
  <c r="Q33" i="23"/>
  <c r="Q50" i="23"/>
  <c r="C96" i="23"/>
  <c r="C56" i="23"/>
  <c r="C58" i="23" s="1"/>
  <c r="C30" i="23"/>
  <c r="C20" i="23"/>
  <c r="V235" i="23"/>
  <c r="V171" i="23"/>
  <c r="V75" i="23"/>
  <c r="U258" i="23"/>
  <c r="U194" i="23"/>
  <c r="Q280" i="23"/>
  <c r="Y244" i="23"/>
  <c r="Y180" i="23"/>
  <c r="C789" i="22"/>
  <c r="C790" i="22" s="1"/>
  <c r="V96" i="23"/>
  <c r="C280" i="23"/>
  <c r="Y192" i="23"/>
  <c r="Y147" i="23"/>
  <c r="Y207" i="23" s="1"/>
  <c r="AE267" i="23" l="1"/>
  <c r="AD267" i="23"/>
  <c r="AP278" i="23"/>
  <c r="AP277" i="23"/>
  <c r="AO278" i="23"/>
  <c r="AO277" i="23"/>
  <c r="AO270" i="23"/>
  <c r="AO273" i="23"/>
  <c r="AO272" i="23"/>
  <c r="AO269" i="23"/>
  <c r="AO275" i="23"/>
  <c r="AH153" i="23"/>
  <c r="AH216" i="23"/>
  <c r="AH200" i="23"/>
  <c r="AH157" i="23"/>
  <c r="AF277" i="23"/>
  <c r="AF278" i="23"/>
  <c r="AJ267" i="23"/>
  <c r="AI267" i="23"/>
  <c r="AG267" i="23"/>
  <c r="AH267" i="23"/>
  <c r="AD277" i="23"/>
  <c r="AD278" i="23"/>
  <c r="H275" i="23"/>
  <c r="H272" i="23"/>
  <c r="H269" i="23"/>
  <c r="H270" i="23"/>
  <c r="H273" i="23"/>
  <c r="H278" i="23"/>
  <c r="H277" i="23"/>
  <c r="AE277" i="23"/>
  <c r="AE278" i="23"/>
  <c r="AG216" i="23"/>
  <c r="AG217" i="23" s="1"/>
  <c r="AO243" i="23"/>
  <c r="AO85" i="23"/>
  <c r="AO179" i="23"/>
  <c r="AO102" i="23"/>
  <c r="AO217" i="23"/>
  <c r="AO222" i="23"/>
  <c r="AO221" i="23"/>
  <c r="AH158" i="23"/>
  <c r="D416" i="22"/>
  <c r="AG199" i="23"/>
  <c r="AK102" i="23"/>
  <c r="Y258" i="23"/>
  <c r="AJ102" i="23"/>
  <c r="AG157" i="23"/>
  <c r="D456" i="22"/>
  <c r="Y50" i="23"/>
  <c r="AM102" i="23"/>
  <c r="AN102" i="23"/>
  <c r="Q60" i="23"/>
  <c r="T97" i="23"/>
  <c r="T171" i="23"/>
  <c r="T75" i="23"/>
  <c r="T239" i="23" s="1"/>
  <c r="G280" i="23"/>
  <c r="Y97" i="23"/>
  <c r="Z97" i="23"/>
  <c r="Y60" i="23"/>
  <c r="Y63" i="23"/>
  <c r="AB98" i="23" s="1"/>
  <c r="Q97" i="23"/>
  <c r="AC273" i="23"/>
  <c r="AC270" i="23"/>
  <c r="AC272" i="23"/>
  <c r="AC269" i="23"/>
  <c r="AB97" i="23"/>
  <c r="R97" i="23"/>
  <c r="S97" i="23"/>
  <c r="AA97" i="23"/>
  <c r="L233" i="23"/>
  <c r="AK217" i="23"/>
  <c r="AK222" i="23"/>
  <c r="AK221" i="23"/>
  <c r="AI200" i="23"/>
  <c r="AK243" i="23"/>
  <c r="AK85" i="23"/>
  <c r="AK179" i="23"/>
  <c r="AL217" i="23"/>
  <c r="AL221" i="23"/>
  <c r="AL222" i="23"/>
  <c r="AL102" i="23"/>
  <c r="D372" i="22"/>
  <c r="AI102" i="23"/>
  <c r="J252" i="23"/>
  <c r="J188" i="23"/>
  <c r="AJ153" i="23"/>
  <c r="AJ216" i="23"/>
  <c r="AJ185" i="23"/>
  <c r="AJ249" i="23"/>
  <c r="D330" i="22"/>
  <c r="D332" i="22"/>
  <c r="AE158" i="23"/>
  <c r="AJ158" i="23"/>
  <c r="AJ199" i="23"/>
  <c r="AI199" i="23"/>
  <c r="AJ200" i="23"/>
  <c r="AJ157" i="23"/>
  <c r="AI217" i="23"/>
  <c r="AI221" i="23"/>
  <c r="AI222" i="23"/>
  <c r="D582" i="22"/>
  <c r="AE153" i="23"/>
  <c r="AH85" i="23"/>
  <c r="AH102" i="23"/>
  <c r="AH179" i="23"/>
  <c r="AH243" i="23"/>
  <c r="AH221" i="23"/>
  <c r="AH222" i="23"/>
  <c r="AH217" i="23"/>
  <c r="L171" i="23"/>
  <c r="L235" i="23"/>
  <c r="L267" i="23" s="1"/>
  <c r="L145" i="23"/>
  <c r="L205" i="23" s="1"/>
  <c r="L144" i="23"/>
  <c r="L204" i="23" s="1"/>
  <c r="L152" i="23"/>
  <c r="L140" i="23"/>
  <c r="L137" i="23"/>
  <c r="L197" i="23" s="1"/>
  <c r="L196" i="23"/>
  <c r="L139" i="23"/>
  <c r="L142" i="23"/>
  <c r="L202" i="23" s="1"/>
  <c r="AG102" i="23"/>
  <c r="AG179" i="23"/>
  <c r="AG243" i="23"/>
  <c r="AG85" i="23"/>
  <c r="AF153" i="23"/>
  <c r="AF216" i="23"/>
  <c r="I217" i="23"/>
  <c r="I222" i="23"/>
  <c r="I221" i="23"/>
  <c r="D498" i="22"/>
  <c r="D500" i="22"/>
  <c r="AF158" i="23"/>
  <c r="AF199" i="23"/>
  <c r="I243" i="23"/>
  <c r="I179" i="23"/>
  <c r="I85" i="23"/>
  <c r="I86" i="23" s="1"/>
  <c r="I102" i="23"/>
  <c r="AF200" i="23"/>
  <c r="AF157" i="23"/>
  <c r="AF249" i="23"/>
  <c r="AF185" i="23"/>
  <c r="P101" i="23"/>
  <c r="D540" i="22"/>
  <c r="D542" i="22"/>
  <c r="AE200" i="23"/>
  <c r="AC175" i="23"/>
  <c r="AE185" i="23"/>
  <c r="AE249" i="23"/>
  <c r="AC79" i="23"/>
  <c r="AC179" i="23" s="1"/>
  <c r="AE217" i="23"/>
  <c r="AE222" i="23"/>
  <c r="AE221" i="23"/>
  <c r="Z233" i="23"/>
  <c r="AD232" i="23"/>
  <c r="AA175" i="23"/>
  <c r="AA79" i="23"/>
  <c r="AA239" i="23"/>
  <c r="AD158" i="23"/>
  <c r="AD199" i="23"/>
  <c r="AD243" i="23"/>
  <c r="AD179" i="23"/>
  <c r="AD85" i="23"/>
  <c r="AD216" i="23"/>
  <c r="AD153" i="23"/>
  <c r="AD200" i="23"/>
  <c r="AD157" i="23"/>
  <c r="Z100" i="23"/>
  <c r="Z235" i="23"/>
  <c r="AC267" i="23" s="1"/>
  <c r="AC152" i="23"/>
  <c r="AC140" i="23"/>
  <c r="AC136" i="23"/>
  <c r="AC196" i="23" s="1"/>
  <c r="AC139" i="23"/>
  <c r="AC145" i="23"/>
  <c r="AC205" i="23" s="1"/>
  <c r="AC137" i="23"/>
  <c r="AC197" i="23" s="1"/>
  <c r="AC144" i="23"/>
  <c r="AC204" i="23" s="1"/>
  <c r="H202" i="23"/>
  <c r="AC202" i="23"/>
  <c r="H158" i="23"/>
  <c r="H199" i="23"/>
  <c r="H216" i="23"/>
  <c r="H153" i="23"/>
  <c r="H200" i="23"/>
  <c r="H157" i="23"/>
  <c r="H239" i="23"/>
  <c r="H79" i="23"/>
  <c r="H175" i="23"/>
  <c r="Z75" i="23"/>
  <c r="Z175" i="23" s="1"/>
  <c r="X34" i="23"/>
  <c r="AA100" i="23"/>
  <c r="AA64" i="23"/>
  <c r="AA168" i="23" s="1"/>
  <c r="X62" i="23"/>
  <c r="X64" i="23"/>
  <c r="X168" i="23" s="1"/>
  <c r="X167" i="23"/>
  <c r="X65" i="23"/>
  <c r="X169" i="23" s="1"/>
  <c r="X231" i="23"/>
  <c r="AB64" i="23"/>
  <c r="AB168" i="23" s="1"/>
  <c r="X71" i="23"/>
  <c r="Y34" i="23"/>
  <c r="AB100" i="23"/>
  <c r="Z171" i="23"/>
  <c r="AB175" i="23"/>
  <c r="AB239" i="23"/>
  <c r="AB79" i="23"/>
  <c r="Z232" i="23"/>
  <c r="S231" i="23"/>
  <c r="S167" i="23"/>
  <c r="S64" i="23"/>
  <c r="S168" i="23" s="1"/>
  <c r="S71" i="23"/>
  <c r="S65" i="23"/>
  <c r="S169" i="23" s="1"/>
  <c r="S62" i="23"/>
  <c r="E231" i="23"/>
  <c r="E167" i="23"/>
  <c r="E71" i="23"/>
  <c r="E65" i="23"/>
  <c r="E169" i="23" s="1"/>
  <c r="E62" i="23"/>
  <c r="E98" i="23"/>
  <c r="E64" i="23"/>
  <c r="E168" i="23" s="1"/>
  <c r="F100" i="23"/>
  <c r="F34" i="23"/>
  <c r="P239" i="23"/>
  <c r="P175" i="23"/>
  <c r="P79" i="23"/>
  <c r="D231" i="23"/>
  <c r="D167" i="23"/>
  <c r="D71" i="23"/>
  <c r="D65" i="23"/>
  <c r="D169" i="23" s="1"/>
  <c r="D62" i="23"/>
  <c r="D98" i="23"/>
  <c r="N100" i="23"/>
  <c r="E100" i="23"/>
  <c r="E34" i="23"/>
  <c r="F231" i="23"/>
  <c r="F167" i="23"/>
  <c r="F98" i="23"/>
  <c r="F64" i="23"/>
  <c r="F168" i="23" s="1"/>
  <c r="F71" i="23"/>
  <c r="F65" i="23"/>
  <c r="F169" i="23" s="1"/>
  <c r="F62" i="23"/>
  <c r="W231" i="23"/>
  <c r="W167" i="23"/>
  <c r="W71" i="23"/>
  <c r="W65" i="23"/>
  <c r="W169" i="23" s="1"/>
  <c r="W62" i="23"/>
  <c r="W64" i="23"/>
  <c r="W168" i="23" s="1"/>
  <c r="V239" i="23"/>
  <c r="V175" i="23"/>
  <c r="V79" i="23"/>
  <c r="Y59" i="23"/>
  <c r="C97" i="23"/>
  <c r="C63" i="23"/>
  <c r="D64" i="23" s="1"/>
  <c r="D168" i="23" s="1"/>
  <c r="C60" i="23"/>
  <c r="R235" i="23"/>
  <c r="R171" i="23"/>
  <c r="R75" i="23"/>
  <c r="N231" i="23"/>
  <c r="N167" i="23"/>
  <c r="Q98" i="23"/>
  <c r="N71" i="23"/>
  <c r="N65" i="23"/>
  <c r="N169" i="23" s="1"/>
  <c r="N62" i="23"/>
  <c r="D59" i="23"/>
  <c r="Q231" i="23"/>
  <c r="Q167" i="23"/>
  <c r="T98" i="23"/>
  <c r="Q65" i="23"/>
  <c r="Q169" i="23" s="1"/>
  <c r="Q62" i="23"/>
  <c r="S98" i="23"/>
  <c r="R100" i="23"/>
  <c r="O34" i="23"/>
  <c r="O231" i="23"/>
  <c r="O167" i="23"/>
  <c r="R98" i="23"/>
  <c r="O65" i="23"/>
  <c r="O169" i="23" s="1"/>
  <c r="O62" i="23"/>
  <c r="O71" i="23"/>
  <c r="R233" i="23"/>
  <c r="G231" i="23"/>
  <c r="G98" i="23"/>
  <c r="G167" i="23"/>
  <c r="G64" i="23"/>
  <c r="G168" i="23" s="1"/>
  <c r="G65" i="23"/>
  <c r="G169" i="23" s="1"/>
  <c r="G62" i="23"/>
  <c r="G71" i="23"/>
  <c r="S34" i="23"/>
  <c r="G100" i="23"/>
  <c r="G34" i="23"/>
  <c r="D790" i="22"/>
  <c r="C796" i="22"/>
  <c r="C792" i="22"/>
  <c r="T100" i="23"/>
  <c r="Q34" i="23"/>
  <c r="S100" i="23"/>
  <c r="D100" i="23"/>
  <c r="D34" i="23"/>
  <c r="X97" i="23"/>
  <c r="U59" i="23"/>
  <c r="U63" i="23"/>
  <c r="U98" i="23" s="1"/>
  <c r="U60" i="23"/>
  <c r="W97" i="23"/>
  <c r="U97" i="23"/>
  <c r="U33" i="23"/>
  <c r="U50" i="23"/>
  <c r="C50" i="23"/>
  <c r="C33" i="23"/>
  <c r="W34" i="23"/>
  <c r="Y100" i="23"/>
  <c r="Y280" i="23"/>
  <c r="R64" i="23"/>
  <c r="R168" i="23" s="1"/>
  <c r="Q258" i="23"/>
  <c r="Q194" i="23"/>
  <c r="O101" i="23"/>
  <c r="N101" i="23"/>
  <c r="O97" i="23"/>
  <c r="N98" i="23"/>
  <c r="Q100" i="23"/>
  <c r="N34" i="23"/>
  <c r="AG277" i="23" l="1"/>
  <c r="AG278" i="23"/>
  <c r="L275" i="23"/>
  <c r="L269" i="23"/>
  <c r="L272" i="23"/>
  <c r="L270" i="23"/>
  <c r="L273" i="23"/>
  <c r="L278" i="23"/>
  <c r="L277" i="23"/>
  <c r="AC277" i="23"/>
  <c r="AC278" i="23"/>
  <c r="AG221" i="23"/>
  <c r="AG222" i="23"/>
  <c r="AO185" i="23"/>
  <c r="AO249" i="23"/>
  <c r="T175" i="23"/>
  <c r="Y62" i="23"/>
  <c r="Y71" i="23"/>
  <c r="Y171" i="23" s="1"/>
  <c r="Y167" i="23"/>
  <c r="Y65" i="23"/>
  <c r="Y169" i="23" s="1"/>
  <c r="AA98" i="23"/>
  <c r="C711" i="22" s="1"/>
  <c r="D706" i="22" s="1"/>
  <c r="N233" i="23"/>
  <c r="Q270" i="23"/>
  <c r="Q273" i="23"/>
  <c r="Q269" i="23"/>
  <c r="Q272" i="23"/>
  <c r="Y231" i="23"/>
  <c r="AA269" i="23" s="1"/>
  <c r="H232" i="23"/>
  <c r="T79" i="23"/>
  <c r="T243" i="23" s="1"/>
  <c r="Y98" i="23"/>
  <c r="Y140" i="23" s="1"/>
  <c r="Z98" i="23"/>
  <c r="C753" i="22" s="1"/>
  <c r="AC64" i="23"/>
  <c r="AC168" i="23" s="1"/>
  <c r="AA232" i="23"/>
  <c r="Q275" i="23"/>
  <c r="O233" i="23"/>
  <c r="R270" i="23"/>
  <c r="R273" i="23"/>
  <c r="R269" i="23"/>
  <c r="R272" i="23"/>
  <c r="R275" i="23"/>
  <c r="Q233" i="23"/>
  <c r="T270" i="23"/>
  <c r="T273" i="23"/>
  <c r="S273" i="23"/>
  <c r="S275" i="23"/>
  <c r="S272" i="23"/>
  <c r="S269" i="23"/>
  <c r="T272" i="23"/>
  <c r="S270" i="23"/>
  <c r="T269" i="23"/>
  <c r="T275" i="23"/>
  <c r="Z239" i="23"/>
  <c r="AK249" i="23"/>
  <c r="AK185" i="23"/>
  <c r="AH86" i="23"/>
  <c r="AI86" i="23" s="1"/>
  <c r="AJ217" i="23"/>
  <c r="AJ221" i="23"/>
  <c r="AJ222" i="23"/>
  <c r="AH185" i="23"/>
  <c r="AH249" i="23"/>
  <c r="L157" i="23"/>
  <c r="L200" i="23"/>
  <c r="I92" i="23"/>
  <c r="L216" i="23"/>
  <c r="L153" i="23"/>
  <c r="L158" i="23"/>
  <c r="L199" i="23"/>
  <c r="L239" i="23"/>
  <c r="L175" i="23"/>
  <c r="AG249" i="23"/>
  <c r="AG185" i="23"/>
  <c r="AE102" i="23"/>
  <c r="AC85" i="23"/>
  <c r="AC185" i="23" s="1"/>
  <c r="AC243" i="23"/>
  <c r="AF102" i="23"/>
  <c r="AF222" i="23"/>
  <c r="AF221" i="23"/>
  <c r="AF217" i="23"/>
  <c r="I88" i="23"/>
  <c r="I185" i="23"/>
  <c r="I249" i="23"/>
  <c r="AD185" i="23"/>
  <c r="AD86" i="23"/>
  <c r="AD249" i="23"/>
  <c r="AD102" i="23"/>
  <c r="AA179" i="23"/>
  <c r="AA243" i="23"/>
  <c r="AA85" i="23"/>
  <c r="AD221" i="23"/>
  <c r="AD217" i="23"/>
  <c r="AD222" i="23"/>
  <c r="AD202" i="23"/>
  <c r="C670" i="22"/>
  <c r="D665" i="22" s="1"/>
  <c r="AB140" i="23"/>
  <c r="AB200" i="23" s="1"/>
  <c r="AB145" i="23"/>
  <c r="AB205" i="23" s="1"/>
  <c r="AB136" i="23"/>
  <c r="AB196" i="23" s="1"/>
  <c r="AB139" i="23"/>
  <c r="AB158" i="23" s="1"/>
  <c r="AB152" i="23"/>
  <c r="AB216" i="23" s="1"/>
  <c r="AB222" i="23" s="1"/>
  <c r="AB144" i="23"/>
  <c r="AB204" i="23" s="1"/>
  <c r="AB142" i="23"/>
  <c r="AB202" i="23" s="1"/>
  <c r="AC157" i="23"/>
  <c r="AC200" i="23"/>
  <c r="AC158" i="23"/>
  <c r="AC199" i="23"/>
  <c r="AB137" i="23"/>
  <c r="AB197" i="23" s="1"/>
  <c r="AC153" i="23"/>
  <c r="AC216" i="23"/>
  <c r="H217" i="23"/>
  <c r="H222" i="23"/>
  <c r="H221" i="23"/>
  <c r="H243" i="23"/>
  <c r="H179" i="23"/>
  <c r="H85" i="23"/>
  <c r="H86" i="23" s="1"/>
  <c r="H92" i="23" s="1"/>
  <c r="H102" i="23"/>
  <c r="Z79" i="23"/>
  <c r="Z85" i="23" s="1"/>
  <c r="P98" i="23"/>
  <c r="P100" i="23"/>
  <c r="X232" i="23"/>
  <c r="X233" i="23"/>
  <c r="AB232" i="23"/>
  <c r="X171" i="23"/>
  <c r="X75" i="23"/>
  <c r="X235" i="23"/>
  <c r="AB243" i="23"/>
  <c r="AB85" i="23"/>
  <c r="AB179" i="23"/>
  <c r="U152" i="23"/>
  <c r="U144" i="23"/>
  <c r="U204" i="23" s="1"/>
  <c r="U145" i="23"/>
  <c r="U205" i="23" s="1"/>
  <c r="U140" i="23"/>
  <c r="U137" i="23"/>
  <c r="U197" i="23" s="1"/>
  <c r="U139" i="23"/>
  <c r="U136" i="23"/>
  <c r="U196" i="23" s="1"/>
  <c r="G235" i="23"/>
  <c r="G267" i="23" s="1"/>
  <c r="G171" i="23"/>
  <c r="G75" i="23"/>
  <c r="D235" i="23"/>
  <c r="D267" i="23" s="1"/>
  <c r="D171" i="23"/>
  <c r="D75" i="23"/>
  <c r="E232" i="23"/>
  <c r="E233" i="23"/>
  <c r="W235" i="23"/>
  <c r="W171" i="23"/>
  <c r="W75" i="23"/>
  <c r="R152" i="23"/>
  <c r="R145" i="23"/>
  <c r="R205" i="23" s="1"/>
  <c r="R140" i="23"/>
  <c r="R144" i="23"/>
  <c r="R204" i="23" s="1"/>
  <c r="R137" i="23"/>
  <c r="R197" i="23" s="1"/>
  <c r="R136" i="23"/>
  <c r="R196" i="23" s="1"/>
  <c r="R139" i="23"/>
  <c r="R142" i="23"/>
  <c r="R202" i="23" s="1"/>
  <c r="R239" i="23"/>
  <c r="R175" i="23"/>
  <c r="R79" i="23"/>
  <c r="V243" i="23"/>
  <c r="V179" i="23"/>
  <c r="V85" i="23"/>
  <c r="F235" i="23"/>
  <c r="F267" i="23" s="1"/>
  <c r="F171" i="23"/>
  <c r="F75" i="23"/>
  <c r="D233" i="23"/>
  <c r="W233" i="23"/>
  <c r="W232" i="23"/>
  <c r="O100" i="23"/>
  <c r="P243" i="23"/>
  <c r="P85" i="23"/>
  <c r="P179" i="23"/>
  <c r="E152" i="23"/>
  <c r="E144" i="23"/>
  <c r="E204" i="23" s="1"/>
  <c r="E145" i="23"/>
  <c r="E205" i="23" s="1"/>
  <c r="E137" i="23"/>
  <c r="E197" i="23" s="1"/>
  <c r="E140" i="23"/>
  <c r="E139" i="23"/>
  <c r="E136" i="23"/>
  <c r="E196" i="23" s="1"/>
  <c r="E142" i="23"/>
  <c r="S235" i="23"/>
  <c r="S171" i="23"/>
  <c r="S75" i="23"/>
  <c r="U231" i="23"/>
  <c r="V273" i="23" s="1"/>
  <c r="X98" i="23"/>
  <c r="U167" i="23"/>
  <c r="U71" i="23"/>
  <c r="U65" i="23"/>
  <c r="U169" i="23" s="1"/>
  <c r="U62" i="23"/>
  <c r="U64" i="23"/>
  <c r="U168" i="23" s="1"/>
  <c r="W98" i="23"/>
  <c r="C794" i="22"/>
  <c r="D792" i="22"/>
  <c r="N235" i="23"/>
  <c r="N171" i="23"/>
  <c r="N75" i="23"/>
  <c r="F152" i="23"/>
  <c r="F144" i="23"/>
  <c r="F204" i="23" s="1"/>
  <c r="F145" i="23"/>
  <c r="F205" i="23" s="1"/>
  <c r="F137" i="23"/>
  <c r="F197" i="23" s="1"/>
  <c r="F140" i="23"/>
  <c r="F139" i="23"/>
  <c r="F136" i="23"/>
  <c r="F196" i="23" s="1"/>
  <c r="F142" i="23"/>
  <c r="T145" i="23"/>
  <c r="T205" i="23" s="1"/>
  <c r="T152" i="23"/>
  <c r="T144" i="23"/>
  <c r="T204" i="23" s="1"/>
  <c r="T137" i="23"/>
  <c r="T197" i="23" s="1"/>
  <c r="T140" i="23"/>
  <c r="T136" i="23"/>
  <c r="T196" i="23" s="1"/>
  <c r="T139" i="23"/>
  <c r="T142" i="23"/>
  <c r="T202" i="23" s="1"/>
  <c r="X100" i="23"/>
  <c r="U34" i="23"/>
  <c r="W100" i="23"/>
  <c r="U100" i="23"/>
  <c r="O171" i="23"/>
  <c r="O235" i="23"/>
  <c r="O75" i="23"/>
  <c r="Q144" i="23"/>
  <c r="Q204" i="23" s="1"/>
  <c r="Q145" i="23"/>
  <c r="Q205" i="23" s="1"/>
  <c r="Q152" i="23"/>
  <c r="Q140" i="23"/>
  <c r="Q137" i="23"/>
  <c r="Q197" i="23" s="1"/>
  <c r="Q136" i="23"/>
  <c r="Q196" i="23" s="1"/>
  <c r="Q139" i="23"/>
  <c r="D145" i="23"/>
  <c r="D205" i="23" s="1"/>
  <c r="D152" i="23"/>
  <c r="D137" i="23"/>
  <c r="D197" i="23" s="1"/>
  <c r="D144" i="23"/>
  <c r="D204" i="23" s="1"/>
  <c r="D140" i="23"/>
  <c r="D136" i="23"/>
  <c r="D196" i="23" s="1"/>
  <c r="D139" i="23"/>
  <c r="D142" i="23"/>
  <c r="D202" i="23" s="1"/>
  <c r="V98" i="23"/>
  <c r="C100" i="23"/>
  <c r="C34" i="23"/>
  <c r="C231" i="23"/>
  <c r="C233" i="23" s="1"/>
  <c r="C98" i="23"/>
  <c r="C167" i="23"/>
  <c r="C71" i="23"/>
  <c r="C65" i="23"/>
  <c r="C169" i="23" s="1"/>
  <c r="C62" i="23"/>
  <c r="E235" i="23"/>
  <c r="E267" i="23" s="1"/>
  <c r="E171" i="23"/>
  <c r="E75" i="23"/>
  <c r="Q71" i="23"/>
  <c r="R232" i="23"/>
  <c r="Y64" i="23"/>
  <c r="Y168" i="23" s="1"/>
  <c r="G144" i="23"/>
  <c r="G204" i="23" s="1"/>
  <c r="G145" i="23"/>
  <c r="G205" i="23" s="1"/>
  <c r="G152" i="23"/>
  <c r="G137" i="23"/>
  <c r="G197" i="23" s="1"/>
  <c r="G140" i="23"/>
  <c r="G136" i="23"/>
  <c r="G196" i="23" s="1"/>
  <c r="G139" i="23"/>
  <c r="G142" i="23"/>
  <c r="S144" i="23"/>
  <c r="S204" i="23" s="1"/>
  <c r="S145" i="23"/>
  <c r="S205" i="23" s="1"/>
  <c r="S152" i="23"/>
  <c r="S137" i="23"/>
  <c r="S197" i="23" s="1"/>
  <c r="S140" i="23"/>
  <c r="S136" i="23"/>
  <c r="S196" i="23" s="1"/>
  <c r="S139" i="23"/>
  <c r="S142" i="23"/>
  <c r="S202" i="23" s="1"/>
  <c r="G233" i="23"/>
  <c r="G232" i="23"/>
  <c r="O98" i="23"/>
  <c r="V100" i="23"/>
  <c r="F233" i="23"/>
  <c r="F232" i="23"/>
  <c r="S233" i="23"/>
  <c r="S232" i="23"/>
  <c r="G269" i="23" l="1"/>
  <c r="G272" i="23"/>
  <c r="G270" i="23"/>
  <c r="G273" i="23"/>
  <c r="G275" i="23"/>
  <c r="G277" i="23"/>
  <c r="G278" i="23"/>
  <c r="D272" i="23"/>
  <c r="D269" i="23"/>
  <c r="D275" i="23"/>
  <c r="D270" i="23"/>
  <c r="D273" i="23"/>
  <c r="D277" i="23"/>
  <c r="D278" i="23"/>
  <c r="F269" i="23"/>
  <c r="F272" i="23"/>
  <c r="F275" i="23"/>
  <c r="F270" i="23"/>
  <c r="F273" i="23"/>
  <c r="F278" i="23"/>
  <c r="F277" i="23"/>
  <c r="E275" i="23"/>
  <c r="E269" i="23"/>
  <c r="E272" i="23"/>
  <c r="E270" i="23"/>
  <c r="E273" i="23"/>
  <c r="E277" i="23"/>
  <c r="E278" i="23"/>
  <c r="Z145" i="23"/>
  <c r="Z205" i="23" s="1"/>
  <c r="Y139" i="23"/>
  <c r="Y158" i="23" s="1"/>
  <c r="Y145" i="23"/>
  <c r="Y205" i="23" s="1"/>
  <c r="Y144" i="23"/>
  <c r="Y204" i="23" s="1"/>
  <c r="AA270" i="23"/>
  <c r="Y235" i="23"/>
  <c r="Y233" i="23"/>
  <c r="AA140" i="23"/>
  <c r="AA157" i="23" s="1"/>
  <c r="AA145" i="23"/>
  <c r="AA205" i="23" s="1"/>
  <c r="V272" i="23"/>
  <c r="Z142" i="23"/>
  <c r="Z202" i="23" s="1"/>
  <c r="Y136" i="23"/>
  <c r="Y196" i="23" s="1"/>
  <c r="V275" i="23"/>
  <c r="D708" i="22"/>
  <c r="AA144" i="23"/>
  <c r="AA204" i="23" s="1"/>
  <c r="Z140" i="23"/>
  <c r="Z157" i="23" s="1"/>
  <c r="V269" i="23"/>
  <c r="Z152" i="23"/>
  <c r="Z216" i="23" s="1"/>
  <c r="Z270" i="23"/>
  <c r="Z139" i="23"/>
  <c r="Z199" i="23" s="1"/>
  <c r="Y75" i="23"/>
  <c r="Y175" i="23" s="1"/>
  <c r="Y137" i="23"/>
  <c r="Y197" i="23" s="1"/>
  <c r="Z144" i="23"/>
  <c r="Z204" i="23" s="1"/>
  <c r="Z273" i="23"/>
  <c r="AA275" i="23"/>
  <c r="AA139" i="23"/>
  <c r="AA158" i="23" s="1"/>
  <c r="AA137" i="23"/>
  <c r="AA197" i="23" s="1"/>
  <c r="Z137" i="23"/>
  <c r="Z197" i="23" s="1"/>
  <c r="Z269" i="23"/>
  <c r="Y152" i="23"/>
  <c r="Y216" i="23" s="1"/>
  <c r="Z136" i="23"/>
  <c r="Z196" i="23" s="1"/>
  <c r="AA272" i="23"/>
  <c r="AA136" i="23"/>
  <c r="AA196" i="23" s="1"/>
  <c r="Y275" i="23"/>
  <c r="V270" i="23"/>
  <c r="AA142" i="23"/>
  <c r="AA202" i="23" s="1"/>
  <c r="Y269" i="23"/>
  <c r="Y273" i="23"/>
  <c r="Y272" i="23"/>
  <c r="AA152" i="23"/>
  <c r="AA153" i="23" s="1"/>
  <c r="Y270" i="23"/>
  <c r="T85" i="23"/>
  <c r="T185" i="23" s="1"/>
  <c r="T179" i="23"/>
  <c r="X270" i="23"/>
  <c r="X273" i="23"/>
  <c r="W272" i="23"/>
  <c r="X272" i="23"/>
  <c r="W270" i="23"/>
  <c r="W273" i="23"/>
  <c r="W275" i="23"/>
  <c r="W269" i="23"/>
  <c r="X269" i="23"/>
  <c r="U272" i="23"/>
  <c r="X275" i="23"/>
  <c r="U269" i="23"/>
  <c r="U273" i="23"/>
  <c r="AC232" i="23"/>
  <c r="AB270" i="23"/>
  <c r="AB273" i="23"/>
  <c r="AB275" i="23"/>
  <c r="AB269" i="23"/>
  <c r="AB272" i="23"/>
  <c r="AA273" i="23"/>
  <c r="U270" i="23"/>
  <c r="Z272" i="23"/>
  <c r="AB221" i="23"/>
  <c r="Z275" i="23"/>
  <c r="U275" i="23"/>
  <c r="AJ86" i="23"/>
  <c r="AJ92" i="23" s="1"/>
  <c r="AI92" i="23"/>
  <c r="AI88" i="23"/>
  <c r="AI186" i="23"/>
  <c r="AI250" i="23"/>
  <c r="AH88" i="23"/>
  <c r="AH186" i="23"/>
  <c r="AH250" i="23"/>
  <c r="AC249" i="23"/>
  <c r="L217" i="23"/>
  <c r="L221" i="23"/>
  <c r="L222" i="23"/>
  <c r="L179" i="23"/>
  <c r="L102" i="23"/>
  <c r="L243" i="23"/>
  <c r="AB217" i="23"/>
  <c r="I186" i="23"/>
  <c r="I250" i="23"/>
  <c r="I188" i="23"/>
  <c r="I252" i="23"/>
  <c r="AE86" i="23"/>
  <c r="AE92" i="23" s="1"/>
  <c r="AB153" i="23"/>
  <c r="D667" i="22"/>
  <c r="AD186" i="23"/>
  <c r="AD250" i="23"/>
  <c r="AD92" i="23"/>
  <c r="AA185" i="23"/>
  <c r="AA249" i="23"/>
  <c r="Z243" i="23"/>
  <c r="AD88" i="23"/>
  <c r="AB199" i="23"/>
  <c r="AB157" i="23"/>
  <c r="AC222" i="23"/>
  <c r="AC221" i="23"/>
  <c r="AC217" i="23"/>
  <c r="G202" i="23"/>
  <c r="Y142" i="23"/>
  <c r="Y202" i="23" s="1"/>
  <c r="Z179" i="23"/>
  <c r="AC102" i="23"/>
  <c r="H88" i="23"/>
  <c r="H185" i="23"/>
  <c r="H249" i="23"/>
  <c r="X239" i="23"/>
  <c r="X175" i="23"/>
  <c r="X79" i="23"/>
  <c r="D750" i="22"/>
  <c r="D748" i="22"/>
  <c r="AB185" i="23"/>
  <c r="AB249" i="23"/>
  <c r="Z86" i="23"/>
  <c r="Z185" i="23"/>
  <c r="Z249" i="23"/>
  <c r="G158" i="23"/>
  <c r="G199" i="23"/>
  <c r="X144" i="23"/>
  <c r="X204" i="23" s="1"/>
  <c r="X145" i="23"/>
  <c r="X205" i="23" s="1"/>
  <c r="X152" i="23"/>
  <c r="C836" i="22"/>
  <c r="X140" i="23"/>
  <c r="X137" i="23"/>
  <c r="X197" i="23" s="1"/>
  <c r="X136" i="23"/>
  <c r="X196" i="23" s="1"/>
  <c r="X139" i="23"/>
  <c r="X142" i="23"/>
  <c r="X202" i="23" s="1"/>
  <c r="E200" i="23"/>
  <c r="E157" i="23"/>
  <c r="F175" i="23"/>
  <c r="F239" i="23"/>
  <c r="F79" i="23"/>
  <c r="R200" i="23"/>
  <c r="R157" i="23"/>
  <c r="F216" i="23"/>
  <c r="F153" i="23"/>
  <c r="U233" i="23"/>
  <c r="U232" i="23"/>
  <c r="F202" i="23"/>
  <c r="U142" i="23"/>
  <c r="U202" i="23" s="1"/>
  <c r="W152" i="23"/>
  <c r="W144" i="23"/>
  <c r="W204" i="23" s="1"/>
  <c r="W145" i="23"/>
  <c r="W205" i="23" s="1"/>
  <c r="C879" i="22"/>
  <c r="W137" i="23"/>
  <c r="W197" i="23" s="1"/>
  <c r="W140" i="23"/>
  <c r="W139" i="23"/>
  <c r="W136" i="23"/>
  <c r="W196" i="23" s="1"/>
  <c r="W142" i="23"/>
  <c r="W202" i="23" s="1"/>
  <c r="S239" i="23"/>
  <c r="S175" i="23"/>
  <c r="S79" i="23"/>
  <c r="R216" i="23"/>
  <c r="R153" i="23"/>
  <c r="U199" i="23"/>
  <c r="U158" i="23"/>
  <c r="S200" i="23"/>
  <c r="S157" i="23"/>
  <c r="D216" i="23"/>
  <c r="D153" i="23"/>
  <c r="T199" i="23"/>
  <c r="T158" i="23"/>
  <c r="D239" i="23"/>
  <c r="D175" i="23"/>
  <c r="D79" i="23"/>
  <c r="G200" i="23"/>
  <c r="G157" i="23"/>
  <c r="C235" i="23"/>
  <c r="C267" i="23" s="1"/>
  <c r="C171" i="23"/>
  <c r="C75" i="23"/>
  <c r="O239" i="23"/>
  <c r="O175" i="23"/>
  <c r="O79" i="23"/>
  <c r="G216" i="23"/>
  <c r="G153" i="23"/>
  <c r="V152" i="23"/>
  <c r="V144" i="23"/>
  <c r="V204" i="23" s="1"/>
  <c r="V145" i="23"/>
  <c r="V205" i="23" s="1"/>
  <c r="V137" i="23"/>
  <c r="V197" i="23" s="1"/>
  <c r="C924" i="22"/>
  <c r="V140" i="23"/>
  <c r="V139" i="23"/>
  <c r="V136" i="23"/>
  <c r="V196" i="23" s="1"/>
  <c r="V142" i="23"/>
  <c r="V202" i="23" s="1"/>
  <c r="Q199" i="23"/>
  <c r="Q158" i="23"/>
  <c r="F199" i="23"/>
  <c r="F158" i="23"/>
  <c r="E153" i="23"/>
  <c r="E216" i="23"/>
  <c r="V249" i="23"/>
  <c r="V185" i="23"/>
  <c r="V86" i="23"/>
  <c r="V88" i="23" s="1"/>
  <c r="R199" i="23"/>
  <c r="R158" i="23"/>
  <c r="W239" i="23"/>
  <c r="W175" i="23"/>
  <c r="W79" i="23"/>
  <c r="U200" i="23"/>
  <c r="U157" i="23"/>
  <c r="S199" i="23"/>
  <c r="S158" i="23"/>
  <c r="Q216" i="23"/>
  <c r="Q153" i="23"/>
  <c r="S153" i="23"/>
  <c r="S216" i="23"/>
  <c r="C144" i="23"/>
  <c r="C204" i="23" s="1"/>
  <c r="C145" i="23"/>
  <c r="C205" i="23" s="1"/>
  <c r="C152" i="23"/>
  <c r="C137" i="23"/>
  <c r="C197" i="23" s="1"/>
  <c r="C140" i="23"/>
  <c r="C136" i="23"/>
  <c r="C196" i="23" s="1"/>
  <c r="C139" i="23"/>
  <c r="C142" i="23"/>
  <c r="C202" i="23" s="1"/>
  <c r="T200" i="23"/>
  <c r="T157" i="23"/>
  <c r="F157" i="23"/>
  <c r="F200" i="23"/>
  <c r="N239" i="23"/>
  <c r="N175" i="23"/>
  <c r="N79" i="23"/>
  <c r="E202" i="23"/>
  <c r="Q142" i="23"/>
  <c r="Q202" i="23" s="1"/>
  <c r="T216" i="23"/>
  <c r="T153" i="23"/>
  <c r="E239" i="23"/>
  <c r="E175" i="23"/>
  <c r="E79" i="23"/>
  <c r="D199" i="23"/>
  <c r="D158" i="23"/>
  <c r="U235" i="23"/>
  <c r="U171" i="23"/>
  <c r="U75" i="23"/>
  <c r="P249" i="23"/>
  <c r="P185" i="23"/>
  <c r="D232" i="23"/>
  <c r="G239" i="23"/>
  <c r="G175" i="23"/>
  <c r="G79" i="23"/>
  <c r="D200" i="23"/>
  <c r="D157" i="23"/>
  <c r="Q235" i="23"/>
  <c r="Q171" i="23"/>
  <c r="Q75" i="23"/>
  <c r="Y200" i="23"/>
  <c r="Y157" i="23"/>
  <c r="Q157" i="23"/>
  <c r="Q200" i="23"/>
  <c r="E199" i="23"/>
  <c r="E158" i="23"/>
  <c r="R243" i="23"/>
  <c r="R179" i="23"/>
  <c r="R85" i="23"/>
  <c r="Y232" i="23"/>
  <c r="U216" i="23"/>
  <c r="U153" i="23"/>
  <c r="V267" i="23" l="1"/>
  <c r="U267" i="23"/>
  <c r="V277" i="23"/>
  <c r="V278" i="23"/>
  <c r="U278" i="23"/>
  <c r="U277" i="23"/>
  <c r="Z267" i="23"/>
  <c r="Y267" i="23"/>
  <c r="AB267" i="23"/>
  <c r="AA267" i="23"/>
  <c r="C275" i="23"/>
  <c r="C269" i="23"/>
  <c r="C272" i="23"/>
  <c r="C270" i="23"/>
  <c r="C273" i="23"/>
  <c r="C277" i="23"/>
  <c r="C278" i="23"/>
  <c r="X267" i="23"/>
  <c r="W267" i="23"/>
  <c r="T267" i="23"/>
  <c r="S267" i="23"/>
  <c r="R267" i="23"/>
  <c r="Q267" i="23"/>
  <c r="Y199" i="23"/>
  <c r="T249" i="23"/>
  <c r="Z153" i="23"/>
  <c r="AA200" i="23"/>
  <c r="Z200" i="23"/>
  <c r="AJ88" i="23"/>
  <c r="AJ188" i="23" s="1"/>
  <c r="Y239" i="23"/>
  <c r="AJ250" i="23"/>
  <c r="Y79" i="23"/>
  <c r="AB102" i="23" s="1"/>
  <c r="Y153" i="23"/>
  <c r="Z158" i="23"/>
  <c r="AA199" i="23"/>
  <c r="AA216" i="23"/>
  <c r="AA222" i="23" s="1"/>
  <c r="AJ186" i="23"/>
  <c r="AK86" i="23"/>
  <c r="L88" i="23" s="1"/>
  <c r="AF86" i="23"/>
  <c r="AF250" i="23" s="1"/>
  <c r="AI252" i="23"/>
  <c r="AI188" i="23"/>
  <c r="AE88" i="23"/>
  <c r="AE188" i="23" s="1"/>
  <c r="AE250" i="23"/>
  <c r="AH188" i="23"/>
  <c r="AH252" i="23"/>
  <c r="AE186" i="23"/>
  <c r="L249" i="23"/>
  <c r="L185" i="23"/>
  <c r="AD188" i="23"/>
  <c r="AD252" i="23"/>
  <c r="H188" i="23"/>
  <c r="H252" i="23"/>
  <c r="H186" i="23"/>
  <c r="H250" i="23"/>
  <c r="Z222" i="23"/>
  <c r="Z221" i="23"/>
  <c r="Z217" i="23"/>
  <c r="X243" i="23"/>
  <c r="X179" i="23"/>
  <c r="X85" i="23"/>
  <c r="AA86" i="23"/>
  <c r="Z88" i="23"/>
  <c r="Z252" i="23" s="1"/>
  <c r="Z92" i="23"/>
  <c r="Z250" i="23"/>
  <c r="Z186" i="23"/>
  <c r="C216" i="23"/>
  <c r="C153" i="23"/>
  <c r="W216" i="23"/>
  <c r="W153" i="23"/>
  <c r="D217" i="23"/>
  <c r="D221" i="23"/>
  <c r="D222" i="23"/>
  <c r="R217" i="23"/>
  <c r="R221" i="23"/>
  <c r="R222" i="23"/>
  <c r="X200" i="23"/>
  <c r="X157" i="23"/>
  <c r="V250" i="23"/>
  <c r="V186" i="23"/>
  <c r="V92" i="23"/>
  <c r="W158" i="23"/>
  <c r="W199" i="23"/>
  <c r="D831" i="22"/>
  <c r="D833" i="22"/>
  <c r="U239" i="23"/>
  <c r="U175" i="23"/>
  <c r="U79" i="23"/>
  <c r="U102" i="23" s="1"/>
  <c r="V216" i="23"/>
  <c r="V153" i="23"/>
  <c r="N102" i="23"/>
  <c r="W200" i="23"/>
  <c r="W157" i="23"/>
  <c r="X216" i="23"/>
  <c r="X153" i="23"/>
  <c r="C239" i="23"/>
  <c r="C175" i="23"/>
  <c r="C79" i="23"/>
  <c r="T217" i="23"/>
  <c r="T221" i="23"/>
  <c r="T222" i="23"/>
  <c r="C199" i="23"/>
  <c r="C158" i="23"/>
  <c r="W243" i="23"/>
  <c r="W179" i="23"/>
  <c r="W85" i="23"/>
  <c r="S217" i="23"/>
  <c r="S221" i="23"/>
  <c r="S222" i="23"/>
  <c r="U217" i="23"/>
  <c r="U222" i="23"/>
  <c r="U221" i="23"/>
  <c r="V199" i="23"/>
  <c r="V158" i="23"/>
  <c r="Y217" i="23"/>
  <c r="Y221" i="23"/>
  <c r="Y222" i="23"/>
  <c r="S243" i="23"/>
  <c r="S179" i="23"/>
  <c r="S85" i="23"/>
  <c r="D874" i="22"/>
  <c r="D876" i="22"/>
  <c r="R249" i="23"/>
  <c r="R185" i="23"/>
  <c r="R86" i="23"/>
  <c r="R88" i="23" s="1"/>
  <c r="N243" i="23"/>
  <c r="N179" i="23"/>
  <c r="N85" i="23"/>
  <c r="Q239" i="23"/>
  <c r="Q175" i="23"/>
  <c r="Q79" i="23"/>
  <c r="E217" i="23"/>
  <c r="E221" i="23"/>
  <c r="E222" i="23"/>
  <c r="G217" i="23"/>
  <c r="G221" i="23"/>
  <c r="G222" i="23"/>
  <c r="C200" i="23"/>
  <c r="C157" i="23"/>
  <c r="Q217" i="23"/>
  <c r="Q221" i="23"/>
  <c r="Q222" i="23"/>
  <c r="V157" i="23"/>
  <c r="V200" i="23"/>
  <c r="F217" i="23"/>
  <c r="F221" i="23"/>
  <c r="F222" i="23"/>
  <c r="X199" i="23"/>
  <c r="X158" i="23"/>
  <c r="G243" i="23"/>
  <c r="G179" i="23"/>
  <c r="G102" i="23"/>
  <c r="G85" i="23"/>
  <c r="V252" i="23"/>
  <c r="V188" i="23"/>
  <c r="E243" i="23"/>
  <c r="E179" i="23"/>
  <c r="E102" i="23"/>
  <c r="E85" i="23"/>
  <c r="D919" i="22"/>
  <c r="D921" i="22"/>
  <c r="O243" i="23"/>
  <c r="O179" i="23"/>
  <c r="O85" i="23"/>
  <c r="D243" i="23"/>
  <c r="D179" i="23"/>
  <c r="D85" i="23"/>
  <c r="D102" i="23"/>
  <c r="F243" i="23"/>
  <c r="F179" i="23"/>
  <c r="F102" i="23"/>
  <c r="F85" i="23"/>
  <c r="Z278" i="23" l="1"/>
  <c r="Z277" i="23"/>
  <c r="Y277" i="23"/>
  <c r="Y278" i="23"/>
  <c r="AB277" i="23"/>
  <c r="AB278" i="23"/>
  <c r="AA278" i="23"/>
  <c r="AA277" i="23"/>
  <c r="X277" i="23"/>
  <c r="X278" i="23"/>
  <c r="W278" i="23"/>
  <c r="W277" i="23"/>
  <c r="T277" i="23"/>
  <c r="T278" i="23"/>
  <c r="S278" i="23"/>
  <c r="S277" i="23"/>
  <c r="R278" i="23"/>
  <c r="R277" i="23"/>
  <c r="Q278" i="23"/>
  <c r="Q277" i="23"/>
  <c r="Y85" i="23"/>
  <c r="Y179" i="23"/>
  <c r="AA221" i="23"/>
  <c r="Y243" i="23"/>
  <c r="AJ252" i="23"/>
  <c r="Z102" i="23"/>
  <c r="Y102" i="23"/>
  <c r="AA102" i="23"/>
  <c r="AF186" i="23"/>
  <c r="AA217" i="23"/>
  <c r="AG86" i="23"/>
  <c r="AG88" i="23" s="1"/>
  <c r="AK186" i="23"/>
  <c r="AK250" i="23"/>
  <c r="AK88" i="23"/>
  <c r="AE252" i="23"/>
  <c r="L186" i="23"/>
  <c r="AF92" i="23"/>
  <c r="AF88" i="23"/>
  <c r="AF252" i="23" s="1"/>
  <c r="Z188" i="23"/>
  <c r="AA92" i="23"/>
  <c r="V102" i="23"/>
  <c r="P102" i="23"/>
  <c r="X249" i="23"/>
  <c r="X185" i="23"/>
  <c r="AB86" i="23"/>
  <c r="AB92" i="23" s="1"/>
  <c r="AA88" i="23"/>
  <c r="AA186" i="23"/>
  <c r="AA250" i="23"/>
  <c r="R252" i="23"/>
  <c r="R188" i="23"/>
  <c r="C243" i="23"/>
  <c r="C102" i="23"/>
  <c r="C179" i="23"/>
  <c r="C85" i="23"/>
  <c r="G249" i="23"/>
  <c r="G185" i="23"/>
  <c r="G86" i="23"/>
  <c r="G88" i="23" s="1"/>
  <c r="Q243" i="23"/>
  <c r="T102" i="23"/>
  <c r="Q179" i="23"/>
  <c r="Q85" i="23"/>
  <c r="S102" i="23"/>
  <c r="W249" i="23"/>
  <c r="W86" i="23"/>
  <c r="X86" i="23" s="1"/>
  <c r="W185" i="23"/>
  <c r="O102" i="23"/>
  <c r="F249" i="23"/>
  <c r="F185" i="23"/>
  <c r="F86" i="23"/>
  <c r="R250" i="23"/>
  <c r="R186" i="23"/>
  <c r="R92" i="23"/>
  <c r="X217" i="23"/>
  <c r="X222" i="23"/>
  <c r="X221" i="23"/>
  <c r="Q102" i="23"/>
  <c r="V217" i="23"/>
  <c r="V221" i="23"/>
  <c r="V222" i="23"/>
  <c r="W217" i="23"/>
  <c r="W222" i="23"/>
  <c r="W221" i="23"/>
  <c r="O249" i="23"/>
  <c r="O185" i="23"/>
  <c r="R102" i="23"/>
  <c r="N249" i="23"/>
  <c r="N185" i="23"/>
  <c r="N86" i="23"/>
  <c r="D249" i="23"/>
  <c r="D185" i="23"/>
  <c r="D86" i="23"/>
  <c r="D88" i="23" s="1"/>
  <c r="U243" i="23"/>
  <c r="U179" i="23"/>
  <c r="X102" i="23"/>
  <c r="U85" i="23"/>
  <c r="W102" i="23"/>
  <c r="E249" i="23"/>
  <c r="E185" i="23"/>
  <c r="E86" i="23"/>
  <c r="E88" i="23" s="1"/>
  <c r="S185" i="23"/>
  <c r="S249" i="23"/>
  <c r="S86" i="23"/>
  <c r="T86" i="23" s="1"/>
  <c r="C217" i="23"/>
  <c r="C222" i="23"/>
  <c r="C221" i="23"/>
  <c r="Y249" i="23" l="1"/>
  <c r="Y185" i="23"/>
  <c r="O86" i="23"/>
  <c r="AG186" i="23"/>
  <c r="AG250" i="23"/>
  <c r="AF188" i="23"/>
  <c r="AK188" i="23"/>
  <c r="AK252" i="23"/>
  <c r="AG188" i="23"/>
  <c r="L250" i="23"/>
  <c r="AG252" i="23"/>
  <c r="AC86" i="23"/>
  <c r="W88" i="23"/>
  <c r="W252" i="23" s="1"/>
  <c r="N88" i="23"/>
  <c r="N252" i="23" s="1"/>
  <c r="P86" i="23"/>
  <c r="P250" i="23" s="1"/>
  <c r="C626" i="22"/>
  <c r="AB250" i="23"/>
  <c r="AB186" i="23"/>
  <c r="AB88" i="23"/>
  <c r="AA252" i="23"/>
  <c r="AA188" i="23"/>
  <c r="E252" i="23"/>
  <c r="E188" i="23"/>
  <c r="D252" i="23"/>
  <c r="D188" i="23"/>
  <c r="F250" i="23"/>
  <c r="F186" i="23"/>
  <c r="U86" i="23"/>
  <c r="U88" i="23" s="1"/>
  <c r="F92" i="23"/>
  <c r="Q249" i="23"/>
  <c r="Q185" i="23"/>
  <c r="E250" i="23"/>
  <c r="E186" i="23"/>
  <c r="E92" i="23"/>
  <c r="X250" i="23"/>
  <c r="X186" i="23"/>
  <c r="X92" i="23"/>
  <c r="X88" i="23"/>
  <c r="C249" i="23"/>
  <c r="C185" i="23"/>
  <c r="C86" i="23"/>
  <c r="C88" i="23" s="1"/>
  <c r="T250" i="23"/>
  <c r="T186" i="23"/>
  <c r="T92" i="23"/>
  <c r="T88" i="23"/>
  <c r="U249" i="23"/>
  <c r="U185" i="23"/>
  <c r="G252" i="23"/>
  <c r="G188" i="23"/>
  <c r="F88" i="23"/>
  <c r="D250" i="23"/>
  <c r="D186" i="23"/>
  <c r="D92" i="23"/>
  <c r="S250" i="23"/>
  <c r="S186" i="23"/>
  <c r="S92" i="23"/>
  <c r="S88" i="23"/>
  <c r="N250" i="23"/>
  <c r="N186" i="23"/>
  <c r="N92" i="23"/>
  <c r="W250" i="23"/>
  <c r="W186" i="23"/>
  <c r="W92" i="23"/>
  <c r="G250" i="23"/>
  <c r="G186" i="23"/>
  <c r="Y86" i="23"/>
  <c r="G92" i="23"/>
  <c r="O88" i="23" l="1"/>
  <c r="O250" i="23"/>
  <c r="O186" i="23"/>
  <c r="O92" i="23"/>
  <c r="AO186" i="23"/>
  <c r="AO250" i="23"/>
  <c r="AO88" i="23"/>
  <c r="L252" i="23"/>
  <c r="L188" i="23"/>
  <c r="AC88" i="23"/>
  <c r="AC250" i="23"/>
  <c r="AC186" i="23"/>
  <c r="W188" i="23"/>
  <c r="Q86" i="23"/>
  <c r="Q88" i="23" s="1"/>
  <c r="Q188" i="23" s="1"/>
  <c r="P88" i="23"/>
  <c r="P188" i="23" s="1"/>
  <c r="P186" i="23"/>
  <c r="P92" i="23"/>
  <c r="N89" i="23"/>
  <c r="N188" i="23"/>
  <c r="D626" i="22"/>
  <c r="C628" i="22"/>
  <c r="AB252" i="23"/>
  <c r="AB188" i="23"/>
  <c r="U252" i="23"/>
  <c r="U188" i="23"/>
  <c r="X252" i="23"/>
  <c r="X188" i="23"/>
  <c r="Y250" i="23"/>
  <c r="Y186" i="23"/>
  <c r="Y88" i="23"/>
  <c r="U250" i="23"/>
  <c r="U186" i="23"/>
  <c r="C252" i="23"/>
  <c r="C188" i="23"/>
  <c r="C89" i="23"/>
  <c r="C250" i="23"/>
  <c r="C186" i="23"/>
  <c r="C92" i="23"/>
  <c r="S252" i="23"/>
  <c r="S188" i="23"/>
  <c r="F252" i="23"/>
  <c r="F188" i="23"/>
  <c r="T252" i="23"/>
  <c r="T188" i="23"/>
  <c r="O188" i="23" l="1"/>
  <c r="O252" i="23"/>
  <c r="AO252" i="23"/>
  <c r="AO188" i="23"/>
  <c r="N91" i="23"/>
  <c r="AC188" i="23"/>
  <c r="AC252" i="23"/>
  <c r="Q252" i="23"/>
  <c r="P252" i="23"/>
  <c r="Q186" i="23"/>
  <c r="Q250" i="23"/>
  <c r="O89" i="23"/>
  <c r="O91" i="23" s="1"/>
  <c r="Y252" i="23"/>
  <c r="Y188" i="23"/>
  <c r="D89" i="23"/>
  <c r="C91" i="23"/>
  <c r="P89" i="23" l="1"/>
  <c r="P91" i="23" s="1"/>
  <c r="E89" i="23"/>
  <c r="D91" i="23"/>
  <c r="Q89" i="23" l="1"/>
  <c r="R89" i="23" s="1"/>
  <c r="E91" i="23"/>
  <c r="F89" i="23"/>
  <c r="Q91" i="23" l="1"/>
  <c r="F91" i="23"/>
  <c r="G89" i="23"/>
  <c r="H89" i="23" s="1"/>
  <c r="I89" i="23" s="1"/>
  <c r="R91" i="23"/>
  <c r="S89" i="23"/>
  <c r="J89" i="23" l="1"/>
  <c r="AH89" i="23"/>
  <c r="G91" i="23"/>
  <c r="S91" i="23"/>
  <c r="T89" i="23"/>
  <c r="J91" i="23" l="1"/>
  <c r="K89" i="23"/>
  <c r="K91" i="23" s="1"/>
  <c r="H91" i="23"/>
  <c r="I91" i="23"/>
  <c r="T91" i="23"/>
  <c r="U89" i="23"/>
  <c r="U91" i="23" l="1"/>
  <c r="V89" i="23"/>
  <c r="V91" i="23" l="1"/>
  <c r="W89" i="23"/>
  <c r="W91" i="23" l="1"/>
  <c r="X89" i="23"/>
  <c r="Y89" i="23" l="1"/>
  <c r="X91" i="23"/>
  <c r="Z89" i="23" l="1"/>
  <c r="AA89" i="23" s="1"/>
  <c r="Y91" i="23"/>
  <c r="Z91" i="23" l="1"/>
  <c r="AA91" i="23"/>
  <c r="AB89" i="23"/>
  <c r="AB91" i="23" l="1"/>
  <c r="AC89" i="23"/>
  <c r="AD89" i="23" l="1"/>
  <c r="AC91" i="23"/>
  <c r="AE89" i="23" l="1"/>
  <c r="AF89" i="23" s="1"/>
  <c r="AD91" i="23"/>
  <c r="AE91" i="23" l="1"/>
  <c r="AF91" i="23" l="1"/>
  <c r="AG89" i="23"/>
  <c r="AG91" i="23" l="1"/>
  <c r="AI89" i="23"/>
  <c r="AI91" i="23" l="1"/>
  <c r="AJ89" i="23"/>
  <c r="AH91" i="23"/>
  <c r="AJ91" i="23" l="1"/>
  <c r="AK89" i="23"/>
  <c r="AL89" i="23" l="1"/>
  <c r="AL91" i="23" s="1"/>
  <c r="L91" i="23"/>
  <c r="AM89" i="23"/>
  <c r="AN89" i="23" s="1"/>
  <c r="AO89" i="23" s="1"/>
  <c r="AP89" i="23" s="1"/>
  <c r="AP91" i="23" s="1"/>
  <c r="AK91" i="23"/>
  <c r="AM91" i="23" l="1"/>
  <c r="AN91" i="23" l="1"/>
  <c r="AO91"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CRISIL</author>
    <author>Vivek Panchal</author>
  </authors>
  <commentList>
    <comment ref="C37" authorId="0" shapeId="0" xr:uid="{306778BA-11BF-4EE7-AF7B-E42585D3215B}">
      <text>
        <r>
          <rPr>
            <b/>
            <sz val="9"/>
            <color indexed="81"/>
            <rFont val="Tahoma"/>
            <family val="2"/>
          </rPr>
          <t>CRISIL:</t>
        </r>
        <r>
          <rPr>
            <sz val="9"/>
            <color indexed="81"/>
            <rFont val="Tahoma"/>
            <family val="2"/>
          </rPr>
          <t xml:space="preserve">
from filing</t>
        </r>
      </text>
    </comment>
    <comment ref="C47" authorId="0" shapeId="0" xr:uid="{3DE63A54-F899-449E-A1D0-B5ED26545771}">
      <text>
        <r>
          <rPr>
            <b/>
            <sz val="9"/>
            <color indexed="81"/>
            <rFont val="Tahoma"/>
            <family val="2"/>
          </rPr>
          <t>CRISIL:</t>
        </r>
        <r>
          <rPr>
            <sz val="9"/>
            <color indexed="81"/>
            <rFont val="Tahoma"/>
            <family val="2"/>
          </rPr>
          <t xml:space="preserve">
from filing</t>
        </r>
      </text>
    </comment>
    <comment ref="I61" authorId="0" shapeId="0" xr:uid="{4428812C-F7B6-4537-9F2A-4A7578413A11}">
      <text>
        <r>
          <rPr>
            <b/>
            <sz val="9"/>
            <color indexed="81"/>
            <rFont val="Tahoma"/>
            <charset val="1"/>
          </rPr>
          <t>CRISIL:</t>
        </r>
        <r>
          <rPr>
            <sz val="9"/>
            <color indexed="81"/>
            <rFont val="Tahoma"/>
            <charset val="1"/>
          </rPr>
          <t xml:space="preserve">
exlcudes leases</t>
        </r>
      </text>
    </comment>
    <comment ref="C92" authorId="0" shapeId="0" xr:uid="{B6F247D1-F6A8-477D-80B8-FD788740D9BC}">
      <text>
        <r>
          <rPr>
            <b/>
            <sz val="9"/>
            <color indexed="81"/>
            <rFont val="Tahoma"/>
            <family val="2"/>
          </rPr>
          <t>CRISIL:</t>
        </r>
        <r>
          <rPr>
            <sz val="9"/>
            <color indexed="81"/>
            <rFont val="Tahoma"/>
            <family val="2"/>
          </rPr>
          <t xml:space="preserve">
from filing</t>
        </r>
      </text>
    </comment>
    <comment ref="C101" authorId="0" shapeId="0" xr:uid="{72A4A81A-1273-4B1F-BF2C-887FAC179E51}">
      <text>
        <r>
          <rPr>
            <b/>
            <sz val="9"/>
            <color indexed="81"/>
            <rFont val="Tahoma"/>
            <family val="2"/>
          </rPr>
          <t>CRISIL:</t>
        </r>
        <r>
          <rPr>
            <sz val="9"/>
            <color indexed="81"/>
            <rFont val="Tahoma"/>
            <family val="2"/>
          </rPr>
          <t xml:space="preserve">
from filing</t>
        </r>
      </text>
    </comment>
    <comment ref="C145" authorId="0" shapeId="0" xr:uid="{9C5A46AE-BFBA-4BF0-BFD2-718D4B89ED36}">
      <text>
        <r>
          <rPr>
            <b/>
            <sz val="9"/>
            <color indexed="81"/>
            <rFont val="Tahoma"/>
            <family val="2"/>
          </rPr>
          <t>CRISIL:</t>
        </r>
        <r>
          <rPr>
            <sz val="9"/>
            <color indexed="81"/>
            <rFont val="Tahoma"/>
            <family val="2"/>
          </rPr>
          <t xml:space="preserve">
from filing</t>
        </r>
      </text>
    </comment>
    <comment ref="C155" authorId="0" shapeId="0" xr:uid="{7E460338-44C0-4002-9974-F531724185A0}">
      <text>
        <r>
          <rPr>
            <b/>
            <sz val="9"/>
            <color indexed="81"/>
            <rFont val="Tahoma"/>
            <family val="2"/>
          </rPr>
          <t>CRISIL:</t>
        </r>
        <r>
          <rPr>
            <sz val="9"/>
            <color indexed="81"/>
            <rFont val="Tahoma"/>
            <family val="2"/>
          </rPr>
          <t xml:space="preserve">
from filing</t>
        </r>
      </text>
    </comment>
    <comment ref="C198" authorId="0" shapeId="0" xr:uid="{D6F52988-AB54-4101-BD19-169C947AE511}">
      <text>
        <r>
          <rPr>
            <b/>
            <sz val="9"/>
            <color indexed="81"/>
            <rFont val="Tahoma"/>
            <family val="2"/>
          </rPr>
          <t>CRISIL:</t>
        </r>
        <r>
          <rPr>
            <sz val="9"/>
            <color indexed="81"/>
            <rFont val="Tahoma"/>
            <family val="2"/>
          </rPr>
          <t xml:space="preserve">
from filing</t>
        </r>
      </text>
    </comment>
    <comment ref="C207" authorId="0" shapeId="0" xr:uid="{0CD2F07D-EC66-4ABD-A3D3-2AB532289666}">
      <text>
        <r>
          <rPr>
            <b/>
            <sz val="9"/>
            <color indexed="81"/>
            <rFont val="Tahoma"/>
            <family val="2"/>
          </rPr>
          <t>CRISIL:</t>
        </r>
        <r>
          <rPr>
            <sz val="9"/>
            <color indexed="81"/>
            <rFont val="Tahoma"/>
            <family val="2"/>
          </rPr>
          <t xml:space="preserve">
from filing</t>
        </r>
      </text>
    </comment>
    <comment ref="C249" authorId="0" shapeId="0" xr:uid="{C3837E73-4476-4B23-9F34-0A3C9554623E}">
      <text>
        <r>
          <rPr>
            <b/>
            <sz val="9"/>
            <color indexed="81"/>
            <rFont val="Tahoma"/>
            <family val="2"/>
          </rPr>
          <t>CRISIL:</t>
        </r>
        <r>
          <rPr>
            <sz val="9"/>
            <color indexed="81"/>
            <rFont val="Tahoma"/>
            <family val="2"/>
          </rPr>
          <t xml:space="preserve">
from filing</t>
        </r>
      </text>
    </comment>
    <comment ref="C258" authorId="0" shapeId="0" xr:uid="{3F3B8507-9ECC-4B39-B64A-B3587C5871AA}">
      <text>
        <r>
          <rPr>
            <b/>
            <sz val="9"/>
            <color indexed="81"/>
            <rFont val="Tahoma"/>
            <family val="2"/>
          </rPr>
          <t>CRISIL:</t>
        </r>
        <r>
          <rPr>
            <sz val="9"/>
            <color indexed="81"/>
            <rFont val="Tahoma"/>
            <family val="2"/>
          </rPr>
          <t xml:space="preserve">
from filing</t>
        </r>
      </text>
    </comment>
    <comment ref="C344" authorId="1" shapeId="0" xr:uid="{D67B8854-F640-4219-B8C7-C9C4F94303D7}">
      <text>
        <r>
          <rPr>
            <b/>
            <sz val="9"/>
            <color indexed="81"/>
            <rFont val="Tahoma"/>
            <family val="2"/>
          </rPr>
          <t>Debt maturity table is not available in this quarter's filing, hence BBG number used</t>
        </r>
      </text>
    </comment>
    <comment ref="C386" authorId="1" shapeId="0" xr:uid="{E32B1733-CB80-4798-81F4-6FCAA72C2385}">
      <text>
        <r>
          <rPr>
            <b/>
            <sz val="9"/>
            <color indexed="81"/>
            <rFont val="Tahoma"/>
            <family val="2"/>
          </rPr>
          <t>Debt maturity table is not available in this quarter's filing, hence BBG number used</t>
        </r>
      </text>
    </comment>
    <comment ref="C428" authorId="1" shapeId="0" xr:uid="{28FA57F2-9E10-483F-BCE9-2257035CBB72}">
      <text>
        <r>
          <rPr>
            <b/>
            <sz val="9"/>
            <color indexed="81"/>
            <rFont val="Tahoma"/>
            <family val="2"/>
          </rPr>
          <t>Debt maturity table is not available in this quarter's filing, hence BBG number used</t>
        </r>
      </text>
    </comment>
    <comment ref="C512" authorId="1" shapeId="0" xr:uid="{66B7F166-95C2-4EC5-B62D-B54B46A52EDB}">
      <text>
        <r>
          <rPr>
            <b/>
            <sz val="9"/>
            <color indexed="81"/>
            <rFont val="Tahoma"/>
            <family val="2"/>
          </rPr>
          <t>Debt maturity table is not available in this quarter's filing, hence BBG number used</t>
        </r>
      </text>
    </comment>
    <comment ref="C554" authorId="1" shapeId="0" xr:uid="{42EF0607-6626-4FB3-98D0-3B501D4B0CA3}">
      <text>
        <r>
          <rPr>
            <b/>
            <sz val="9"/>
            <color indexed="81"/>
            <rFont val="Tahoma"/>
            <family val="2"/>
          </rPr>
          <t>Debt maturity table is not available in this quarter's filing, hence BBG number used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CRISIL</author>
    <author>CRISIL GR&amp;RS</author>
    <author>Vivek Panchal</author>
    <author>CRISIL Ltd</author>
    <author>Shruti Gupta</author>
    <author>Crisil Intergral IQ</author>
  </authors>
  <commentList>
    <comment ref="K7" authorId="0" shapeId="0" xr:uid="{9BECB925-0231-4D2F-B15D-9A97A0D6A493}">
      <text>
        <r>
          <rPr>
            <b/>
            <sz val="9"/>
            <color indexed="81"/>
            <rFont val="Tahoma"/>
            <charset val="1"/>
          </rPr>
          <t>CRISIL:</t>
        </r>
        <r>
          <rPr>
            <sz val="9"/>
            <color indexed="81"/>
            <rFont val="Tahoma"/>
            <charset val="1"/>
          </rPr>
          <t xml:space="preserve">
from FS</t>
        </r>
      </text>
    </comment>
    <comment ref="AP7" authorId="0" shapeId="0" xr:uid="{5DBCEEC8-2FE5-49A0-B245-028541E00F06}">
      <text>
        <r>
          <rPr>
            <b/>
            <sz val="9"/>
            <color indexed="81"/>
            <rFont val="Tahoma"/>
            <charset val="1"/>
          </rPr>
          <t>CRISIL:</t>
        </r>
        <r>
          <rPr>
            <sz val="9"/>
            <color indexed="81"/>
            <rFont val="Tahoma"/>
            <charset val="1"/>
          </rPr>
          <t xml:space="preserve">
from FS</t>
        </r>
      </text>
    </comment>
    <comment ref="AH16" authorId="1" shapeId="0" xr:uid="{55671216-2E3A-4770-9421-8E8B628A426F}">
      <text>
        <r>
          <rPr>
            <b/>
            <sz val="9"/>
            <color indexed="81"/>
            <rFont val="Tahoma"/>
            <family val="2"/>
          </rPr>
          <t>CRISIL GR&amp;RS:</t>
        </r>
        <r>
          <rPr>
            <sz val="9"/>
            <color indexed="81"/>
            <rFont val="Tahoma"/>
            <family val="2"/>
          </rPr>
          <t xml:space="preserve">
Includes Share-based compensation expense</t>
        </r>
      </text>
    </comment>
    <comment ref="AA26" authorId="2" shapeId="0" xr:uid="{69DA6A85-827C-477D-9A0F-B6B6C6482C11}">
      <text>
        <r>
          <rPr>
            <b/>
            <sz val="9"/>
            <color indexed="81"/>
            <rFont val="Tahoma"/>
            <family val="2"/>
          </rPr>
          <t xml:space="preserve">Restated
</t>
        </r>
      </text>
    </comment>
    <comment ref="C57" authorId="3" shapeId="0" xr:uid="{00000000-0006-0000-0100-000001000000}">
      <text>
        <r>
          <rPr>
            <b/>
            <sz val="9"/>
            <color indexed="81"/>
            <rFont val="Tahoma"/>
            <family val="2"/>
          </rPr>
          <t>CRISIL Ltd:</t>
        </r>
        <r>
          <rPr>
            <sz val="9"/>
            <color indexed="81"/>
            <rFont val="Tahoma"/>
            <family val="2"/>
          </rPr>
          <t xml:space="preserve">
Includes: Long-term incentive (non-cash) </t>
        </r>
      </text>
    </comment>
    <comment ref="D57" authorId="3" shapeId="0" xr:uid="{00000000-0006-0000-0100-000002000000}">
      <text>
        <r>
          <rPr>
            <b/>
            <sz val="9"/>
            <color indexed="81"/>
            <rFont val="Tahoma"/>
            <family val="2"/>
          </rPr>
          <t>CRISIL Ltd:</t>
        </r>
        <r>
          <rPr>
            <sz val="9"/>
            <color indexed="81"/>
            <rFont val="Tahoma"/>
            <family val="2"/>
          </rPr>
          <t xml:space="preserve">
Includes: Long-term incentive (non-cash) </t>
        </r>
      </text>
    </comment>
    <comment ref="E57" authorId="3" shapeId="0" xr:uid="{00000000-0006-0000-0100-000003000000}">
      <text>
        <r>
          <rPr>
            <b/>
            <sz val="9"/>
            <color indexed="81"/>
            <rFont val="Tahoma"/>
            <family val="2"/>
          </rPr>
          <t>CRISIL Ltd:</t>
        </r>
        <r>
          <rPr>
            <sz val="9"/>
            <color indexed="81"/>
            <rFont val="Tahoma"/>
            <family val="2"/>
          </rPr>
          <t xml:space="preserve">
Includes: Long-term incentive (non-cash) </t>
        </r>
      </text>
    </comment>
    <comment ref="F57" authorId="3" shapeId="0" xr:uid="{00000000-0006-0000-0100-000004000000}">
      <text>
        <r>
          <rPr>
            <b/>
            <sz val="9"/>
            <color indexed="81"/>
            <rFont val="Tahoma"/>
            <family val="2"/>
          </rPr>
          <t>CRISIL Ltd:</t>
        </r>
        <r>
          <rPr>
            <sz val="9"/>
            <color indexed="81"/>
            <rFont val="Tahoma"/>
            <family val="2"/>
          </rPr>
          <t xml:space="preserve">
Includes: Long-term incentive (non-cash) </t>
        </r>
      </text>
    </comment>
    <comment ref="G57" authorId="3" shapeId="0" xr:uid="{FC6043F5-7532-4235-BB38-FCFE3C53E95C}">
      <text>
        <r>
          <rPr>
            <b/>
            <sz val="9"/>
            <color indexed="81"/>
            <rFont val="Tahoma"/>
            <family val="2"/>
          </rPr>
          <t>CRISIL Ltd:</t>
        </r>
        <r>
          <rPr>
            <sz val="9"/>
            <color indexed="81"/>
            <rFont val="Tahoma"/>
            <family val="2"/>
          </rPr>
          <t xml:space="preserve">
Includes: Long-term incentive (non-cash) </t>
        </r>
      </text>
    </comment>
    <comment ref="H57" authorId="3" shapeId="0" xr:uid="{8B0B4D65-77C7-4085-8F5C-563802AA9A1E}">
      <text>
        <r>
          <rPr>
            <b/>
            <sz val="9"/>
            <color indexed="81"/>
            <rFont val="Tahoma"/>
            <family val="2"/>
          </rPr>
          <t>CRISIL Ltd:</t>
        </r>
        <r>
          <rPr>
            <sz val="9"/>
            <color indexed="81"/>
            <rFont val="Tahoma"/>
            <family val="2"/>
          </rPr>
          <t xml:space="preserve">
Includes: Long-term incentive (non-cash) </t>
        </r>
      </text>
    </comment>
    <comment ref="I57" authorId="3" shapeId="0" xr:uid="{837C2F0D-46DE-44E9-8EA3-57B46A225B98}">
      <text>
        <r>
          <rPr>
            <b/>
            <sz val="9"/>
            <color indexed="81"/>
            <rFont val="Tahoma"/>
            <family val="2"/>
          </rPr>
          <t>CRISIL Ltd:</t>
        </r>
        <r>
          <rPr>
            <sz val="9"/>
            <color indexed="81"/>
            <rFont val="Tahoma"/>
            <family val="2"/>
          </rPr>
          <t xml:space="preserve">
Includes: Long-term incentive (non-cash) </t>
        </r>
      </text>
    </comment>
    <comment ref="J57" authorId="3" shapeId="0" xr:uid="{44463E98-D241-40E6-8D00-C5D0D1B30078}">
      <text>
        <r>
          <rPr>
            <b/>
            <sz val="9"/>
            <color indexed="81"/>
            <rFont val="Tahoma"/>
            <family val="2"/>
          </rPr>
          <t>CRISIL Ltd:</t>
        </r>
        <r>
          <rPr>
            <sz val="9"/>
            <color indexed="81"/>
            <rFont val="Tahoma"/>
            <family val="2"/>
          </rPr>
          <t xml:space="preserve">
Includes: Long-term incentive (non-cash) </t>
        </r>
      </text>
    </comment>
    <comment ref="K57" authorId="3" shapeId="0" xr:uid="{2FA5BA72-5498-4E05-B8EE-062BCC73F23E}">
      <text>
        <r>
          <rPr>
            <b/>
            <sz val="9"/>
            <color indexed="81"/>
            <rFont val="Tahoma"/>
            <family val="2"/>
          </rPr>
          <t>CRISIL Ltd:</t>
        </r>
        <r>
          <rPr>
            <sz val="9"/>
            <color indexed="81"/>
            <rFont val="Tahoma"/>
            <family val="2"/>
          </rPr>
          <t xml:space="preserve">
Includes: Long-term incentive (non-cash) </t>
        </r>
      </text>
    </comment>
    <comment ref="N57" authorId="3" shapeId="0" xr:uid="{00000000-0006-0000-0100-000005000000}">
      <text>
        <r>
          <rPr>
            <b/>
            <sz val="9"/>
            <color indexed="81"/>
            <rFont val="Tahoma"/>
            <family val="2"/>
          </rPr>
          <t>CRISIL Ltd:</t>
        </r>
        <r>
          <rPr>
            <sz val="9"/>
            <color indexed="81"/>
            <rFont val="Tahoma"/>
            <family val="2"/>
          </rPr>
          <t xml:space="preserve">
Includes: Long-term incentive (non-cash) </t>
        </r>
      </text>
    </comment>
    <comment ref="O57" authorId="3" shapeId="0" xr:uid="{00000000-0006-0000-0100-000006000000}">
      <text>
        <r>
          <rPr>
            <b/>
            <sz val="9"/>
            <color indexed="81"/>
            <rFont val="Tahoma"/>
            <family val="2"/>
          </rPr>
          <t>CRISIL Ltd:</t>
        </r>
        <r>
          <rPr>
            <sz val="9"/>
            <color indexed="81"/>
            <rFont val="Tahoma"/>
            <family val="2"/>
          </rPr>
          <t xml:space="preserve">
Includes: Long-term incentive (non-cash) </t>
        </r>
      </text>
    </comment>
    <comment ref="P57" authorId="3" shapeId="0" xr:uid="{00000000-0006-0000-0100-000007000000}">
      <text>
        <r>
          <rPr>
            <b/>
            <sz val="9"/>
            <color indexed="81"/>
            <rFont val="Tahoma"/>
            <family val="2"/>
          </rPr>
          <t>CRISIL Ltd:</t>
        </r>
        <r>
          <rPr>
            <sz val="9"/>
            <color indexed="81"/>
            <rFont val="Tahoma"/>
            <family val="2"/>
          </rPr>
          <t xml:space="preserve">
Includes: Long-term incentive (non-cash) </t>
        </r>
      </text>
    </comment>
    <comment ref="Q57" authorId="3" shapeId="0" xr:uid="{00000000-0006-0000-0100-000008000000}">
      <text>
        <r>
          <rPr>
            <b/>
            <sz val="9"/>
            <color indexed="81"/>
            <rFont val="Tahoma"/>
            <family val="2"/>
          </rPr>
          <t>CRISIL Ltd:</t>
        </r>
        <r>
          <rPr>
            <sz val="9"/>
            <color indexed="81"/>
            <rFont val="Tahoma"/>
            <family val="2"/>
          </rPr>
          <t xml:space="preserve">
Includes: Long-term incentive (non-cash) </t>
        </r>
      </text>
    </comment>
    <comment ref="R57" authorId="3" shapeId="0" xr:uid="{00000000-0006-0000-0100-000009000000}">
      <text>
        <r>
          <rPr>
            <b/>
            <sz val="9"/>
            <color indexed="81"/>
            <rFont val="Tahoma"/>
            <family val="2"/>
          </rPr>
          <t>CRISIL Ltd:</t>
        </r>
        <r>
          <rPr>
            <sz val="9"/>
            <color indexed="81"/>
            <rFont val="Tahoma"/>
            <family val="2"/>
          </rPr>
          <t xml:space="preserve">
Includes: Long-term incentive (non-cash) </t>
        </r>
      </text>
    </comment>
    <comment ref="S57" authorId="3" shapeId="0" xr:uid="{00000000-0006-0000-0100-00000A000000}">
      <text>
        <r>
          <rPr>
            <b/>
            <sz val="9"/>
            <color indexed="81"/>
            <rFont val="Tahoma"/>
            <family val="2"/>
          </rPr>
          <t>CRISIL Ltd:</t>
        </r>
        <r>
          <rPr>
            <sz val="9"/>
            <color indexed="81"/>
            <rFont val="Tahoma"/>
            <family val="2"/>
          </rPr>
          <t xml:space="preserve">
Includes: Long-term incentive (non-cash) </t>
        </r>
      </text>
    </comment>
    <comment ref="T57" authorId="3" shapeId="0" xr:uid="{00000000-0006-0000-0100-00000B000000}">
      <text>
        <r>
          <rPr>
            <b/>
            <sz val="9"/>
            <color indexed="81"/>
            <rFont val="Tahoma"/>
            <family val="2"/>
          </rPr>
          <t>CRISIL Ltd:</t>
        </r>
        <r>
          <rPr>
            <sz val="9"/>
            <color indexed="81"/>
            <rFont val="Tahoma"/>
            <family val="2"/>
          </rPr>
          <t xml:space="preserve">
Includes: Long-term incentive (non-cash) </t>
        </r>
      </text>
    </comment>
    <comment ref="U57" authorId="3" shapeId="0" xr:uid="{00000000-0006-0000-0100-00000C000000}">
      <text>
        <r>
          <rPr>
            <b/>
            <sz val="9"/>
            <color indexed="81"/>
            <rFont val="Tahoma"/>
            <family val="2"/>
          </rPr>
          <t>CRISIL Ltd:</t>
        </r>
        <r>
          <rPr>
            <sz val="9"/>
            <color indexed="81"/>
            <rFont val="Tahoma"/>
            <family val="2"/>
          </rPr>
          <t xml:space="preserve">
Includes: Long-term incentive (non-cash) </t>
        </r>
      </text>
    </comment>
    <comment ref="V57" authorId="3" shapeId="0" xr:uid="{00000000-0006-0000-0100-00000D000000}">
      <text>
        <r>
          <rPr>
            <b/>
            <sz val="9"/>
            <color indexed="81"/>
            <rFont val="Tahoma"/>
            <family val="2"/>
          </rPr>
          <t>CRISIL Ltd:</t>
        </r>
        <r>
          <rPr>
            <sz val="9"/>
            <color indexed="81"/>
            <rFont val="Tahoma"/>
            <family val="2"/>
          </rPr>
          <t xml:space="preserve">
Includes: Long-term incentive (non-cash) </t>
        </r>
      </text>
    </comment>
    <comment ref="W57" authorId="3" shapeId="0" xr:uid="{00000000-0006-0000-0100-00000E000000}">
      <text>
        <r>
          <rPr>
            <b/>
            <sz val="9"/>
            <color indexed="81"/>
            <rFont val="Tahoma"/>
            <family val="2"/>
          </rPr>
          <t>CRISIL Ltd:</t>
        </r>
        <r>
          <rPr>
            <sz val="9"/>
            <color indexed="81"/>
            <rFont val="Tahoma"/>
            <family val="2"/>
          </rPr>
          <t xml:space="preserve">
Includes: Long-term incentive (non-cash) </t>
        </r>
      </text>
    </comment>
    <comment ref="X57" authorId="3" shapeId="0" xr:uid="{4D62AF5C-05DD-49BC-A884-76A6475D34EB}">
      <text>
        <r>
          <rPr>
            <b/>
            <sz val="9"/>
            <color indexed="81"/>
            <rFont val="Tahoma"/>
            <family val="2"/>
          </rPr>
          <t>CRISIL Ltd:</t>
        </r>
        <r>
          <rPr>
            <sz val="9"/>
            <color indexed="81"/>
            <rFont val="Tahoma"/>
            <family val="2"/>
          </rPr>
          <t xml:space="preserve">
Includes: Long-term incentive (non-cash) </t>
        </r>
      </text>
    </comment>
    <comment ref="Y57" authorId="3" shapeId="0" xr:uid="{0D3D2634-3BD3-4971-B1FD-56233252B19C}">
      <text>
        <r>
          <rPr>
            <b/>
            <sz val="9"/>
            <color indexed="81"/>
            <rFont val="Tahoma"/>
            <family val="2"/>
          </rPr>
          <t>CRISIL Ltd:</t>
        </r>
        <r>
          <rPr>
            <sz val="9"/>
            <color indexed="81"/>
            <rFont val="Tahoma"/>
            <family val="2"/>
          </rPr>
          <t xml:space="preserve">
Includes: Long-term incentive (non-cash) </t>
        </r>
      </text>
    </comment>
    <comment ref="Z57" authorId="3" shapeId="0" xr:uid="{FFE6DB48-E0F6-4B44-A3AC-C35E9778E093}">
      <text>
        <r>
          <rPr>
            <b/>
            <sz val="9"/>
            <color indexed="81"/>
            <rFont val="Tahoma"/>
            <family val="2"/>
          </rPr>
          <t>CRISIL Ltd:</t>
        </r>
        <r>
          <rPr>
            <sz val="9"/>
            <color indexed="81"/>
            <rFont val="Tahoma"/>
            <family val="2"/>
          </rPr>
          <t xml:space="preserve">
Includes: Long-term incentive (non-cash) </t>
        </r>
      </text>
    </comment>
    <comment ref="AA57" authorId="3" shapeId="0" xr:uid="{5F0758D0-62FB-44D8-9416-F5C7179A9D67}">
      <text>
        <r>
          <rPr>
            <b/>
            <sz val="9"/>
            <color indexed="81"/>
            <rFont val="Tahoma"/>
            <family val="2"/>
          </rPr>
          <t>CRISIL Ltd:</t>
        </r>
        <r>
          <rPr>
            <sz val="9"/>
            <color indexed="81"/>
            <rFont val="Tahoma"/>
            <family val="2"/>
          </rPr>
          <t xml:space="preserve">
Includes: Long-term incentive (non-cash) </t>
        </r>
      </text>
    </comment>
    <comment ref="AB57" authorId="3" shapeId="0" xr:uid="{1F3EAD21-878D-4623-B4A1-F8C064F4E833}">
      <text>
        <r>
          <rPr>
            <b/>
            <sz val="9"/>
            <color indexed="81"/>
            <rFont val="Tahoma"/>
            <family val="2"/>
          </rPr>
          <t>CRISIL Ltd:</t>
        </r>
        <r>
          <rPr>
            <sz val="9"/>
            <color indexed="81"/>
            <rFont val="Tahoma"/>
            <family val="2"/>
          </rPr>
          <t xml:space="preserve">
Includes: Long-term incentive (non-cash) </t>
        </r>
      </text>
    </comment>
    <comment ref="AC57" authorId="3" shapeId="0" xr:uid="{61B37A37-5FC5-4003-8BF1-8761EDF6BBF2}">
      <text>
        <r>
          <rPr>
            <b/>
            <sz val="9"/>
            <color indexed="81"/>
            <rFont val="Tahoma"/>
            <family val="2"/>
          </rPr>
          <t>CRISIL Ltd:</t>
        </r>
        <r>
          <rPr>
            <sz val="9"/>
            <color indexed="81"/>
            <rFont val="Tahoma"/>
            <family val="2"/>
          </rPr>
          <t xml:space="preserve">
Includes: Long-term incentive (non-cash) </t>
        </r>
      </text>
    </comment>
    <comment ref="AD57" authorId="3" shapeId="0" xr:uid="{0CB14743-1A86-4306-80BD-D14CBB143674}">
      <text>
        <r>
          <rPr>
            <b/>
            <sz val="9"/>
            <color indexed="81"/>
            <rFont val="Tahoma"/>
            <family val="2"/>
          </rPr>
          <t>CRISIL Ltd:</t>
        </r>
        <r>
          <rPr>
            <sz val="9"/>
            <color indexed="81"/>
            <rFont val="Tahoma"/>
            <family val="2"/>
          </rPr>
          <t xml:space="preserve">
Includes: Long-term incentive (non-cash) </t>
        </r>
      </text>
    </comment>
    <comment ref="AE57" authorId="3" shapeId="0" xr:uid="{F0034255-C49C-4E13-BFA4-278838F34482}">
      <text>
        <r>
          <rPr>
            <b/>
            <sz val="9"/>
            <color indexed="81"/>
            <rFont val="Tahoma"/>
            <family val="2"/>
          </rPr>
          <t>CRISIL Ltd:</t>
        </r>
        <r>
          <rPr>
            <sz val="9"/>
            <color indexed="81"/>
            <rFont val="Tahoma"/>
            <family val="2"/>
          </rPr>
          <t xml:space="preserve">
Includes: Long-term incentive (non-cash) </t>
        </r>
      </text>
    </comment>
    <comment ref="AF57" authorId="3" shapeId="0" xr:uid="{1BDFC604-2403-4F85-A8D6-64F57180F987}">
      <text>
        <r>
          <rPr>
            <b/>
            <sz val="9"/>
            <color indexed="81"/>
            <rFont val="Tahoma"/>
            <family val="2"/>
          </rPr>
          <t>CRISIL Ltd:</t>
        </r>
        <r>
          <rPr>
            <sz val="9"/>
            <color indexed="81"/>
            <rFont val="Tahoma"/>
            <family val="2"/>
          </rPr>
          <t xml:space="preserve">
Includes: Long-term incentive (non-cash) </t>
        </r>
      </text>
    </comment>
    <comment ref="AG57" authorId="3" shapeId="0" xr:uid="{98B5951D-83B3-4B20-B2FC-6D599A4B7F87}">
      <text>
        <r>
          <rPr>
            <b/>
            <sz val="9"/>
            <color indexed="81"/>
            <rFont val="Tahoma"/>
            <family val="2"/>
          </rPr>
          <t>CRISIL Ltd:</t>
        </r>
        <r>
          <rPr>
            <sz val="9"/>
            <color indexed="81"/>
            <rFont val="Tahoma"/>
            <family val="2"/>
          </rPr>
          <t xml:space="preserve">
Includes: Long-term incentive (non-cash) </t>
        </r>
      </text>
    </comment>
    <comment ref="AH57" authorId="3" shapeId="0" xr:uid="{B21EB0A1-0DC1-4B99-A310-72F8DD404527}">
      <text>
        <r>
          <rPr>
            <b/>
            <sz val="9"/>
            <color indexed="81"/>
            <rFont val="Tahoma"/>
            <family val="2"/>
          </rPr>
          <t>CRISIL Ltd:</t>
        </r>
        <r>
          <rPr>
            <sz val="9"/>
            <color indexed="81"/>
            <rFont val="Tahoma"/>
            <family val="2"/>
          </rPr>
          <t xml:space="preserve">
Includes: Long-term incentive (non-cash) </t>
        </r>
      </text>
    </comment>
    <comment ref="AI57" authorId="3" shapeId="0" xr:uid="{9B8C9024-4BDE-47A5-B365-664F0A61AC0D}">
      <text>
        <r>
          <rPr>
            <b/>
            <sz val="9"/>
            <color indexed="81"/>
            <rFont val="Tahoma"/>
            <family val="2"/>
          </rPr>
          <t>CRISIL Ltd:</t>
        </r>
        <r>
          <rPr>
            <sz val="9"/>
            <color indexed="81"/>
            <rFont val="Tahoma"/>
            <family val="2"/>
          </rPr>
          <t xml:space="preserve">
Includes: Long-term incentive (non-cash) </t>
        </r>
      </text>
    </comment>
    <comment ref="AJ57" authorId="3" shapeId="0" xr:uid="{54C120E3-E00F-4ABF-87D2-7A10EB0CD3D1}">
      <text>
        <r>
          <rPr>
            <b/>
            <sz val="9"/>
            <color indexed="81"/>
            <rFont val="Tahoma"/>
            <family val="2"/>
          </rPr>
          <t>CRISIL Ltd:</t>
        </r>
        <r>
          <rPr>
            <sz val="9"/>
            <color indexed="81"/>
            <rFont val="Tahoma"/>
            <family val="2"/>
          </rPr>
          <t xml:space="preserve">
Includes: Long-term incentive (non-cash) </t>
        </r>
      </text>
    </comment>
    <comment ref="AK57" authorId="3" shapeId="0" xr:uid="{1E9928CB-17E5-459D-B234-6F4F699CFA29}">
      <text>
        <r>
          <rPr>
            <b/>
            <sz val="9"/>
            <color indexed="81"/>
            <rFont val="Tahoma"/>
            <family val="2"/>
          </rPr>
          <t>CRISIL Ltd:</t>
        </r>
        <r>
          <rPr>
            <sz val="9"/>
            <color indexed="81"/>
            <rFont val="Tahoma"/>
            <family val="2"/>
          </rPr>
          <t xml:space="preserve">
Includes: Long-term incentive (non-cash) </t>
        </r>
      </text>
    </comment>
    <comment ref="AL57" authorId="3" shapeId="0" xr:uid="{56A6AF57-56F3-4963-96C5-07D76FBE2538}">
      <text>
        <r>
          <rPr>
            <b/>
            <sz val="9"/>
            <color indexed="81"/>
            <rFont val="Tahoma"/>
            <family val="2"/>
          </rPr>
          <t>CRISIL Ltd:</t>
        </r>
        <r>
          <rPr>
            <sz val="9"/>
            <color indexed="81"/>
            <rFont val="Tahoma"/>
            <family val="2"/>
          </rPr>
          <t xml:space="preserve">
Includes: Long-term incentive (non-cash) </t>
        </r>
      </text>
    </comment>
    <comment ref="AM57" authorId="3" shapeId="0" xr:uid="{ABBF377E-CDA1-48D9-849C-E7278911069D}">
      <text>
        <r>
          <rPr>
            <b/>
            <sz val="9"/>
            <color indexed="81"/>
            <rFont val="Tahoma"/>
            <family val="2"/>
          </rPr>
          <t>CRISIL Ltd:</t>
        </r>
        <r>
          <rPr>
            <sz val="9"/>
            <color indexed="81"/>
            <rFont val="Tahoma"/>
            <family val="2"/>
          </rPr>
          <t xml:space="preserve">
Includes: Long-term incentive (non-cash) </t>
        </r>
      </text>
    </comment>
    <comment ref="AN57" authorId="3" shapeId="0" xr:uid="{FA6B50E5-5DF5-40F3-A1F8-C6C719E8321C}">
      <text>
        <r>
          <rPr>
            <b/>
            <sz val="9"/>
            <color indexed="81"/>
            <rFont val="Tahoma"/>
            <family val="2"/>
          </rPr>
          <t>CRISIL Ltd:</t>
        </r>
        <r>
          <rPr>
            <sz val="9"/>
            <color indexed="81"/>
            <rFont val="Tahoma"/>
            <family val="2"/>
          </rPr>
          <t xml:space="preserve">
Includes: Long-term incentive (non-cash) </t>
        </r>
      </text>
    </comment>
    <comment ref="AO57" authorId="3" shapeId="0" xr:uid="{591B901E-BDD3-4426-B178-817C3582D5B4}">
      <text>
        <r>
          <rPr>
            <b/>
            <sz val="9"/>
            <color indexed="81"/>
            <rFont val="Tahoma"/>
            <family val="2"/>
          </rPr>
          <t>CRISIL Ltd:</t>
        </r>
        <r>
          <rPr>
            <sz val="9"/>
            <color indexed="81"/>
            <rFont val="Tahoma"/>
            <family val="2"/>
          </rPr>
          <t xml:space="preserve">
Includes: Long-term incentive (non-cash) </t>
        </r>
      </text>
    </comment>
    <comment ref="AP57" authorId="3" shapeId="0" xr:uid="{373613A0-E705-46BC-86F6-E7B95D553A4D}">
      <text>
        <r>
          <rPr>
            <b/>
            <sz val="9"/>
            <color indexed="81"/>
            <rFont val="Tahoma"/>
            <family val="2"/>
          </rPr>
          <t>CRISIL Ltd:</t>
        </r>
        <r>
          <rPr>
            <sz val="9"/>
            <color indexed="81"/>
            <rFont val="Tahoma"/>
            <family val="2"/>
          </rPr>
          <t xml:space="preserve">
Includes: Long-term incentive (non-cash) </t>
        </r>
      </text>
    </comment>
    <comment ref="K63" authorId="0" shapeId="0" xr:uid="{16BB50B1-ED44-40A3-B566-74EB7C59EA77}">
      <text>
        <r>
          <rPr>
            <b/>
            <sz val="9"/>
            <color indexed="81"/>
            <rFont val="Tahoma"/>
            <charset val="1"/>
          </rPr>
          <t>CRISIL:</t>
        </r>
        <r>
          <rPr>
            <sz val="9"/>
            <color indexed="81"/>
            <rFont val="Tahoma"/>
            <charset val="1"/>
          </rPr>
          <t xml:space="preserve">
from 6-K</t>
        </r>
      </text>
    </comment>
    <comment ref="AL63" authorId="0" shapeId="0" xr:uid="{7493B13E-C8DC-4294-9C22-4D882E8E7424}">
      <text>
        <r>
          <rPr>
            <b/>
            <sz val="9"/>
            <color indexed="81"/>
            <rFont val="Tahoma"/>
            <family val="2"/>
          </rPr>
          <t>CRISIL:</t>
        </r>
        <r>
          <rPr>
            <sz val="9"/>
            <color indexed="81"/>
            <rFont val="Tahoma"/>
            <family val="2"/>
          </rPr>
          <t xml:space="preserve">
Reported by compnay
De: Adjusted EBITDA” means the sum of profit for the year adjusted by (a) total income tax expense (b) interest income, (c) other income, (d)
other expense (e) finance costs, (f) exchange gain (loss) – net, (g) gain on sale of investment property, (h) gain on revaluation of investment
property, (i) depreciation, (j) stock-based compensation expense (k) energy income and (l) energy costs during the relevant period.</t>
        </r>
      </text>
    </comment>
    <comment ref="AP63" authorId="0" shapeId="0" xr:uid="{AAB9CBAA-33AF-4146-8A9C-3EA2202B3C98}">
      <text>
        <r>
          <rPr>
            <b/>
            <sz val="9"/>
            <color indexed="81"/>
            <rFont val="Tahoma"/>
            <family val="2"/>
          </rPr>
          <t>CRISIL:</t>
        </r>
        <r>
          <rPr>
            <sz val="9"/>
            <color indexed="81"/>
            <rFont val="Tahoma"/>
            <family val="2"/>
          </rPr>
          <t xml:space="preserve">
Reported by compnay
De: Adjusted EBITDA” means the sum of profit for the year adjusted by (a) total income tax expense (b) interest income, (c) other income, (d)
other expense (e) finance costs, (f) exchange gain (loss) – net, (g) gain on sale of investment property, (h) gain on revaluation of investment
property, (i) depreciation, (j) stock-based compensation expense (k) energy income and (l) energy costs during the relevant period.</t>
        </r>
      </text>
    </comment>
    <comment ref="B72" authorId="0" shapeId="0" xr:uid="{D4B08C47-DA44-4F6D-8428-F9EEBEB93B43}">
      <text>
        <r>
          <rPr>
            <b/>
            <sz val="9"/>
            <color indexed="81"/>
            <rFont val="Tahoma"/>
            <family val="2"/>
          </rPr>
          <t>CRISIL:</t>
        </r>
        <r>
          <rPr>
            <sz val="9"/>
            <color indexed="81"/>
            <rFont val="Tahoma"/>
            <family val="2"/>
          </rPr>
          <t xml:space="preserve">
Inlcludes:
1. Operating lease receivables
2. Recoverable taxes
3. Accounts payable and client advances
4. Accrued expenses and taxes </t>
        </r>
      </text>
    </comment>
    <comment ref="K80" authorId="0" shapeId="0" xr:uid="{E6C3F1FA-73A0-4701-8A55-8CDD370497FB}">
      <text>
        <r>
          <rPr>
            <b/>
            <sz val="9"/>
            <color indexed="81"/>
            <rFont val="Tahoma"/>
            <charset val="1"/>
          </rPr>
          <t>CRISIL:</t>
        </r>
        <r>
          <rPr>
            <sz val="9"/>
            <color indexed="81"/>
            <rFont val="Tahoma"/>
            <charset val="1"/>
          </rPr>
          <t xml:space="preserve">
FY includes:
* Investment in associates: (3.521881)</t>
        </r>
      </text>
    </comment>
    <comment ref="AN80" authorId="0" shapeId="0" xr:uid="{A624CD52-F718-4820-BCC7-BB0C7079140D}">
      <text>
        <r>
          <rPr>
            <b/>
            <sz val="9"/>
            <color indexed="81"/>
            <rFont val="Tahoma"/>
            <family val="2"/>
          </rPr>
          <t>CRISIL:</t>
        </r>
        <r>
          <rPr>
            <sz val="9"/>
            <color indexed="81"/>
            <rFont val="Tahoma"/>
            <family val="2"/>
          </rPr>
          <t xml:space="preserve">
9M Inlcludes: 
1. Investment in associates
</t>
        </r>
      </text>
    </comment>
    <comment ref="B81" authorId="4" shapeId="0" xr:uid="{00000000-0006-0000-0100-00000F000000}">
      <text>
        <r>
          <rPr>
            <sz val="9"/>
            <color indexed="81"/>
            <rFont val="Tahoma"/>
            <family val="2"/>
          </rPr>
          <t xml:space="preserve">Repurchase of common stock
</t>
        </r>
      </text>
    </comment>
    <comment ref="K84" authorId="0" shapeId="0" xr:uid="{44084F2C-464C-42FA-860E-173F522BAE9D}">
      <text>
        <r>
          <rPr>
            <b/>
            <sz val="9"/>
            <color indexed="81"/>
            <rFont val="Tahoma"/>
            <charset val="1"/>
          </rPr>
          <t>CRISIL:</t>
        </r>
        <r>
          <rPr>
            <sz val="9"/>
            <color indexed="81"/>
            <rFont val="Tahoma"/>
            <charset val="1"/>
          </rPr>
          <t xml:space="preserve">
FY includes:
* Costs of debt issuance: (5.350706)</t>
        </r>
      </text>
    </comment>
    <comment ref="G86" authorId="2" shapeId="0" xr:uid="{E58CC999-4F11-4F5B-9BC0-4FED18C2CB37}">
      <text>
        <r>
          <rPr>
            <b/>
            <sz val="9"/>
            <color indexed="81"/>
            <rFont val="Tahoma"/>
            <family val="2"/>
          </rPr>
          <t>Due to difference in calculations in net CFO</t>
        </r>
      </text>
    </comment>
    <comment ref="H86" authorId="2" shapeId="0" xr:uid="{B7DFF480-4187-4029-B653-DBA474095CD5}">
      <text>
        <r>
          <rPr>
            <b/>
            <sz val="9"/>
            <color indexed="81"/>
            <rFont val="Tahoma"/>
            <family val="2"/>
          </rPr>
          <t>Due to difference in calculations in net CFO</t>
        </r>
      </text>
    </comment>
    <comment ref="I86" authorId="2" shapeId="0" xr:uid="{31E10F78-A556-46EA-94E2-F841DE2164D3}">
      <text>
        <r>
          <rPr>
            <b/>
            <sz val="9"/>
            <color indexed="81"/>
            <rFont val="Tahoma"/>
            <family val="2"/>
          </rPr>
          <t>Due to difference in calculations in net CFO</t>
        </r>
      </text>
    </comment>
    <comment ref="J86" authorId="2" shapeId="0" xr:uid="{2DDA86BE-0A5F-49F8-8B70-417559AB6F82}">
      <text>
        <r>
          <rPr>
            <b/>
            <sz val="9"/>
            <color indexed="81"/>
            <rFont val="Tahoma"/>
            <family val="2"/>
          </rPr>
          <t>Due to difference in calculations in net CFO</t>
        </r>
      </text>
    </comment>
    <comment ref="K86" authorId="2" shapeId="0" xr:uid="{F3A2522C-DB73-49ED-AA89-D940A942D66C}">
      <text>
        <r>
          <rPr>
            <b/>
            <sz val="9"/>
            <color indexed="81"/>
            <rFont val="Tahoma"/>
            <family val="2"/>
          </rPr>
          <t xml:space="preserve">CRISIL:
</t>
        </r>
        <r>
          <rPr>
            <sz val="9"/>
            <color indexed="81"/>
            <rFont val="Tahoma"/>
            <family val="2"/>
          </rPr>
          <t>It is due to use of EBITDA isntead of PBT to calcualte CFO, and other adjustments apart from working capital, majolry:
* Gain on revaluation of investment properties: (52.075064)
* Unrealized effect of foreign exchange rates: (8.306287)
* Expense recognized in respect of share-based payments: 12.732988
* Employee benefits and pension costs: 1.422453</t>
        </r>
      </text>
    </comment>
    <comment ref="AA86" authorId="2" shapeId="0" xr:uid="{8885E906-92BB-489E-88FA-435FC429802D}">
      <text>
        <r>
          <rPr>
            <b/>
            <sz val="9"/>
            <color indexed="81"/>
            <rFont val="Tahoma"/>
            <family val="2"/>
          </rPr>
          <t>Due to difference in calculations in net CFO</t>
        </r>
      </text>
    </comment>
    <comment ref="AB86" authorId="2" shapeId="0" xr:uid="{94B925ED-A274-4FCA-ABCD-904C7266D855}">
      <text>
        <r>
          <rPr>
            <b/>
            <sz val="9"/>
            <color indexed="81"/>
            <rFont val="Tahoma"/>
            <family val="2"/>
          </rPr>
          <t>Due to difference in calculations in net CFO</t>
        </r>
      </text>
    </comment>
    <comment ref="AC86" authorId="2" shapeId="0" xr:uid="{CE7BDAE1-454C-422A-B863-02AD385C9343}">
      <text>
        <r>
          <rPr>
            <b/>
            <sz val="9"/>
            <color indexed="81"/>
            <rFont val="Tahoma"/>
            <family val="2"/>
          </rPr>
          <t>Due to difference in calculations in net CFO</t>
        </r>
      </text>
    </comment>
    <comment ref="AD86" authorId="2" shapeId="0" xr:uid="{C6E4E273-3C40-4ECC-A05B-EC1EC5F3EBE5}">
      <text>
        <r>
          <rPr>
            <b/>
            <sz val="9"/>
            <color indexed="81"/>
            <rFont val="Tahoma"/>
            <family val="2"/>
          </rPr>
          <t>Due to difference in calculations in net CFO</t>
        </r>
      </text>
    </comment>
    <comment ref="AE86" authorId="2" shapeId="0" xr:uid="{61FFCA5A-244A-41E0-A169-EE8ECBCE0797}">
      <text>
        <r>
          <rPr>
            <b/>
            <sz val="9"/>
            <color indexed="81"/>
            <rFont val="Tahoma"/>
            <family val="2"/>
          </rPr>
          <t>Due to difference in calculations in net CFO</t>
        </r>
      </text>
    </comment>
    <comment ref="AF86" authorId="2" shapeId="0" xr:uid="{EAEE55A9-DA44-45B1-97A4-EF6542B30CE9}">
      <text>
        <r>
          <rPr>
            <b/>
            <sz val="9"/>
            <color indexed="81"/>
            <rFont val="Tahoma"/>
            <family val="2"/>
          </rPr>
          <t>Due to difference in calculations in net CFO</t>
        </r>
      </text>
    </comment>
    <comment ref="AG86" authorId="2" shapeId="0" xr:uid="{272C93A5-3888-46BD-8ED8-BF65963556B6}">
      <text>
        <r>
          <rPr>
            <b/>
            <sz val="9"/>
            <color indexed="81"/>
            <rFont val="Tahoma"/>
            <family val="2"/>
          </rPr>
          <t>Due to difference in calculations in net CFO</t>
        </r>
      </text>
    </comment>
    <comment ref="AM86" authorId="2" shapeId="0" xr:uid="{11A0A93A-5990-4C4B-B7EA-F3C5EF2C22FF}">
      <text>
        <r>
          <rPr>
            <b/>
            <sz val="9"/>
            <color indexed="81"/>
            <rFont val="Tahoma"/>
            <family val="2"/>
          </rPr>
          <t>Due to difference in calculations in net CFO</t>
        </r>
      </text>
    </comment>
    <comment ref="L89" authorId="0" shapeId="0" xr:uid="{1EF3C5B0-7671-4060-9429-EE52A0469D01}">
      <text>
        <r>
          <rPr>
            <b/>
            <sz val="9"/>
            <color indexed="81"/>
            <rFont val="Tahoma"/>
            <family val="2"/>
          </rPr>
          <t>CRISIL:</t>
        </r>
        <r>
          <rPr>
            <sz val="9"/>
            <color indexed="81"/>
            <rFont val="Tahoma"/>
            <family val="2"/>
          </rPr>
          <t xml:space="preserve">
adjusted for rounding off</t>
        </r>
      </text>
    </comment>
    <comment ref="AH89" authorId="5" shapeId="0" xr:uid="{101A0DC4-5226-43AE-B37A-B2E3407A6D2C}">
      <text>
        <r>
          <rPr>
            <b/>
            <sz val="9"/>
            <color indexed="81"/>
            <rFont val="Tahoma"/>
            <family val="2"/>
          </rPr>
          <t>Crisil Intergral IQ:</t>
        </r>
        <r>
          <rPr>
            <sz val="9"/>
            <color indexed="81"/>
            <rFont val="Tahoma"/>
            <family val="2"/>
          </rPr>
          <t xml:space="preserve">
Starting balance to include restrictred cash as per FY24 report</t>
        </r>
      </text>
    </comment>
    <comment ref="AL89" authorId="5" shapeId="0" xr:uid="{9A41458C-50D8-4756-A5B9-E43A4C02D512}">
      <text>
        <r>
          <rPr>
            <b/>
            <sz val="9"/>
            <color indexed="81"/>
            <rFont val="Tahoma"/>
            <family val="2"/>
          </rPr>
          <t>Crisil Intergral IQ:</t>
        </r>
        <r>
          <rPr>
            <sz val="9"/>
            <color indexed="81"/>
            <rFont val="Tahoma"/>
            <family val="2"/>
          </rPr>
          <t xml:space="preserve">
Starting balance to include restrictred cash as per FY24 report</t>
        </r>
      </text>
    </comment>
    <comment ref="AM89" authorId="0" shapeId="0" xr:uid="{167753C4-DA4D-4442-AA32-51520B1E6C9E}">
      <text>
        <r>
          <rPr>
            <b/>
            <sz val="9"/>
            <color indexed="81"/>
            <rFont val="Tahoma"/>
            <family val="2"/>
          </rPr>
          <t>CRISIL:</t>
        </r>
        <r>
          <rPr>
            <sz val="9"/>
            <color indexed="81"/>
            <rFont val="Tahoma"/>
            <family val="2"/>
          </rPr>
          <t xml:space="preserve">
-0.5 is adjusted value for  ending cash balance of FY24 as reported in 2Q25 filing</t>
        </r>
      </text>
    </comment>
    <comment ref="AN89" authorId="0" shapeId="0" xr:uid="{2714B415-86A9-48C3-8963-957E13AECB4F}">
      <text>
        <r>
          <rPr>
            <b/>
            <sz val="9"/>
            <color indexed="81"/>
            <rFont val="Tahoma"/>
            <family val="2"/>
          </rPr>
          <t>CRISIL:</t>
        </r>
        <r>
          <rPr>
            <sz val="9"/>
            <color indexed="81"/>
            <rFont val="Tahoma"/>
            <family val="2"/>
          </rPr>
          <t xml:space="preserve">
adjusted for rounding off</t>
        </r>
      </text>
    </comment>
    <comment ref="AO89" authorId="0" shapeId="0" xr:uid="{642E6FAA-DE33-47AB-BB8A-3A87273743F0}">
      <text>
        <r>
          <rPr>
            <b/>
            <sz val="9"/>
            <color indexed="81"/>
            <rFont val="Tahoma"/>
            <family val="2"/>
          </rPr>
          <t>CRISIL:</t>
        </r>
        <r>
          <rPr>
            <sz val="9"/>
            <color indexed="81"/>
            <rFont val="Tahoma"/>
            <family val="2"/>
          </rPr>
          <t xml:space="preserve">
adjusted for rounding off</t>
        </r>
      </text>
    </comment>
    <comment ref="C91" authorId="4" shapeId="0" xr:uid="{00000000-0006-0000-0100-000010000000}">
      <text>
        <r>
          <rPr>
            <sz val="9"/>
            <color indexed="81"/>
            <rFont val="Tahoma"/>
            <family val="2"/>
          </rPr>
          <t xml:space="preserve">Non-Current Restricted Cash: $0.735312 million
</t>
        </r>
      </text>
    </comment>
    <comment ref="D91" authorId="4" shapeId="0" xr:uid="{00000000-0006-0000-0100-000011000000}">
      <text>
        <r>
          <rPr>
            <sz val="9"/>
            <color indexed="81"/>
            <rFont val="Tahoma"/>
            <family val="2"/>
          </rPr>
          <t xml:space="preserve">Non-Current Restricted Cash: $0.735312 million
</t>
        </r>
      </text>
    </comment>
    <comment ref="E91" authorId="4" shapeId="0" xr:uid="{00000000-0006-0000-0100-000012000000}">
      <text>
        <r>
          <rPr>
            <sz val="9"/>
            <color indexed="81"/>
            <rFont val="Tahoma"/>
            <family val="2"/>
          </rPr>
          <t xml:space="preserve">Non-Current Restricted Cash: $0.735312 million
</t>
        </r>
      </text>
    </comment>
    <comment ref="F91" authorId="4" shapeId="0" xr:uid="{00000000-0006-0000-0100-000013000000}">
      <text>
        <r>
          <rPr>
            <sz val="9"/>
            <color indexed="81"/>
            <rFont val="Tahoma"/>
            <family val="2"/>
          </rPr>
          <t xml:space="preserve">Non-Current Restricted Cash: $0.735312 million
</t>
        </r>
      </text>
    </comment>
    <comment ref="G91" authorId="4" shapeId="0" xr:uid="{3371A9E3-F933-4A1E-8921-7D7BE9CD1299}">
      <text>
        <r>
          <rPr>
            <sz val="9"/>
            <color indexed="81"/>
            <rFont val="Tahoma"/>
            <family val="2"/>
          </rPr>
          <t xml:space="preserve">Non-Current Restricted Cash: $0.735312 million
</t>
        </r>
      </text>
    </comment>
    <comment ref="H91" authorId="4" shapeId="0" xr:uid="{6938A907-2454-4781-B949-68B92EF0AB37}">
      <text>
        <r>
          <rPr>
            <sz val="9"/>
            <color indexed="81"/>
            <rFont val="Tahoma"/>
            <family val="2"/>
          </rPr>
          <t xml:space="preserve">Non-Current Restricted Cash: $0.735312 million
</t>
        </r>
      </text>
    </comment>
    <comment ref="I91" authorId="4" shapeId="0" xr:uid="{3AA4A49B-7153-47DF-880C-9E6D85E8DC8A}">
      <text>
        <r>
          <rPr>
            <sz val="9"/>
            <color indexed="81"/>
            <rFont val="Tahoma"/>
            <family val="2"/>
          </rPr>
          <t xml:space="preserve">Non-Current Restricted Cash: $0.735312 million
</t>
        </r>
      </text>
    </comment>
    <comment ref="J91" authorId="4" shapeId="0" xr:uid="{57AB7878-89A2-4A31-ADCE-1ACCEA1CC7E8}">
      <text>
        <r>
          <rPr>
            <sz val="9"/>
            <color indexed="81"/>
            <rFont val="Tahoma"/>
            <family val="2"/>
          </rPr>
          <t xml:space="preserve">Non-Current Restricted Cash: $0.735312 million
</t>
        </r>
      </text>
    </comment>
    <comment ref="K91" authorId="4" shapeId="0" xr:uid="{F9667D7A-40B8-4BD2-B76E-D8A8B077C403}">
      <text>
        <r>
          <rPr>
            <sz val="9"/>
            <color indexed="81"/>
            <rFont val="Tahoma"/>
            <family val="2"/>
          </rPr>
          <t xml:space="preserve">Non-Current Restricted Cash: $0.735312 million
</t>
        </r>
      </text>
    </comment>
    <comment ref="N91" authorId="4" shapeId="0" xr:uid="{00000000-0006-0000-0100-000014000000}">
      <text>
        <r>
          <rPr>
            <sz val="9"/>
            <color indexed="81"/>
            <rFont val="Tahoma"/>
            <family val="2"/>
          </rPr>
          <t xml:space="preserve">Non-Current Restricted Cash: $0.735312 million
</t>
        </r>
      </text>
    </comment>
    <comment ref="O91" authorId="4" shapeId="0" xr:uid="{00000000-0006-0000-0100-000015000000}">
      <text>
        <r>
          <rPr>
            <sz val="9"/>
            <color indexed="81"/>
            <rFont val="Tahoma"/>
            <family val="2"/>
          </rPr>
          <t xml:space="preserve">Non-Current Restricted Cash: $0.735312 million
</t>
        </r>
      </text>
    </comment>
    <comment ref="P91" authorId="4" shapeId="0" xr:uid="{00000000-0006-0000-0100-000016000000}">
      <text>
        <r>
          <rPr>
            <sz val="9"/>
            <color indexed="81"/>
            <rFont val="Tahoma"/>
            <family val="2"/>
          </rPr>
          <t xml:space="preserve">Non-Current Restricted Cash: $0.735312 million
</t>
        </r>
      </text>
    </comment>
    <comment ref="Q91" authorId="4" shapeId="0" xr:uid="{00000000-0006-0000-0100-000017000000}">
      <text>
        <r>
          <rPr>
            <sz val="9"/>
            <color indexed="81"/>
            <rFont val="Tahoma"/>
            <family val="2"/>
          </rPr>
          <t xml:space="preserve">Non-Current Restricted Cash: $0.735312 million
</t>
        </r>
      </text>
    </comment>
    <comment ref="R91" authorId="4" shapeId="0" xr:uid="{00000000-0006-0000-0100-000018000000}">
      <text>
        <r>
          <rPr>
            <sz val="9"/>
            <color indexed="81"/>
            <rFont val="Tahoma"/>
            <family val="2"/>
          </rPr>
          <t xml:space="preserve">Non-Current Restricted Cash: $0.735312 million
</t>
        </r>
      </text>
    </comment>
    <comment ref="S91" authorId="4" shapeId="0" xr:uid="{00000000-0006-0000-0100-000019000000}">
      <text>
        <r>
          <rPr>
            <sz val="9"/>
            <color indexed="81"/>
            <rFont val="Tahoma"/>
            <family val="2"/>
          </rPr>
          <t xml:space="preserve">Non-Current Restricted Cash: $0.735312 million
</t>
        </r>
      </text>
    </comment>
    <comment ref="T91" authorId="4" shapeId="0" xr:uid="{00000000-0006-0000-0100-00001A000000}">
      <text>
        <r>
          <rPr>
            <sz val="9"/>
            <color indexed="81"/>
            <rFont val="Tahoma"/>
            <family val="2"/>
          </rPr>
          <t xml:space="preserve">Non-Current Restricted Cash: $0.735312 million
</t>
        </r>
      </text>
    </comment>
    <comment ref="U91" authorId="4" shapeId="0" xr:uid="{00000000-0006-0000-0100-00001B000000}">
      <text>
        <r>
          <rPr>
            <sz val="9"/>
            <color indexed="81"/>
            <rFont val="Tahoma"/>
            <family val="2"/>
          </rPr>
          <t xml:space="preserve">Non-Current Restricted Cash: $0.735312 million
</t>
        </r>
      </text>
    </comment>
    <comment ref="V91" authorId="4" shapeId="0" xr:uid="{00000000-0006-0000-0100-00001C000000}">
      <text>
        <r>
          <rPr>
            <sz val="9"/>
            <color indexed="81"/>
            <rFont val="Tahoma"/>
            <family val="2"/>
          </rPr>
          <t xml:space="preserve">Non-Current Restricted Cash: $0.735312 million
</t>
        </r>
      </text>
    </comment>
    <comment ref="W91" authorId="4" shapeId="0" xr:uid="{00000000-0006-0000-0100-00001D000000}">
      <text>
        <r>
          <rPr>
            <sz val="9"/>
            <color indexed="81"/>
            <rFont val="Tahoma"/>
            <family val="2"/>
          </rPr>
          <t xml:space="preserve">Non-Current Restricted Cash: $0.735312 million
</t>
        </r>
      </text>
    </comment>
    <comment ref="X91" authorId="4" shapeId="0" xr:uid="{224C0A95-41EC-461F-AD0D-EF37EF3D287A}">
      <text>
        <r>
          <rPr>
            <sz val="9"/>
            <color indexed="81"/>
            <rFont val="Tahoma"/>
            <family val="2"/>
          </rPr>
          <t xml:space="preserve">Non-Current Restricted Cash: $0.735312 million
</t>
        </r>
      </text>
    </comment>
    <comment ref="Y91" authorId="4" shapeId="0" xr:uid="{6D8EC847-7E8F-45F6-BA5C-A29F905BC567}">
      <text>
        <r>
          <rPr>
            <sz val="9"/>
            <color indexed="81"/>
            <rFont val="Tahoma"/>
            <family val="2"/>
          </rPr>
          <t xml:space="preserve">Non-Current Restricted Cash: $0.735312 million
</t>
        </r>
      </text>
    </comment>
    <comment ref="Z91" authorId="4" shapeId="0" xr:uid="{F042DF6B-4B58-417D-8713-DF24193A8B48}">
      <text>
        <r>
          <rPr>
            <sz val="9"/>
            <color indexed="81"/>
            <rFont val="Tahoma"/>
            <family val="2"/>
          </rPr>
          <t xml:space="preserve">Non-Current Restricted Cash: $0.735312 million
</t>
        </r>
      </text>
    </comment>
    <comment ref="AA91" authorId="4" shapeId="0" xr:uid="{D79B10DA-C591-4CF7-ACDA-E499AC4EDC87}">
      <text>
        <r>
          <rPr>
            <sz val="9"/>
            <color indexed="81"/>
            <rFont val="Tahoma"/>
            <family val="2"/>
          </rPr>
          <t xml:space="preserve">Non-Current Restricted Cash: $0.735312 million
</t>
        </r>
      </text>
    </comment>
    <comment ref="AB91" authorId="4" shapeId="0" xr:uid="{4C153457-EC2D-4B55-8ACB-CC80AD2898DF}">
      <text>
        <r>
          <rPr>
            <sz val="9"/>
            <color indexed="81"/>
            <rFont val="Tahoma"/>
            <family val="2"/>
          </rPr>
          <t xml:space="preserve">Non-Current Restricted Cash: $0.735312 million
</t>
        </r>
      </text>
    </comment>
    <comment ref="AD91" authorId="4" shapeId="0" xr:uid="{74C8BB56-4A15-49F5-B54B-A0D9605D5662}">
      <text>
        <r>
          <rPr>
            <sz val="9"/>
            <color indexed="81"/>
            <rFont val="Tahoma"/>
            <family val="2"/>
          </rPr>
          <t xml:space="preserve">Non-Current Restricted Cash: $0.735312 million
</t>
        </r>
      </text>
    </comment>
    <comment ref="AE91" authorId="4" shapeId="0" xr:uid="{201499A6-408C-4E8E-B493-17151EB6A212}">
      <text>
        <r>
          <rPr>
            <sz val="9"/>
            <color indexed="81"/>
            <rFont val="Tahoma"/>
            <family val="2"/>
          </rPr>
          <t>Non-Current Restricted Cash</t>
        </r>
      </text>
    </comment>
    <comment ref="AF91" authorId="4" shapeId="0" xr:uid="{D51A99D3-3E00-4969-9F1D-AD33DD89B25E}">
      <text>
        <r>
          <rPr>
            <sz val="9"/>
            <color indexed="81"/>
            <rFont val="Tahoma"/>
            <family val="2"/>
          </rPr>
          <t xml:space="preserve">Non-Current Restricted Cash: $0.735312 million
</t>
        </r>
      </text>
    </comment>
    <comment ref="AH91" authorId="4" shapeId="0" xr:uid="{983DD6DB-AD66-40ED-8A10-A11524F8161E}">
      <text>
        <r>
          <rPr>
            <sz val="9"/>
            <color indexed="81"/>
            <rFont val="Tahoma"/>
            <family val="2"/>
          </rPr>
          <t xml:space="preserve">Non-Current Restricted Cash: $0.735312 million
</t>
        </r>
      </text>
    </comment>
    <comment ref="AI91" authorId="4" shapeId="0" xr:uid="{B50661E7-584A-4149-A5DF-0FA38494524E}">
      <text>
        <r>
          <rPr>
            <sz val="9"/>
            <color indexed="81"/>
            <rFont val="Tahoma"/>
            <family val="2"/>
          </rPr>
          <t>Non-Current Restricted Cash</t>
        </r>
      </text>
    </comment>
    <comment ref="AJ91" authorId="4" shapeId="0" xr:uid="{BD989802-6B3C-41E5-9F77-9EFAD70393B7}">
      <text>
        <r>
          <rPr>
            <sz val="9"/>
            <color indexed="81"/>
            <rFont val="Tahoma"/>
            <family val="2"/>
          </rPr>
          <t>Non-Current Restricted Cash</t>
        </r>
      </text>
    </comment>
    <comment ref="AK91" authorId="4" shapeId="0" xr:uid="{3CDE8296-0C34-4BF2-8511-5C6731E40C78}">
      <text>
        <r>
          <rPr>
            <sz val="9"/>
            <color indexed="81"/>
            <rFont val="Tahoma"/>
            <family val="2"/>
          </rPr>
          <t>Non-Current Restricted Cash</t>
        </r>
      </text>
    </comment>
    <comment ref="AL91" authorId="4" shapeId="0" xr:uid="{C9AAFE63-C516-4B8D-BB17-55EABC751C13}">
      <text>
        <r>
          <rPr>
            <sz val="9"/>
            <color indexed="81"/>
            <rFont val="Tahoma"/>
            <family val="2"/>
          </rPr>
          <t>Non-Current Restricted Cash</t>
        </r>
      </text>
    </comment>
    <comment ref="AM91" authorId="4" shapeId="0" xr:uid="{DA7F13CA-EFA8-41D2-B727-87604B2D4634}">
      <text>
        <r>
          <rPr>
            <sz val="9"/>
            <color indexed="81"/>
            <rFont val="Tahoma"/>
            <family val="2"/>
          </rPr>
          <t>Non-Current Restricted Cash</t>
        </r>
      </text>
    </comment>
    <comment ref="AN91" authorId="4" shapeId="0" xr:uid="{B7B8C1CA-0345-45CC-BDC4-ED657EF0877C}">
      <text>
        <r>
          <rPr>
            <sz val="9"/>
            <color indexed="81"/>
            <rFont val="Tahoma"/>
            <family val="2"/>
          </rPr>
          <t>Non-Current Restricted Cash</t>
        </r>
      </text>
    </comment>
    <comment ref="AO91" authorId="4" shapeId="0" xr:uid="{E9588F49-12A7-4339-AB41-942452263DF6}">
      <text>
        <r>
          <rPr>
            <sz val="9"/>
            <color indexed="81"/>
            <rFont val="Tahoma"/>
            <family val="2"/>
          </rPr>
          <t>Non-Current Restricted Cash</t>
        </r>
      </text>
    </comment>
    <comment ref="AM92" authorId="0" shapeId="0" xr:uid="{48B59AD9-111D-43B2-96B3-A028276A7734}">
      <text>
        <r>
          <rPr>
            <b/>
            <sz val="9"/>
            <color indexed="81"/>
            <rFont val="Tahoma"/>
            <family val="2"/>
          </rPr>
          <t>CRISIL:</t>
        </r>
        <r>
          <rPr>
            <sz val="9"/>
            <color indexed="81"/>
            <rFont val="Tahoma"/>
            <family val="2"/>
          </rPr>
          <t xml:space="preserve">
Due to rounding error in company reporting</t>
        </r>
      </text>
    </comment>
    <comment ref="B106" authorId="0" shapeId="0" xr:uid="{3175E63A-F099-46F2-8EDD-D99FCB05B3AE}">
      <text>
        <r>
          <rPr>
            <b/>
            <sz val="9"/>
            <color indexed="81"/>
            <rFont val="Tahoma"/>
            <family val="2"/>
          </rPr>
          <t>CRISIL:</t>
        </r>
        <r>
          <rPr>
            <sz val="9"/>
            <color indexed="81"/>
            <rFont val="Tahoma"/>
            <family val="2"/>
          </rPr>
          <t xml:space="preserve">
Includes:
1. Investment properties
2. Office furniture – Net
3. Right-of-use asset - Net of depreciation</t>
        </r>
      </text>
    </comment>
    <comment ref="B128" authorId="3" shapeId="0" xr:uid="{00000000-0006-0000-0100-00001E000000}">
      <text>
        <r>
          <rPr>
            <b/>
            <sz val="9"/>
            <color indexed="81"/>
            <rFont val="Tahoma"/>
            <family val="2"/>
          </rPr>
          <t>CRISIL Ltd:</t>
        </r>
        <r>
          <rPr>
            <sz val="9"/>
            <color indexed="81"/>
            <rFont val="Tahoma"/>
            <family val="2"/>
          </rPr>
          <t xml:space="preserve">
Company reported net debt does not include:
1) Financial assets held for trading
2) Lease Liabilities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CRISIL</author>
  </authors>
  <commentList>
    <comment ref="D8" authorId="0" shapeId="0" xr:uid="{562D5FE5-6385-4CB7-99AF-0FFD9E486D41}">
      <text>
        <r>
          <rPr>
            <b/>
            <sz val="9"/>
            <color indexed="81"/>
            <rFont val="Tahoma"/>
            <family val="2"/>
          </rPr>
          <t>CRISIL:</t>
        </r>
        <r>
          <rPr>
            <sz val="9"/>
            <color indexed="81"/>
            <rFont val="Tahoma"/>
            <family val="2"/>
          </rPr>
          <t xml:space="preserve">
from 6-K filings</t>
        </r>
      </text>
    </comment>
    <comment ref="G21" authorId="0" shapeId="0" xr:uid="{215F834E-D72C-4E2E-B90B-2E25202BD35E}">
      <text>
        <r>
          <rPr>
            <b/>
            <sz val="9"/>
            <color indexed="81"/>
            <rFont val="Tahoma"/>
            <family val="2"/>
          </rPr>
          <t>CRISIL:</t>
        </r>
        <r>
          <rPr>
            <sz val="9"/>
            <color indexed="81"/>
            <rFont val="Tahoma"/>
            <family val="2"/>
          </rPr>
          <t xml:space="preserve">
-0.1 is due to rounding error in company reporting</t>
        </r>
      </text>
    </comment>
    <comment ref="K21" authorId="0" shapeId="0" xr:uid="{63E629B7-F617-4A0A-BB05-A47DF1D01322}">
      <text>
        <r>
          <rPr>
            <b/>
            <sz val="9"/>
            <color indexed="81"/>
            <rFont val="Tahoma"/>
            <family val="2"/>
          </rPr>
          <t>CRISIL:</t>
        </r>
        <r>
          <rPr>
            <sz val="9"/>
            <color indexed="81"/>
            <rFont val="Tahoma"/>
            <family val="2"/>
          </rPr>
          <t xml:space="preserve">
0.2 is due to rounding error in company reporting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CRISIL</author>
  </authors>
  <commentList>
    <comment ref="K8" authorId="0" shapeId="0" xr:uid="{89EF9123-5274-420F-B0E2-9EDBE65A24DE}">
      <text>
        <r>
          <rPr>
            <b/>
            <sz val="9"/>
            <color indexed="81"/>
            <rFont val="Tahoma"/>
            <family val="2"/>
          </rPr>
          <t>CRISIL:</t>
        </r>
        <r>
          <rPr>
            <sz val="9"/>
            <color indexed="81"/>
            <rFont val="Tahoma"/>
            <family val="2"/>
          </rPr>
          <t xml:space="preserve">
from supplemental package doc</t>
        </r>
      </text>
    </comment>
    <comment ref="AL8" authorId="0" shapeId="0" xr:uid="{BBF5B69C-672D-4F5C-B28E-515CAB0463C7}">
      <text>
        <r>
          <rPr>
            <b/>
            <sz val="9"/>
            <color indexed="81"/>
            <rFont val="Tahoma"/>
            <family val="2"/>
          </rPr>
          <t>CRISIL:</t>
        </r>
        <r>
          <rPr>
            <sz val="9"/>
            <color indexed="81"/>
            <rFont val="Tahoma"/>
            <family val="2"/>
          </rPr>
          <t xml:space="preserve">
from ppt</t>
        </r>
      </text>
    </comment>
    <comment ref="AN8" authorId="0" shapeId="0" xr:uid="{6A814150-E9BD-412D-9B1B-395B1C672A50}">
      <text>
        <r>
          <rPr>
            <b/>
            <sz val="9"/>
            <color indexed="81"/>
            <rFont val="Tahoma"/>
            <family val="2"/>
          </rPr>
          <t>CRISIL:</t>
        </r>
        <r>
          <rPr>
            <sz val="9"/>
            <color indexed="81"/>
            <rFont val="Tahoma"/>
            <family val="2"/>
          </rPr>
          <t xml:space="preserve">
from supplemental package doc</t>
        </r>
      </text>
    </comment>
    <comment ref="AP8" authorId="0" shapeId="0" xr:uid="{BDEA4248-8102-4366-906C-78088EC15D2D}">
      <text>
        <r>
          <rPr>
            <b/>
            <sz val="9"/>
            <color indexed="81"/>
            <rFont val="Tahoma"/>
            <family val="2"/>
          </rPr>
          <t>CRISIL:</t>
        </r>
        <r>
          <rPr>
            <sz val="9"/>
            <color indexed="81"/>
            <rFont val="Tahoma"/>
            <family val="2"/>
          </rPr>
          <t xml:space="preserve">
from supplemental package doc</t>
        </r>
      </text>
    </comment>
  </commentList>
</comments>
</file>

<file path=xl/sharedStrings.xml><?xml version="1.0" encoding="utf-8"?>
<sst xmlns="http://schemas.openxmlformats.org/spreadsheetml/2006/main" count="1466" uniqueCount="302">
  <si>
    <t>1Q26</t>
  </si>
  <si>
    <t>Debt Breakdown as on 31-Mar-2026</t>
  </si>
  <si>
    <t>USD mn</t>
  </si>
  <si>
    <t xml:space="preserve">Leverage </t>
  </si>
  <si>
    <t>Company Reported</t>
  </si>
  <si>
    <t>Long-term debt - Including current portion</t>
  </si>
  <si>
    <t>Series B Senior Note 60,000,000 5.31% (2) September 2027</t>
  </si>
  <si>
    <t xml:space="preserve">Series B Senior Note 45,000,000 5.85% (2) May 2028 </t>
  </si>
  <si>
    <t>MetLife 10-year 118,000,000 4.75% (1) December 2027</t>
  </si>
  <si>
    <t xml:space="preserve">Series RC Senior Note 70,000,000 5.18% (3) June 2029 </t>
  </si>
  <si>
    <t>Series RD Senior Note 15,000,000 5.28% (4) June 2031</t>
  </si>
  <si>
    <t>Vesta ESG Global bond 35/8 05/31 350,000,000 3.63% (5) May 2031</t>
  </si>
  <si>
    <t>Facility – Tranche I 75,000,000 SOFR + 130 bp (6) December 2027</t>
  </si>
  <si>
    <t>Facility – Tranche II 75,000,000 SOFR + 150 bp (6) December 2029</t>
  </si>
  <si>
    <t xml:space="preserve">Senior Notes 2033 500,000,000 5.50% (7) January 2033 </t>
  </si>
  <si>
    <t>(Less) Direct Issuance Costs</t>
  </si>
  <si>
    <t>Operating lease liabilities</t>
  </si>
  <si>
    <t>Total Loans &amp; Borrowings</t>
  </si>
  <si>
    <t>Cash and Cash Equivalents</t>
  </si>
  <si>
    <t>Net debt exc Short term inv</t>
  </si>
  <si>
    <t>Equity</t>
  </si>
  <si>
    <t xml:space="preserve">Total Capitalisation </t>
  </si>
  <si>
    <t>LTM Adjusted EBITDA</t>
  </si>
  <si>
    <t>check</t>
  </si>
  <si>
    <t>Liquidity at 1Q26</t>
  </si>
  <si>
    <t>Cash and cash equivalents</t>
  </si>
  <si>
    <t>Restricted cash - Current</t>
  </si>
  <si>
    <t>Restricted cash - Non Current</t>
  </si>
  <si>
    <t>Total Liquidity</t>
  </si>
  <si>
    <t>Debt maturity at 1Q26</t>
  </si>
  <si>
    <t>2030 and later</t>
  </si>
  <si>
    <t>Total long-term debt</t>
  </si>
  <si>
    <t>Lease maturity at 1Q26</t>
  </si>
  <si>
    <t>Not later than 1 year</t>
  </si>
  <si>
    <t>Later than 1 year and not later than 5 years</t>
  </si>
  <si>
    <t>(Less) future finance cost</t>
  </si>
  <si>
    <t>FY25</t>
  </si>
  <si>
    <t>Debt Breakdown as on 31-Dec-2025</t>
  </si>
  <si>
    <t>Debt</t>
  </si>
  <si>
    <t>MetLife - 10 Year - 4.55%</t>
  </si>
  <si>
    <t>Cash, cash equivalents and restricted cash</t>
  </si>
  <si>
    <t>Series A Senior Note - 5.03%</t>
  </si>
  <si>
    <t>Net Debt</t>
  </si>
  <si>
    <t>Series B Senior Note - 5.31%</t>
  </si>
  <si>
    <t>Series A Senior Note - 5.50%</t>
  </si>
  <si>
    <t>Series B Senior Note - 5.85%</t>
  </si>
  <si>
    <t>MetLife - 10 Year - 4.75%</t>
  </si>
  <si>
    <t>MetLife - 8 Year - 4.75%</t>
  </si>
  <si>
    <t>Series RC Senior Notes - 5.18%</t>
  </si>
  <si>
    <t>Series RD Senior Notes - 5.28%</t>
  </si>
  <si>
    <t>Vesta ESG Global Bond 3.63%</t>
  </si>
  <si>
    <t>Facility - Tranche I  SOFR + 130 bp</t>
  </si>
  <si>
    <t>Facility - Tranche II SOFR + 150 bp</t>
  </si>
  <si>
    <t>Senior Notes 2033  5.50%</t>
  </si>
  <si>
    <t>Liquidity at FY25</t>
  </si>
  <si>
    <t>Debt maturity at FY25</t>
  </si>
  <si>
    <t>Lease maturity at 3FY25</t>
  </si>
  <si>
    <t>3Q25</t>
  </si>
  <si>
    <t>Debt Breakdown as on 30-Sep-2025</t>
  </si>
  <si>
    <t>Vesta ESG Global Bond 3.625%</t>
  </si>
  <si>
    <t>Facility - Tranche I  SOFR + 150 bp</t>
  </si>
  <si>
    <t>Liquidity at 3Q25</t>
  </si>
  <si>
    <t>Debt maturity at 3Q25</t>
  </si>
  <si>
    <t>Lease maturity at 3Q25</t>
  </si>
  <si>
    <t>2Q25</t>
  </si>
  <si>
    <t>Debt Breakdown as on 30-June-2025</t>
  </si>
  <si>
    <t>MetLife - 7 Year - 4.35%</t>
  </si>
  <si>
    <t>Syndicated Loan</t>
  </si>
  <si>
    <t>-</t>
  </si>
  <si>
    <t>Syndicated Loan - revolving credit line</t>
  </si>
  <si>
    <t>Facility - Tranche I &amp; II</t>
  </si>
  <si>
    <t>Liquidity at 2Q25</t>
  </si>
  <si>
    <t>Debt maturity at 2Q25</t>
  </si>
  <si>
    <t>Lease maturity at 2Q25</t>
  </si>
  <si>
    <t>1Q25</t>
  </si>
  <si>
    <t>Debt Breakdown as on 30-Mar-2025</t>
  </si>
  <si>
    <t>Liquidity at 1Q25</t>
  </si>
  <si>
    <t>Debt maturity at 1Q25</t>
  </si>
  <si>
    <t>Lease maturity at 1Q25</t>
  </si>
  <si>
    <t>FY24</t>
  </si>
  <si>
    <t>Debt Breakdown as on 31-Dec-2024</t>
  </si>
  <si>
    <t>Liquidity at FY24</t>
  </si>
  <si>
    <t>Debt maturity at FY24</t>
  </si>
  <si>
    <t>Current portion</t>
  </si>
  <si>
    <t>3Q24</t>
  </si>
  <si>
    <t>Debt Breakdown as on 30-Sep-2024</t>
  </si>
  <si>
    <t>Liquidity at 3Q24</t>
  </si>
  <si>
    <t>Debt maturity at 3Q24</t>
  </si>
  <si>
    <t>2Q24</t>
  </si>
  <si>
    <t>Debt Breakdown as on 30-Jun-2024</t>
  </si>
  <si>
    <t>Liquidity at 2Q24</t>
  </si>
  <si>
    <t>Debt maturity at 2Q24</t>
  </si>
  <si>
    <t>2026 and above</t>
  </si>
  <si>
    <t>1Q24</t>
  </si>
  <si>
    <t>Debt Breakdown as on 31-Mar-2024</t>
  </si>
  <si>
    <t>Liquidity at 1Q24</t>
  </si>
  <si>
    <t>Debt maturity at 1Q24</t>
  </si>
  <si>
    <t>FY23</t>
  </si>
  <si>
    <t>Debt Breakdown as on 31-Dec-2023</t>
  </si>
  <si>
    <t>Liquidity at FY23</t>
  </si>
  <si>
    <t>Debt maturity at FY23</t>
  </si>
  <si>
    <t>3Q23</t>
  </si>
  <si>
    <t>Debt Breakdown as on 30-Sept-2023</t>
  </si>
  <si>
    <t>Liquidity at 3Q23</t>
  </si>
  <si>
    <t>Debt maturity at 3Q23</t>
  </si>
  <si>
    <t>2Q23</t>
  </si>
  <si>
    <t>Debt Breakdown as on 30-Jun-2023</t>
  </si>
  <si>
    <t>Liquidity at 2Q23</t>
  </si>
  <si>
    <t>Debt maturity at 2Q23</t>
  </si>
  <si>
    <t>1Q23</t>
  </si>
  <si>
    <t>Debt Breakdown as on 31-Mar-2023</t>
  </si>
  <si>
    <t>Liquidity at 1Q23</t>
  </si>
  <si>
    <t>Debt maturity at 1Q23</t>
  </si>
  <si>
    <t>FY22</t>
  </si>
  <si>
    <t>Debt Breakdown as on 31-Dec-2022</t>
  </si>
  <si>
    <t>Liquidity at 4Q22</t>
  </si>
  <si>
    <t>long-term debt at 4Q22</t>
  </si>
  <si>
    <t>current portion</t>
  </si>
  <si>
    <t>3Q22</t>
  </si>
  <si>
    <t>Debt Breakdown as on 30-Sep-2022</t>
  </si>
  <si>
    <t>Liquidity at 3Q22</t>
  </si>
  <si>
    <t>long-term debt at 3Q22</t>
  </si>
  <si>
    <t>2Q22</t>
  </si>
  <si>
    <t>Debt Breakdown as on 30-Jun-2022</t>
  </si>
  <si>
    <t>Liquidity at 2Q22</t>
  </si>
  <si>
    <t>long-term debt at 2Q22</t>
  </si>
  <si>
    <t>1Q22</t>
  </si>
  <si>
    <t>Debt Breakdown as on 31-Mar-2022</t>
  </si>
  <si>
    <t>Liquidity at 1Q22</t>
  </si>
  <si>
    <t>long-term debt at 1Q22</t>
  </si>
  <si>
    <t>4Q21</t>
  </si>
  <si>
    <t>Debt Breakdown as on 31-Dec-2021</t>
  </si>
  <si>
    <t>Liquidity at 4Q21</t>
  </si>
  <si>
    <t>long-term debt at 4Q21</t>
  </si>
  <si>
    <t>2024 and above</t>
  </si>
  <si>
    <t>3Q21</t>
  </si>
  <si>
    <t>Debt Breakdown as on 30-Sept-2021</t>
  </si>
  <si>
    <t>Liquidity at 3Q21</t>
  </si>
  <si>
    <t>long-term debt at 3Q21</t>
  </si>
  <si>
    <t>2Q21</t>
  </si>
  <si>
    <t>Debt Breakdown as on 30-Jun-2021</t>
  </si>
  <si>
    <t>Liquidity at 2Q21</t>
  </si>
  <si>
    <t>long-term debt at 2Q21</t>
  </si>
  <si>
    <t>1Q21</t>
  </si>
  <si>
    <t>Debt Breakdown as on 31-Mar-2021</t>
  </si>
  <si>
    <t>Liquidity at 1Q21</t>
  </si>
  <si>
    <t>Debt at 1Q21</t>
  </si>
  <si>
    <t>2025 and above</t>
  </si>
  <si>
    <t>Total debt</t>
  </si>
  <si>
    <t>Corporación Inmobiliaria Vesta</t>
  </si>
  <si>
    <t>Annual</t>
  </si>
  <si>
    <t>LTM</t>
  </si>
  <si>
    <t xml:space="preserve">Quarters </t>
  </si>
  <si>
    <t>(USD million)</t>
  </si>
  <si>
    <t>Act</t>
  </si>
  <si>
    <t>FY</t>
  </si>
  <si>
    <t>1Q</t>
  </si>
  <si>
    <t>2Q</t>
  </si>
  <si>
    <t>3Q</t>
  </si>
  <si>
    <t>4Q</t>
  </si>
  <si>
    <t>INCOME STATEMENT</t>
  </si>
  <si>
    <t>Restated</t>
  </si>
  <si>
    <t>Rental Income</t>
  </si>
  <si>
    <t>Management Fees</t>
  </si>
  <si>
    <t>Total Revenue</t>
  </si>
  <si>
    <t xml:space="preserve">% of growth </t>
  </si>
  <si>
    <t>COR - Related to Properties that generated rental income</t>
  </si>
  <si>
    <t>COR - Related to Properties that did not generate rental income</t>
  </si>
  <si>
    <t>Gross Profit</t>
  </si>
  <si>
    <t>Gross Profit margin</t>
  </si>
  <si>
    <t>Operating expenses:</t>
  </si>
  <si>
    <t>Administration Expenses</t>
  </si>
  <si>
    <t>Depreciation</t>
  </si>
  <si>
    <t>Total operating expenses</t>
  </si>
  <si>
    <t xml:space="preserve">Operating profit </t>
  </si>
  <si>
    <t>% margin</t>
  </si>
  <si>
    <t>Other income (expenses):</t>
  </si>
  <si>
    <t>Interest income</t>
  </si>
  <si>
    <t>Other income - net</t>
  </si>
  <si>
    <t>Transaction costs on debt issuance</t>
  </si>
  <si>
    <t>Interest expense</t>
  </si>
  <si>
    <t>Exchange gain (loss)- net</t>
  </si>
  <si>
    <t>Gain on sale of investment property</t>
  </si>
  <si>
    <t xml:space="preserve">Share of results of associates </t>
  </si>
  <si>
    <t>Gain on revaluation of investment property</t>
  </si>
  <si>
    <t>Profit before tax</t>
  </si>
  <si>
    <t>Current income tax expense</t>
  </si>
  <si>
    <t>Deferred income tax</t>
  </si>
  <si>
    <t>Net profit/loss</t>
  </si>
  <si>
    <t>As % of sales unless stated otherwise</t>
  </si>
  <si>
    <t>Interest expense as % of debt</t>
  </si>
  <si>
    <t>Tax %  of PBT</t>
  </si>
  <si>
    <t>Working capital /sales</t>
  </si>
  <si>
    <t>Capex/sales</t>
  </si>
  <si>
    <t xml:space="preserve">EBITDA </t>
  </si>
  <si>
    <t>Depreciation, depletion &amp; amortization</t>
  </si>
  <si>
    <t xml:space="preserve">% growth </t>
  </si>
  <si>
    <t>Adjustment</t>
  </si>
  <si>
    <t xml:space="preserve">Adj. EBITDA </t>
  </si>
  <si>
    <t>Capex sales</t>
  </si>
  <si>
    <t xml:space="preserve">WC SALES </t>
  </si>
  <si>
    <t>CASH FLOW</t>
  </si>
  <si>
    <t>Working Capital</t>
  </si>
  <si>
    <t>Taxes</t>
  </si>
  <si>
    <t>Cash interest paid</t>
  </si>
  <si>
    <t xml:space="preserve">Net cash from operations </t>
  </si>
  <si>
    <t>Net Capex</t>
  </si>
  <si>
    <t>Purchase of intangible assets</t>
  </si>
  <si>
    <t>Disposals/ Acquistion, of subsidiaries, businesses</t>
  </si>
  <si>
    <t xml:space="preserve">Free cash flow </t>
  </si>
  <si>
    <t xml:space="preserve">Other Investing </t>
  </si>
  <si>
    <t>Equity Issuance / Repurchase of treasury shares</t>
  </si>
  <si>
    <t>Dividends</t>
  </si>
  <si>
    <t>Net Change in debt</t>
  </si>
  <si>
    <t>Other financing activities</t>
  </si>
  <si>
    <t>Cash flow after financing activities</t>
  </si>
  <si>
    <t>Balancing figure</t>
  </si>
  <si>
    <t xml:space="preserve">FX </t>
  </si>
  <si>
    <t xml:space="preserve">Net change in cash </t>
  </si>
  <si>
    <t xml:space="preserve">LTM </t>
  </si>
  <si>
    <t>EBITDA</t>
  </si>
  <si>
    <t>Adjusted EBITDA</t>
  </si>
  <si>
    <t>Net Income</t>
  </si>
  <si>
    <t>Capex</t>
  </si>
  <si>
    <t xml:space="preserve">BALANCE SHEET </t>
  </si>
  <si>
    <t>Tangible fixed assets</t>
  </si>
  <si>
    <t>Prepaid expenses</t>
  </si>
  <si>
    <t>Accounts payable and client advances</t>
  </si>
  <si>
    <t>Accrued expenses</t>
  </si>
  <si>
    <t>Net working capital</t>
  </si>
  <si>
    <t>% of revenues</t>
  </si>
  <si>
    <t xml:space="preserve">Debt  Breakdown </t>
  </si>
  <si>
    <t>Short-term debt</t>
  </si>
  <si>
    <t>Long-term debt</t>
  </si>
  <si>
    <t>Total Debt</t>
  </si>
  <si>
    <t>Lease Obligations</t>
  </si>
  <si>
    <t>Short-term</t>
  </si>
  <si>
    <t>Long-term</t>
  </si>
  <si>
    <t>Total Lease</t>
  </si>
  <si>
    <t>Debt  Including Lease obligations</t>
  </si>
  <si>
    <t xml:space="preserve">Net debt </t>
  </si>
  <si>
    <t>Company reported net debt</t>
  </si>
  <si>
    <t>Equity (as reported on balance sheet)</t>
  </si>
  <si>
    <t>Total debt + Equity</t>
  </si>
  <si>
    <t>CREDIT RATIOS</t>
  </si>
  <si>
    <t>Net Leverage excluding lease obligations</t>
  </si>
  <si>
    <t>Gross Leverage  excluding lease obligations</t>
  </si>
  <si>
    <t>Net Leverage including lease obligations</t>
  </si>
  <si>
    <t>Gross Leverage  including lease obligations</t>
  </si>
  <si>
    <t>Company reported net leverage</t>
  </si>
  <si>
    <t>EBITDA - Capex / Interest</t>
  </si>
  <si>
    <t>EBITDA/Interest</t>
  </si>
  <si>
    <t xml:space="preserve">Gearing (Net debt / Equity) </t>
  </si>
  <si>
    <t>Key  Credit Metrics (R$ million)</t>
  </si>
  <si>
    <t xml:space="preserve">Revenues </t>
  </si>
  <si>
    <t>Adj. EBITDA</t>
  </si>
  <si>
    <t>Adj. EBITDA Margin</t>
  </si>
  <si>
    <t>Cash</t>
  </si>
  <si>
    <t>Gross Leverage</t>
  </si>
  <si>
    <t xml:space="preserve">Net Leverage </t>
  </si>
  <si>
    <t>Summary Financials</t>
  </si>
  <si>
    <t>(R$ million)</t>
  </si>
  <si>
    <t>% growth</t>
  </si>
  <si>
    <t>FX rate average - USD/USD</t>
  </si>
  <si>
    <t>FX rate  - USD/USD (as at end of period)</t>
  </si>
  <si>
    <t>LTM - USD/USD</t>
  </si>
  <si>
    <t>Key  Credit Metrics (USD Mn where applicable)</t>
  </si>
  <si>
    <t>(USD millions)</t>
  </si>
  <si>
    <t>LTM EBITDA</t>
  </si>
  <si>
    <t>Total revenues</t>
  </si>
  <si>
    <t>Property operating costs:</t>
  </si>
  <si>
    <t>Related to properties that generate rental income</t>
  </si>
  <si>
    <t>Costs related to properties</t>
  </si>
  <si>
    <t>Costs related to energy</t>
  </si>
  <si>
    <t>Related to properties that did not generate rental income</t>
  </si>
  <si>
    <t>Adjusted NOI</t>
  </si>
  <si>
    <t>General and administrative expenses</t>
  </si>
  <si>
    <t>Stock-based compensation expenses</t>
  </si>
  <si>
    <t>North Region</t>
  </si>
  <si>
    <t xml:space="preserve">Number of operating buildings </t>
  </si>
  <si>
    <t>Number of buildings under development</t>
  </si>
  <si>
    <t>Total Buildings</t>
  </si>
  <si>
    <t>Operating portfolio (sf)</t>
  </si>
  <si>
    <t>Development portfolio (sf)</t>
  </si>
  <si>
    <t>Total GLA (sf)</t>
  </si>
  <si>
    <t>Development portfolio Total Expected Investment ($ 000's)</t>
  </si>
  <si>
    <t>Land (acres)</t>
  </si>
  <si>
    <t>Land Book Value ($ 000's)</t>
  </si>
  <si>
    <t>Bajio Region</t>
  </si>
  <si>
    <t>Land Book Value</t>
  </si>
  <si>
    <t>Central Region</t>
  </si>
  <si>
    <t xml:space="preserve">Total  </t>
  </si>
  <si>
    <t>Portfolio (sf)</t>
  </si>
  <si>
    <t>Same store portfolio</t>
  </si>
  <si>
    <t>Portfolio Occupancy</t>
  </si>
  <si>
    <t>Stabilized Portfolio</t>
  </si>
  <si>
    <t>Total Portfolio</t>
  </si>
  <si>
    <t>Total Portfolio average rent per sf</t>
  </si>
  <si>
    <t>Same Stores Portfolio</t>
  </si>
  <si>
    <t>Square Footage</t>
  </si>
  <si>
    <t>Occupancy</t>
  </si>
  <si>
    <t>Total Rental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</si>
</sst>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2">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 #,##0.00_ ;_ * \-#,##0.00_ ;_ * &quot;-&quot;??_ ;_ @_ "/>
    <numFmt numFmtId="165" formatCode="_-* #,##0.00_-;\-* #,##0.00_-;_-* &quot;-&quot;??_-;_-@_-"/>
    <numFmt numFmtId="166" formatCode="#,##0.0_);\(#,##0.0\)"/>
    <numFmt numFmtId="167" formatCode="#0.0%_);\(#0.0%\)"/>
    <numFmt numFmtId="168" formatCode="#0.00\x"/>
    <numFmt numFmtId="169" formatCode="mmm\ yyyy"/>
    <numFmt numFmtId="170" formatCode="0.0%"/>
    <numFmt numFmtId="171" formatCode="_(* #,##0.0_);_(* \(#,##0.0\);_(* &quot;-&quot;??_);_(@_)"/>
    <numFmt numFmtId="172" formatCode="_(* #,##0.000_);_(* \(#,##0.000\);_(* &quot;-&quot;??_);_(@_)"/>
    <numFmt numFmtId="173" formatCode="_(* #,##0_);_(* \(#,##0\);_(* &quot;-&quot;??_);_(@_)"/>
    <numFmt numFmtId="174" formatCode="#,##0.0\ ;\(#,##0.0\)"/>
    <numFmt numFmtId="175" formatCode="&quot;$&quot;#,##0.00_)&quot;per share&quot;;\(&quot;$&quot;#,##0.00\)&quot; per share&quot;"/>
    <numFmt numFmtId="176" formatCode="0.0_)\%;\(0.0\)\%;0.0_)\%;@_)_%"/>
    <numFmt numFmtId="177" formatCode="#,##0.0_)_%;\(#,##0.0\)_%;0.0_)_%;@_)_%"/>
    <numFmt numFmtId="178" formatCode="#,##0.0_);\(#,##0.0\);#,##0.0_);@_)"/>
    <numFmt numFmtId="179" formatCode="&quot;$&quot;_(#,##0.00_);&quot;$&quot;\(#,##0.00\);&quot;$&quot;_(0.00_);@_)"/>
    <numFmt numFmtId="180" formatCode="&quot;$&quot;_(#,##0.00_);&quot;$&quot;\(#,##0.00\)"/>
    <numFmt numFmtId="181" formatCode="#,##0.00_);\(#,##0.00\);0.00_);@_)"/>
    <numFmt numFmtId="182" formatCode="\€_(#,##0.00_);\€\(#,##0.00\);\€_(0.00_);@_)"/>
    <numFmt numFmtId="183" formatCode="#,##0_)\x;\(#,##0\)\x;0_)\x;@_)_x"/>
    <numFmt numFmtId="184" formatCode="#,##0.0_)\x;\(#,##0.0\)\x"/>
    <numFmt numFmtId="185" formatCode="#,##0_)_x;\(#,##0\)_x;0_)_x;@_)_x"/>
    <numFmt numFmtId="186" formatCode="#,##0.0_)_x;\(#,##0.0\)_x"/>
    <numFmt numFmtId="187" formatCode="0.0_)\%;\(0.0\)\%"/>
    <numFmt numFmtId="188" formatCode="#,##0.0_)_%;\(#,##0.0\)_%"/>
    <numFmt numFmtId="189" formatCode="_(\£* #,##0_);_(\£* \(#,##0\);_(\£* &quot;-&quot;_);_(@_)"/>
    <numFmt numFmtId="190" formatCode="_(\£* #,##0.0_);_(\£* \(#,##0.0\);_(\£* &quot;-&quot;_);_(@_)"/>
    <numFmt numFmtId="191" formatCode="_(\£* #,##0.00_);_(\£* \(#,##0.00\);_(\£* &quot;-&quot;_);_(@_)"/>
    <numFmt numFmtId="192" formatCode="_(* #,##0\p_);_(* \(#,##0\p\);_(* &quot;-&quot;\ \p_);_(@_)"/>
    <numFmt numFmtId="193" formatCode="_(* #,##0.00\p_);_(* \(#,##0.00\p\);_(* &quot;-&quot;\ \p_);_(@_)"/>
    <numFmt numFmtId="194" formatCode="\£#,##0.00"/>
    <numFmt numFmtId="195" formatCode="&quot;$&quot;&quot; &quot;#,##0_);\(&quot;$&quot;&quot; &quot;#,##0\);\-_)"/>
    <numFmt numFmtId="196" formatCode="#,##0_);\(#,##0\);\-_)"/>
    <numFmt numFmtId="197" formatCode="&quot;$&quot;#,##0_);[Red]\(&quot;$&quot;#,##0\);&quot;-&quot;"/>
    <numFmt numFmtId="198" formatCode="[Blue]0.0%;[Blue]\-0.0%"/>
    <numFmt numFmtId="199" formatCode="\£#,##0_);\(\£#,##0\)"/>
    <numFmt numFmtId="200" formatCode="&quot;fl&quot;#,##0_);\(&quot;fl&quot;#,##0\)"/>
    <numFmt numFmtId="201" formatCode="&quot;$&quot;\ #,##0_);\(&quot;$&quot;\ #,##0\)"/>
    <numFmt numFmtId="202" formatCode="_(&quot;R$&quot;* #,##0.00_);_(&quot;R$&quot;* \(#,##0.00\);_(&quot;R$&quot;* &quot;-&quot;??_);_(@_)"/>
    <numFmt numFmtId="203" formatCode="0.0\x;[Red]\(0.0\x\)"/>
    <numFmt numFmtId="204" formatCode="#,##0.0_);\(#,##0.0\);&quot;—&quot;_)"/>
    <numFmt numFmtId="205" formatCode="&quot;$&quot;#,##0.0_);\(&quot;$&quot;#,##0.0\);&quot;—&quot;_)"/>
    <numFmt numFmtId="206" formatCode="0.000000000%"/>
    <numFmt numFmtId="207" formatCode="#,##0.0000"/>
    <numFmt numFmtId="208" formatCode="mm/dd/yy"/>
    <numFmt numFmtId="209" formatCode="&quot;$&quot;#,##0.00"/>
    <numFmt numFmtId="210" formatCode="_([$€-2]* #,##0.00_);_([$€-2]* \(#,##0.00\);_([$€-2]* &quot;-&quot;??_)"/>
    <numFmt numFmtId="211" formatCode="#&quot; mon&quot;"/>
    <numFmt numFmtId="212" formatCode="#,##0\ &quot;F&quot;;[Red]\-#,##0\ &quot;F&quot;"/>
    <numFmt numFmtId="213" formatCode="#,##0.00\ &quot;F&quot;;[Red]\-#,##0.00\ &quot;F&quot;"/>
    <numFmt numFmtId="214" formatCode="#,##0.0\x_)_);\(#,##0.0\x\)_);#,##0.0\x_)_);@_%_)"/>
    <numFmt numFmtId="215" formatCode="_(* #,##0.00\ ___);_(* \(#,##0.00\ __\);_(* &quot;-&quot;??_);_(@_)"/>
    <numFmt numFmtId="216" formatCode="0%\);[Red]\(0%"/>
    <numFmt numFmtId="217" formatCode="_(* #,##0\ ___);_(* \(#,##0\ __\);_(* &quot;-&quot;??_);_(@_)"/>
    <numFmt numFmtId="218" formatCode="_(* #,##0\ \x_);_(* \(#,##0\ \x\);_(* &quot;-&quot;??_);_(@_)"/>
    <numFmt numFmtId="219" formatCode="0%_);[Red]\(0%\)"/>
    <numFmt numFmtId="220" formatCode="_(* #,##0.0\ ___);_(* \(#,##0.0\ __\);_(* &quot;-&quot;??_);_(@_)"/>
    <numFmt numFmtId="221" formatCode="_(* #,##0.0\ \x_);_(* \(#,##0.0\ \x\);_(* &quot;-&quot;??_);_(@_)"/>
    <numFmt numFmtId="222" formatCode="#,##0&quot; F&quot;_);\(#,##0&quot; F&quot;\)"/>
    <numFmt numFmtId="223" formatCode="_(* #,##0.00_);_(* \(\ #,##0.00\ \);_(* &quot;&quot;??_);_(\ @_ \)"/>
    <numFmt numFmtId="224" formatCode="0.00_)"/>
    <numFmt numFmtId="225" formatCode="_(* #,##0.0_);_(* \(#,##0.0\);_(* &quot;-&quot;?_);_(@_)"/>
    <numFmt numFmtId="226" formatCode="0.00%\ &quot;Ramped&quot;\ "/>
    <numFmt numFmtId="227" formatCode="0.00%\ &quot;Ramped&quot;"/>
    <numFmt numFmtId="228" formatCode="0.0000"/>
    <numFmt numFmtId="229" formatCode="0.000"/>
    <numFmt numFmtId="230" formatCode="&quot;Diversity =&quot;\ #.0"/>
    <numFmt numFmtId="231" formatCode="&quot;Ratings Factor =&quot;\ #"/>
    <numFmt numFmtId="232" formatCode="&quot;Page &quot;0"/>
    <numFmt numFmtId="233" formatCode="&quot;\&quot;#,##0.00;[Red]\-&quot;\&quot;#,##0.00"/>
    <numFmt numFmtId="234" formatCode="0.0_%"/>
    <numFmt numFmtId="235" formatCode="_(0.0%;_(* \(0.0\)%"/>
    <numFmt numFmtId="236" formatCode="_(* #,##0.0000_);_(* \(#,##0.0000\);_(* &quot;-&quot;??_);_(@_)"/>
    <numFmt numFmtId="237" formatCode="0&quot; bps&quot;"/>
    <numFmt numFmtId="238" formatCode="&quot;WAS =&quot;\ #.00"/>
    <numFmt numFmtId="239" formatCode="&quot;Avg. Px.=&quot;#.00"/>
    <numFmt numFmtId="240" formatCode="&quot;WAL=&quot;#.00"/>
    <numFmt numFmtId="241" formatCode="#.00\ &quot;years&quot;"/>
    <numFmt numFmtId="242" formatCode="&quot;2nd Lien=&quot;#"/>
    <numFmt numFmtId="243" formatCode="&quot;WAPP=&quot;#.00"/>
    <numFmt numFmtId="244" formatCode="&quot;WAS=&quot;#.00"/>
    <numFmt numFmtId="245" formatCode="&quot;WAC=&quot;#.00"/>
    <numFmt numFmtId="246" formatCode="&quot;$&quot;#,##0.0_);\(&quot;$&quot;#,##0.0\)"/>
    <numFmt numFmtId="247" formatCode="#,###,;\(#,###,\)"/>
    <numFmt numFmtId="248" formatCode="000\-00\-0000"/>
    <numFmt numFmtId="249" formatCode="&quot;$&quot;#,##0.0000"/>
    <numFmt numFmtId="250" formatCode="&quot;$&quot;#,##0.000000"/>
    <numFmt numFmtId="251" formatCode="&quot;$&quot;#,##0.000"/>
    <numFmt numFmtId="252" formatCode="000000000"/>
    <numFmt numFmtId="253" formatCode="000"/>
    <numFmt numFmtId="254" formatCode="hh:mm\ AM/PM_)"/>
    <numFmt numFmtId="255" formatCode="#.0&quot;x&quot;"/>
    <numFmt numFmtId="256" formatCode="yyyy"/>
    <numFmt numFmtId="257" formatCode="\¥#,##0_);\(\¥#,##0\)"/>
    <numFmt numFmtId="258" formatCode="#0.0\x"/>
    <numFmt numFmtId="259" formatCode="0.0\x"/>
    <numFmt numFmtId="260" formatCode="0.0"/>
    <numFmt numFmtId="261" formatCode="#,##0.0"/>
    <numFmt numFmtId="262" formatCode="#,##0.0000_);\(#,##0.0000\)"/>
    <numFmt numFmtId="263" formatCode="#,##0.00000_);\(#,##0.00000\)"/>
    <numFmt numFmtId="264" formatCode="#,##0.000000_);\(#,##0.000000\)"/>
    <numFmt numFmtId="265" formatCode="#,##0.000000000_);\(#,##0.000000000\)"/>
    <numFmt numFmtId="266" formatCode="#,##0.000_);\(#,##0.000\)"/>
    <numFmt numFmtId="267" formatCode="#,##0.00000000_);\(#,##0.00000000\)"/>
  </numFmts>
  <fonts count="130">
    <font>
      <sz val="10"/>
      <name val="Arial"/>
      <family val="2"/>
    </font>
    <font>
      <sz val="11"/>
      <color theme="1"/>
      <name val="Calibri"/>
      <family val="2"/>
      <scheme val="minor"/>
    </font>
    <font>
      <sz val="11"/>
      <color theme="1"/>
      <name val="Calibri"/>
      <family val="2"/>
      <scheme val="minor"/>
    </font>
    <font>
      <sz val="10"/>
      <name val="Arial"/>
      <family val="2"/>
    </font>
    <font>
      <sz val="8"/>
      <name val="Arial"/>
      <family val="2"/>
    </font>
    <font>
      <sz val="10"/>
      <color indexed="12"/>
      <name val="Arial"/>
      <family val="2"/>
    </font>
    <font>
      <sz val="10"/>
      <color indexed="8"/>
      <name val="Arial"/>
      <family val="2"/>
    </font>
    <font>
      <b/>
      <sz val="10"/>
      <name val="Arial"/>
      <family val="2"/>
    </font>
    <font>
      <sz val="10"/>
      <name val="Arial"/>
      <family val="2"/>
    </font>
    <font>
      <b/>
      <i/>
      <sz val="9"/>
      <name val="Arial"/>
      <family val="2"/>
    </font>
    <font>
      <b/>
      <u val="singleAccounting"/>
      <sz val="8"/>
      <color indexed="8"/>
      <name val="Arial"/>
      <family val="2"/>
    </font>
    <font>
      <sz val="1"/>
      <color indexed="9"/>
      <name val="Symbol"/>
      <family val="1"/>
    </font>
    <font>
      <b/>
      <u val="singleAccounting"/>
      <sz val="8"/>
      <color indexed="8"/>
      <name val="Verdana"/>
      <family val="2"/>
    </font>
    <font>
      <b/>
      <sz val="10"/>
      <color indexed="9"/>
      <name val="Arial"/>
      <family val="2"/>
    </font>
    <font>
      <b/>
      <sz val="12"/>
      <color indexed="8"/>
      <name val="Verdana"/>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sz val="8"/>
      <color indexed="8"/>
      <name val="Arial"/>
      <family val="2"/>
    </font>
    <font>
      <b/>
      <sz val="13"/>
      <color indexed="8"/>
      <name val="Verdana"/>
      <family val="2"/>
    </font>
    <font>
      <b/>
      <sz val="8"/>
      <name val="Arial"/>
      <family val="2"/>
    </font>
    <font>
      <u val="singleAccounting"/>
      <sz val="10"/>
      <name val="Arial"/>
      <family val="2"/>
    </font>
    <font>
      <sz val="10"/>
      <name val="Times New Roman"/>
      <family val="1"/>
    </font>
    <font>
      <b/>
      <sz val="10"/>
      <name val="Times New Roman"/>
      <family val="1"/>
    </font>
    <font>
      <b/>
      <sz val="10"/>
      <color indexed="12"/>
      <name val="Times New Roman"/>
      <family val="1"/>
    </font>
    <font>
      <i/>
      <sz val="10"/>
      <name val="Times New Roman"/>
      <family val="1"/>
    </font>
    <font>
      <sz val="9"/>
      <name val="Arial"/>
      <family val="2"/>
    </font>
    <font>
      <sz val="8"/>
      <name val="Times New Roman"/>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color indexed="8"/>
      <name val="Times New Roman"/>
      <family val="1"/>
    </font>
    <font>
      <sz val="8"/>
      <color indexed="14"/>
      <name val="Times New Roman"/>
      <family val="1"/>
    </font>
    <font>
      <sz val="10"/>
      <name val="Book Antiqua"/>
      <family val="1"/>
    </font>
    <font>
      <sz val="8"/>
      <name val="Times"/>
      <family val="1"/>
    </font>
    <font>
      <b/>
      <sz val="12"/>
      <name val="Times"/>
      <family val="1"/>
    </font>
    <font>
      <sz val="12"/>
      <name val="Arial"/>
      <family val="2"/>
    </font>
    <font>
      <sz val="10"/>
      <color indexed="8"/>
      <name val="Times New Roman"/>
      <family val="1"/>
    </font>
    <font>
      <sz val="8"/>
      <color indexed="12"/>
      <name val="Times"/>
      <family val="1"/>
    </font>
    <font>
      <sz val="8"/>
      <name val="Helv"/>
    </font>
    <font>
      <sz val="12"/>
      <name val="Times"/>
      <family val="1"/>
    </font>
    <font>
      <b/>
      <i/>
      <sz val="10"/>
      <name val="Arial"/>
      <family val="2"/>
    </font>
    <font>
      <b/>
      <i/>
      <sz val="12"/>
      <name val="Times New Roman"/>
      <family val="1"/>
    </font>
    <font>
      <b/>
      <u/>
      <sz val="8"/>
      <color indexed="8"/>
      <name val="Times New Roman"/>
      <family val="1"/>
    </font>
    <font>
      <b/>
      <sz val="9"/>
      <color indexed="8"/>
      <name val="Times New Roman"/>
      <family val="1"/>
    </font>
    <font>
      <i/>
      <sz val="8"/>
      <name val="Arial"/>
      <family val="2"/>
    </font>
    <font>
      <b/>
      <i/>
      <sz val="8"/>
      <name val="Arial"/>
      <family val="2"/>
    </font>
    <font>
      <b/>
      <sz val="8"/>
      <name val="Book Antiqua"/>
      <family val="1"/>
    </font>
    <font>
      <sz val="14"/>
      <name val="Arial"/>
      <family val="2"/>
    </font>
    <font>
      <sz val="8"/>
      <color indexed="12"/>
      <name val="Times New Roman"/>
      <family val="1"/>
    </font>
    <font>
      <b/>
      <sz val="14"/>
      <name val="Book Antiqua"/>
      <family val="1"/>
    </font>
    <font>
      <sz val="10"/>
      <name val="MS Serif"/>
      <family val="1"/>
    </font>
    <font>
      <sz val="10"/>
      <name val="MS Sans Serif"/>
      <family val="2"/>
    </font>
    <font>
      <sz val="12"/>
      <name val="Times New Roman"/>
      <family val="1"/>
    </font>
    <font>
      <u val="doubleAccounting"/>
      <sz val="10"/>
      <name val="Arial"/>
      <family val="2"/>
    </font>
    <font>
      <sz val="10"/>
      <color indexed="16"/>
      <name val="MS Serif"/>
      <family val="1"/>
    </font>
    <font>
      <b/>
      <i/>
      <sz val="9"/>
      <color indexed="4"/>
      <name val="Times New Roman"/>
      <family val="1"/>
    </font>
    <font>
      <sz val="7"/>
      <name val="Arial"/>
      <family val="2"/>
    </font>
    <font>
      <b/>
      <sz val="14"/>
      <name val="Arial"/>
      <family val="2"/>
    </font>
    <font>
      <u/>
      <sz val="8"/>
      <name val="Times New Roman"/>
      <family val="1"/>
    </font>
    <font>
      <b/>
      <sz val="12"/>
      <color indexed="9"/>
      <name val="Times"/>
      <family val="1"/>
    </font>
    <font>
      <b/>
      <i/>
      <sz val="18"/>
      <color indexed="4"/>
      <name val="Times New Roman"/>
      <family val="1"/>
    </font>
    <font>
      <b/>
      <sz val="12"/>
      <name val="Arial"/>
      <family val="2"/>
    </font>
    <font>
      <b/>
      <sz val="8"/>
      <name val="Palatino"/>
      <family val="1"/>
    </font>
    <font>
      <b/>
      <sz val="9"/>
      <name val="Arial"/>
      <family val="2"/>
    </font>
    <font>
      <b/>
      <sz val="8"/>
      <name val="MS Sans Serif"/>
      <family val="2"/>
    </font>
    <font>
      <b/>
      <i/>
      <sz val="10"/>
      <name val="Times New Roman"/>
      <family val="1"/>
    </font>
    <font>
      <b/>
      <sz val="10"/>
      <name val="Palatino"/>
      <family val="1"/>
    </font>
    <font>
      <sz val="8"/>
      <name val="Book Antiqua"/>
      <family val="1"/>
    </font>
    <font>
      <sz val="10"/>
      <name val="Geneva"/>
      <family val="2"/>
    </font>
    <font>
      <i/>
      <sz val="7"/>
      <name val="Book Antiqua"/>
      <family val="1"/>
    </font>
    <font>
      <sz val="8"/>
      <name val="Palatino"/>
      <family val="1"/>
    </font>
    <font>
      <b/>
      <i/>
      <sz val="16"/>
      <name val="Helv"/>
    </font>
    <font>
      <sz val="10"/>
      <color indexed="12"/>
      <name val="Times New Roman"/>
      <family val="1"/>
    </font>
    <font>
      <b/>
      <sz val="11"/>
      <name val="Times New Roman"/>
      <family val="1"/>
    </font>
    <font>
      <sz val="11"/>
      <name val="Times New Roman"/>
      <family val="1"/>
    </font>
    <font>
      <b/>
      <u/>
      <sz val="10"/>
      <color indexed="12"/>
      <name val="Times New Roman"/>
      <family val="1"/>
    </font>
    <font>
      <b/>
      <sz val="12"/>
      <name val="Times New Roman"/>
      <family val="1"/>
    </font>
    <font>
      <b/>
      <sz val="15"/>
      <name val="Times New Roman"/>
      <family val="1"/>
    </font>
    <font>
      <sz val="8"/>
      <color indexed="72"/>
      <name val="Arial"/>
      <family val="2"/>
    </font>
    <font>
      <sz val="11"/>
      <color indexed="8"/>
      <name val="Times New Roman"/>
      <family val="1"/>
    </font>
    <font>
      <b/>
      <i/>
      <sz val="11"/>
      <color indexed="8"/>
      <name val="Times New Roman"/>
      <family val="1"/>
    </font>
    <font>
      <b/>
      <sz val="11"/>
      <color indexed="16"/>
      <name val="Times New Roman"/>
      <family val="1"/>
    </font>
    <font>
      <u/>
      <sz val="8"/>
      <name val="Book Antiqua"/>
      <family val="1"/>
    </font>
    <font>
      <sz val="9"/>
      <name val="Times New Roman"/>
      <family val="1"/>
    </font>
    <font>
      <b/>
      <sz val="9"/>
      <name val="Times New Roman"/>
      <family val="1"/>
    </font>
    <font>
      <sz val="12"/>
      <name val="Arial MT"/>
    </font>
    <font>
      <b/>
      <sz val="10"/>
      <color indexed="8"/>
      <name val="Arial Narrow"/>
      <family val="2"/>
    </font>
    <font>
      <b/>
      <sz val="10"/>
      <name val="MS Sans Serif"/>
      <family val="2"/>
    </font>
    <font>
      <sz val="7"/>
      <color indexed="12"/>
      <name val="Arial"/>
      <family val="2"/>
    </font>
    <font>
      <sz val="8"/>
      <name val="Wingdings"/>
      <charset val="2"/>
    </font>
    <font>
      <sz val="9"/>
      <color indexed="8"/>
      <name val="Times New Roman"/>
      <family val="1"/>
    </font>
    <font>
      <sz val="8"/>
      <name val="MS Sans Serif"/>
      <family val="2"/>
    </font>
    <font>
      <b/>
      <sz val="8"/>
      <color indexed="10"/>
      <name val="Times New Roman"/>
      <family val="1"/>
    </font>
    <font>
      <b/>
      <sz val="8"/>
      <color indexed="8"/>
      <name val="Helv"/>
    </font>
    <font>
      <b/>
      <sz val="14"/>
      <color indexed="8"/>
      <name val="Times New Roman"/>
      <family val="1"/>
    </font>
    <font>
      <b/>
      <u/>
      <sz val="14"/>
      <name val="Book Antiqua"/>
      <family val="1"/>
    </font>
    <font>
      <b/>
      <sz val="10"/>
      <name val="Book Antiqua"/>
      <family val="1"/>
    </font>
    <font>
      <b/>
      <sz val="7"/>
      <name val="Arial"/>
      <family val="2"/>
    </font>
    <font>
      <b/>
      <sz val="7"/>
      <color indexed="12"/>
      <name val="Arial"/>
      <family val="2"/>
    </font>
    <font>
      <b/>
      <u/>
      <sz val="10"/>
      <name val="Book Antiqua"/>
      <family val="1"/>
    </font>
    <font>
      <b/>
      <sz val="8"/>
      <name val="Times New Roman"/>
      <family val="1"/>
    </font>
    <font>
      <sz val="9"/>
      <color indexed="81"/>
      <name val="Tahoma"/>
      <family val="2"/>
    </font>
    <font>
      <b/>
      <sz val="11"/>
      <color indexed="9"/>
      <name val="Calibri"/>
      <family val="2"/>
    </font>
    <font>
      <sz val="10"/>
      <name val="Calibri"/>
      <family val="2"/>
      <scheme val="minor"/>
    </font>
    <font>
      <b/>
      <sz val="10"/>
      <color indexed="9"/>
      <name val="Calibri"/>
      <family val="2"/>
      <scheme val="minor"/>
    </font>
    <font>
      <b/>
      <sz val="10"/>
      <color indexed="12"/>
      <name val="Calibri"/>
      <family val="2"/>
      <scheme val="minor"/>
    </font>
    <font>
      <sz val="10"/>
      <color indexed="12"/>
      <name val="Calibri"/>
      <family val="2"/>
      <scheme val="minor"/>
    </font>
    <font>
      <b/>
      <sz val="10"/>
      <name val="Calibri"/>
      <family val="2"/>
      <scheme val="minor"/>
    </font>
    <font>
      <b/>
      <u/>
      <sz val="16"/>
      <name val="Calibri"/>
      <family val="2"/>
      <scheme val="minor"/>
    </font>
    <font>
      <i/>
      <sz val="10"/>
      <name val="Calibri"/>
      <family val="2"/>
      <scheme val="minor"/>
    </font>
    <font>
      <i/>
      <sz val="10"/>
      <color indexed="8"/>
      <name val="Calibri"/>
      <family val="2"/>
      <scheme val="minor"/>
    </font>
    <font>
      <sz val="10"/>
      <color rgb="FFFF0000"/>
      <name val="Calibri"/>
      <family val="2"/>
      <scheme val="minor"/>
    </font>
    <font>
      <b/>
      <sz val="10"/>
      <color indexed="8"/>
      <name val="Calibri"/>
      <family val="2"/>
      <scheme val="minor"/>
    </font>
    <font>
      <sz val="10"/>
      <color rgb="FF0000FF"/>
      <name val="Calibri"/>
      <family val="2"/>
      <scheme val="minor"/>
    </font>
    <font>
      <i/>
      <sz val="8"/>
      <color rgb="FFFF0000"/>
      <name val="Calibri"/>
      <family val="2"/>
      <scheme val="minor"/>
    </font>
    <font>
      <b/>
      <sz val="10"/>
      <color rgb="FF0000FF"/>
      <name val="Calibri"/>
      <family val="2"/>
      <scheme val="minor"/>
    </font>
    <font>
      <b/>
      <sz val="10"/>
      <color theme="1"/>
      <name val="Calibri"/>
      <family val="2"/>
      <scheme val="minor"/>
    </font>
    <font>
      <sz val="10"/>
      <color theme="1"/>
      <name val="Calibri"/>
      <family val="2"/>
      <scheme val="minor"/>
    </font>
    <font>
      <b/>
      <sz val="9"/>
      <color indexed="81"/>
      <name val="Tahoma"/>
      <family val="2"/>
    </font>
    <font>
      <sz val="9"/>
      <color indexed="81"/>
      <name val="Tahoma"/>
      <charset val="1"/>
    </font>
    <font>
      <b/>
      <sz val="9"/>
      <color indexed="81"/>
      <name val="Tahoma"/>
      <charset val="1"/>
    </font>
    <font>
      <b/>
      <i/>
      <sz val="8"/>
      <name val="Calibri"/>
      <family val="2"/>
      <scheme val="minor"/>
    </font>
    <font>
      <sz val="10"/>
      <color rgb="FF0000FF"/>
      <name val="Arial"/>
      <family val="2"/>
    </font>
    <font>
      <b/>
      <sz val="10"/>
      <color rgb="FFFF0000"/>
      <name val="Calibri"/>
      <family val="2"/>
      <scheme val="minor"/>
    </font>
    <font>
      <b/>
      <sz val="11"/>
      <color theme="1"/>
      <name val="Calibri"/>
      <family val="2"/>
      <scheme val="minor"/>
    </font>
  </fonts>
  <fills count="32">
    <fill>
      <patternFill patternType="none"/>
    </fill>
    <fill>
      <patternFill patternType="gray125"/>
    </fill>
    <fill>
      <patternFill patternType="solid">
        <fgColor indexed="43"/>
      </patternFill>
    </fill>
    <fill>
      <patternFill patternType="solid">
        <fgColor indexed="44"/>
      </patternFill>
    </fill>
    <fill>
      <patternFill patternType="lightGray">
        <fgColor indexed="15"/>
      </patternFill>
    </fill>
    <fill>
      <patternFill patternType="solid">
        <fgColor indexed="60"/>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62"/>
        <bgColor indexed="64"/>
      </patternFill>
    </fill>
    <fill>
      <patternFill patternType="solid">
        <fgColor indexed="63"/>
        <bgColor indexed="64"/>
      </patternFill>
    </fill>
    <fill>
      <patternFill patternType="solid">
        <fgColor indexed="13"/>
        <bgColor indexed="64"/>
      </patternFill>
    </fill>
    <fill>
      <patternFill patternType="solid">
        <fgColor indexed="43"/>
        <bgColor indexed="64"/>
      </patternFill>
    </fill>
    <fill>
      <patternFill patternType="solid">
        <fgColor indexed="52"/>
        <bgColor indexed="64"/>
      </patternFill>
    </fill>
    <fill>
      <patternFill patternType="solid">
        <fgColor indexed="9"/>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50"/>
        <bgColor indexed="64"/>
      </patternFill>
    </fill>
    <fill>
      <patternFill patternType="mediumGray">
        <fgColor indexed="22"/>
      </patternFill>
    </fill>
    <fill>
      <patternFill patternType="darkVertical"/>
    </fill>
    <fill>
      <patternFill patternType="solid">
        <fgColor indexed="56"/>
        <bgColor indexed="64"/>
      </patternFill>
    </fill>
    <fill>
      <patternFill patternType="solid">
        <fgColor indexed="15"/>
        <bgColor indexed="64"/>
      </patternFill>
    </fill>
    <fill>
      <patternFill patternType="lightGray">
        <fgColor indexed="13"/>
      </patternFill>
    </fill>
    <fill>
      <patternFill patternType="solid">
        <fgColor rgb="FF4F81BD"/>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DDEBF7"/>
        <bgColor indexed="64"/>
      </patternFill>
    </fill>
    <fill>
      <patternFill patternType="solid">
        <fgColor theme="9" tint="0.79998168889431442"/>
        <bgColor indexed="64"/>
      </patternFill>
    </fill>
    <fill>
      <patternFill patternType="solid">
        <fgColor theme="6" tint="0.79998168889431442"/>
        <bgColor indexed="64"/>
      </patternFill>
    </fill>
  </fills>
  <borders count="45">
    <border>
      <left/>
      <right/>
      <top/>
      <bottom/>
      <diagonal/>
    </border>
    <border>
      <left/>
      <right/>
      <top style="hair">
        <color indexed="8"/>
      </top>
      <bottom style="hair">
        <color indexed="8"/>
      </bottom>
      <diagonal/>
    </border>
    <border>
      <left/>
      <right/>
      <top/>
      <bottom style="medium">
        <color indexed="18"/>
      </bottom>
      <diagonal/>
    </border>
    <border>
      <left/>
      <right/>
      <top/>
      <bottom style="thin">
        <color indexed="64"/>
      </bottom>
      <diagonal/>
    </border>
    <border>
      <left/>
      <right/>
      <top style="thin">
        <color indexed="8"/>
      </top>
      <bottom/>
      <diagonal/>
    </border>
    <border>
      <left/>
      <right/>
      <top/>
      <bottom style="thin">
        <color indexed="8"/>
      </bottom>
      <diagonal/>
    </border>
    <border>
      <left/>
      <right/>
      <top style="double">
        <color indexed="64"/>
      </top>
      <bottom style="double">
        <color indexed="64"/>
      </bottom>
      <diagonal/>
    </border>
    <border>
      <left/>
      <right/>
      <top/>
      <bottom style="double">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45"/>
      </bottom>
      <diagonal/>
    </border>
    <border>
      <left style="thin">
        <color indexed="64"/>
      </left>
      <right style="thin">
        <color indexed="64"/>
      </right>
      <top/>
      <bottom/>
      <diagonal/>
    </border>
    <border>
      <left/>
      <right/>
      <top/>
      <bottom style="thin">
        <color indexed="45"/>
      </bottom>
      <diagonal/>
    </border>
    <border>
      <left/>
      <right/>
      <top style="medium">
        <color indexed="45"/>
      </top>
      <bottom/>
      <diagonal/>
    </border>
    <border>
      <left/>
      <right/>
      <top/>
      <bottom style="double">
        <color indexed="45"/>
      </bottom>
      <diagonal/>
    </border>
    <border>
      <left style="thick">
        <color indexed="9"/>
      </left>
      <right style="thick">
        <color indexed="9"/>
      </right>
      <top/>
      <bottom style="double">
        <color indexed="64"/>
      </bottom>
      <diagonal/>
    </border>
    <border>
      <left style="thick">
        <color indexed="64"/>
      </left>
      <right style="thin">
        <color indexed="64"/>
      </right>
      <top/>
      <bottom/>
      <diagonal/>
    </border>
    <border>
      <left/>
      <right/>
      <top/>
      <bottom style="thin">
        <color indexed="9"/>
      </bottom>
      <diagonal/>
    </border>
    <border>
      <left/>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s>
  <cellStyleXfs count="900">
    <xf numFmtId="0" fontId="0" fillId="0" borderId="0"/>
    <xf numFmtId="174" fontId="28" fillId="0" borderId="0"/>
    <xf numFmtId="0" fontId="29" fillId="0" borderId="0">
      <alignment horizontal="right"/>
    </xf>
    <xf numFmtId="0" fontId="8" fillId="0" borderId="0"/>
    <xf numFmtId="175" fontId="24" fillId="0" borderId="0" applyFont="0" applyFill="0" applyBorder="0" applyAlignment="0"/>
    <xf numFmtId="176" fontId="8" fillId="0" borderId="0" applyFont="0" applyFill="0" applyBorder="0" applyAlignment="0" applyProtection="0"/>
    <xf numFmtId="177" fontId="8" fillId="0" borderId="0" applyFont="0" applyFill="0" applyBorder="0" applyAlignment="0" applyProtection="0"/>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pplyNumberFormat="0" applyFill="0" applyBorder="0" applyAlignment="0" applyProtection="0">
      <alignment horizontal="left" wrapText="1"/>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8" fillId="0" borderId="0" applyNumberFormat="0" applyFill="0" applyBorder="0" applyAlignment="0" applyProtection="0">
      <alignment horizontal="left" wrapText="1"/>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vertical="top"/>
    </xf>
    <xf numFmtId="0" fontId="8" fillId="0" borderId="0" applyNumberFormat="0" applyFill="0" applyBorder="0" applyAlignment="0" applyProtection="0">
      <alignment horizontal="left" wrapText="1"/>
    </xf>
    <xf numFmtId="0" fontId="8" fillId="0" borderId="0">
      <alignment vertical="top"/>
    </xf>
    <xf numFmtId="178" fontId="8" fillId="0" borderId="0" applyFont="0" applyFill="0" applyBorder="0" applyAlignment="0" applyProtection="0"/>
    <xf numFmtId="166" fontId="8" fillId="0" borderId="0" applyFont="0" applyFill="0" applyBorder="0" applyAlignment="0" applyProtection="0"/>
    <xf numFmtId="179" fontId="8" fillId="0" borderId="0" applyFont="0" applyFill="0" applyBorder="0" applyAlignment="0" applyProtection="0"/>
    <xf numFmtId="180" fontId="8" fillId="0" borderId="0" applyFont="0" applyFill="0" applyBorder="0" applyAlignment="0" applyProtection="0"/>
    <xf numFmtId="181" fontId="8" fillId="0" borderId="0" applyFont="0" applyFill="0" applyBorder="0" applyAlignment="0" applyProtection="0"/>
    <xf numFmtId="39" fontId="8" fillId="0" borderId="0" applyFont="0" applyFill="0" applyBorder="0" applyAlignment="0" applyProtection="0"/>
    <xf numFmtId="182" fontId="8" fillId="0" borderId="0" applyFont="0" applyFill="0" applyBorder="0" applyAlignment="0" applyProtection="0"/>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30" fillId="0" borderId="0" applyNumberFormat="0" applyFill="0" applyBorder="0" applyAlignment="0" applyProtection="0"/>
    <xf numFmtId="0" fontId="30" fillId="0" borderId="0" applyNumberFormat="0" applyFill="0" applyBorder="0" applyAlignment="0" applyProtection="0"/>
    <xf numFmtId="0" fontId="8" fillId="2" borderId="0" applyNumberFormat="0" applyFont="0" applyAlignment="0" applyProtection="0"/>
    <xf numFmtId="0" fontId="8" fillId="0" borderId="0" applyFont="0" applyFill="0" applyBorder="0" applyAlignment="0" applyProtection="0"/>
    <xf numFmtId="183" fontId="8" fillId="0" borderId="0" applyFont="0" applyFill="0" applyBorder="0" applyAlignment="0" applyProtection="0"/>
    <xf numFmtId="184" fontId="8" fillId="0" borderId="0" applyFont="0" applyFill="0" applyBorder="0" applyAlignment="0" applyProtection="0"/>
    <xf numFmtId="185" fontId="8" fillId="0" borderId="0" applyFont="0" applyFill="0" applyBorder="0" applyProtection="0">
      <alignment horizontal="right"/>
    </xf>
    <xf numFmtId="186" fontId="8" fillId="0" borderId="0" applyFont="0" applyFill="0" applyBorder="0" applyAlignment="0" applyProtection="0"/>
    <xf numFmtId="0" fontId="8" fillId="0" borderId="0">
      <alignment horizontal="left" wrapText="1"/>
    </xf>
    <xf numFmtId="0" fontId="8" fillId="0" borderId="0">
      <alignment horizontal="left" wrapText="1"/>
    </xf>
    <xf numFmtId="187" fontId="8" fillId="0" borderId="0" applyFont="0" applyFill="0" applyBorder="0" applyAlignment="0" applyProtection="0"/>
    <xf numFmtId="188" fontId="8" fillId="0" borderId="0" applyFont="0" applyFill="0" applyBorder="0" applyAlignment="0" applyProtection="0"/>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pplyFont="0" applyFill="0" applyBorder="0" applyAlignment="0" applyProtection="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31" fillId="0" borderId="0" applyNumberFormat="0" applyFill="0" applyBorder="0" applyProtection="0">
      <alignment vertical="top"/>
    </xf>
    <xf numFmtId="0" fontId="31" fillId="0" borderId="0" applyNumberFormat="0" applyFill="0" applyBorder="0" applyProtection="0">
      <alignment vertical="top"/>
    </xf>
    <xf numFmtId="0" fontId="32" fillId="0" borderId="1" applyNumberFormat="0" applyFill="0" applyAlignment="0" applyProtection="0"/>
    <xf numFmtId="0" fontId="33" fillId="0" borderId="2" applyNumberFormat="0" applyFill="0" applyProtection="0">
      <alignment horizontal="center"/>
    </xf>
    <xf numFmtId="0" fontId="33" fillId="0" borderId="0" applyNumberFormat="0" applyFill="0" applyBorder="0" applyProtection="0">
      <alignment horizontal="left"/>
    </xf>
    <xf numFmtId="0" fontId="34" fillId="0" borderId="0" applyNumberFormat="0" applyFill="0" applyBorder="0" applyProtection="0">
      <alignment horizontal="centerContinuous"/>
    </xf>
    <xf numFmtId="189" fontId="35" fillId="0" borderId="0" applyFont="0" applyFill="0" applyBorder="0" applyAlignment="0" applyProtection="0"/>
    <xf numFmtId="190" fontId="35" fillId="0" borderId="0" applyFont="0" applyFill="0" applyBorder="0" applyAlignment="0" applyProtection="0"/>
    <xf numFmtId="191" fontId="35" fillId="0" borderId="0" applyFont="0" applyFill="0" applyBorder="0" applyAlignment="0" applyProtection="0"/>
    <xf numFmtId="192" fontId="35" fillId="0" borderId="0" applyFont="0" applyFill="0" applyBorder="0" applyAlignment="0" applyProtection="0"/>
    <xf numFmtId="193" fontId="35" fillId="0" borderId="0" applyFont="0" applyFill="0" applyBorder="0" applyAlignment="0" applyProtection="0"/>
    <xf numFmtId="194" fontId="36" fillId="0" borderId="0" applyFont="0" applyFill="0" applyBorder="0" applyAlignment="0" applyProtection="0"/>
    <xf numFmtId="42" fontId="8" fillId="0" borderId="0" applyFont="0" applyFill="0" applyBorder="0" applyAlignment="0" applyProtection="0"/>
    <xf numFmtId="0" fontId="37" fillId="0" borderId="0" applyNumberFormat="0" applyFont="0" applyFill="0" applyBorder="0" applyProtection="0">
      <alignment horizontal="centerContinuous"/>
    </xf>
    <xf numFmtId="0" fontId="5" fillId="0" borderId="0" applyNumberFormat="0" applyFill="0" applyBorder="0" applyAlignment="0">
      <protection locked="0"/>
    </xf>
    <xf numFmtId="0" fontId="38" fillId="0" borderId="0"/>
    <xf numFmtId="0" fontId="39" fillId="0" borderId="0"/>
    <xf numFmtId="0" fontId="29" fillId="0" borderId="0">
      <alignment horizontal="center" wrapText="1"/>
      <protection locked="0"/>
    </xf>
    <xf numFmtId="0" fontId="8" fillId="0" borderId="0" applyNumberFormat="0" applyFill="0" applyBorder="0" applyAlignment="0" applyProtection="0"/>
    <xf numFmtId="0" fontId="40" fillId="0" borderId="0" applyNumberFormat="0" applyFill="0" applyBorder="0" applyAlignment="0" applyProtection="0"/>
    <xf numFmtId="0" fontId="24" fillId="3" borderId="0" applyNumberFormat="0" applyBorder="0" applyAlignment="0">
      <protection locked="0"/>
    </xf>
    <xf numFmtId="195" fontId="24" fillId="0" borderId="0" applyFont="0" applyFill="0" applyBorder="0" applyAlignment="0" applyProtection="0"/>
    <xf numFmtId="196" fontId="41" fillId="0" borderId="0" applyFont="0" applyFill="0" applyBorder="0" applyAlignment="0" applyProtection="0"/>
    <xf numFmtId="197" fontId="24" fillId="0" borderId="0" applyFont="0" applyFill="0" applyBorder="0" applyAlignment="0" applyProtection="0"/>
    <xf numFmtId="0" fontId="107" fillId="25" borderId="0"/>
    <xf numFmtId="0" fontId="42" fillId="0" borderId="0" applyNumberFormat="0" applyFill="0" applyBorder="0" applyAlignment="0" applyProtection="0"/>
    <xf numFmtId="198" fontId="43" fillId="0" borderId="0"/>
    <xf numFmtId="0" fontId="44" fillId="0" borderId="0" applyNumberFormat="0" applyFill="0" applyBorder="0" applyAlignment="0" applyProtection="0"/>
    <xf numFmtId="0" fontId="7" fillId="0" borderId="0"/>
    <xf numFmtId="0" fontId="45" fillId="0" borderId="0"/>
    <xf numFmtId="0" fontId="37" fillId="0" borderId="3" applyNumberFormat="0" applyFont="0" applyFill="0" applyAlignment="0" applyProtection="0"/>
    <xf numFmtId="0" fontId="46" fillId="0" borderId="4" applyFill="0" applyProtection="0">
      <alignment horizontal="right"/>
    </xf>
    <xf numFmtId="199" fontId="23" fillId="0" borderId="0" applyFont="0" applyFill="0" applyBorder="0" applyAlignment="0" applyProtection="0"/>
    <xf numFmtId="0" fontId="9" fillId="0" borderId="0" applyNumberFormat="0" applyFill="0" applyBorder="0" applyAlignment="0" applyProtection="0"/>
    <xf numFmtId="0" fontId="47" fillId="0" borderId="0"/>
    <xf numFmtId="0" fontId="28" fillId="0" borderId="0" applyFill="0" applyBorder="0" applyAlignment="0"/>
    <xf numFmtId="0" fontId="28" fillId="0" borderId="0" applyFill="0" applyBorder="0" applyAlignment="0"/>
    <xf numFmtId="200" fontId="28" fillId="0" borderId="0" applyFill="0" applyBorder="0" applyAlignment="0"/>
    <xf numFmtId="201" fontId="28" fillId="0" borderId="0" applyFill="0" applyBorder="0" applyAlignment="0"/>
    <xf numFmtId="202" fontId="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39" fontId="29" fillId="4" borderId="0" applyNumberFormat="0" applyFont="0" applyBorder="0" applyAlignment="0"/>
    <xf numFmtId="0" fontId="48" fillId="0" borderId="0"/>
    <xf numFmtId="0" fontId="37" fillId="0" borderId="0" applyNumberFormat="0" applyFont="0" applyFill="0" applyBorder="0" applyProtection="0">
      <alignment horizontal="center"/>
    </xf>
    <xf numFmtId="49" fontId="22" fillId="0" borderId="0" applyFill="0" applyBorder="0" applyProtection="0">
      <alignment horizontal="center"/>
    </xf>
    <xf numFmtId="49" fontId="49" fillId="0" borderId="0" applyFill="0" applyBorder="0" applyProtection="0">
      <alignment horizontal="center"/>
    </xf>
    <xf numFmtId="8" fontId="8" fillId="0" borderId="5" applyFont="0" applyFill="0" applyBorder="0" applyProtection="0">
      <alignment horizontal="right"/>
    </xf>
    <xf numFmtId="0" fontId="6" fillId="0" borderId="0"/>
    <xf numFmtId="0" fontId="4" fillId="0" borderId="0" applyNumberFormat="0" applyFill="0" applyBorder="0" applyAlignment="0" applyProtection="0"/>
    <xf numFmtId="0" fontId="50" fillId="0" borderId="0" applyNumberFormat="0" applyFill="0" applyBorder="0" applyAlignment="0" applyProtection="0"/>
    <xf numFmtId="0" fontId="4" fillId="0" borderId="0" applyNumberFormat="0" applyFill="0" applyBorder="0" applyAlignment="0" applyProtection="0"/>
    <xf numFmtId="0" fontId="51" fillId="0" borderId="3" applyNumberFormat="0" applyFill="0" applyBorder="0" applyAlignment="0" applyProtection="0">
      <alignment horizontal="center"/>
    </xf>
    <xf numFmtId="0" fontId="10" fillId="5" borderId="0"/>
    <xf numFmtId="203" fontId="8" fillId="0" borderId="0"/>
    <xf numFmtId="203" fontId="8" fillId="0" borderId="0"/>
    <xf numFmtId="203" fontId="8" fillId="0" borderId="0"/>
    <xf numFmtId="203" fontId="8" fillId="0" borderId="0"/>
    <xf numFmtId="203" fontId="8" fillId="0" borderId="0"/>
    <xf numFmtId="203" fontId="8" fillId="0" borderId="0"/>
    <xf numFmtId="203" fontId="8" fillId="0" borderId="0"/>
    <xf numFmtId="203" fontId="8" fillId="0" borderId="0"/>
    <xf numFmtId="204" fontId="52" fillId="0" borderId="0"/>
    <xf numFmtId="0" fontId="28" fillId="0" borderId="0" applyFont="0" applyFill="0" applyBorder="0" applyAlignment="0" applyProtection="0"/>
    <xf numFmtId="171" fontId="53" fillId="0" borderId="0" applyFont="0" applyFill="0" applyBorder="0" applyAlignment="0" applyProtection="0"/>
    <xf numFmtId="40" fontId="8" fillId="0" borderId="0" applyFont="0" applyFill="0" applyBorder="0" applyProtection="0">
      <alignment horizontal="right"/>
    </xf>
    <xf numFmtId="3" fontId="8" fillId="0" borderId="0" applyFill="0" applyBorder="0" applyAlignment="0" applyProtection="0"/>
    <xf numFmtId="3" fontId="4" fillId="0" borderId="0" applyFont="0" applyFill="0" applyBorder="0" applyAlignment="0" applyProtection="0"/>
    <xf numFmtId="3" fontId="22" fillId="0" borderId="0" applyFill="0" applyBorder="0" applyAlignment="0" applyProtection="0"/>
    <xf numFmtId="38" fontId="54" fillId="0" borderId="0" applyNumberFormat="0" applyFill="0" applyBorder="0">
      <alignment vertical="center"/>
    </xf>
    <xf numFmtId="0" fontId="55" fillId="0" borderId="0" applyNumberFormat="0" applyAlignment="0">
      <alignment horizontal="left"/>
    </xf>
    <xf numFmtId="7" fontId="8" fillId="0" borderId="0" applyFont="0" applyFill="0" applyBorder="0" applyAlignment="0" applyProtection="0"/>
    <xf numFmtId="205" fontId="52" fillId="0" borderId="0"/>
    <xf numFmtId="0" fontId="28" fillId="0" borderId="0" applyFont="0" applyFill="0" applyBorder="0" applyAlignment="0" applyProtection="0"/>
    <xf numFmtId="206" fontId="24" fillId="0" borderId="0" applyFont="0" applyFill="0" applyBorder="0" applyAlignment="0" applyProtection="0"/>
    <xf numFmtId="8" fontId="37" fillId="0" borderId="0" applyBorder="0"/>
    <xf numFmtId="207" fontId="8" fillId="0" borderId="0" applyNumberFormat="0">
      <alignment horizontal="right"/>
    </xf>
    <xf numFmtId="15" fontId="8" fillId="0" borderId="0" applyFont="0" applyFill="0" applyBorder="0" applyProtection="0">
      <alignment horizontal="right"/>
    </xf>
    <xf numFmtId="14" fontId="6" fillId="0" borderId="0" applyFill="0" applyBorder="0" applyAlignment="0"/>
    <xf numFmtId="15" fontId="8" fillId="0" borderId="0" applyFont="0" applyFill="0" applyBorder="0" applyProtection="0">
      <alignment horizontal="right"/>
    </xf>
    <xf numFmtId="208" fontId="22" fillId="0" borderId="0" applyFill="0" applyBorder="0" applyProtection="0">
      <alignment horizontal="left"/>
    </xf>
    <xf numFmtId="0" fontId="8" fillId="0" borderId="0">
      <alignment horizontal="left"/>
    </xf>
    <xf numFmtId="38" fontId="56" fillId="0" borderId="6">
      <alignment vertical="center"/>
    </xf>
    <xf numFmtId="209" fontId="36" fillId="0" borderId="0" applyFont="0" applyFill="0" applyBorder="0" applyAlignment="0" applyProtection="0"/>
    <xf numFmtId="4" fontId="57" fillId="0" borderId="0" applyFont="0" applyFill="0" applyBorder="0" applyAlignment="0" applyProtection="0"/>
    <xf numFmtId="0" fontId="36" fillId="0" borderId="0" applyFont="0" applyFill="0" applyBorder="0" applyAlignment="0" applyProtection="0"/>
    <xf numFmtId="0" fontId="37" fillId="0" borderId="7" applyNumberFormat="0" applyFont="0" applyFill="0" applyAlignment="0" applyProtection="0"/>
    <xf numFmtId="42" fontId="58" fillId="0" borderId="0" applyFill="0" applyBorder="0" applyAlignment="0" applyProtection="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59" fillId="0" borderId="0" applyNumberFormat="0" applyAlignment="0">
      <alignment horizontal="left"/>
    </xf>
    <xf numFmtId="210" fontId="8" fillId="0" borderId="0" applyFont="0" applyFill="0" applyBorder="0" applyAlignment="0" applyProtection="0"/>
    <xf numFmtId="170" fontId="37" fillId="0" borderId="0" applyNumberFormat="0" applyFont="0" applyAlignment="0">
      <alignment vertical="center"/>
    </xf>
    <xf numFmtId="0" fontId="60" fillId="0" borderId="0">
      <alignment horizontal="center"/>
    </xf>
    <xf numFmtId="0" fontId="61" fillId="0" borderId="0" applyNumberFormat="0" applyFill="0" applyBorder="0" applyAlignment="0" applyProtection="0"/>
    <xf numFmtId="38" fontId="4" fillId="6" borderId="0" applyNumberFormat="0" applyBorder="0" applyAlignment="0" applyProtection="0"/>
    <xf numFmtId="0" fontId="7" fillId="7" borderId="8" applyAlignment="0" applyProtection="0"/>
    <xf numFmtId="0" fontId="62" fillId="0" borderId="3" applyFill="0" applyProtection="0">
      <alignment horizontal="centerContinuous"/>
    </xf>
    <xf numFmtId="41" fontId="63" fillId="0" borderId="0">
      <alignment horizontal="center"/>
    </xf>
    <xf numFmtId="0" fontId="8" fillId="0" borderId="0">
      <alignment horizontal="center"/>
    </xf>
    <xf numFmtId="0" fontId="8" fillId="0" borderId="0">
      <alignment horizontal="left"/>
    </xf>
    <xf numFmtId="0" fontId="8" fillId="0" borderId="0">
      <alignment horizontal="right"/>
    </xf>
    <xf numFmtId="0" fontId="64" fillId="8" borderId="0"/>
    <xf numFmtId="0" fontId="65" fillId="0" borderId="0">
      <alignment horizontal="center" vertical="center"/>
    </xf>
    <xf numFmtId="0" fontId="66" fillId="0" borderId="9" applyNumberFormat="0" applyAlignment="0" applyProtection="0">
      <alignment horizontal="left" vertical="center"/>
    </xf>
    <xf numFmtId="0" fontId="66" fillId="0" borderId="8">
      <alignment horizontal="left" vertical="center"/>
    </xf>
    <xf numFmtId="0" fontId="67" fillId="0" borderId="0">
      <alignment horizontal="center"/>
    </xf>
    <xf numFmtId="0" fontId="68" fillId="0" borderId="0" applyFill="0" applyBorder="0" applyProtection="0">
      <alignment horizontal="right"/>
    </xf>
    <xf numFmtId="0" fontId="69" fillId="0" borderId="10">
      <alignment horizontal="center"/>
    </xf>
    <xf numFmtId="0" fontId="69" fillId="0" borderId="0">
      <alignment horizontal="center"/>
    </xf>
    <xf numFmtId="10" fontId="42" fillId="0" borderId="0" applyNumberFormat="0" applyFill="0" applyBorder="0" applyAlignment="0" applyProtection="0">
      <alignment horizontal="right"/>
    </xf>
    <xf numFmtId="10" fontId="4" fillId="9" borderId="11" applyNumberFormat="0" applyBorder="0" applyAlignment="0" applyProtection="0"/>
    <xf numFmtId="0" fontId="11" fillId="0" borderId="0"/>
    <xf numFmtId="0" fontId="70" fillId="0" borderId="0"/>
    <xf numFmtId="0" fontId="4" fillId="0" borderId="0" applyNumberFormat="0" applyFill="0" applyBorder="0" applyAlignment="0" applyProtection="0"/>
    <xf numFmtId="0" fontId="22" fillId="0" borderId="0" applyNumberFormat="0" applyFill="0" applyBorder="0" applyAlignment="0" applyProtection="0"/>
    <xf numFmtId="0" fontId="4" fillId="0" borderId="0" applyNumberFormat="0" applyFill="0" applyBorder="0" applyAlignment="0" applyProtection="0"/>
    <xf numFmtId="49" fontId="4" fillId="0" borderId="0" applyFont="0" applyFill="0" applyBorder="0" applyProtection="0">
      <alignment horizontal="left"/>
    </xf>
    <xf numFmtId="49" fontId="22" fillId="0" borderId="0" applyFill="0" applyBorder="0" applyProtection="0">
      <alignment horizontal="left"/>
    </xf>
    <xf numFmtId="49" fontId="22" fillId="0" borderId="3" applyFill="0" applyProtection="0">
      <alignment horizontal="left"/>
    </xf>
    <xf numFmtId="49" fontId="22" fillId="0" borderId="12" applyFill="0" applyProtection="0">
      <alignment horizontal="left"/>
    </xf>
    <xf numFmtId="0" fontId="71" fillId="0" borderId="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166" fontId="8" fillId="0" borderId="0" applyNumberFormat="0" applyFont="0" applyFill="0" applyBorder="0" applyAlignment="0"/>
    <xf numFmtId="17" fontId="24" fillId="0" borderId="0"/>
    <xf numFmtId="0" fontId="29" fillId="0" borderId="0" applyNumberFormat="0" applyFill="0" applyBorder="0" applyProtection="0"/>
    <xf numFmtId="0" fontId="24" fillId="0" borderId="0" applyNumberFormat="0" applyFill="0" applyBorder="0" applyProtection="0"/>
    <xf numFmtId="38" fontId="72" fillId="0" borderId="0" applyNumberFormat="0" applyFill="0" applyBorder="0">
      <alignment horizontal="left" vertical="center"/>
    </xf>
    <xf numFmtId="165" fontId="8" fillId="0" borderId="0" applyFont="0" applyFill="0" applyBorder="0" applyAlignment="0" applyProtection="0"/>
    <xf numFmtId="38" fontId="73" fillId="0" borderId="0" applyFont="0" applyFill="0" applyBorder="0" applyAlignment="0" applyProtection="0"/>
    <xf numFmtId="40" fontId="73" fillId="0" borderId="0" applyFont="0" applyFill="0" applyBorder="0" applyAlignment="0" applyProtection="0"/>
    <xf numFmtId="170" fontId="74" fillId="0" borderId="0" applyFill="0" applyBorder="0">
      <alignment vertical="center"/>
    </xf>
    <xf numFmtId="211" fontId="29" fillId="0" borderId="0">
      <alignment horizontal="center"/>
    </xf>
    <xf numFmtId="212" fontId="73" fillId="0" borderId="0" applyFont="0" applyFill="0" applyBorder="0" applyAlignment="0" applyProtection="0"/>
    <xf numFmtId="213" fontId="73" fillId="0" borderId="0" applyFont="0" applyFill="0" applyBorder="0" applyAlignment="0" applyProtection="0"/>
    <xf numFmtId="7" fontId="8" fillId="0" borderId="0"/>
    <xf numFmtId="214" fontId="75" fillId="0" borderId="0" applyFont="0" applyFill="0" applyBorder="0" applyProtection="0">
      <alignment horizontal="right"/>
    </xf>
    <xf numFmtId="215" fontId="57" fillId="0" borderId="0" applyFont="0" applyFill="0" applyBorder="0" applyAlignment="0" applyProtection="0"/>
    <xf numFmtId="216" fontId="24" fillId="0" borderId="0" applyFont="0" applyFill="0" applyBorder="0" applyAlignment="0" applyProtection="0"/>
    <xf numFmtId="217" fontId="57" fillId="0" borderId="0" applyFont="0" applyFill="0" applyBorder="0" applyAlignment="0" applyProtection="0"/>
    <xf numFmtId="218" fontId="29" fillId="0" borderId="0" applyFont="0" applyFill="0" applyBorder="0" applyAlignment="0" applyProtection="0"/>
    <xf numFmtId="219" fontId="24" fillId="0" borderId="0" applyFont="0" applyFill="0" applyBorder="0" applyAlignment="0" applyProtection="0"/>
    <xf numFmtId="220" fontId="57" fillId="0" borderId="0" applyFont="0" applyFill="0" applyBorder="0" applyAlignment="0" applyProtection="0"/>
    <xf numFmtId="221" fontId="57" fillId="0" borderId="0" applyFont="0" applyFill="0" applyBorder="0" applyAlignment="0" applyProtection="0"/>
    <xf numFmtId="222" fontId="24" fillId="0" borderId="0" applyFont="0" applyFill="0" applyBorder="0" applyAlignment="0" applyProtection="0"/>
    <xf numFmtId="223" fontId="8" fillId="0" borderId="0"/>
    <xf numFmtId="0" fontId="12" fillId="10" borderId="0"/>
    <xf numFmtId="0" fontId="13" fillId="11" borderId="0"/>
    <xf numFmtId="0" fontId="14" fillId="0" borderId="0"/>
    <xf numFmtId="224" fontId="76" fillId="0" borderId="0"/>
    <xf numFmtId="0" fontId="8" fillId="0" borderId="0"/>
    <xf numFmtId="0" fontId="8" fillId="0" borderId="0"/>
    <xf numFmtId="0" fontId="77" fillId="0" borderId="0">
      <alignment horizontal="center"/>
    </xf>
    <xf numFmtId="0" fontId="25" fillId="0" borderId="0">
      <alignment horizontal="center" vertical="center"/>
    </xf>
    <xf numFmtId="0" fontId="24" fillId="0" borderId="13"/>
    <xf numFmtId="0" fontId="24" fillId="0" borderId="14"/>
    <xf numFmtId="49" fontId="24" fillId="0" borderId="14">
      <alignment horizontal="left"/>
    </xf>
    <xf numFmtId="0" fontId="24" fillId="0" borderId="15"/>
    <xf numFmtId="0" fontId="24" fillId="0" borderId="3"/>
    <xf numFmtId="0" fontId="24" fillId="0" borderId="16"/>
    <xf numFmtId="0" fontId="24" fillId="6" borderId="17"/>
    <xf numFmtId="0" fontId="25" fillId="6" borderId="12">
      <alignment horizontal="left"/>
    </xf>
    <xf numFmtId="0" fontId="25" fillId="6" borderId="18">
      <alignment horizontal="left"/>
    </xf>
    <xf numFmtId="0" fontId="24" fillId="6" borderId="12"/>
    <xf numFmtId="0" fontId="24" fillId="0" borderId="0">
      <alignment horizontal="left"/>
    </xf>
    <xf numFmtId="0" fontId="25" fillId="6" borderId="12">
      <alignment horizontal="left"/>
    </xf>
    <xf numFmtId="0" fontId="41" fillId="6" borderId="12">
      <alignment horizontal="left"/>
    </xf>
    <xf numFmtId="0" fontId="24" fillId="6" borderId="18"/>
    <xf numFmtId="0" fontId="24" fillId="0" borderId="13">
      <alignment horizontal="left"/>
    </xf>
    <xf numFmtId="0" fontId="24" fillId="0" borderId="0">
      <alignment horizontal="left"/>
    </xf>
    <xf numFmtId="0" fontId="24" fillId="0" borderId="14">
      <alignment horizontal="center"/>
    </xf>
    <xf numFmtId="0" fontId="24" fillId="0" borderId="0">
      <alignment horizontal="left"/>
    </xf>
    <xf numFmtId="0" fontId="25" fillId="6" borderId="17">
      <alignment horizontal="left"/>
    </xf>
    <xf numFmtId="0" fontId="24" fillId="0" borderId="13">
      <alignment horizontal="left"/>
    </xf>
    <xf numFmtId="0" fontId="24" fillId="0" borderId="13">
      <alignment horizontal="right"/>
    </xf>
    <xf numFmtId="173" fontId="25" fillId="0" borderId="0"/>
    <xf numFmtId="0" fontId="24" fillId="0" borderId="13"/>
    <xf numFmtId="170" fontId="24" fillId="0" borderId="14"/>
    <xf numFmtId="0" fontId="24" fillId="0" borderId="13"/>
    <xf numFmtId="0" fontId="24" fillId="0" borderId="13">
      <alignment horizontal="left"/>
    </xf>
    <xf numFmtId="0" fontId="25" fillId="6" borderId="17"/>
    <xf numFmtId="0" fontId="78" fillId="6" borderId="13">
      <alignment horizontal="left"/>
    </xf>
    <xf numFmtId="0" fontId="24" fillId="6" borderId="14"/>
    <xf numFmtId="0" fontId="25" fillId="6" borderId="13">
      <alignment horizontal="left"/>
    </xf>
    <xf numFmtId="0" fontId="24" fillId="0" borderId="13">
      <alignment horizontal="left"/>
    </xf>
    <xf numFmtId="0" fontId="24" fillId="0" borderId="13">
      <alignment horizontal="left"/>
    </xf>
    <xf numFmtId="14" fontId="77" fillId="0" borderId="0">
      <alignment horizontal="center"/>
    </xf>
    <xf numFmtId="49" fontId="79" fillId="0" borderId="13">
      <alignment horizontal="left"/>
    </xf>
    <xf numFmtId="0" fontId="79" fillId="0" borderId="13"/>
    <xf numFmtId="0" fontId="25" fillId="6" borderId="13">
      <alignment horizontal="left"/>
    </xf>
    <xf numFmtId="0" fontId="25" fillId="6" borderId="13"/>
    <xf numFmtId="49" fontId="24" fillId="0" borderId="14">
      <alignment horizontal="left"/>
    </xf>
    <xf numFmtId="0" fontId="77" fillId="0" borderId="13"/>
    <xf numFmtId="0" fontId="77" fillId="0" borderId="0">
      <alignment horizontal="center"/>
    </xf>
    <xf numFmtId="14" fontId="77" fillId="0" borderId="0">
      <alignment horizontal="center"/>
    </xf>
    <xf numFmtId="0" fontId="77" fillId="0" borderId="15"/>
    <xf numFmtId="0" fontId="24" fillId="0" borderId="3">
      <alignment horizontal="center"/>
    </xf>
    <xf numFmtId="0" fontId="24" fillId="0" borderId="0"/>
    <xf numFmtId="0" fontId="77" fillId="0" borderId="3">
      <alignment horizontal="center"/>
    </xf>
    <xf numFmtId="14" fontId="77" fillId="0" borderId="3">
      <alignment horizontal="center"/>
    </xf>
    <xf numFmtId="0" fontId="25" fillId="0" borderId="0">
      <alignment horizontal="left" vertical="center" wrapText="1"/>
    </xf>
    <xf numFmtId="0" fontId="25" fillId="6" borderId="9">
      <alignment horizontal="left" wrapText="1"/>
    </xf>
    <xf numFmtId="0" fontId="25" fillId="0" borderId="0">
      <alignment horizontal="right" vertical="center"/>
    </xf>
    <xf numFmtId="173" fontId="25" fillId="0" borderId="0">
      <alignment horizontal="right"/>
    </xf>
    <xf numFmtId="14" fontId="80" fillId="0" borderId="0">
      <alignment horizontal="center"/>
    </xf>
    <xf numFmtId="0" fontId="25" fillId="6" borderId="19">
      <alignment horizontal="center" wrapText="1"/>
    </xf>
    <xf numFmtId="0" fontId="57" fillId="0" borderId="0">
      <alignment horizontal="center" vertical="center"/>
    </xf>
    <xf numFmtId="1" fontId="81" fillId="0" borderId="0">
      <alignment horizontal="center" wrapText="1"/>
    </xf>
    <xf numFmtId="0" fontId="25" fillId="6" borderId="9">
      <alignment horizontal="center" wrapText="1"/>
    </xf>
    <xf numFmtId="0" fontId="81" fillId="6" borderId="20">
      <alignment horizontal="center" wrapText="1"/>
    </xf>
    <xf numFmtId="0" fontId="81" fillId="6" borderId="19">
      <alignment horizontal="left" wrapText="1"/>
    </xf>
    <xf numFmtId="0" fontId="24" fillId="0" borderId="14">
      <alignment horizontal="left"/>
    </xf>
    <xf numFmtId="0" fontId="57" fillId="0" borderId="0">
      <alignment horizontal="center"/>
    </xf>
    <xf numFmtId="2" fontId="57" fillId="12" borderId="0">
      <alignment horizontal="center"/>
    </xf>
    <xf numFmtId="0" fontId="24" fillId="0" borderId="0">
      <alignment horizontal="left" vertical="top"/>
    </xf>
    <xf numFmtId="16" fontId="24" fillId="0" borderId="0"/>
    <xf numFmtId="0" fontId="24" fillId="12" borderId="0"/>
    <xf numFmtId="14" fontId="24" fillId="0" borderId="0">
      <alignment horizontal="center"/>
    </xf>
    <xf numFmtId="2" fontId="57" fillId="0" borderId="12">
      <alignment horizontal="center" vertical="center"/>
    </xf>
    <xf numFmtId="0" fontId="25" fillId="6" borderId="0">
      <alignment horizontal="center"/>
    </xf>
    <xf numFmtId="2" fontId="57" fillId="0" borderId="0">
      <alignment horizontal="center"/>
    </xf>
    <xf numFmtId="2" fontId="57" fillId="0" borderId="0">
      <alignment horizontal="center"/>
    </xf>
    <xf numFmtId="0" fontId="24" fillId="0" borderId="0">
      <alignment horizontal="left" vertical="top"/>
    </xf>
    <xf numFmtId="15" fontId="24" fillId="0" borderId="0">
      <alignment horizontal="left" vertical="top"/>
    </xf>
    <xf numFmtId="0" fontId="24" fillId="0" borderId="0">
      <alignment horizontal="left" vertical="top"/>
    </xf>
    <xf numFmtId="14" fontId="24" fillId="0" borderId="0">
      <alignment horizontal="center" vertical="top"/>
    </xf>
    <xf numFmtId="0" fontId="57" fillId="0" borderId="0"/>
    <xf numFmtId="0" fontId="81" fillId="0" borderId="3"/>
    <xf numFmtId="14" fontId="81" fillId="0" borderId="3"/>
    <xf numFmtId="2" fontId="57" fillId="0" borderId="3">
      <alignment horizontal="center"/>
    </xf>
    <xf numFmtId="0" fontId="24" fillId="0" borderId="0">
      <alignment horizontal="center"/>
    </xf>
    <xf numFmtId="2" fontId="57" fillId="0" borderId="3">
      <alignment horizontal="center"/>
    </xf>
    <xf numFmtId="0" fontId="57" fillId="0" borderId="3"/>
    <xf numFmtId="0" fontId="57" fillId="0" borderId="3">
      <alignment horizontal="center"/>
    </xf>
    <xf numFmtId="0" fontId="57" fillId="0" borderId="3">
      <alignment horizontal="center"/>
    </xf>
    <xf numFmtId="0" fontId="25" fillId="0" borderId="0">
      <alignment horizontal="left" vertical="top"/>
    </xf>
    <xf numFmtId="0" fontId="25" fillId="0" borderId="0">
      <alignment horizontal="left" vertical="top"/>
    </xf>
    <xf numFmtId="0" fontId="24" fillId="0" borderId="0">
      <alignment horizontal="center" vertical="top"/>
    </xf>
    <xf numFmtId="43" fontId="57" fillId="0" borderId="0">
      <alignment horizontal="left"/>
    </xf>
    <xf numFmtId="173" fontId="24" fillId="0" borderId="0"/>
    <xf numFmtId="0" fontId="24" fillId="0" borderId="0">
      <alignment horizontal="center"/>
    </xf>
    <xf numFmtId="0" fontId="77" fillId="0" borderId="0"/>
    <xf numFmtId="43" fontId="24" fillId="0" borderId="0"/>
    <xf numFmtId="1" fontId="24" fillId="0" borderId="0"/>
    <xf numFmtId="0" fontId="25" fillId="0" borderId="0"/>
    <xf numFmtId="43" fontId="24" fillId="0" borderId="0">
      <alignment horizontal="center"/>
    </xf>
    <xf numFmtId="43" fontId="24" fillId="0" borderId="21"/>
    <xf numFmtId="43" fontId="24" fillId="0" borderId="22"/>
    <xf numFmtId="0" fontId="24" fillId="0" borderId="10"/>
    <xf numFmtId="43" fontId="24" fillId="0" borderId="0"/>
    <xf numFmtId="1" fontId="81" fillId="0" borderId="16">
      <alignment horizontal="center" wrapText="1"/>
    </xf>
    <xf numFmtId="0" fontId="57" fillId="0" borderId="0">
      <alignment horizontal="center"/>
    </xf>
    <xf numFmtId="0" fontId="24" fillId="0" borderId="0">
      <alignment horizontal="left"/>
    </xf>
    <xf numFmtId="0" fontId="57" fillId="0" borderId="0"/>
    <xf numFmtId="43" fontId="24" fillId="0" borderId="0">
      <alignment horizontal="center"/>
    </xf>
    <xf numFmtId="0" fontId="25" fillId="0" borderId="3">
      <alignment horizontal="left" vertical="top"/>
    </xf>
    <xf numFmtId="0" fontId="24" fillId="0" borderId="3">
      <alignment horizontal="center" vertical="top"/>
    </xf>
    <xf numFmtId="14" fontId="24" fillId="0" borderId="3">
      <alignment horizontal="center" vertical="top"/>
    </xf>
    <xf numFmtId="15" fontId="24" fillId="0" borderId="3">
      <alignment horizontal="left" vertical="top"/>
    </xf>
    <xf numFmtId="0" fontId="27" fillId="0" borderId="0"/>
    <xf numFmtId="225" fontId="24" fillId="0" borderId="0">
      <alignment vertical="top"/>
    </xf>
    <xf numFmtId="0" fontId="24" fillId="0" borderId="3">
      <alignment horizontal="left" vertical="top"/>
    </xf>
    <xf numFmtId="0" fontId="24" fillId="0" borderId="0">
      <alignment horizontal="center" wrapText="1"/>
    </xf>
    <xf numFmtId="0" fontId="24" fillId="0" borderId="0">
      <alignment horizontal="center"/>
    </xf>
    <xf numFmtId="0" fontId="24" fillId="0" borderId="0">
      <alignment horizontal="center" vertical="top"/>
    </xf>
    <xf numFmtId="0" fontId="25" fillId="0" borderId="0"/>
    <xf numFmtId="14" fontId="24" fillId="0" borderId="0">
      <alignment horizontal="center"/>
    </xf>
    <xf numFmtId="14" fontId="24" fillId="0" borderId="0">
      <alignment horizontal="left" vertical="top"/>
    </xf>
    <xf numFmtId="41" fontId="24" fillId="0" borderId="0"/>
    <xf numFmtId="3" fontId="25" fillId="0" borderId="23">
      <alignment horizontal="right" vertical="center"/>
    </xf>
    <xf numFmtId="173" fontId="25" fillId="0" borderId="22">
      <alignment horizontal="right"/>
    </xf>
    <xf numFmtId="226" fontId="81" fillId="0" borderId="0">
      <alignment wrapText="1"/>
    </xf>
    <xf numFmtId="0" fontId="24" fillId="0" borderId="0">
      <alignment horizontal="center"/>
    </xf>
    <xf numFmtId="227" fontId="25" fillId="0" borderId="10"/>
    <xf numFmtId="227" fontId="25" fillId="0" borderId="0"/>
    <xf numFmtId="0" fontId="24" fillId="0" borderId="0">
      <alignment vertical="top"/>
    </xf>
    <xf numFmtId="3" fontId="25" fillId="0" borderId="21">
      <alignment horizontal="right" vertical="center"/>
    </xf>
    <xf numFmtId="0" fontId="81" fillId="0" borderId="15">
      <alignment horizontal="center" wrapText="1"/>
    </xf>
    <xf numFmtId="3" fontId="25" fillId="0" borderId="24">
      <alignment horizontal="right" vertical="center"/>
    </xf>
    <xf numFmtId="3" fontId="25" fillId="0" borderId="0">
      <alignment horizontal="right" vertical="center"/>
    </xf>
    <xf numFmtId="173" fontId="25" fillId="0" borderId="10">
      <alignment horizontal="right"/>
    </xf>
    <xf numFmtId="0" fontId="6" fillId="0" borderId="25">
      <alignment wrapText="1"/>
    </xf>
    <xf numFmtId="228" fontId="6" fillId="0" borderId="25">
      <alignment horizontal="right" wrapText="1"/>
    </xf>
    <xf numFmtId="4" fontId="24" fillId="0" borderId="0">
      <alignment horizontal="center"/>
    </xf>
    <xf numFmtId="0" fontId="25" fillId="6" borderId="9">
      <alignment horizontal="center"/>
    </xf>
    <xf numFmtId="0" fontId="25" fillId="6" borderId="20">
      <alignment horizontal="center"/>
    </xf>
    <xf numFmtId="14" fontId="24" fillId="0" borderId="0">
      <alignment horizontal="center" vertical="top"/>
    </xf>
    <xf numFmtId="0" fontId="24" fillId="13" borderId="0">
      <alignment vertical="top"/>
    </xf>
    <xf numFmtId="0" fontId="24" fillId="13" borderId="0"/>
    <xf numFmtId="0" fontId="6" fillId="0" borderId="25">
      <alignment wrapText="1"/>
    </xf>
    <xf numFmtId="229" fontId="28" fillId="0" borderId="0">
      <alignment horizontal="right" vertical="center" wrapText="1"/>
    </xf>
    <xf numFmtId="0" fontId="28" fillId="0" borderId="0">
      <alignment horizontal="right" vertical="center" wrapText="1"/>
    </xf>
    <xf numFmtId="0" fontId="6" fillId="0" borderId="0">
      <alignment wrapText="1"/>
    </xf>
    <xf numFmtId="173" fontId="24" fillId="0" borderId="0"/>
    <xf numFmtId="0" fontId="24" fillId="13" borderId="0">
      <alignment horizontal="center"/>
    </xf>
    <xf numFmtId="0" fontId="25" fillId="13" borderId="0"/>
    <xf numFmtId="0" fontId="24" fillId="13" borderId="0">
      <alignment horizontal="center" vertical="top"/>
    </xf>
    <xf numFmtId="0" fontId="24" fillId="0" borderId="0">
      <alignment vertical="top"/>
    </xf>
    <xf numFmtId="14" fontId="24" fillId="13" borderId="0">
      <alignment horizontal="center" vertical="top"/>
    </xf>
    <xf numFmtId="15" fontId="24" fillId="13" borderId="0">
      <alignment horizontal="left" vertical="top"/>
    </xf>
    <xf numFmtId="0" fontId="24" fillId="13" borderId="0">
      <alignment horizontal="left" vertical="top"/>
    </xf>
    <xf numFmtId="14" fontId="24" fillId="13" borderId="0">
      <alignment horizontal="left" vertical="top"/>
    </xf>
    <xf numFmtId="0" fontId="24" fillId="14" borderId="0">
      <alignment horizontal="center"/>
    </xf>
    <xf numFmtId="0" fontId="25" fillId="14" borderId="0"/>
    <xf numFmtId="0" fontId="24" fillId="14" borderId="0">
      <alignment horizontal="center" vertical="top"/>
    </xf>
    <xf numFmtId="14" fontId="24" fillId="14" borderId="0">
      <alignment horizontal="center" vertical="top"/>
    </xf>
    <xf numFmtId="0" fontId="24" fillId="14" borderId="0">
      <alignment vertical="top"/>
    </xf>
    <xf numFmtId="15" fontId="24" fillId="14" borderId="0">
      <alignment horizontal="left" vertical="top"/>
    </xf>
    <xf numFmtId="15" fontId="77" fillId="0" borderId="0">
      <alignment horizontal="left"/>
    </xf>
    <xf numFmtId="0" fontId="24" fillId="14" borderId="0">
      <alignment horizontal="left" vertical="top"/>
    </xf>
    <xf numFmtId="173" fontId="24" fillId="14" borderId="0">
      <alignment vertical="top"/>
    </xf>
    <xf numFmtId="14" fontId="24" fillId="14" borderId="0">
      <alignment horizontal="left" vertical="top"/>
    </xf>
    <xf numFmtId="0" fontId="24" fillId="14" borderId="0">
      <alignment horizontal="center"/>
    </xf>
    <xf numFmtId="0" fontId="24" fillId="14" borderId="0"/>
    <xf numFmtId="0" fontId="25" fillId="14" borderId="0">
      <alignment horizontal="left" vertical="top"/>
    </xf>
    <xf numFmtId="14" fontId="24" fillId="14" borderId="0">
      <alignment horizontal="center" vertical="top"/>
    </xf>
    <xf numFmtId="0" fontId="57" fillId="14" borderId="0">
      <alignment horizontal="center"/>
    </xf>
    <xf numFmtId="0" fontId="77" fillId="14" borderId="0">
      <alignment horizontal="center"/>
    </xf>
    <xf numFmtId="0" fontId="24" fillId="14" borderId="0"/>
    <xf numFmtId="0" fontId="57" fillId="0" borderId="0"/>
    <xf numFmtId="0" fontId="25" fillId="0" borderId="0">
      <alignment horizontal="center"/>
    </xf>
    <xf numFmtId="0" fontId="25" fillId="0" borderId="0">
      <alignment horizontal="center"/>
    </xf>
    <xf numFmtId="173" fontId="25" fillId="6" borderId="23">
      <alignment horizontal="center"/>
    </xf>
    <xf numFmtId="173" fontId="25" fillId="6" borderId="24">
      <alignment horizontal="center"/>
    </xf>
    <xf numFmtId="2" fontId="57" fillId="0" borderId="0"/>
    <xf numFmtId="0" fontId="57" fillId="0" borderId="0"/>
    <xf numFmtId="2" fontId="57" fillId="0" borderId="0">
      <alignment horizontal="center"/>
    </xf>
    <xf numFmtId="0" fontId="57" fillId="0" borderId="0">
      <alignment horizontal="center"/>
    </xf>
    <xf numFmtId="0" fontId="77" fillId="0" borderId="0">
      <alignment wrapText="1"/>
    </xf>
    <xf numFmtId="0" fontId="57" fillId="0" borderId="0">
      <alignment horizontal="center"/>
    </xf>
    <xf numFmtId="0" fontId="81" fillId="0" borderId="0">
      <alignment horizontal="left" vertical="center"/>
    </xf>
    <xf numFmtId="2" fontId="57" fillId="0" borderId="12">
      <alignment horizontal="center" vertical="center"/>
    </xf>
    <xf numFmtId="0" fontId="57" fillId="0" borderId="12">
      <alignment horizontal="center" vertical="center"/>
    </xf>
    <xf numFmtId="0" fontId="57" fillId="0" borderId="18">
      <alignment horizontal="center" vertical="center"/>
    </xf>
    <xf numFmtId="0" fontId="57" fillId="0" borderId="0">
      <alignment horizontal="center" vertical="center"/>
    </xf>
    <xf numFmtId="0" fontId="57" fillId="0" borderId="0">
      <alignment horizontal="left" vertical="center"/>
    </xf>
    <xf numFmtId="0" fontId="81" fillId="0" borderId="0">
      <alignment horizontal="left"/>
    </xf>
    <xf numFmtId="0" fontId="81" fillId="0" borderId="0">
      <alignment horizontal="left"/>
    </xf>
    <xf numFmtId="0" fontId="81" fillId="0" borderId="0">
      <alignment horizontal="center"/>
    </xf>
    <xf numFmtId="0" fontId="24" fillId="0" borderId="0">
      <alignment horizontal="center" vertical="center" wrapText="1"/>
    </xf>
    <xf numFmtId="0" fontId="81" fillId="0" borderId="0">
      <alignment horizontal="center" wrapText="1"/>
    </xf>
    <xf numFmtId="0" fontId="81" fillId="0" borderId="13">
      <alignment horizontal="center" wrapText="1"/>
    </xf>
    <xf numFmtId="1" fontId="81" fillId="0" borderId="14">
      <alignment horizontal="center" wrapText="1"/>
    </xf>
    <xf numFmtId="0" fontId="81" fillId="0" borderId="0">
      <alignment horizontal="center"/>
    </xf>
    <xf numFmtId="230" fontId="81" fillId="0" borderId="0">
      <alignment horizontal="center" wrapText="1"/>
    </xf>
    <xf numFmtId="43" fontId="81" fillId="0" borderId="0"/>
    <xf numFmtId="0" fontId="81" fillId="0" borderId="0"/>
    <xf numFmtId="0" fontId="57" fillId="0" borderId="0">
      <alignment wrapText="1"/>
    </xf>
    <xf numFmtId="0" fontId="81" fillId="0" borderId="0">
      <alignment horizontal="center" wrapText="1"/>
    </xf>
    <xf numFmtId="0" fontId="81" fillId="0" borderId="0">
      <alignment horizontal="center" wrapText="1"/>
    </xf>
    <xf numFmtId="43" fontId="24" fillId="0" borderId="0">
      <alignment horizontal="center" vertical="center" wrapText="1"/>
    </xf>
    <xf numFmtId="0" fontId="81" fillId="0" borderId="0">
      <alignment horizontal="center" wrapText="1"/>
    </xf>
    <xf numFmtId="231" fontId="81" fillId="0" borderId="0">
      <alignment horizontal="center" wrapText="1"/>
    </xf>
    <xf numFmtId="0" fontId="81" fillId="6" borderId="9">
      <alignment horizontal="center" wrapText="1"/>
    </xf>
    <xf numFmtId="2" fontId="81" fillId="6" borderId="9">
      <alignment horizontal="center" wrapText="1"/>
    </xf>
    <xf numFmtId="0" fontId="81" fillId="6" borderId="9">
      <alignment horizontal="center" wrapText="1"/>
    </xf>
    <xf numFmtId="0" fontId="81" fillId="0" borderId="0">
      <alignment horizontal="center" wrapText="1"/>
    </xf>
    <xf numFmtId="0" fontId="24" fillId="0" borderId="0"/>
    <xf numFmtId="0" fontId="24" fillId="0" borderId="0"/>
    <xf numFmtId="0" fontId="82" fillId="0" borderId="0">
      <alignment horizontal="left" vertical="center"/>
    </xf>
    <xf numFmtId="173" fontId="82" fillId="0" borderId="0">
      <alignment horizontal="left" vertical="center"/>
    </xf>
    <xf numFmtId="0" fontId="25" fillId="0" borderId="0">
      <alignment horizontal="center" vertical="center" wrapText="1"/>
    </xf>
    <xf numFmtId="0" fontId="82" fillId="0" borderId="0">
      <alignment horizontal="center" vertical="center"/>
    </xf>
    <xf numFmtId="0" fontId="25" fillId="0" borderId="23">
      <alignment horizontal="left"/>
    </xf>
    <xf numFmtId="41" fontId="25" fillId="0" borderId="26"/>
    <xf numFmtId="0" fontId="25" fillId="0" borderId="23"/>
    <xf numFmtId="41" fontId="25" fillId="0" borderId="0"/>
    <xf numFmtId="0" fontId="25" fillId="0" borderId="21"/>
    <xf numFmtId="173" fontId="25" fillId="0" borderId="27"/>
    <xf numFmtId="173" fontId="25" fillId="0" borderId="0"/>
    <xf numFmtId="43" fontId="25" fillId="0" borderId="27"/>
    <xf numFmtId="43" fontId="25" fillId="0" borderId="0"/>
    <xf numFmtId="0" fontId="24" fillId="0" borderId="0">
      <alignment wrapText="1"/>
    </xf>
    <xf numFmtId="0" fontId="25" fillId="0" borderId="22"/>
    <xf numFmtId="43" fontId="25" fillId="0" borderId="28"/>
    <xf numFmtId="0" fontId="25" fillId="0" borderId="0">
      <alignment horizontal="center"/>
    </xf>
    <xf numFmtId="0" fontId="25" fillId="6" borderId="23">
      <alignment horizontal="center"/>
    </xf>
    <xf numFmtId="173" fontId="25" fillId="6" borderId="24">
      <alignment horizontal="center"/>
    </xf>
    <xf numFmtId="0" fontId="25" fillId="6" borderId="24">
      <alignment horizontal="center"/>
    </xf>
    <xf numFmtId="0" fontId="25" fillId="6" borderId="26">
      <alignment horizontal="center"/>
    </xf>
    <xf numFmtId="0" fontId="25" fillId="6" borderId="22">
      <alignment horizontal="center"/>
    </xf>
    <xf numFmtId="173" fontId="25" fillId="6" borderId="10">
      <alignment horizontal="right"/>
    </xf>
    <xf numFmtId="0" fontId="25" fillId="6" borderId="10">
      <alignment horizontal="center"/>
    </xf>
    <xf numFmtId="0" fontId="24" fillId="0" borderId="0">
      <alignment horizontal="left" vertical="center" wrapText="1"/>
    </xf>
    <xf numFmtId="0" fontId="25" fillId="6" borderId="28">
      <alignment horizontal="center"/>
    </xf>
    <xf numFmtId="0" fontId="25" fillId="15" borderId="0">
      <alignment horizontal="center"/>
    </xf>
    <xf numFmtId="173" fontId="25" fillId="6" borderId="22">
      <alignment horizontal="center"/>
    </xf>
    <xf numFmtId="173" fontId="25" fillId="6" borderId="10">
      <alignment horizontal="center"/>
    </xf>
    <xf numFmtId="0" fontId="25" fillId="6" borderId="10">
      <alignment horizontal="center"/>
    </xf>
    <xf numFmtId="173" fontId="25" fillId="6" borderId="28">
      <alignment horizontal="center"/>
    </xf>
    <xf numFmtId="0" fontId="25" fillId="6" borderId="29">
      <alignment horizontal="center"/>
    </xf>
    <xf numFmtId="0" fontId="25" fillId="6" borderId="3">
      <alignment horizontal="center"/>
    </xf>
    <xf numFmtId="0" fontId="25" fillId="6" borderId="3">
      <alignment horizontal="center"/>
    </xf>
    <xf numFmtId="0" fontId="25" fillId="6" borderId="30">
      <alignment horizontal="center"/>
    </xf>
    <xf numFmtId="0" fontId="24" fillId="0" borderId="0"/>
    <xf numFmtId="0" fontId="25" fillId="6" borderId="21">
      <alignment horizontal="center"/>
    </xf>
    <xf numFmtId="0" fontId="25" fillId="6" borderId="0">
      <alignment horizontal="center"/>
    </xf>
    <xf numFmtId="0" fontId="25" fillId="6" borderId="27">
      <alignment horizontal="center"/>
    </xf>
    <xf numFmtId="0" fontId="41" fillId="0" borderId="0">
      <alignment horizontal="left"/>
    </xf>
    <xf numFmtId="49" fontId="24" fillId="0" borderId="0">
      <alignment horizontal="left"/>
    </xf>
    <xf numFmtId="0" fontId="41" fillId="0" borderId="0">
      <alignment horizontal="left"/>
    </xf>
    <xf numFmtId="15" fontId="77" fillId="15" borderId="0">
      <alignment horizontal="left"/>
    </xf>
    <xf numFmtId="0" fontId="24" fillId="0" borderId="0">
      <alignment horizontal="right"/>
    </xf>
    <xf numFmtId="49" fontId="24" fillId="0" borderId="0">
      <alignment horizontal="left"/>
    </xf>
    <xf numFmtId="49" fontId="24" fillId="0" borderId="0">
      <alignment horizontal="left"/>
    </xf>
    <xf numFmtId="10" fontId="77" fillId="0" borderId="0"/>
    <xf numFmtId="0" fontId="4" fillId="0" borderId="0" applyNumberFormat="0" applyFill="0" applyBorder="0" applyAlignment="0" applyProtection="0"/>
    <xf numFmtId="0" fontId="8" fillId="0" borderId="0" applyNumberFormat="0" applyFill="0" applyBorder="0" applyAlignment="0" applyProtection="0"/>
    <xf numFmtId="0" fontId="50" fillId="0" borderId="0" applyNumberFormat="0" applyFill="0" applyBorder="0" applyAlignment="0" applyProtection="0"/>
    <xf numFmtId="0" fontId="8" fillId="0" borderId="0" applyNumberFormat="0" applyFill="0" applyBorder="0" applyAlignment="0" applyProtection="0"/>
    <xf numFmtId="0" fontId="72" fillId="0" borderId="0" applyNumberFormat="0" applyFill="0" applyBorder="0" applyAlignment="0" applyProtection="0"/>
    <xf numFmtId="0" fontId="4" fillId="0" borderId="0" applyNumberFormat="0" applyFill="0" applyBorder="0" applyAlignment="0" applyProtection="0"/>
    <xf numFmtId="0" fontId="83" fillId="0" borderId="0">
      <alignment horizontal="left" vertical="top"/>
      <protection locked="0"/>
    </xf>
    <xf numFmtId="0" fontId="37" fillId="0" borderId="11" applyNumberFormat="0" applyFont="0" applyFill="0" applyAlignment="0" applyProtection="0"/>
    <xf numFmtId="40" fontId="84" fillId="15" borderId="0">
      <alignment horizontal="right"/>
    </xf>
    <xf numFmtId="0" fontId="85" fillId="15" borderId="0">
      <alignment horizontal="right"/>
    </xf>
    <xf numFmtId="0" fontId="86" fillId="15" borderId="14"/>
    <xf numFmtId="0" fontId="86" fillId="0" borderId="0" applyBorder="0">
      <alignment horizontal="centerContinuous"/>
    </xf>
    <xf numFmtId="232" fontId="87" fillId="0" borderId="0" applyFill="0">
      <alignment horizontal="center" vertical="center"/>
    </xf>
    <xf numFmtId="0" fontId="25" fillId="0" borderId="31" applyNumberFormat="0" applyAlignment="0" applyProtection="0"/>
    <xf numFmtId="0" fontId="24" fillId="16" borderId="0" applyNumberFormat="0" applyFont="0" applyBorder="0" applyAlignment="0" applyProtection="0"/>
    <xf numFmtId="0" fontId="4" fillId="17" borderId="32" applyNumberFormat="0" applyFont="0" applyBorder="0" applyAlignment="0" applyProtection="0">
      <alignment horizontal="center"/>
    </xf>
    <xf numFmtId="0" fontId="4" fillId="18" borderId="32" applyNumberFormat="0" applyFont="0" applyBorder="0" applyAlignment="0" applyProtection="0">
      <alignment horizontal="center"/>
    </xf>
    <xf numFmtId="0" fontId="24" fillId="0" borderId="33" applyNumberFormat="0" applyAlignment="0" applyProtection="0"/>
    <xf numFmtId="0" fontId="24" fillId="0" borderId="34" applyNumberFormat="0" applyAlignment="0" applyProtection="0"/>
    <xf numFmtId="0" fontId="25" fillId="0" borderId="35" applyNumberFormat="0" applyAlignment="0" applyProtection="0"/>
    <xf numFmtId="14" fontId="29" fillId="0" borderId="0">
      <alignment horizontal="center" wrapText="1"/>
      <protection locked="0"/>
    </xf>
    <xf numFmtId="9" fontId="57" fillId="0" borderId="0" applyFont="0" applyFill="0" applyBorder="0" applyAlignment="0" applyProtection="0"/>
    <xf numFmtId="233" fontId="88" fillId="0" borderId="0" applyFont="0" applyFill="0" applyBorder="0" applyAlignment="0" applyProtection="0"/>
    <xf numFmtId="170" fontId="57" fillId="0" borderId="0" applyFont="0" applyFill="0" applyBorder="0" applyAlignment="0" applyProtection="0"/>
    <xf numFmtId="234" fontId="57" fillId="0" borderId="0" applyFont="0" applyFill="0" applyBorder="0" applyAlignment="0" applyProtection="0"/>
    <xf numFmtId="235" fontId="57" fillId="0" borderId="0" applyFont="0" applyFill="0" applyBorder="0" applyAlignment="0" applyProtection="0"/>
    <xf numFmtId="10" fontId="8" fillId="0" borderId="0" applyFont="0" applyFill="0" applyBorder="0" applyAlignment="0" applyProtection="0"/>
    <xf numFmtId="0" fontId="8" fillId="0" borderId="0" applyFont="0" applyFill="0" applyBorder="0" applyProtection="0">
      <alignment horizontal="right"/>
    </xf>
    <xf numFmtId="173" fontId="77" fillId="0" borderId="0">
      <alignment horizontal="right"/>
    </xf>
    <xf numFmtId="173" fontId="25" fillId="0" borderId="0">
      <alignment horizontal="left" vertical="center"/>
    </xf>
    <xf numFmtId="172" fontId="4" fillId="0" borderId="0"/>
    <xf numFmtId="173" fontId="77" fillId="0" borderId="0">
      <alignment horizontal="right"/>
    </xf>
    <xf numFmtId="173" fontId="77" fillId="0" borderId="0">
      <alignment horizontal="center"/>
    </xf>
    <xf numFmtId="171" fontId="77" fillId="0" borderId="0">
      <alignment horizontal="right"/>
    </xf>
    <xf numFmtId="173" fontId="77" fillId="0" borderId="3">
      <alignment horizontal="right"/>
    </xf>
    <xf numFmtId="173" fontId="77" fillId="0" borderId="3">
      <alignment horizontal="center"/>
    </xf>
    <xf numFmtId="171" fontId="77" fillId="0" borderId="3">
      <alignment horizontal="right"/>
    </xf>
    <xf numFmtId="43" fontId="77" fillId="0" borderId="3">
      <alignment horizontal="center"/>
    </xf>
    <xf numFmtId="236" fontId="77" fillId="0" borderId="12"/>
    <xf numFmtId="237" fontId="77" fillId="0" borderId="12">
      <alignment horizontal="center"/>
    </xf>
    <xf numFmtId="173" fontId="25" fillId="0" borderId="0">
      <alignment horizontal="right" vertical="center"/>
    </xf>
    <xf numFmtId="237" fontId="77" fillId="0" borderId="18">
      <alignment horizontal="center" wrapText="1"/>
    </xf>
    <xf numFmtId="237" fontId="77" fillId="0" borderId="0">
      <alignment horizontal="center"/>
    </xf>
    <xf numFmtId="237" fontId="77" fillId="0" borderId="14">
      <alignment horizontal="center" wrapText="1"/>
    </xf>
    <xf numFmtId="236" fontId="77" fillId="0" borderId="14">
      <alignment wrapText="1"/>
    </xf>
    <xf numFmtId="236" fontId="77" fillId="0" borderId="3"/>
    <xf numFmtId="236" fontId="77" fillId="0" borderId="16">
      <alignment wrapText="1"/>
    </xf>
    <xf numFmtId="238" fontId="25" fillId="0" borderId="0">
      <alignment horizontal="left"/>
    </xf>
    <xf numFmtId="239" fontId="25" fillId="0" borderId="0">
      <alignment horizontal="left"/>
    </xf>
    <xf numFmtId="240" fontId="25" fillId="0" borderId="0">
      <alignment horizontal="left"/>
    </xf>
    <xf numFmtId="173" fontId="24" fillId="0" borderId="0">
      <alignment vertical="top"/>
    </xf>
    <xf numFmtId="241" fontId="25" fillId="0" borderId="0">
      <alignment horizontal="center"/>
    </xf>
    <xf numFmtId="236" fontId="80" fillId="0" borderId="0"/>
    <xf numFmtId="173" fontId="57" fillId="0" borderId="0">
      <alignment horizontal="right"/>
    </xf>
    <xf numFmtId="173" fontId="57" fillId="0" borderId="0">
      <alignment horizontal="center"/>
    </xf>
    <xf numFmtId="237" fontId="24" fillId="0" borderId="0">
      <alignment horizontal="center" vertical="top"/>
    </xf>
    <xf numFmtId="173" fontId="22" fillId="0" borderId="3">
      <alignment horizontal="centerContinuous"/>
    </xf>
    <xf numFmtId="173" fontId="4" fillId="0" borderId="3">
      <alignment horizontal="center"/>
    </xf>
    <xf numFmtId="173" fontId="4" fillId="0" borderId="0"/>
    <xf numFmtId="173" fontId="4" fillId="0" borderId="3"/>
    <xf numFmtId="43" fontId="4" fillId="0" borderId="3"/>
    <xf numFmtId="43" fontId="22" fillId="0" borderId="0">
      <alignment horizontal="right"/>
    </xf>
    <xf numFmtId="171" fontId="25" fillId="0" borderId="0">
      <alignment horizontal="right" vertical="center"/>
    </xf>
    <xf numFmtId="166" fontId="81" fillId="0" borderId="0">
      <alignment horizontal="center" wrapText="1"/>
    </xf>
    <xf numFmtId="2" fontId="81" fillId="0" borderId="0">
      <alignment horizontal="center"/>
    </xf>
    <xf numFmtId="43" fontId="57" fillId="0" borderId="0"/>
    <xf numFmtId="0" fontId="4" fillId="0" borderId="0">
      <alignment horizontal="center"/>
    </xf>
    <xf numFmtId="43" fontId="24" fillId="0" borderId="0">
      <alignment horizontal="center" vertical="top"/>
    </xf>
    <xf numFmtId="236" fontId="24" fillId="0" borderId="0">
      <alignment horizontal="center" vertical="top"/>
    </xf>
    <xf numFmtId="237" fontId="24" fillId="0" borderId="0">
      <alignment horizontal="center" vertical="top" wrapText="1"/>
    </xf>
    <xf numFmtId="43" fontId="24" fillId="0" borderId="0">
      <alignment horizontal="left" vertical="top"/>
    </xf>
    <xf numFmtId="173" fontId="24" fillId="0" borderId="0">
      <alignment horizontal="right" vertical="top"/>
    </xf>
    <xf numFmtId="43" fontId="24" fillId="0" borderId="0">
      <alignment horizontal="center" vertical="top"/>
    </xf>
    <xf numFmtId="43" fontId="25" fillId="0" borderId="0">
      <alignment horizontal="center"/>
    </xf>
    <xf numFmtId="236" fontId="24" fillId="0" borderId="0">
      <alignment horizontal="center" vertical="top"/>
    </xf>
    <xf numFmtId="237" fontId="24" fillId="0" borderId="0">
      <alignment horizontal="center" vertical="top" wrapText="1"/>
    </xf>
    <xf numFmtId="173" fontId="24" fillId="0" borderId="0">
      <alignment horizontal="left" vertical="top"/>
    </xf>
    <xf numFmtId="43" fontId="24" fillId="0" borderId="0">
      <alignment horizontal="left" vertical="top"/>
    </xf>
    <xf numFmtId="173" fontId="4" fillId="0" borderId="0">
      <alignment horizontal="left"/>
    </xf>
    <xf numFmtId="173" fontId="22" fillId="0" borderId="0">
      <alignment horizontal="centerContinuous"/>
    </xf>
    <xf numFmtId="173" fontId="22" fillId="0" borderId="0">
      <alignment horizontal="left"/>
    </xf>
    <xf numFmtId="173" fontId="22" fillId="0" borderId="3">
      <alignment horizontal="left"/>
    </xf>
    <xf numFmtId="43" fontId="57" fillId="0" borderId="0"/>
    <xf numFmtId="43" fontId="57" fillId="0" borderId="3">
      <alignment horizontal="center"/>
    </xf>
    <xf numFmtId="236" fontId="25" fillId="0" borderId="0">
      <alignment horizontal="center"/>
    </xf>
    <xf numFmtId="43" fontId="57" fillId="0" borderId="3"/>
    <xf numFmtId="43" fontId="22" fillId="0" borderId="0"/>
    <xf numFmtId="173" fontId="4" fillId="14" borderId="0">
      <alignment horizontal="center"/>
    </xf>
    <xf numFmtId="173" fontId="4" fillId="14" borderId="0">
      <alignment horizontal="center"/>
    </xf>
    <xf numFmtId="173" fontId="22" fillId="14" borderId="0">
      <alignment horizontal="centerContinuous"/>
    </xf>
    <xf numFmtId="173" fontId="22" fillId="14" borderId="3">
      <alignment horizontal="center" wrapText="1"/>
    </xf>
    <xf numFmtId="173" fontId="4" fillId="19" borderId="0">
      <alignment horizontal="center"/>
    </xf>
    <xf numFmtId="173" fontId="4" fillId="19" borderId="0">
      <alignment horizontal="center"/>
    </xf>
    <xf numFmtId="173" fontId="22" fillId="19" borderId="0">
      <alignment horizontal="centerContinuous"/>
    </xf>
    <xf numFmtId="173" fontId="22" fillId="19" borderId="3">
      <alignment horizontal="centerContinuous"/>
    </xf>
    <xf numFmtId="236" fontId="25" fillId="0" borderId="0">
      <alignment horizontal="center" wrapText="1"/>
    </xf>
    <xf numFmtId="173" fontId="24" fillId="0" borderId="0"/>
    <xf numFmtId="43" fontId="24" fillId="0" borderId="0"/>
    <xf numFmtId="43" fontId="24" fillId="0" borderId="0">
      <alignment horizontal="center"/>
    </xf>
    <xf numFmtId="173" fontId="24" fillId="0" borderId="0"/>
    <xf numFmtId="172" fontId="24" fillId="0" borderId="0"/>
    <xf numFmtId="43" fontId="24" fillId="0" borderId="27"/>
    <xf numFmtId="173" fontId="24" fillId="0" borderId="3"/>
    <xf numFmtId="43" fontId="24" fillId="0" borderId="28"/>
    <xf numFmtId="172" fontId="24" fillId="0" borderId="10"/>
    <xf numFmtId="10" fontId="24" fillId="0" borderId="0"/>
    <xf numFmtId="238" fontId="25" fillId="0" borderId="0">
      <alignment horizontal="center"/>
    </xf>
    <xf numFmtId="43" fontId="24" fillId="0" borderId="0"/>
    <xf numFmtId="242" fontId="25" fillId="0" borderId="0">
      <alignment horizontal="center" vertical="top"/>
    </xf>
    <xf numFmtId="14" fontId="22" fillId="0" borderId="0">
      <alignment horizontal="center"/>
    </xf>
    <xf numFmtId="4" fontId="57" fillId="0" borderId="0">
      <alignment horizontal="right" vertical="top"/>
    </xf>
    <xf numFmtId="173" fontId="57" fillId="0" borderId="0">
      <alignment horizontal="center" vertical="top"/>
    </xf>
    <xf numFmtId="173" fontId="24" fillId="0" borderId="3">
      <alignment horizontal="right" vertical="top"/>
    </xf>
    <xf numFmtId="171" fontId="24" fillId="0" borderId="3">
      <alignment horizontal="center" vertical="top"/>
    </xf>
    <xf numFmtId="43" fontId="24" fillId="0" borderId="3">
      <alignment horizontal="center" vertical="top"/>
    </xf>
    <xf numFmtId="236" fontId="24" fillId="0" borderId="3">
      <alignment horizontal="center" vertical="top"/>
    </xf>
    <xf numFmtId="237" fontId="24" fillId="0" borderId="3">
      <alignment horizontal="center" vertical="top" wrapText="1"/>
    </xf>
    <xf numFmtId="238" fontId="25" fillId="0" borderId="0">
      <alignment horizontal="center" wrapText="1"/>
    </xf>
    <xf numFmtId="173" fontId="24" fillId="0" borderId="3">
      <alignment horizontal="center" vertical="top"/>
    </xf>
    <xf numFmtId="173" fontId="24" fillId="0" borderId="3">
      <alignment horizontal="left" vertical="top"/>
    </xf>
    <xf numFmtId="173" fontId="24" fillId="0" borderId="3">
      <alignment vertical="top"/>
    </xf>
    <xf numFmtId="43" fontId="24" fillId="0" borderId="3">
      <alignment horizontal="left" vertical="top"/>
    </xf>
    <xf numFmtId="237" fontId="24" fillId="0" borderId="3">
      <alignment horizontal="center" vertical="top"/>
    </xf>
    <xf numFmtId="43" fontId="4" fillId="0" borderId="0">
      <alignment horizontal="center"/>
    </xf>
    <xf numFmtId="173" fontId="25" fillId="0" borderId="24">
      <alignment horizontal="right" vertical="center"/>
    </xf>
    <xf numFmtId="240" fontId="25" fillId="0" borderId="24">
      <alignment horizontal="left"/>
    </xf>
    <xf numFmtId="243" fontId="25" fillId="0" borderId="24">
      <alignment horizontal="left"/>
    </xf>
    <xf numFmtId="171" fontId="25" fillId="0" borderId="24">
      <alignment horizontal="right" vertical="center"/>
    </xf>
    <xf numFmtId="173" fontId="25" fillId="0" borderId="0">
      <alignment horizontal="left"/>
    </xf>
    <xf numFmtId="173" fontId="25" fillId="0" borderId="10">
      <alignment horizontal="right" vertical="center"/>
    </xf>
    <xf numFmtId="240" fontId="25" fillId="0" borderId="10">
      <alignment horizontal="left"/>
    </xf>
    <xf numFmtId="243" fontId="25" fillId="0" borderId="10">
      <alignment horizontal="left"/>
    </xf>
    <xf numFmtId="171" fontId="25" fillId="0" borderId="10">
      <alignment horizontal="right"/>
    </xf>
    <xf numFmtId="244" fontId="25" fillId="0" borderId="28">
      <alignment horizontal="left"/>
    </xf>
    <xf numFmtId="173" fontId="25" fillId="0" borderId="10">
      <alignment horizontal="left" vertical="center"/>
    </xf>
    <xf numFmtId="172" fontId="4" fillId="0" borderId="0">
      <alignment horizontal="center"/>
    </xf>
    <xf numFmtId="43" fontId="4" fillId="14" borderId="0">
      <alignment horizontal="center"/>
    </xf>
    <xf numFmtId="43" fontId="4" fillId="19" borderId="0">
      <alignment horizontal="center"/>
    </xf>
    <xf numFmtId="243" fontId="25" fillId="0" borderId="0">
      <alignment horizontal="left"/>
    </xf>
    <xf numFmtId="170" fontId="22" fillId="0" borderId="0" applyFill="0" applyBorder="0" applyAlignment="0" applyProtection="0"/>
    <xf numFmtId="173" fontId="77" fillId="0" borderId="0">
      <alignment horizontal="center"/>
    </xf>
    <xf numFmtId="173" fontId="25" fillId="0" borderId="0">
      <alignment horizontal="right"/>
    </xf>
    <xf numFmtId="244" fontId="25" fillId="0" borderId="27">
      <alignment horizontal="left"/>
    </xf>
    <xf numFmtId="43" fontId="24" fillId="0" borderId="26">
      <alignment horizontal="center"/>
    </xf>
    <xf numFmtId="173" fontId="25" fillId="0" borderId="3">
      <alignment horizontal="right" vertical="center"/>
    </xf>
    <xf numFmtId="245" fontId="25" fillId="0" borderId="27">
      <alignment horizontal="left"/>
    </xf>
    <xf numFmtId="173" fontId="24" fillId="13" borderId="0"/>
    <xf numFmtId="173" fontId="24" fillId="13" borderId="0">
      <alignment horizontal="center" vertical="top"/>
    </xf>
    <xf numFmtId="173" fontId="24" fillId="0" borderId="10"/>
    <xf numFmtId="173" fontId="24" fillId="13" borderId="0">
      <alignment horizontal="center" vertical="top"/>
    </xf>
    <xf numFmtId="173" fontId="24" fillId="13" borderId="0">
      <alignment horizontal="right" vertical="top"/>
    </xf>
    <xf numFmtId="171" fontId="24" fillId="13" borderId="0">
      <alignment horizontal="center" vertical="top"/>
    </xf>
    <xf numFmtId="171" fontId="25" fillId="0" borderId="0">
      <alignment horizontal="right"/>
    </xf>
    <xf numFmtId="43" fontId="24" fillId="13" borderId="0">
      <alignment horizontal="center" vertical="top"/>
    </xf>
    <xf numFmtId="236" fontId="24" fillId="13" borderId="0">
      <alignment horizontal="center" vertical="top"/>
    </xf>
    <xf numFmtId="237" fontId="24" fillId="13" borderId="0">
      <alignment horizontal="center" vertical="top"/>
    </xf>
    <xf numFmtId="237" fontId="24" fillId="13" borderId="0">
      <alignment horizontal="center" vertical="top" wrapText="1"/>
    </xf>
    <xf numFmtId="173" fontId="24" fillId="13" borderId="0">
      <alignment horizontal="left" vertical="top"/>
    </xf>
    <xf numFmtId="43" fontId="24" fillId="13" borderId="0">
      <alignment horizontal="left" vertical="top"/>
    </xf>
    <xf numFmtId="43" fontId="24" fillId="13" borderId="0"/>
    <xf numFmtId="173" fontId="24" fillId="14" borderId="0">
      <alignment horizontal="center" vertical="top"/>
    </xf>
    <xf numFmtId="173" fontId="24" fillId="14" borderId="0">
      <alignment horizontal="right" vertical="top"/>
    </xf>
    <xf numFmtId="171" fontId="24" fillId="14" borderId="0">
      <alignment horizontal="center" vertical="top"/>
    </xf>
    <xf numFmtId="173" fontId="24" fillId="0" borderId="0">
      <alignment horizontal="right"/>
    </xf>
    <xf numFmtId="43" fontId="24" fillId="14" borderId="0">
      <alignment horizontal="center" vertical="top"/>
    </xf>
    <xf numFmtId="236" fontId="24" fillId="14" borderId="0">
      <alignment horizontal="center" vertical="top"/>
    </xf>
    <xf numFmtId="237" fontId="24" fillId="14" borderId="0">
      <alignment horizontal="center" vertical="top"/>
    </xf>
    <xf numFmtId="237" fontId="24" fillId="14" borderId="0">
      <alignment horizontal="center" vertical="top" wrapText="1"/>
    </xf>
    <xf numFmtId="173" fontId="24" fillId="14" borderId="0">
      <alignment horizontal="center" vertical="top"/>
    </xf>
    <xf numFmtId="173" fontId="24" fillId="14" borderId="0">
      <alignment horizontal="left" vertical="top"/>
    </xf>
    <xf numFmtId="173" fontId="24" fillId="14" borderId="0"/>
    <xf numFmtId="43" fontId="24" fillId="14" borderId="0">
      <alignment horizontal="left" vertical="top"/>
    </xf>
    <xf numFmtId="236" fontId="24" fillId="14" borderId="0">
      <alignment horizontal="center" vertical="top"/>
    </xf>
    <xf numFmtId="237" fontId="77" fillId="14" borderId="0">
      <alignment horizontal="center" wrapText="1"/>
    </xf>
    <xf numFmtId="173" fontId="24" fillId="0" borderId="0"/>
    <xf numFmtId="173" fontId="24" fillId="14" borderId="0">
      <alignment horizontal="left" vertical="top"/>
    </xf>
    <xf numFmtId="173" fontId="24" fillId="14" borderId="0">
      <alignment horizontal="right"/>
    </xf>
    <xf numFmtId="173" fontId="24" fillId="14" borderId="0">
      <alignment horizontal="right"/>
    </xf>
    <xf numFmtId="4" fontId="57" fillId="14" borderId="0">
      <alignment horizontal="right" vertical="top"/>
    </xf>
    <xf numFmtId="43" fontId="24" fillId="14" borderId="0">
      <alignment horizontal="center" vertical="top"/>
    </xf>
    <xf numFmtId="237" fontId="24" fillId="14" borderId="0">
      <alignment horizontal="center" vertical="top" wrapText="1"/>
    </xf>
    <xf numFmtId="43" fontId="24" fillId="14" borderId="0">
      <alignment horizontal="left" vertical="top"/>
    </xf>
    <xf numFmtId="173" fontId="25" fillId="6" borderId="9">
      <alignment horizontal="right" wrapText="1"/>
    </xf>
    <xf numFmtId="173" fontId="25" fillId="6" borderId="9">
      <alignment horizontal="center" wrapText="1"/>
    </xf>
    <xf numFmtId="171" fontId="25" fillId="6" borderId="9">
      <alignment horizontal="right" wrapText="1"/>
    </xf>
    <xf numFmtId="43" fontId="25" fillId="6" borderId="9">
      <alignment horizontal="center" wrapText="1"/>
    </xf>
    <xf numFmtId="236" fontId="25" fillId="6" borderId="9">
      <alignment horizontal="center" wrapText="1"/>
    </xf>
    <xf numFmtId="236" fontId="25" fillId="6" borderId="9">
      <alignment horizontal="center" wrapText="1"/>
    </xf>
    <xf numFmtId="208" fontId="26" fillId="0" borderId="0">
      <alignment horizontal="left" vertical="center" wrapText="1"/>
    </xf>
    <xf numFmtId="173" fontId="24" fillId="0" borderId="0">
      <alignment horizontal="right"/>
    </xf>
    <xf numFmtId="173" fontId="24" fillId="0" borderId="0"/>
    <xf numFmtId="171" fontId="24" fillId="0" borderId="0">
      <alignment horizontal="right"/>
    </xf>
    <xf numFmtId="43" fontId="24" fillId="0" borderId="0">
      <alignment horizontal="center"/>
    </xf>
    <xf numFmtId="236" fontId="24" fillId="0" borderId="0"/>
    <xf numFmtId="236" fontId="24" fillId="0" borderId="0">
      <alignment wrapText="1"/>
    </xf>
    <xf numFmtId="171" fontId="24" fillId="0" borderId="0">
      <alignment horizontal="center" vertical="top"/>
    </xf>
    <xf numFmtId="173" fontId="24" fillId="0" borderId="0">
      <alignment horizontal="center" vertical="top"/>
    </xf>
    <xf numFmtId="173" fontId="24" fillId="0" borderId="0">
      <alignment horizontal="center" vertical="top"/>
    </xf>
    <xf numFmtId="173" fontId="24" fillId="0" borderId="0">
      <alignment horizontal="left" vertical="top"/>
    </xf>
    <xf numFmtId="173" fontId="24" fillId="0" borderId="0">
      <alignment horizontal="right" vertical="center" wrapText="1"/>
    </xf>
    <xf numFmtId="173" fontId="24" fillId="0" borderId="0">
      <alignment horizontal="right" vertical="top"/>
    </xf>
    <xf numFmtId="171" fontId="24" fillId="0" borderId="0">
      <alignment horizontal="center" vertical="top"/>
    </xf>
    <xf numFmtId="171" fontId="77" fillId="0" borderId="0">
      <alignment horizontal="right"/>
    </xf>
    <xf numFmtId="43" fontId="77" fillId="0" borderId="0">
      <alignment horizontal="center"/>
    </xf>
    <xf numFmtId="236" fontId="77" fillId="0" borderId="0"/>
    <xf numFmtId="237" fontId="77" fillId="0" borderId="0">
      <alignment horizontal="center"/>
    </xf>
    <xf numFmtId="237" fontId="77" fillId="0" borderId="0">
      <alignment horizontal="center" wrapText="1"/>
    </xf>
    <xf numFmtId="236" fontId="77" fillId="0" borderId="0">
      <alignment wrapText="1"/>
    </xf>
    <xf numFmtId="43" fontId="57" fillId="0" borderId="0">
      <alignment horizontal="center"/>
    </xf>
    <xf numFmtId="43" fontId="57" fillId="0" borderId="0"/>
    <xf numFmtId="173" fontId="24" fillId="0" borderId="0">
      <alignment horizontal="center" vertical="center" wrapText="1"/>
    </xf>
    <xf numFmtId="43" fontId="57" fillId="0" borderId="17">
      <alignment horizontal="center" vertical="center"/>
    </xf>
    <xf numFmtId="43" fontId="57" fillId="0" borderId="12">
      <alignment horizontal="center" vertical="center"/>
    </xf>
    <xf numFmtId="43" fontId="81" fillId="0" borderId="12">
      <alignment horizontal="center" vertical="center"/>
    </xf>
    <xf numFmtId="43" fontId="81" fillId="0" borderId="13">
      <alignment horizontal="center"/>
    </xf>
    <xf numFmtId="43" fontId="81" fillId="0" borderId="0">
      <alignment horizontal="center"/>
    </xf>
    <xf numFmtId="2" fontId="81" fillId="0" borderId="0">
      <alignment horizontal="center"/>
    </xf>
    <xf numFmtId="43" fontId="81" fillId="0" borderId="14">
      <alignment horizontal="center"/>
    </xf>
    <xf numFmtId="43" fontId="81" fillId="0" borderId="0">
      <alignment horizontal="center"/>
    </xf>
    <xf numFmtId="173" fontId="81" fillId="0" borderId="0">
      <alignment horizontal="center" wrapText="1"/>
    </xf>
    <xf numFmtId="173" fontId="81" fillId="0" borderId="3">
      <alignment horizontal="center" wrapText="1"/>
    </xf>
    <xf numFmtId="171" fontId="24" fillId="0" borderId="0">
      <alignment horizontal="right" vertical="center" wrapText="1"/>
    </xf>
    <xf numFmtId="166" fontId="81" fillId="0" borderId="3">
      <alignment horizontal="center" wrapText="1"/>
    </xf>
    <xf numFmtId="43" fontId="89" fillId="0" borderId="0">
      <alignment horizontal="left"/>
    </xf>
    <xf numFmtId="43" fontId="81" fillId="0" borderId="0">
      <alignment horizontal="center" wrapText="1"/>
    </xf>
    <xf numFmtId="43" fontId="81" fillId="0" borderId="0">
      <alignment wrapText="1"/>
    </xf>
    <xf numFmtId="43" fontId="81" fillId="6" borderId="9">
      <alignment horizontal="right" wrapText="1"/>
    </xf>
    <xf numFmtId="43" fontId="81" fillId="6" borderId="9">
      <alignment horizontal="center" wrapText="1"/>
    </xf>
    <xf numFmtId="173" fontId="4" fillId="0" borderId="0"/>
    <xf numFmtId="173" fontId="4" fillId="0" borderId="0">
      <alignment horizontal="center"/>
    </xf>
    <xf numFmtId="173" fontId="4" fillId="0" borderId="0">
      <alignment horizontal="left"/>
    </xf>
    <xf numFmtId="173" fontId="4" fillId="0" borderId="0">
      <alignment horizontal="center"/>
    </xf>
    <xf numFmtId="43" fontId="25" fillId="0" borderId="0">
      <alignment horizontal="center" vertical="center" wrapText="1"/>
    </xf>
    <xf numFmtId="173" fontId="22" fillId="0" borderId="0">
      <alignment horizontal="center"/>
    </xf>
    <xf numFmtId="173" fontId="4" fillId="0" borderId="0"/>
    <xf numFmtId="173" fontId="82" fillId="0" borderId="0">
      <alignment horizontal="left" vertical="center"/>
    </xf>
    <xf numFmtId="173" fontId="25" fillId="0" borderId="27"/>
    <xf numFmtId="173" fontId="25" fillId="0" borderId="0"/>
    <xf numFmtId="43" fontId="25" fillId="0" borderId="0"/>
    <xf numFmtId="43" fontId="25" fillId="0" borderId="0">
      <alignment horizontal="center"/>
    </xf>
    <xf numFmtId="173" fontId="25" fillId="0" borderId="0">
      <alignment horizontal="center"/>
    </xf>
    <xf numFmtId="173" fontId="25" fillId="6" borderId="24">
      <alignment horizontal="center"/>
    </xf>
    <xf numFmtId="49" fontId="24" fillId="0" borderId="0">
      <alignment horizontal="left"/>
    </xf>
    <xf numFmtId="236" fontId="25" fillId="0" borderId="0">
      <alignment horizontal="center" vertical="center" wrapText="1"/>
    </xf>
    <xf numFmtId="49" fontId="24" fillId="0" borderId="13">
      <alignment horizontal="left"/>
    </xf>
    <xf numFmtId="49" fontId="24" fillId="0" borderId="15">
      <alignment horizontal="left"/>
    </xf>
    <xf numFmtId="173" fontId="79" fillId="0" borderId="14"/>
    <xf numFmtId="49" fontId="24" fillId="0" borderId="14">
      <alignment horizontal="left"/>
    </xf>
    <xf numFmtId="173" fontId="4" fillId="0" borderId="0">
      <alignment horizontal="center"/>
    </xf>
    <xf numFmtId="173" fontId="4" fillId="0" borderId="0"/>
    <xf numFmtId="173" fontId="4" fillId="0" borderId="0"/>
    <xf numFmtId="173" fontId="22" fillId="0" borderId="0">
      <alignment horizontal="right"/>
    </xf>
    <xf numFmtId="173" fontId="22" fillId="0" borderId="0">
      <alignment horizontal="center"/>
    </xf>
    <xf numFmtId="173" fontId="22" fillId="0" borderId="3"/>
    <xf numFmtId="173" fontId="25" fillId="0" borderId="0">
      <alignment horizontal="left" vertical="center" wrapText="1"/>
    </xf>
    <xf numFmtId="173" fontId="22" fillId="0" borderId="3">
      <alignment horizontal="center"/>
    </xf>
    <xf numFmtId="173" fontId="22" fillId="0" borderId="3">
      <alignment horizontal="center" wrapText="1"/>
    </xf>
    <xf numFmtId="173" fontId="22" fillId="0" borderId="0"/>
    <xf numFmtId="173" fontId="22" fillId="0" borderId="3">
      <alignment horizontal="center" wrapText="1"/>
    </xf>
    <xf numFmtId="173" fontId="22" fillId="0" borderId="0">
      <alignment horizontal="center"/>
    </xf>
    <xf numFmtId="173" fontId="22" fillId="0" borderId="3">
      <alignment horizontal="center"/>
    </xf>
    <xf numFmtId="173" fontId="22" fillId="0" borderId="0"/>
    <xf numFmtId="173" fontId="22" fillId="0" borderId="3">
      <alignment horizontal="left" wrapText="1"/>
    </xf>
    <xf numFmtId="237" fontId="4" fillId="0" borderId="0">
      <alignment horizontal="center"/>
    </xf>
    <xf numFmtId="237" fontId="4" fillId="0" borderId="0">
      <alignment horizontal="left"/>
    </xf>
    <xf numFmtId="0" fontId="90" fillId="0" borderId="0"/>
    <xf numFmtId="10" fontId="8" fillId="0" borderId="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228" fontId="8" fillId="0" borderId="0"/>
    <xf numFmtId="0" fontId="91" fillId="6" borderId="0"/>
    <xf numFmtId="0" fontId="56" fillId="0" borderId="0" applyNumberFormat="0" applyFont="0" applyFill="0" applyBorder="0" applyAlignment="0" applyProtection="0">
      <alignment horizontal="left"/>
    </xf>
    <xf numFmtId="15" fontId="56" fillId="0" borderId="0" applyFont="0" applyFill="0" applyBorder="0" applyAlignment="0" applyProtection="0"/>
    <xf numFmtId="4" fontId="56" fillId="0" borderId="0" applyFont="0" applyFill="0" applyBorder="0" applyAlignment="0" applyProtection="0"/>
    <xf numFmtId="0" fontId="92" fillId="0" borderId="10">
      <alignment horizontal="center"/>
    </xf>
    <xf numFmtId="3" fontId="56" fillId="0" borderId="0" applyFont="0" applyFill="0" applyBorder="0" applyAlignment="0" applyProtection="0"/>
    <xf numFmtId="0" fontId="56" fillId="20" borderId="0" applyNumberFormat="0" applyFont="0" applyBorder="0" applyAlignment="0" applyProtection="0"/>
    <xf numFmtId="0" fontId="24" fillId="0" borderId="0">
      <alignment vertical="top"/>
    </xf>
    <xf numFmtId="0" fontId="24" fillId="0" borderId="0">
      <alignment vertical="top"/>
    </xf>
    <xf numFmtId="0" fontId="24" fillId="0" borderId="0">
      <alignment vertical="top"/>
    </xf>
    <xf numFmtId="0" fontId="24" fillId="0" borderId="0">
      <alignment vertical="top"/>
    </xf>
    <xf numFmtId="246" fontId="93" fillId="0" borderId="0"/>
    <xf numFmtId="0"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0" fontId="94" fillId="21" borderId="0" applyNumberFormat="0" applyFont="0" applyBorder="0" applyAlignment="0">
      <alignment horizontal="center"/>
    </xf>
    <xf numFmtId="14" fontId="43" fillId="0" borderId="0" applyNumberFormat="0" applyFill="0" applyBorder="0" applyAlignment="0" applyProtection="0">
      <alignment horizontal="left"/>
    </xf>
    <xf numFmtId="49" fontId="4" fillId="0" borderId="0" applyFont="0" applyFill="0" applyBorder="0" applyProtection="0">
      <alignment horizontal="right"/>
    </xf>
    <xf numFmtId="49" fontId="22" fillId="0" borderId="0" applyFill="0" applyBorder="0" applyProtection="0">
      <alignment horizontal="right"/>
    </xf>
    <xf numFmtId="49" fontId="22" fillId="0" borderId="3" applyFill="0" applyProtection="0">
      <alignment horizontal="right"/>
    </xf>
    <xf numFmtId="49" fontId="22" fillId="0" borderId="12" applyFill="0" applyProtection="0">
      <alignment horizontal="right"/>
    </xf>
    <xf numFmtId="0" fontId="66" fillId="0" borderId="0" applyFill="0" applyBorder="0" applyProtection="0">
      <alignment horizontal="left"/>
    </xf>
    <xf numFmtId="0" fontId="15" fillId="22" borderId="0"/>
    <xf numFmtId="0" fontId="94" fillId="1" borderId="8" applyNumberFormat="0" applyFont="0" applyAlignment="0">
      <alignment horizontal="center"/>
    </xf>
    <xf numFmtId="247" fontId="95" fillId="0" borderId="0" applyFont="0" applyFill="0" applyBorder="0" applyAlignment="0" applyProtection="0"/>
    <xf numFmtId="1" fontId="8" fillId="0" borderId="0"/>
    <xf numFmtId="0" fontId="4" fillId="0" borderId="0" applyFont="0" applyFill="0" applyBorder="0" applyAlignment="0" applyProtection="0"/>
    <xf numFmtId="0" fontId="22" fillId="0" borderId="0" applyFill="0" applyBorder="0" applyAlignment="0" applyProtection="0"/>
    <xf numFmtId="42" fontId="23" fillId="0" borderId="0" applyFill="0" applyBorder="0" applyAlignment="0" applyProtection="0"/>
    <xf numFmtId="0" fontId="96" fillId="0" borderId="0" applyNumberFormat="0" applyFill="0" applyBorder="0" applyAlignment="0">
      <alignment horizontal="center"/>
    </xf>
    <xf numFmtId="12" fontId="8" fillId="0" borderId="0" applyFont="0" applyFill="0" applyBorder="0" applyProtection="0">
      <alignment horizontal="right"/>
    </xf>
    <xf numFmtId="0" fontId="8" fillId="23" borderId="0" applyFont="0" applyFill="0" applyBorder="0" applyProtection="0">
      <alignment horizontal="right"/>
    </xf>
    <xf numFmtId="0" fontId="6" fillId="0" borderId="0">
      <alignment vertical="top"/>
    </xf>
    <xf numFmtId="0" fontId="81" fillId="0" borderId="0" applyNumberFormat="0" applyFill="0" applyBorder="0" applyProtection="0">
      <alignment horizontal="left"/>
    </xf>
    <xf numFmtId="0" fontId="24" fillId="0" borderId="0" applyNumberFormat="0" applyFill="0" applyBorder="0" applyProtection="0">
      <alignment horizontal="left"/>
    </xf>
    <xf numFmtId="0" fontId="24" fillId="0" borderId="0" applyNumberFormat="0" applyFill="0" applyBorder="0" applyProtection="0">
      <alignment horizontal="left"/>
    </xf>
    <xf numFmtId="0" fontId="25" fillId="0" borderId="0" applyNumberFormat="0" applyFill="0" applyBorder="0" applyProtection="0">
      <alignment horizontal="left"/>
    </xf>
    <xf numFmtId="0" fontId="25" fillId="0" borderId="0" applyFill="0" applyBorder="0" applyProtection="0">
      <alignment horizontal="left" wrapText="1"/>
    </xf>
    <xf numFmtId="0" fontId="25" fillId="0" borderId="0" applyNumberFormat="0" applyFill="0" applyBorder="0" applyProtection="0">
      <alignment horizontal="right" wrapText="1"/>
    </xf>
    <xf numFmtId="1" fontId="24" fillId="0" borderId="0" applyFill="0" applyBorder="0" applyProtection="0">
      <alignment horizontal="left"/>
    </xf>
    <xf numFmtId="49" fontId="24" fillId="0" borderId="0" applyFill="0" applyBorder="0" applyProtection="0">
      <alignment horizontal="left"/>
    </xf>
    <xf numFmtId="1" fontId="24" fillId="0" borderId="0" applyFill="0" applyBorder="0" applyProtection="0">
      <alignment horizontal="center"/>
    </xf>
    <xf numFmtId="37" fontId="24" fillId="0" borderId="0" applyFill="0" applyBorder="0" applyProtection="0">
      <alignment horizontal="right"/>
    </xf>
    <xf numFmtId="7" fontId="24" fillId="0" borderId="0" applyFill="0" applyBorder="0" applyProtection="0">
      <alignment horizontal="right"/>
    </xf>
    <xf numFmtId="248" fontId="24" fillId="0" borderId="0" applyFill="0" applyBorder="0" applyProtection="0">
      <alignment horizontal="left"/>
    </xf>
    <xf numFmtId="37" fontId="25" fillId="0" borderId="0" applyFill="0" applyBorder="0" applyProtection="0">
      <alignment horizontal="right"/>
    </xf>
    <xf numFmtId="7" fontId="25" fillId="0" borderId="0" applyFill="0" applyBorder="0" applyProtection="0">
      <alignment horizontal="right"/>
    </xf>
    <xf numFmtId="249" fontId="24" fillId="0" borderId="0" applyFill="0" applyBorder="0" applyProtection="0">
      <alignment horizontal="right"/>
    </xf>
    <xf numFmtId="250" fontId="24" fillId="0" borderId="0" applyFill="0" applyBorder="0" applyProtection="0">
      <alignment horizontal="right"/>
    </xf>
    <xf numFmtId="251" fontId="24" fillId="0" borderId="0" applyFill="0" applyBorder="0" applyProtection="0">
      <alignment horizontal="right"/>
    </xf>
    <xf numFmtId="14" fontId="24" fillId="0" borderId="0" applyFill="0" applyBorder="0" applyProtection="0">
      <alignment horizontal="right"/>
    </xf>
    <xf numFmtId="14" fontId="24" fillId="0" borderId="0" applyFill="0" applyBorder="0" applyProtection="0">
      <alignment horizontal="right"/>
    </xf>
    <xf numFmtId="252" fontId="24" fillId="0" borderId="0" applyFill="0" applyBorder="0" applyProtection="0">
      <alignment horizontal="left"/>
    </xf>
    <xf numFmtId="253" fontId="24" fillId="0" borderId="0" applyFill="0" applyBorder="0" applyProtection="0">
      <alignment horizontal="left"/>
    </xf>
    <xf numFmtId="249" fontId="25" fillId="0" borderId="0" applyFill="0" applyBorder="0" applyProtection="0">
      <alignment horizontal="right"/>
    </xf>
    <xf numFmtId="1" fontId="25" fillId="0" borderId="0" applyFill="0" applyBorder="0" applyProtection="0">
      <alignment horizontal="left"/>
    </xf>
    <xf numFmtId="248" fontId="25" fillId="0" borderId="0" applyFill="0" applyBorder="0" applyProtection="0">
      <alignment horizontal="left"/>
    </xf>
    <xf numFmtId="37" fontId="25" fillId="0" borderId="0" applyFill="0" applyBorder="0" applyProtection="0">
      <alignment horizontal="right"/>
    </xf>
    <xf numFmtId="1" fontId="97" fillId="0" borderId="0" applyFill="0" applyBorder="0" applyProtection="0">
      <alignment horizontal="left"/>
    </xf>
    <xf numFmtId="49" fontId="24" fillId="0" borderId="0" applyFill="0" applyBorder="0" applyProtection="0">
      <alignment horizontal="left"/>
    </xf>
    <xf numFmtId="253" fontId="24" fillId="0" borderId="0" applyFill="0" applyBorder="0" applyProtection="0">
      <alignment horizontal="left"/>
    </xf>
    <xf numFmtId="0" fontId="6" fillId="0" borderId="0" applyNumberFormat="0" applyBorder="0" applyAlignment="0"/>
    <xf numFmtId="0" fontId="16" fillId="0" borderId="0"/>
    <xf numFmtId="40" fontId="98" fillId="0" borderId="0" applyBorder="0">
      <alignment horizontal="right"/>
    </xf>
    <xf numFmtId="6" fontId="72" fillId="0" borderId="36" applyFill="0">
      <alignment vertical="center"/>
    </xf>
    <xf numFmtId="0" fontId="17" fillId="0" borderId="0"/>
    <xf numFmtId="0" fontId="99" fillId="0" borderId="0"/>
    <xf numFmtId="0" fontId="4" fillId="0" borderId="0"/>
    <xf numFmtId="49" fontId="6" fillId="0" borderId="0" applyFill="0" applyBorder="0" applyAlignment="0"/>
    <xf numFmtId="0" fontId="28" fillId="0" borderId="0" applyFill="0" applyBorder="0" applyAlignment="0"/>
    <xf numFmtId="202" fontId="8" fillId="0" borderId="0" applyFill="0" applyBorder="0" applyAlignment="0"/>
    <xf numFmtId="0" fontId="18" fillId="0" borderId="0"/>
    <xf numFmtId="0" fontId="19" fillId="0" borderId="0"/>
    <xf numFmtId="0" fontId="20" fillId="0" borderId="0">
      <alignment vertical="top"/>
    </xf>
    <xf numFmtId="254" fontId="72" fillId="0" borderId="0" applyFill="0" applyBorder="0">
      <alignment vertical="center"/>
    </xf>
    <xf numFmtId="0" fontId="24" fillId="0" borderId="0" applyNumberFormat="0" applyFill="0" applyBorder="0" applyAlignment="0" applyProtection="0"/>
    <xf numFmtId="0" fontId="57"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38" fontId="100" fillId="0" borderId="0" applyNumberFormat="0" applyFill="0" applyBorder="0">
      <alignment horizontal="left" vertical="center"/>
    </xf>
    <xf numFmtId="38" fontId="101" fillId="0" borderId="0" applyNumberFormat="0" applyFill="0" applyBorder="0">
      <alignment horizontal="centerContinuous" vertical="center"/>
    </xf>
    <xf numFmtId="0" fontId="21" fillId="0" borderId="0">
      <alignment vertical="top"/>
    </xf>
    <xf numFmtId="0" fontId="102" fillId="0" borderId="0" applyNumberFormat="0" applyFill="0" applyBorder="0" applyAlignment="0" applyProtection="0"/>
    <xf numFmtId="0" fontId="8" fillId="0" borderId="0" applyNumberFormat="0" applyFill="0" applyBorder="0" applyAlignment="0" applyProtection="0"/>
    <xf numFmtId="0" fontId="27" fillId="0" borderId="0" applyFill="0" applyBorder="0" applyAlignment="0" applyProtection="0"/>
    <xf numFmtId="0" fontId="18" fillId="0" borderId="0">
      <alignment wrapText="1"/>
    </xf>
    <xf numFmtId="0" fontId="103" fillId="0" borderId="0">
      <alignment horizontal="left"/>
      <protection locked="0"/>
    </xf>
    <xf numFmtId="5" fontId="88" fillId="0" borderId="0">
      <alignment vertical="center"/>
    </xf>
    <xf numFmtId="224" fontId="28" fillId="0" borderId="0"/>
    <xf numFmtId="255" fontId="29" fillId="0" borderId="0" applyFill="0" applyBorder="0" applyAlignment="0" applyProtection="0"/>
    <xf numFmtId="14" fontId="24" fillId="0" borderId="0" applyFont="0" applyFill="0" applyBorder="0" applyProtection="0"/>
    <xf numFmtId="256" fontId="104" fillId="0" borderId="0" applyFill="0" applyBorder="0">
      <alignment vertical="center"/>
    </xf>
    <xf numFmtId="0" fontId="72" fillId="24" borderId="37" applyNumberFormat="0" applyFont="0" applyBorder="0" applyAlignment="0" applyProtection="0">
      <alignment horizontal="right"/>
    </xf>
    <xf numFmtId="257" fontId="23" fillId="0" borderId="0" applyFont="0" applyFill="0" applyBorder="0" applyAlignment="0" applyProtection="0"/>
    <xf numFmtId="256" fontId="105" fillId="0" borderId="0">
      <alignment horizontal="center"/>
    </xf>
    <xf numFmtId="43" fontId="8" fillId="0" borderId="0" applyFont="0" applyFill="0" applyBorder="0" applyAlignment="0" applyProtection="0"/>
    <xf numFmtId="41" fontId="8" fillId="0" borderId="0" applyFont="0" applyFill="0" applyBorder="0" applyAlignment="0" applyProtection="0"/>
    <xf numFmtId="0" fontId="8" fillId="0" borderId="0"/>
    <xf numFmtId="44" fontId="8" fillId="0" borderId="0" applyFont="0" applyFill="0" applyBorder="0" applyAlignment="0" applyProtection="0"/>
    <xf numFmtId="42" fontId="8" fillId="0" borderId="0" applyFont="0" applyFill="0" applyBorder="0" applyAlignment="0" applyProtection="0"/>
    <xf numFmtId="0" fontId="2" fillId="0" borderId="0"/>
    <xf numFmtId="43" fontId="2" fillId="0" borderId="0" applyFont="0" applyFill="0" applyBorder="0" applyAlignment="0" applyProtection="0"/>
    <xf numFmtId="0" fontId="3" fillId="0" borderId="0"/>
    <xf numFmtId="9" fontId="2"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cellStyleXfs>
  <cellXfs count="211">
    <xf numFmtId="0" fontId="0" fillId="0" borderId="0" xfId="0"/>
    <xf numFmtId="0" fontId="2" fillId="0" borderId="0" xfId="894"/>
    <xf numFmtId="171" fontId="112" fillId="0" borderId="43" xfId="895" applyNumberFormat="1" applyFont="1" applyFill="1" applyBorder="1" applyAlignment="1">
      <alignment horizontal="right" wrapText="1"/>
    </xf>
    <xf numFmtId="0" fontId="112" fillId="0" borderId="42" xfId="896" applyFont="1" applyBorder="1"/>
    <xf numFmtId="171" fontId="118" fillId="0" borderId="27" xfId="895" applyNumberFormat="1" applyFont="1" applyFill="1" applyBorder="1" applyAlignment="1">
      <alignment horizontal="left" wrapText="1"/>
    </xf>
    <xf numFmtId="0" fontId="108" fillId="0" borderId="21" xfId="896" applyFont="1" applyBorder="1" applyAlignment="1">
      <alignment horizontal="left" wrapText="1"/>
    </xf>
    <xf numFmtId="171" fontId="112" fillId="0" borderId="41" xfId="896" applyNumberFormat="1" applyFont="1" applyBorder="1" applyAlignment="1">
      <alignment horizontal="right" wrapText="1"/>
    </xf>
    <xf numFmtId="0" fontId="112" fillId="0" borderId="40" xfId="896" applyFont="1" applyBorder="1" applyAlignment="1">
      <alignment horizontal="left" wrapText="1"/>
    </xf>
    <xf numFmtId="171" fontId="2" fillId="0" borderId="0" xfId="894" applyNumberFormat="1"/>
    <xf numFmtId="171" fontId="112" fillId="0" borderId="0" xfId="895" applyNumberFormat="1" applyFont="1" applyFill="1" applyBorder="1" applyAlignment="1">
      <alignment horizontal="right" wrapText="1"/>
    </xf>
    <xf numFmtId="0" fontId="112" fillId="0" borderId="0" xfId="896" applyFont="1"/>
    <xf numFmtId="0" fontId="112" fillId="0" borderId="41" xfId="896" applyFont="1" applyBorder="1" applyAlignment="1">
      <alignment horizontal="right" wrapText="1"/>
    </xf>
    <xf numFmtId="0" fontId="116" fillId="0" borderId="0" xfId="896" applyFont="1"/>
    <xf numFmtId="173" fontId="119" fillId="0" borderId="0" xfId="895" applyNumberFormat="1" applyFont="1" applyFill="1"/>
    <xf numFmtId="0" fontId="119" fillId="0" borderId="0" xfId="896" applyFont="1"/>
    <xf numFmtId="0" fontId="108" fillId="0" borderId="0" xfId="896" applyFont="1"/>
    <xf numFmtId="166" fontId="108" fillId="0" borderId="0" xfId="894" applyNumberFormat="1" applyFont="1"/>
    <xf numFmtId="259" fontId="112" fillId="0" borderId="0" xfId="896" applyNumberFormat="1" applyFont="1"/>
    <xf numFmtId="171" fontId="112" fillId="0" borderId="0" xfId="895" applyNumberFormat="1" applyFont="1" applyFill="1" applyBorder="1"/>
    <xf numFmtId="259" fontId="112" fillId="0" borderId="8" xfId="896" applyNumberFormat="1" applyFont="1" applyBorder="1"/>
    <xf numFmtId="171" fontId="112" fillId="0" borderId="8" xfId="895" applyNumberFormat="1" applyFont="1" applyFill="1" applyBorder="1"/>
    <xf numFmtId="0" fontId="112" fillId="0" borderId="8" xfId="896" applyFont="1" applyBorder="1"/>
    <xf numFmtId="259" fontId="108" fillId="0" borderId="0" xfId="896" applyNumberFormat="1" applyFont="1"/>
    <xf numFmtId="171" fontId="108" fillId="0" borderId="0" xfId="895" applyNumberFormat="1" applyFont="1" applyFill="1"/>
    <xf numFmtId="3" fontId="2" fillId="0" borderId="0" xfId="894" applyNumberFormat="1"/>
    <xf numFmtId="259" fontId="2" fillId="0" borderId="0" xfId="894" applyNumberFormat="1"/>
    <xf numFmtId="171" fontId="112" fillId="0" borderId="0" xfId="896" applyNumberFormat="1" applyFont="1" applyAlignment="1">
      <alignment horizontal="center" vertical="center" wrapText="1"/>
    </xf>
    <xf numFmtId="0" fontId="112" fillId="0" borderId="0" xfId="896" applyFont="1" applyAlignment="1">
      <alignment horizontal="left" wrapText="1"/>
    </xf>
    <xf numFmtId="0" fontId="108" fillId="0" borderId="0" xfId="896" applyFont="1" applyAlignment="1">
      <alignment horizontal="right" wrapText="1"/>
    </xf>
    <xf numFmtId="171" fontId="118" fillId="0" borderId="0" xfId="895" applyNumberFormat="1" applyFont="1" applyFill="1" applyBorder="1" applyAlignment="1">
      <alignment horizontal="center" wrapText="1"/>
    </xf>
    <xf numFmtId="0" fontId="108" fillId="0" borderId="0" xfId="896" applyFont="1" applyAlignment="1">
      <alignment horizontal="left" wrapText="1"/>
    </xf>
    <xf numFmtId="0" fontId="112" fillId="0" borderId="8" xfId="896" applyFont="1" applyBorder="1" applyAlignment="1">
      <alignment horizontal="right" wrapText="1"/>
    </xf>
    <xf numFmtId="17" fontId="112" fillId="0" borderId="8" xfId="896" applyNumberFormat="1" applyFont="1" applyBorder="1" applyAlignment="1">
      <alignment horizontal="center" vertical="center" wrapText="1"/>
    </xf>
    <xf numFmtId="17" fontId="112" fillId="0" borderId="8" xfId="896" applyNumberFormat="1" applyFont="1" applyBorder="1" applyAlignment="1">
      <alignment horizontal="left" vertical="center" wrapText="1"/>
    </xf>
    <xf numFmtId="0" fontId="112" fillId="0" borderId="0" xfId="896" applyFont="1" applyAlignment="1">
      <alignment wrapText="1"/>
    </xf>
    <xf numFmtId="0" fontId="108" fillId="0" borderId="0" xfId="894" applyFont="1"/>
    <xf numFmtId="170" fontId="108" fillId="0" borderId="0" xfId="897" applyNumberFormat="1" applyFont="1" applyFill="1" applyBorder="1"/>
    <xf numFmtId="0" fontId="108" fillId="0" borderId="0" xfId="894" applyFont="1" applyAlignment="1">
      <alignment horizontal="right"/>
    </xf>
    <xf numFmtId="259" fontId="112" fillId="28" borderId="0" xfId="894" applyNumberFormat="1" applyFont="1" applyFill="1" applyAlignment="1">
      <alignment horizontal="right"/>
    </xf>
    <xf numFmtId="0" fontId="112" fillId="0" borderId="0" xfId="894" applyFont="1"/>
    <xf numFmtId="260" fontId="112" fillId="0" borderId="0" xfId="894" applyNumberFormat="1" applyFont="1" applyAlignment="1">
      <alignment horizontal="right"/>
    </xf>
    <xf numFmtId="259" fontId="112" fillId="0" borderId="0" xfId="894" applyNumberFormat="1" applyFont="1" applyAlignment="1">
      <alignment horizontal="right"/>
    </xf>
    <xf numFmtId="260" fontId="108" fillId="0" borderId="0" xfId="894" applyNumberFormat="1" applyFont="1" applyAlignment="1">
      <alignment horizontal="right"/>
    </xf>
    <xf numFmtId="259" fontId="108" fillId="0" borderId="0" xfId="894" applyNumberFormat="1" applyFont="1" applyAlignment="1">
      <alignment horizontal="right"/>
    </xf>
    <xf numFmtId="171" fontId="108" fillId="0" borderId="0" xfId="895" applyNumberFormat="1" applyFont="1" applyFill="1" applyBorder="1" applyAlignment="1">
      <alignment horizontal="right"/>
    </xf>
    <xf numFmtId="171" fontId="112" fillId="0" borderId="39" xfId="895" applyNumberFormat="1" applyFont="1" applyFill="1" applyBorder="1" applyAlignment="1">
      <alignment horizontal="right"/>
    </xf>
    <xf numFmtId="0" fontId="112" fillId="0" borderId="39" xfId="894" applyFont="1" applyBorder="1"/>
    <xf numFmtId="171" fontId="112" fillId="0" borderId="0" xfId="895" applyNumberFormat="1" applyFont="1" applyFill="1" applyBorder="1" applyAlignment="1">
      <alignment horizontal="right"/>
    </xf>
    <xf numFmtId="171" fontId="108" fillId="0" borderId="0" xfId="895" applyNumberFormat="1" applyFont="1"/>
    <xf numFmtId="171" fontId="112" fillId="0" borderId="0" xfId="895" applyNumberFormat="1" applyFont="1" applyFill="1"/>
    <xf numFmtId="37" fontId="108" fillId="0" borderId="0" xfId="894" applyNumberFormat="1" applyFont="1" applyAlignment="1">
      <alignment horizontal="right"/>
    </xf>
    <xf numFmtId="0" fontId="114" fillId="0" borderId="0" xfId="894" applyFont="1"/>
    <xf numFmtId="9" fontId="114" fillId="27" borderId="0" xfId="897" applyFont="1" applyFill="1" applyAlignment="1">
      <alignment horizontal="right"/>
    </xf>
    <xf numFmtId="0" fontId="114" fillId="27" borderId="0" xfId="894" applyFont="1" applyFill="1"/>
    <xf numFmtId="166" fontId="112" fillId="0" borderId="39" xfId="894" applyNumberFormat="1" applyFont="1" applyBorder="1"/>
    <xf numFmtId="166" fontId="112" fillId="0" borderId="0" xfId="894" applyNumberFormat="1" applyFont="1" applyAlignment="1">
      <alignment horizontal="right"/>
    </xf>
    <xf numFmtId="0" fontId="114" fillId="27" borderId="0" xfId="894" applyFont="1" applyFill="1" applyAlignment="1">
      <alignment horizontal="left" indent="1"/>
    </xf>
    <xf numFmtId="169" fontId="112" fillId="26" borderId="0" xfId="894" applyNumberFormat="1" applyFont="1" applyFill="1" applyAlignment="1">
      <alignment horizontal="center"/>
    </xf>
    <xf numFmtId="0" fontId="112" fillId="26" borderId="0" xfId="894" applyFont="1" applyFill="1"/>
    <xf numFmtId="0" fontId="109" fillId="0" borderId="0" xfId="894" applyFont="1"/>
    <xf numFmtId="169" fontId="112" fillId="26" borderId="3" xfId="894" applyNumberFormat="1" applyFont="1" applyFill="1" applyBorder="1" applyAlignment="1">
      <alignment horizontal="centerContinuous"/>
    </xf>
    <xf numFmtId="0" fontId="112" fillId="26" borderId="3" xfId="894" applyFont="1" applyFill="1" applyBorder="1"/>
    <xf numFmtId="259" fontId="108" fillId="28" borderId="0" xfId="894" applyNumberFormat="1" applyFont="1" applyFill="1"/>
    <xf numFmtId="170" fontId="108" fillId="28" borderId="0" xfId="897" applyNumberFormat="1" applyFont="1" applyFill="1" applyBorder="1"/>
    <xf numFmtId="166" fontId="108" fillId="28" borderId="0" xfId="894" applyNumberFormat="1" applyFont="1" applyFill="1"/>
    <xf numFmtId="0" fontId="112" fillId="29" borderId="0" xfId="894" applyFont="1" applyFill="1"/>
    <xf numFmtId="171" fontId="112" fillId="0" borderId="0" xfId="895" applyNumberFormat="1" applyFont="1" applyAlignment="1">
      <alignment horizontal="right"/>
    </xf>
    <xf numFmtId="170" fontId="114" fillId="27" borderId="0" xfId="897" applyNumberFormat="1" applyFont="1" applyFill="1" applyAlignment="1">
      <alignment horizontal="right"/>
    </xf>
    <xf numFmtId="166" fontId="112" fillId="0" borderId="0" xfId="894" applyNumberFormat="1" applyFont="1"/>
    <xf numFmtId="259" fontId="108" fillId="28" borderId="0" xfId="894" applyNumberFormat="1" applyFont="1" applyFill="1" applyAlignment="1">
      <alignment horizontal="right"/>
    </xf>
    <xf numFmtId="169" fontId="112" fillId="26" borderId="3" xfId="894" applyNumberFormat="1" applyFont="1" applyFill="1" applyBorder="1" applyAlignment="1">
      <alignment horizontal="center"/>
    </xf>
    <xf numFmtId="167" fontId="112" fillId="0" borderId="0" xfId="894" applyNumberFormat="1" applyFont="1"/>
    <xf numFmtId="167" fontId="112" fillId="0" borderId="3" xfId="894" applyNumberFormat="1" applyFont="1" applyBorder="1" applyAlignment="1">
      <alignment horizontal="right"/>
    </xf>
    <xf numFmtId="167" fontId="112" fillId="28" borderId="3" xfId="894" applyNumberFormat="1" applyFont="1" applyFill="1" applyBorder="1" applyAlignment="1">
      <alignment horizontal="right"/>
    </xf>
    <xf numFmtId="0" fontId="112" fillId="0" borderId="3" xfId="894" applyFont="1" applyBorder="1"/>
    <xf numFmtId="168" fontId="108" fillId="0" borderId="0" xfId="894" applyNumberFormat="1" applyFont="1"/>
    <xf numFmtId="258" fontId="112" fillId="28" borderId="0" xfId="896" applyNumberFormat="1" applyFont="1" applyFill="1"/>
    <xf numFmtId="258" fontId="108" fillId="0" borderId="0" xfId="894" applyNumberFormat="1" applyFont="1"/>
    <xf numFmtId="166" fontId="111" fillId="0" borderId="0" xfId="894" applyNumberFormat="1" applyFont="1"/>
    <xf numFmtId="37" fontId="116" fillId="0" borderId="0" xfId="897" applyNumberFormat="1" applyFont="1" applyFill="1"/>
    <xf numFmtId="37" fontId="108" fillId="0" borderId="0" xfId="897" applyNumberFormat="1" applyFont="1" applyFill="1" applyBorder="1"/>
    <xf numFmtId="0" fontId="108" fillId="0" borderId="0" xfId="894" applyFont="1" applyAlignment="1">
      <alignment horizontal="left"/>
    </xf>
    <xf numFmtId="166" fontId="116" fillId="0" borderId="0" xfId="894" applyNumberFormat="1" applyFont="1"/>
    <xf numFmtId="170" fontId="115" fillId="0" borderId="0" xfId="897" applyNumberFormat="1" applyFont="1" applyFill="1"/>
    <xf numFmtId="0" fontId="114" fillId="27" borderId="0" xfId="894" applyFont="1" applyFill="1" applyAlignment="1">
      <alignment horizontal="left"/>
    </xf>
    <xf numFmtId="9" fontId="108" fillId="0" borderId="0" xfId="897" applyFont="1" applyFill="1" applyBorder="1"/>
    <xf numFmtId="9" fontId="108" fillId="0" borderId="0" xfId="897" applyFont="1" applyFill="1"/>
    <xf numFmtId="0" fontId="112" fillId="0" borderId="0" xfId="894" applyFont="1" applyAlignment="1">
      <alignment horizontal="left"/>
    </xf>
    <xf numFmtId="0" fontId="119" fillId="0" borderId="0" xfId="894" applyFont="1"/>
    <xf numFmtId="166" fontId="117" fillId="0" borderId="0" xfId="894" applyNumberFormat="1" applyFont="1"/>
    <xf numFmtId="170" fontId="115" fillId="27" borderId="0" xfId="897" applyNumberFormat="1" applyFont="1" applyFill="1"/>
    <xf numFmtId="9" fontId="108" fillId="0" borderId="0" xfId="897" applyFont="1"/>
    <xf numFmtId="0" fontId="114" fillId="0" borderId="0" xfId="894" applyFont="1" applyAlignment="1">
      <alignment horizontal="left" indent="1"/>
    </xf>
    <xf numFmtId="170" fontId="114" fillId="27" borderId="0" xfId="897" applyNumberFormat="1" applyFont="1" applyFill="1"/>
    <xf numFmtId="37" fontId="108" fillId="0" borderId="0" xfId="894" applyNumberFormat="1" applyFont="1"/>
    <xf numFmtId="170" fontId="115" fillId="27" borderId="0" xfId="897" applyNumberFormat="1" applyFont="1" applyFill="1" applyBorder="1"/>
    <xf numFmtId="0" fontId="108" fillId="0" borderId="0" xfId="894" applyFont="1" applyAlignment="1">
      <alignment horizontal="left" indent="1"/>
    </xf>
    <xf numFmtId="0" fontId="108" fillId="26" borderId="0" xfId="894" applyFont="1" applyFill="1"/>
    <xf numFmtId="0" fontId="108" fillId="26" borderId="3" xfId="894" applyFont="1" applyFill="1" applyBorder="1"/>
    <xf numFmtId="0" fontId="110" fillId="0" borderId="0" xfId="894" applyFont="1"/>
    <xf numFmtId="43" fontId="112" fillId="0" borderId="0" xfId="895" applyFont="1" applyFill="1" applyBorder="1" applyAlignment="1">
      <alignment horizontal="center"/>
    </xf>
    <xf numFmtId="43" fontId="110" fillId="0" borderId="0" xfId="895" applyFont="1" applyFill="1" applyBorder="1" applyAlignment="1">
      <alignment horizontal="center"/>
    </xf>
    <xf numFmtId="0" fontId="112" fillId="26" borderId="38" xfId="894" applyFont="1" applyFill="1" applyBorder="1" applyAlignment="1">
      <alignment horizontal="center"/>
    </xf>
    <xf numFmtId="0" fontId="112" fillId="26" borderId="0" xfId="894" applyFont="1" applyFill="1" applyAlignment="1">
      <alignment horizontal="center"/>
    </xf>
    <xf numFmtId="0" fontId="113" fillId="26" borderId="0" xfId="894" applyFont="1" applyFill="1" applyAlignment="1">
      <alignment horizontal="left"/>
    </xf>
    <xf numFmtId="173" fontId="108" fillId="0" borderId="0" xfId="895" applyNumberFormat="1" applyFont="1" applyFill="1" applyBorder="1"/>
    <xf numFmtId="43" fontId="122" fillId="0" borderId="0" xfId="895" applyFont="1" applyFill="1" applyBorder="1" applyAlignment="1">
      <alignment horizontal="left"/>
    </xf>
    <xf numFmtId="173" fontId="112" fillId="0" borderId="0" xfId="895" applyNumberFormat="1" applyFont="1" applyFill="1" applyBorder="1" applyAlignment="1">
      <alignment horizontal="left"/>
    </xf>
    <xf numFmtId="43" fontId="121" fillId="0" borderId="0" xfId="895" applyFont="1" applyFill="1" applyBorder="1" applyAlignment="1">
      <alignment horizontal="left"/>
    </xf>
    <xf numFmtId="261" fontId="112" fillId="0" borderId="0" xfId="895" applyNumberFormat="1" applyFont="1" applyFill="1" applyBorder="1" applyAlignment="1">
      <alignment horizontal="right"/>
    </xf>
    <xf numFmtId="261" fontId="108" fillId="0" borderId="0" xfId="894" applyNumberFormat="1" applyFont="1" applyAlignment="1">
      <alignment horizontal="right"/>
    </xf>
    <xf numFmtId="261" fontId="118" fillId="0" borderId="0" xfId="894" applyNumberFormat="1" applyFont="1" applyAlignment="1">
      <alignment horizontal="right"/>
    </xf>
    <xf numFmtId="261" fontId="122" fillId="0" borderId="0" xfId="894" applyNumberFormat="1" applyFont="1" applyAlignment="1">
      <alignment horizontal="right"/>
    </xf>
    <xf numFmtId="0" fontId="120" fillId="0" borderId="0" xfId="894" applyFont="1" applyAlignment="1">
      <alignment horizontal="center"/>
    </xf>
    <xf numFmtId="9" fontId="118" fillId="0" borderId="0" xfId="898" applyFont="1" applyFill="1" applyBorder="1" applyAlignment="1">
      <alignment horizontal="right"/>
    </xf>
    <xf numFmtId="9" fontId="108" fillId="0" borderId="0" xfId="898" applyFont="1" applyAlignment="1">
      <alignment horizontal="right"/>
    </xf>
    <xf numFmtId="9" fontId="122" fillId="0" borderId="0" xfId="898" applyFont="1" applyFill="1" applyBorder="1" applyAlignment="1">
      <alignment horizontal="right"/>
    </xf>
    <xf numFmtId="9" fontId="108" fillId="0" borderId="0" xfId="898" applyFont="1" applyFill="1" applyBorder="1"/>
    <xf numFmtId="261" fontId="120" fillId="0" borderId="0" xfId="894" applyNumberFormat="1" applyFont="1" applyAlignment="1">
      <alignment horizontal="right"/>
    </xf>
    <xf numFmtId="261" fontId="121" fillId="0" borderId="0" xfId="894" applyNumberFormat="1" applyFont="1" applyAlignment="1">
      <alignment horizontal="right"/>
    </xf>
    <xf numFmtId="43" fontId="108" fillId="0" borderId="0" xfId="895" applyFont="1" applyFill="1" applyBorder="1" applyAlignment="1">
      <alignment horizontal="center"/>
    </xf>
    <xf numFmtId="164" fontId="2" fillId="0" borderId="0" xfId="894" applyNumberFormat="1"/>
    <xf numFmtId="0" fontId="1" fillId="0" borderId="0" xfId="894" applyFont="1"/>
    <xf numFmtId="43" fontId="119" fillId="0" borderId="0" xfId="895" applyFont="1" applyFill="1"/>
    <xf numFmtId="9" fontId="115" fillId="27" borderId="0" xfId="898" applyFont="1" applyFill="1" applyBorder="1"/>
    <xf numFmtId="171" fontId="108" fillId="0" borderId="27" xfId="895" applyNumberFormat="1" applyFont="1" applyFill="1" applyBorder="1" applyAlignment="1">
      <alignment horizontal="left" wrapText="1"/>
    </xf>
    <xf numFmtId="3" fontId="118" fillId="0" borderId="0" xfId="894" applyNumberFormat="1" applyFont="1" applyAlignment="1">
      <alignment horizontal="right"/>
    </xf>
    <xf numFmtId="3" fontId="112" fillId="0" borderId="0" xfId="894" applyNumberFormat="1" applyFont="1"/>
    <xf numFmtId="3" fontId="108" fillId="0" borderId="0" xfId="894" applyNumberFormat="1" applyFont="1"/>
    <xf numFmtId="3" fontId="114" fillId="0" borderId="0" xfId="894" applyNumberFormat="1" applyFont="1"/>
    <xf numFmtId="0" fontId="108" fillId="26" borderId="0" xfId="894" applyFont="1" applyFill="1" applyAlignment="1">
      <alignment horizontal="center"/>
    </xf>
    <xf numFmtId="171" fontId="118" fillId="0" borderId="0" xfId="895" applyNumberFormat="1" applyFont="1" applyFill="1" applyBorder="1" applyAlignment="1">
      <alignment horizontal="right" wrapText="1"/>
    </xf>
    <xf numFmtId="166" fontId="110" fillId="0" borderId="0" xfId="894" applyNumberFormat="1" applyFont="1"/>
    <xf numFmtId="262" fontId="108" fillId="0" borderId="0" xfId="894" applyNumberFormat="1" applyFont="1"/>
    <xf numFmtId="0" fontId="108" fillId="0" borderId="0" xfId="0" applyFont="1"/>
    <xf numFmtId="0" fontId="108" fillId="0" borderId="0" xfId="0" applyFont="1" applyAlignment="1">
      <alignment horizontal="left" indent="1"/>
    </xf>
    <xf numFmtId="0" fontId="112" fillId="0" borderId="0" xfId="0" applyFont="1"/>
    <xf numFmtId="166" fontId="111" fillId="27" borderId="0" xfId="894" applyNumberFormat="1" applyFont="1" applyFill="1"/>
    <xf numFmtId="0" fontId="110" fillId="26" borderId="0" xfId="894" applyFont="1" applyFill="1"/>
    <xf numFmtId="0" fontId="0" fillId="26" borderId="0" xfId="0" applyFill="1"/>
    <xf numFmtId="43" fontId="110" fillId="26" borderId="0" xfId="895" applyFont="1" applyFill="1" applyBorder="1" applyAlignment="1">
      <alignment horizontal="center"/>
    </xf>
    <xf numFmtId="43" fontId="112" fillId="26" borderId="0" xfId="895" applyFont="1" applyFill="1" applyBorder="1" applyAlignment="1">
      <alignment horizontal="center"/>
    </xf>
    <xf numFmtId="166" fontId="0" fillId="0" borderId="0" xfId="0" applyNumberFormat="1"/>
    <xf numFmtId="170" fontId="115" fillId="0" borderId="0" xfId="897" applyNumberFormat="1" applyFont="1" applyFill="1" applyBorder="1"/>
    <xf numFmtId="0" fontId="112" fillId="0" borderId="0" xfId="894" applyFont="1" applyAlignment="1">
      <alignment horizontal="center"/>
    </xf>
    <xf numFmtId="169" fontId="112" fillId="0" borderId="0" xfId="894" applyNumberFormat="1" applyFont="1" applyAlignment="1">
      <alignment horizontal="center"/>
    </xf>
    <xf numFmtId="3" fontId="0" fillId="0" borderId="0" xfId="0" applyNumberFormat="1"/>
    <xf numFmtId="170" fontId="114" fillId="0" borderId="0" xfId="897" applyNumberFormat="1" applyFont="1" applyFill="1" applyBorder="1"/>
    <xf numFmtId="167" fontId="112" fillId="0" borderId="0" xfId="894" applyNumberFormat="1" applyFont="1" applyAlignment="1">
      <alignment horizontal="right"/>
    </xf>
    <xf numFmtId="169" fontId="112" fillId="0" borderId="0" xfId="894" applyNumberFormat="1" applyFont="1" applyAlignment="1">
      <alignment horizontal="centerContinuous"/>
    </xf>
    <xf numFmtId="170" fontId="114" fillId="0" borderId="0" xfId="897" applyNumberFormat="1" applyFont="1" applyFill="1" applyBorder="1" applyAlignment="1">
      <alignment horizontal="right"/>
    </xf>
    <xf numFmtId="171" fontId="108" fillId="0" borderId="0" xfId="895" applyNumberFormat="1" applyFont="1" applyFill="1" applyBorder="1"/>
    <xf numFmtId="9" fontId="114" fillId="0" borderId="0" xfId="897" applyFont="1" applyFill="1" applyBorder="1" applyAlignment="1">
      <alignment horizontal="right"/>
    </xf>
    <xf numFmtId="263" fontId="112" fillId="0" borderId="0" xfId="894" applyNumberFormat="1" applyFont="1"/>
    <xf numFmtId="166" fontId="108" fillId="27" borderId="0" xfId="894" applyNumberFormat="1" applyFont="1" applyFill="1"/>
    <xf numFmtId="171" fontId="112" fillId="0" borderId="0" xfId="899" applyNumberFormat="1" applyFont="1"/>
    <xf numFmtId="166" fontId="120" fillId="0" borderId="0" xfId="894" applyNumberFormat="1" applyFont="1"/>
    <xf numFmtId="0" fontId="7" fillId="0" borderId="0" xfId="0" applyFont="1"/>
    <xf numFmtId="17" fontId="112" fillId="26" borderId="8" xfId="896" applyNumberFormat="1" applyFont="1" applyFill="1" applyBorder="1" applyAlignment="1">
      <alignment horizontal="left" vertical="center" wrapText="1"/>
    </xf>
    <xf numFmtId="17" fontId="112" fillId="26" borderId="8" xfId="896" applyNumberFormat="1" applyFont="1" applyFill="1" applyBorder="1" applyAlignment="1">
      <alignment horizontal="center" vertical="center" wrapText="1"/>
    </xf>
    <xf numFmtId="0" fontId="112" fillId="26" borderId="8" xfId="896" applyFont="1" applyFill="1" applyBorder="1" applyAlignment="1">
      <alignment horizontal="right" wrapText="1"/>
    </xf>
    <xf numFmtId="171" fontId="118" fillId="0" borderId="0" xfId="895" applyNumberFormat="1" applyFont="1" applyFill="1" applyBorder="1" applyAlignment="1">
      <alignment horizontal="left" wrapText="1"/>
    </xf>
    <xf numFmtId="0" fontId="112" fillId="26" borderId="40" xfId="896" applyFont="1" applyFill="1" applyBorder="1" applyAlignment="1">
      <alignment horizontal="left" wrapText="1"/>
    </xf>
    <xf numFmtId="0" fontId="112" fillId="26" borderId="41" xfId="896" applyFont="1" applyFill="1" applyBorder="1" applyAlignment="1">
      <alignment horizontal="right" wrapText="1"/>
    </xf>
    <xf numFmtId="171" fontId="119" fillId="0" borderId="0" xfId="895" applyNumberFormat="1" applyFont="1" applyFill="1" applyBorder="1" applyAlignment="1">
      <alignment horizontal="right" wrapText="1"/>
    </xf>
    <xf numFmtId="171" fontId="112" fillId="26" borderId="41" xfId="896" applyNumberFormat="1" applyFont="1" applyFill="1" applyBorder="1" applyAlignment="1">
      <alignment horizontal="center" vertical="center" wrapText="1"/>
    </xf>
    <xf numFmtId="166" fontId="111" fillId="30" borderId="0" xfId="894" applyNumberFormat="1" applyFont="1" applyFill="1"/>
    <xf numFmtId="166" fontId="108" fillId="30" borderId="0" xfId="894" applyNumberFormat="1" applyFont="1" applyFill="1"/>
    <xf numFmtId="37" fontId="108" fillId="30" borderId="0" xfId="894" applyNumberFormat="1" applyFont="1" applyFill="1"/>
    <xf numFmtId="171" fontId="119" fillId="0" borderId="0" xfId="895" applyNumberFormat="1" applyFont="1" applyFill="1" applyBorder="1"/>
    <xf numFmtId="0" fontId="126" fillId="0" borderId="0" xfId="894" applyFont="1" applyAlignment="1">
      <alignment horizontal="left"/>
    </xf>
    <xf numFmtId="166" fontId="119" fillId="0" borderId="0" xfId="894" applyNumberFormat="1" applyFont="1"/>
    <xf numFmtId="266" fontId="108" fillId="0" borderId="0" xfId="894" applyNumberFormat="1" applyFont="1"/>
    <xf numFmtId="258" fontId="112" fillId="0" borderId="0" xfId="894" applyNumberFormat="1" applyFont="1" applyAlignment="1">
      <alignment horizontal="left" indent="3"/>
    </xf>
    <xf numFmtId="258" fontId="112" fillId="28" borderId="0" xfId="896" applyNumberFormat="1" applyFont="1" applyFill="1" applyAlignment="1">
      <alignment horizontal="left" indent="3"/>
    </xf>
    <xf numFmtId="260" fontId="112" fillId="27" borderId="0" xfId="894" applyNumberFormat="1" applyFont="1" applyFill="1" applyAlignment="1">
      <alignment horizontal="right"/>
    </xf>
    <xf numFmtId="259" fontId="112" fillId="27" borderId="0" xfId="894" applyNumberFormat="1" applyFont="1" applyFill="1" applyAlignment="1">
      <alignment horizontal="right"/>
    </xf>
    <xf numFmtId="0" fontId="120" fillId="0" borderId="0" xfId="0" applyFont="1"/>
    <xf numFmtId="0" fontId="118" fillId="0" borderId="0" xfId="0" applyFont="1"/>
    <xf numFmtId="166" fontId="118" fillId="0" borderId="0" xfId="894" applyNumberFormat="1" applyFont="1"/>
    <xf numFmtId="0" fontId="127" fillId="0" borderId="0" xfId="0" applyFont="1"/>
    <xf numFmtId="43" fontId="121" fillId="31" borderId="0" xfId="895" applyFont="1" applyFill="1" applyBorder="1" applyAlignment="1">
      <alignment horizontal="left"/>
    </xf>
    <xf numFmtId="0" fontId="108" fillId="0" borderId="0" xfId="896" applyFont="1" applyAlignment="1">
      <alignment horizontal="left" wrapText="1" indent="1"/>
    </xf>
    <xf numFmtId="0" fontId="108" fillId="0" borderId="0" xfId="896" applyFont="1" applyAlignment="1">
      <alignment horizontal="left" indent="1"/>
    </xf>
    <xf numFmtId="17" fontId="112" fillId="26" borderId="44" xfId="896" applyNumberFormat="1" applyFont="1" applyFill="1" applyBorder="1" applyAlignment="1">
      <alignment horizontal="center" vertical="center" wrapText="1"/>
    </xf>
    <xf numFmtId="259" fontId="112" fillId="0" borderId="27" xfId="896" applyNumberFormat="1" applyFont="1" applyBorder="1"/>
    <xf numFmtId="0" fontId="2" fillId="0" borderId="27" xfId="894" applyBorder="1"/>
    <xf numFmtId="0" fontId="112" fillId="0" borderId="22" xfId="896" applyFont="1" applyBorder="1" applyAlignment="1">
      <alignment horizontal="left" wrapText="1"/>
    </xf>
    <xf numFmtId="171" fontId="112" fillId="0" borderId="10" xfId="895" applyNumberFormat="1" applyFont="1" applyFill="1" applyBorder="1" applyAlignment="1">
      <alignment horizontal="left" wrapText="1"/>
    </xf>
    <xf numFmtId="259" fontId="112" fillId="0" borderId="28" xfId="896" applyNumberFormat="1" applyFont="1" applyBorder="1"/>
    <xf numFmtId="17" fontId="128" fillId="26" borderId="40" xfId="896" applyNumberFormat="1" applyFont="1" applyFill="1" applyBorder="1" applyAlignment="1">
      <alignment horizontal="left" vertical="center"/>
    </xf>
    <xf numFmtId="0" fontId="112" fillId="26" borderId="41" xfId="896" applyFont="1" applyFill="1" applyBorder="1" applyAlignment="1">
      <alignment horizontal="center" wrapText="1"/>
    </xf>
    <xf numFmtId="0" fontId="112" fillId="26" borderId="8" xfId="896" applyFont="1" applyFill="1" applyBorder="1" applyAlignment="1">
      <alignment horizontal="center" wrapText="1"/>
    </xf>
    <xf numFmtId="0" fontId="112" fillId="30" borderId="0" xfId="894" applyFont="1" applyFill="1" applyAlignment="1">
      <alignment horizontal="left"/>
    </xf>
    <xf numFmtId="170" fontId="114" fillId="0" borderId="0" xfId="897" applyNumberFormat="1" applyFont="1" applyFill="1"/>
    <xf numFmtId="0" fontId="108" fillId="27" borderId="0" xfId="894" applyFont="1" applyFill="1"/>
    <xf numFmtId="0" fontId="108" fillId="27" borderId="0" xfId="894" applyFont="1" applyFill="1" applyAlignment="1">
      <alignment horizontal="left"/>
    </xf>
    <xf numFmtId="170" fontId="108" fillId="27" borderId="0" xfId="897" applyNumberFormat="1" applyFont="1" applyFill="1" applyBorder="1" applyAlignment="1">
      <alignment horizontal="right"/>
    </xf>
    <xf numFmtId="170" fontId="112" fillId="0" borderId="3" xfId="897" applyNumberFormat="1" applyFont="1" applyFill="1" applyBorder="1"/>
    <xf numFmtId="170" fontId="112" fillId="0" borderId="0" xfId="897" applyNumberFormat="1" applyFont="1" applyFill="1" applyBorder="1"/>
    <xf numFmtId="170" fontId="112" fillId="28" borderId="3" xfId="897" applyNumberFormat="1" applyFont="1" applyFill="1" applyBorder="1"/>
    <xf numFmtId="0" fontId="112" fillId="30" borderId="0" xfId="894" applyFont="1" applyFill="1"/>
    <xf numFmtId="39" fontId="118" fillId="30" borderId="0" xfId="894" applyNumberFormat="1" applyFont="1" applyFill="1" applyAlignment="1">
      <alignment horizontal="right"/>
    </xf>
    <xf numFmtId="39" fontId="108" fillId="30" borderId="0" xfId="894" applyNumberFormat="1" applyFont="1" applyFill="1" applyAlignment="1">
      <alignment horizontal="right"/>
    </xf>
    <xf numFmtId="259" fontId="108" fillId="27" borderId="0" xfId="894" applyNumberFormat="1" applyFont="1" applyFill="1" applyAlignment="1">
      <alignment horizontal="right"/>
    </xf>
    <xf numFmtId="170" fontId="112" fillId="27" borderId="3" xfId="897" applyNumberFormat="1" applyFont="1" applyFill="1" applyBorder="1"/>
    <xf numFmtId="267" fontId="108" fillId="0" borderId="0" xfId="894" applyNumberFormat="1" applyFont="1"/>
    <xf numFmtId="264" fontId="108" fillId="0" borderId="0" xfId="894" applyNumberFormat="1" applyFont="1"/>
    <xf numFmtId="265" fontId="108" fillId="0" borderId="0" xfId="894" applyNumberFormat="1" applyFont="1"/>
    <xf numFmtId="172" fontId="119" fillId="0" borderId="0" xfId="895" applyNumberFormat="1" applyFont="1" applyFill="1" applyBorder="1"/>
    <xf numFmtId="0" fontId="129" fillId="0" borderId="0" xfId="894" applyFont="1"/>
  </cellXfs>
  <cellStyles count="900">
    <cellStyle name="$" xfId="1" xr:uid="{00000000-0005-0000-0000-000000000000}"/>
    <cellStyle name="$_TSA Model - 1 8 06 - v2" xfId="2" xr:uid="{00000000-0005-0000-0000-000001000000}"/>
    <cellStyle name="%" xfId="3" xr:uid="{00000000-0005-0000-0000-000002000000}"/>
    <cellStyle name=";;;" xfId="4" xr:uid="{00000000-0005-0000-0000-000003000000}"/>
    <cellStyle name="_%(SignOnly)" xfId="5" xr:uid="{00000000-0005-0000-0000-000004000000}"/>
    <cellStyle name="_%(SignSpaceOnly)" xfId="6" xr:uid="{00000000-0005-0000-0000-000005000000}"/>
    <cellStyle name="_0% CADR" xfId="7" xr:uid="{00000000-0005-0000-0000-000006000000}"/>
    <cellStyle name="_0% IRR" xfId="8" xr:uid="{00000000-0005-0000-0000-000007000000}"/>
    <cellStyle name="_1% CADR" xfId="9" xr:uid="{00000000-0005-0000-0000-000008000000}"/>
    <cellStyle name="_10% CADR" xfId="10" xr:uid="{00000000-0005-0000-0000-000009000000}"/>
    <cellStyle name="_10% CDR" xfId="11" xr:uid="{00000000-0005-0000-0000-00000A000000}"/>
    <cellStyle name="_11% CADR" xfId="12" xr:uid="{00000000-0005-0000-0000-00000B000000}"/>
    <cellStyle name="_12% CADR" xfId="13" xr:uid="{00000000-0005-0000-0000-00000C000000}"/>
    <cellStyle name="_12% CDR" xfId="14" xr:uid="{00000000-0005-0000-0000-00000D000000}"/>
    <cellStyle name="_13% CADR" xfId="15" xr:uid="{00000000-0005-0000-0000-00000E000000}"/>
    <cellStyle name="_14% CADR" xfId="16" xr:uid="{00000000-0005-0000-0000-00000F000000}"/>
    <cellStyle name="_14% CDR" xfId="17" xr:uid="{00000000-0005-0000-0000-000010000000}"/>
    <cellStyle name="_16% CDR" xfId="18" xr:uid="{00000000-0005-0000-0000-000011000000}"/>
    <cellStyle name="_18% CDR" xfId="19" xr:uid="{00000000-0005-0000-0000-000012000000}"/>
    <cellStyle name="_19.6% CDR BBB Break In Yield" xfId="20" xr:uid="{00000000-0005-0000-0000-000013000000}"/>
    <cellStyle name="_2% CADR" xfId="21" xr:uid="{00000000-0005-0000-0000-000014000000}"/>
    <cellStyle name="_20% CDR" xfId="22" xr:uid="{00000000-0005-0000-0000-000015000000}"/>
    <cellStyle name="_21.5% CDR BBB Break In Yield" xfId="23" xr:uid="{00000000-0005-0000-0000-000016000000}"/>
    <cellStyle name="_3% CADR" xfId="24" xr:uid="{00000000-0005-0000-0000-000017000000}"/>
    <cellStyle name="_3% CDR" xfId="25" xr:uid="{00000000-0005-0000-0000-000018000000}"/>
    <cellStyle name="_4% CADR" xfId="26" xr:uid="{00000000-0005-0000-0000-000019000000}"/>
    <cellStyle name="_5% CADR" xfId="27" xr:uid="{00000000-0005-0000-0000-00001A000000}"/>
    <cellStyle name="_5% CDR" xfId="28" xr:uid="{00000000-0005-0000-0000-00001B000000}"/>
    <cellStyle name="_6% CADR" xfId="29" xr:uid="{00000000-0005-0000-0000-00001C000000}"/>
    <cellStyle name="_7% CADR" xfId="30" xr:uid="{00000000-0005-0000-0000-00001D000000}"/>
    <cellStyle name="_7% CDR" xfId="31" xr:uid="{00000000-0005-0000-0000-00001E000000}"/>
    <cellStyle name="_8% CADR" xfId="32" xr:uid="{00000000-0005-0000-0000-00001F000000}"/>
    <cellStyle name="_8.0% CDR BB Break In Yield" xfId="33" xr:uid="{00000000-0005-0000-0000-000020000000}"/>
    <cellStyle name="_8.1% CDR BB Break In Yield" xfId="34" xr:uid="{00000000-0005-0000-0000-000021000000}"/>
    <cellStyle name="_9% CADR" xfId="35" xr:uid="{00000000-0005-0000-0000-000022000000}"/>
    <cellStyle name="_Assets" xfId="36" xr:uid="{00000000-0005-0000-0000-000023000000}"/>
    <cellStyle name="_Assets_1" xfId="37" xr:uid="{00000000-0005-0000-0000-000024000000}"/>
    <cellStyle name="_Assets_1_COMPS - B2B Publishers" xfId="38" xr:uid="{00000000-0005-0000-0000-000025000000}"/>
    <cellStyle name="_Assets_1_COMPS - Directories" xfId="39" xr:uid="{00000000-0005-0000-0000-000026000000}"/>
    <cellStyle name="_Assets_1_F&amp;W Servicing Model" xfId="40" xr:uid="{00000000-0005-0000-0000-000027000000}"/>
    <cellStyle name="_Assets_1_F&amp;W Servicing Model v2" xfId="41" xr:uid="{00000000-0005-0000-0000-000028000000}"/>
    <cellStyle name="_Assets_1_S&amp;P Analysis" xfId="42" xr:uid="{00000000-0005-0000-0000-000029000000}"/>
    <cellStyle name="_Assets_1_Univision Annual Model" xfId="43" xr:uid="{00000000-0005-0000-0000-00002A000000}"/>
    <cellStyle name="_Assets_1_Yell Servicing Model" xfId="44" xr:uid="{00000000-0005-0000-0000-00002B000000}"/>
    <cellStyle name="_Assets_S&amp;P Analysis" xfId="45" xr:uid="{00000000-0005-0000-0000-00002C000000}"/>
    <cellStyle name="_Assets_S&amp;P Analysis_COMPS - B2B Publishers" xfId="46" xr:uid="{00000000-0005-0000-0000-00002D000000}"/>
    <cellStyle name="_Assets_S&amp;P Analysis_COMPS - Directories" xfId="47" xr:uid="{00000000-0005-0000-0000-00002E000000}"/>
    <cellStyle name="_Assets_S&amp;P Analysis_F&amp;W Servicing Model" xfId="48" xr:uid="{00000000-0005-0000-0000-00002F000000}"/>
    <cellStyle name="_Assets_S&amp;P Analysis_F&amp;W Servicing Model v2" xfId="49" xr:uid="{00000000-0005-0000-0000-000030000000}"/>
    <cellStyle name="_Assets_S&amp;P Analysis_Univision Annual Model" xfId="50" xr:uid="{00000000-0005-0000-0000-000031000000}"/>
    <cellStyle name="_Assets_S&amp;P Analysis_Yell Servicing Model" xfId="51" xr:uid="{00000000-0005-0000-0000-000032000000}"/>
    <cellStyle name="_Assumptions" xfId="52" xr:uid="{00000000-0005-0000-0000-000033000000}"/>
    <cellStyle name="_Assumptions_1" xfId="53" xr:uid="{00000000-0005-0000-0000-000034000000}"/>
    <cellStyle name="_Assumptions_1_COMPS - B2B Publishers" xfId="54" xr:uid="{00000000-0005-0000-0000-000035000000}"/>
    <cellStyle name="_Assumptions_1_COMPS - Directories" xfId="55" xr:uid="{00000000-0005-0000-0000-000036000000}"/>
    <cellStyle name="_Assumptions_1_F&amp;W Servicing Model" xfId="56" xr:uid="{00000000-0005-0000-0000-000037000000}"/>
    <cellStyle name="_Assumptions_1_F&amp;W Servicing Model v2" xfId="57" xr:uid="{00000000-0005-0000-0000-000038000000}"/>
    <cellStyle name="_Assumptions_1_Univision Annual Model" xfId="58" xr:uid="{00000000-0005-0000-0000-000039000000}"/>
    <cellStyle name="_Assumptions_1_Yell Servicing Model" xfId="59" xr:uid="{00000000-0005-0000-0000-00003A000000}"/>
    <cellStyle name="_Blue Mountain TRS (7-5-05)" xfId="60" xr:uid="{00000000-0005-0000-0000-00003B000000}"/>
    <cellStyle name="_Book2" xfId="61" xr:uid="{00000000-0005-0000-0000-00003C000000}"/>
    <cellStyle name="_CDO of CDO" xfId="62" xr:uid="{00000000-0005-0000-0000-00003D000000}"/>
    <cellStyle name="_CLO Portfolio 10_07_2005" xfId="63" xr:uid="{00000000-0005-0000-0000-00003E000000}"/>
    <cellStyle name="_Comma" xfId="64" xr:uid="{00000000-0005-0000-0000-00003F000000}"/>
    <cellStyle name="_Comma_dcf" xfId="65" xr:uid="{00000000-0005-0000-0000-000040000000}"/>
    <cellStyle name="_Currency" xfId="66" xr:uid="{00000000-0005-0000-0000-000041000000}"/>
    <cellStyle name="_Currency_dcf" xfId="67" xr:uid="{00000000-0005-0000-0000-000042000000}"/>
    <cellStyle name="_CurrencySpace" xfId="68" xr:uid="{00000000-0005-0000-0000-000043000000}"/>
    <cellStyle name="_CurrencySpace_dcf" xfId="69" xr:uid="{00000000-0005-0000-0000-000044000000}"/>
    <cellStyle name="_Euro" xfId="70" xr:uid="{00000000-0005-0000-0000-000045000000}"/>
    <cellStyle name="_EV8 Assumption List" xfId="71" xr:uid="{00000000-0005-0000-0000-000046000000}"/>
    <cellStyle name="_Exhibit I Babson Warehouse 2006-II CLO 8 18 06" xfId="72" xr:uid="{00000000-0005-0000-0000-000047000000}"/>
    <cellStyle name="_First PIK" xfId="73" xr:uid="{00000000-0005-0000-0000-000048000000}"/>
    <cellStyle name="_Galaxy VI CLO - WestLB Request" xfId="74" xr:uid="{00000000-0005-0000-0000-000049000000}"/>
    <cellStyle name="_Heading" xfId="75" xr:uid="{00000000-0005-0000-0000-00004A000000}"/>
    <cellStyle name="_Heading_prestemp" xfId="76" xr:uid="{00000000-0005-0000-0000-00004B000000}"/>
    <cellStyle name="_Highlight" xfId="77" xr:uid="{00000000-0005-0000-0000-00004C000000}"/>
    <cellStyle name="_Model FINAL (2)" xfId="78" xr:uid="{00000000-0005-0000-0000-00004D000000}"/>
    <cellStyle name="_Multiple" xfId="79" xr:uid="{00000000-0005-0000-0000-00004E000000}"/>
    <cellStyle name="_Multiple_dcf" xfId="80" xr:uid="{00000000-0005-0000-0000-00004F000000}"/>
    <cellStyle name="_MultipleSpace" xfId="81" xr:uid="{00000000-0005-0000-0000-000050000000}"/>
    <cellStyle name="_MultipleSpace_dcf" xfId="82" xr:uid="{00000000-0005-0000-0000-000051000000}"/>
    <cellStyle name="_Other Defafult Scenario 1" xfId="83" xr:uid="{00000000-0005-0000-0000-000052000000}"/>
    <cellStyle name="_Other Default Scenario 2" xfId="84" xr:uid="{00000000-0005-0000-0000-000053000000}"/>
    <cellStyle name="_Percent" xfId="85" xr:uid="{00000000-0005-0000-0000-000054000000}"/>
    <cellStyle name="_PercentSpace" xfId="86" xr:uid="{00000000-0005-0000-0000-000055000000}"/>
    <cellStyle name="_Port" xfId="87" xr:uid="{00000000-0005-0000-0000-000056000000}"/>
    <cellStyle name="_Port For S&amp;P" xfId="88" xr:uid="{00000000-0005-0000-0000-000057000000}"/>
    <cellStyle name="_Port_COMPS - B2B Publishers" xfId="89" xr:uid="{00000000-0005-0000-0000-000058000000}"/>
    <cellStyle name="_Port_COMPS - Directories" xfId="90" xr:uid="{00000000-0005-0000-0000-000059000000}"/>
    <cellStyle name="_Port_F&amp;W Servicing Model" xfId="91" xr:uid="{00000000-0005-0000-0000-00005A000000}"/>
    <cellStyle name="_Port_F&amp;W Servicing Model v2" xfId="92" xr:uid="{00000000-0005-0000-0000-00005B000000}"/>
    <cellStyle name="_Port_Univision Annual Model" xfId="93" xr:uid="{00000000-0005-0000-0000-00005C000000}"/>
    <cellStyle name="_Port_Yell Servicing Model" xfId="94" xr:uid="{00000000-0005-0000-0000-00005D000000}"/>
    <cellStyle name="_Pro Forma TTM 9.30.07 (CW NEIRB Acquisition)" xfId="95" xr:uid="{00000000-0005-0000-0000-00005E000000}"/>
    <cellStyle name="_S&amp;P Analysis" xfId="96" xr:uid="{00000000-0005-0000-0000-00005F000000}"/>
    <cellStyle name="_S&amp;P Analysis_COMPS - B2B Publishers" xfId="97" xr:uid="{00000000-0005-0000-0000-000060000000}"/>
    <cellStyle name="_S&amp;P Analysis_COMPS - Directories" xfId="98" xr:uid="{00000000-0005-0000-0000-000061000000}"/>
    <cellStyle name="_S&amp;P Analysis_F&amp;W Servicing Model" xfId="99" xr:uid="{00000000-0005-0000-0000-000062000000}"/>
    <cellStyle name="_S&amp;P Analysis_F&amp;W Servicing Model v2" xfId="100" xr:uid="{00000000-0005-0000-0000-000063000000}"/>
    <cellStyle name="_S&amp;P Analysis_Univision Annual Model" xfId="101" xr:uid="{00000000-0005-0000-0000-000064000000}"/>
    <cellStyle name="_S&amp;P Analysis_Yell Servicing Model" xfId="102" xr:uid="{00000000-0005-0000-0000-000065000000}"/>
    <cellStyle name="_S&amp;P Hypothetical Port Summary" xfId="103" xr:uid="{00000000-0005-0000-0000-000066000000}"/>
    <cellStyle name="_S&amp;P Port 80Div_2099WARF" xfId="104" xr:uid="{00000000-0005-0000-0000-000067000000}"/>
    <cellStyle name="_S&amp;P Stress Scenarios" xfId="105" xr:uid="{00000000-0005-0000-0000-000068000000}"/>
    <cellStyle name="_Sources and Uses" xfId="106" xr:uid="{00000000-0005-0000-0000-000069000000}"/>
    <cellStyle name="_SubHeading" xfId="107" xr:uid="{00000000-0005-0000-0000-00006A000000}"/>
    <cellStyle name="_SubHeading_prestemp" xfId="108" xr:uid="{00000000-0005-0000-0000-00006B000000}"/>
    <cellStyle name="_Table" xfId="109" xr:uid="{00000000-0005-0000-0000-00006C000000}"/>
    <cellStyle name="_TableHead" xfId="110" xr:uid="{00000000-0005-0000-0000-00006D000000}"/>
    <cellStyle name="_TableRowHead" xfId="111" xr:uid="{00000000-0005-0000-0000-00006E000000}"/>
    <cellStyle name="_TableSuperHead" xfId="112" xr:uid="{00000000-0005-0000-0000-00006F000000}"/>
    <cellStyle name="£Currency [0]" xfId="113" xr:uid="{00000000-0005-0000-0000-000070000000}"/>
    <cellStyle name="£Currency [1]" xfId="114" xr:uid="{00000000-0005-0000-0000-000071000000}"/>
    <cellStyle name="£Currency [2]" xfId="115" xr:uid="{00000000-0005-0000-0000-000072000000}"/>
    <cellStyle name="£Currency [p]" xfId="116" xr:uid="{00000000-0005-0000-0000-000073000000}"/>
    <cellStyle name="£Currency [p2]" xfId="117" xr:uid="{00000000-0005-0000-0000-000074000000}"/>
    <cellStyle name="£Pounds" xfId="118" xr:uid="{00000000-0005-0000-0000-000075000000}"/>
    <cellStyle name="Accounting $" xfId="119" xr:uid="{00000000-0005-0000-0000-000076000000}"/>
    <cellStyle name="Across" xfId="120" xr:uid="{00000000-0005-0000-0000-000077000000}"/>
    <cellStyle name="Adjustable" xfId="121" xr:uid="{00000000-0005-0000-0000-000078000000}"/>
    <cellStyle name="AFE" xfId="122" xr:uid="{00000000-0005-0000-0000-000079000000}"/>
    <cellStyle name="Andre's Title" xfId="123" xr:uid="{00000000-0005-0000-0000-00007A000000}"/>
    <cellStyle name="args.style" xfId="124" xr:uid="{00000000-0005-0000-0000-00007B000000}"/>
    <cellStyle name="Arial 10" xfId="125" xr:uid="{00000000-0005-0000-0000-00007C000000}"/>
    <cellStyle name="Arial 12" xfId="126" xr:uid="{00000000-0005-0000-0000-00007D000000}"/>
    <cellStyle name="Best" xfId="127" xr:uid="{00000000-0005-0000-0000-00007E000000}"/>
    <cellStyle name="Blank [$]" xfId="128" xr:uid="{00000000-0005-0000-0000-00007F000000}"/>
    <cellStyle name="Blank [,]" xfId="129" xr:uid="{00000000-0005-0000-0000-000080000000}"/>
    <cellStyle name="BlankedZeros" xfId="130" xr:uid="{00000000-0005-0000-0000-000081000000}"/>
    <cellStyle name="blp_column_header" xfId="131" xr:uid="{00000000-0005-0000-0000-000082000000}"/>
    <cellStyle name="Blue" xfId="132" xr:uid="{00000000-0005-0000-0000-000083000000}"/>
    <cellStyle name="bluepercent" xfId="133" xr:uid="{00000000-0005-0000-0000-000084000000}"/>
    <cellStyle name="Body" xfId="134" xr:uid="{00000000-0005-0000-0000-000085000000}"/>
    <cellStyle name="Bold" xfId="135" xr:uid="{00000000-0005-0000-0000-000086000000}"/>
    <cellStyle name="BoldItalic" xfId="136" xr:uid="{00000000-0005-0000-0000-000087000000}"/>
    <cellStyle name="Bottom" xfId="137" xr:uid="{00000000-0005-0000-0000-000088000000}"/>
    <cellStyle name="Bottom Edge" xfId="138" xr:uid="{00000000-0005-0000-0000-000089000000}"/>
    <cellStyle name="British Pound" xfId="139" xr:uid="{00000000-0005-0000-0000-00008A000000}"/>
    <cellStyle name="Business Description" xfId="140" xr:uid="{00000000-0005-0000-0000-00008B000000}"/>
    <cellStyle name="c" xfId="141" xr:uid="{00000000-0005-0000-0000-00008C000000}"/>
    <cellStyle name="Calc Currency (0)" xfId="142" xr:uid="{00000000-0005-0000-0000-00008D000000}"/>
    <cellStyle name="Calc Currency (2)" xfId="143" xr:uid="{00000000-0005-0000-0000-00008E000000}"/>
    <cellStyle name="Calc Percent (0)" xfId="144" xr:uid="{00000000-0005-0000-0000-00008F000000}"/>
    <cellStyle name="Calc Percent (1)" xfId="145" xr:uid="{00000000-0005-0000-0000-000090000000}"/>
    <cellStyle name="Calc Percent (2)" xfId="146" xr:uid="{00000000-0005-0000-0000-000091000000}"/>
    <cellStyle name="Calc Units (0)" xfId="147" xr:uid="{00000000-0005-0000-0000-000092000000}"/>
    <cellStyle name="Calc Units (1)" xfId="148" xr:uid="{00000000-0005-0000-0000-000093000000}"/>
    <cellStyle name="Calc Units (2)" xfId="149" xr:uid="{00000000-0005-0000-0000-000094000000}"/>
    <cellStyle name="Case" xfId="150" xr:uid="{00000000-0005-0000-0000-000095000000}"/>
    <cellStyle name="cc" xfId="151" xr:uid="{00000000-0005-0000-0000-000096000000}"/>
    <cellStyle name="Center" xfId="152" xr:uid="{00000000-0005-0000-0000-000097000000}"/>
    <cellStyle name="CenterBold" xfId="153" xr:uid="{00000000-0005-0000-0000-000098000000}"/>
    <cellStyle name="CenterItalic" xfId="154" xr:uid="{00000000-0005-0000-0000-000099000000}"/>
    <cellStyle name="Cents" xfId="155" xr:uid="{00000000-0005-0000-0000-00009A000000}"/>
    <cellStyle name="ChartingText" xfId="156" xr:uid="{00000000-0005-0000-0000-00009B000000}"/>
    <cellStyle name="Co. Names" xfId="157" xr:uid="{00000000-0005-0000-0000-00009C000000}"/>
    <cellStyle name="Co. Names - Bold" xfId="158" xr:uid="{00000000-0005-0000-0000-00009D000000}"/>
    <cellStyle name="Co. Names_Break-Up" xfId="159" xr:uid="{00000000-0005-0000-0000-00009E000000}"/>
    <cellStyle name="COL HEADINGS" xfId="160" xr:uid="{00000000-0005-0000-0000-00009F000000}"/>
    <cellStyle name="ColumnHeaderNormal" xfId="161" xr:uid="{00000000-0005-0000-0000-0000A0000000}"/>
    <cellStyle name="Comma" xfId="899" builtinId="3"/>
    <cellStyle name="Comma  - Style1" xfId="162" xr:uid="{00000000-0005-0000-0000-0000A1000000}"/>
    <cellStyle name="Comma  - Style2" xfId="163" xr:uid="{00000000-0005-0000-0000-0000A2000000}"/>
    <cellStyle name="Comma  - Style3" xfId="164" xr:uid="{00000000-0005-0000-0000-0000A3000000}"/>
    <cellStyle name="Comma  - Style4" xfId="165" xr:uid="{00000000-0005-0000-0000-0000A4000000}"/>
    <cellStyle name="Comma  - Style5" xfId="166" xr:uid="{00000000-0005-0000-0000-0000A5000000}"/>
    <cellStyle name="Comma  - Style6" xfId="167" xr:uid="{00000000-0005-0000-0000-0000A6000000}"/>
    <cellStyle name="Comma  - Style7" xfId="168" xr:uid="{00000000-0005-0000-0000-0000A7000000}"/>
    <cellStyle name="Comma  - Style8" xfId="169" xr:uid="{00000000-0005-0000-0000-0000A8000000}"/>
    <cellStyle name="Comma [0]; --" xfId="170" xr:uid="{00000000-0005-0000-0000-0000A9000000}"/>
    <cellStyle name="Comma [00]" xfId="171" xr:uid="{00000000-0005-0000-0000-0000AA000000}"/>
    <cellStyle name="Comma [1]" xfId="172" xr:uid="{00000000-0005-0000-0000-0000AB000000}"/>
    <cellStyle name="Comma 2" xfId="895" xr:uid="{00000000-0005-0000-0000-0000AC000000}"/>
    <cellStyle name="Comma Cents" xfId="173" xr:uid="{00000000-0005-0000-0000-0000AD000000}"/>
    <cellStyle name="Comma0" xfId="174" xr:uid="{00000000-0005-0000-0000-0000AE000000}"/>
    <cellStyle name="Commas" xfId="175" xr:uid="{00000000-0005-0000-0000-0000AF000000}"/>
    <cellStyle name="CommasBold" xfId="176" xr:uid="{00000000-0005-0000-0000-0000B0000000}"/>
    <cellStyle name="CompanyTitle" xfId="177" xr:uid="{00000000-0005-0000-0000-0000B1000000}"/>
    <cellStyle name="Copied" xfId="178" xr:uid="{00000000-0005-0000-0000-0000B2000000}"/>
    <cellStyle name="Currency $" xfId="179" xr:uid="{00000000-0005-0000-0000-0000B3000000}"/>
    <cellStyle name="Currency [0]; --" xfId="180" xr:uid="{00000000-0005-0000-0000-0000B4000000}"/>
    <cellStyle name="Currency [00]" xfId="181" xr:uid="{00000000-0005-0000-0000-0000B5000000}"/>
    <cellStyle name="Currency [1]" xfId="182" xr:uid="{00000000-0005-0000-0000-0000B6000000}"/>
    <cellStyle name="Currency [2]" xfId="183" xr:uid="{00000000-0005-0000-0000-0000B7000000}"/>
    <cellStyle name="data" xfId="184" xr:uid="{00000000-0005-0000-0000-0000B8000000}"/>
    <cellStyle name="Date" xfId="185" xr:uid="{00000000-0005-0000-0000-0000B9000000}"/>
    <cellStyle name="Date Short" xfId="186" xr:uid="{00000000-0005-0000-0000-0000BA000000}"/>
    <cellStyle name="Date_COMPS - Directories" xfId="187" xr:uid="{00000000-0005-0000-0000-0000BB000000}"/>
    <cellStyle name="DateLeftBold" xfId="188" xr:uid="{00000000-0005-0000-0000-0000BC000000}"/>
    <cellStyle name="Default" xfId="189" xr:uid="{00000000-0005-0000-0000-0000BD000000}"/>
    <cellStyle name="DELTA" xfId="190" xr:uid="{00000000-0005-0000-0000-0000BE000000}"/>
    <cellStyle name="Dollars" xfId="191" xr:uid="{00000000-0005-0000-0000-0000BF000000}"/>
    <cellStyle name="Dollars []" xfId="192" xr:uid="{00000000-0005-0000-0000-0000C0000000}"/>
    <cellStyle name="Dollars_Pro Forma TTM 9.30.07 (CW NEIRB Acquisition)" xfId="193" xr:uid="{00000000-0005-0000-0000-0000C1000000}"/>
    <cellStyle name="Double" xfId="194" xr:uid="{00000000-0005-0000-0000-0000C2000000}"/>
    <cellStyle name="Double Accounting" xfId="195" xr:uid="{00000000-0005-0000-0000-0000C3000000}"/>
    <cellStyle name="Enter Currency (0)" xfId="196" xr:uid="{00000000-0005-0000-0000-0000C4000000}"/>
    <cellStyle name="Enter Currency (2)" xfId="197" xr:uid="{00000000-0005-0000-0000-0000C5000000}"/>
    <cellStyle name="Enter Units (0)" xfId="198" xr:uid="{00000000-0005-0000-0000-0000C6000000}"/>
    <cellStyle name="Enter Units (1)" xfId="199" xr:uid="{00000000-0005-0000-0000-0000C7000000}"/>
    <cellStyle name="Enter Units (2)" xfId="200" xr:uid="{00000000-0005-0000-0000-0000C8000000}"/>
    <cellStyle name="Entered" xfId="201" xr:uid="{00000000-0005-0000-0000-0000C9000000}"/>
    <cellStyle name="Euro" xfId="202" xr:uid="{00000000-0005-0000-0000-0000CA000000}"/>
    <cellStyle name="Fit" xfId="203" xr:uid="{00000000-0005-0000-0000-0000CB000000}"/>
    <cellStyle name="Footer" xfId="204" xr:uid="{00000000-0005-0000-0000-0000CC000000}"/>
    <cellStyle name="Footnotes" xfId="205" xr:uid="{00000000-0005-0000-0000-0000CD000000}"/>
    <cellStyle name="Grey" xfId="206" xr:uid="{00000000-0005-0000-0000-0000CE000000}"/>
    <cellStyle name="GreybarHeader" xfId="207" xr:uid="{00000000-0005-0000-0000-0000CF000000}"/>
    <cellStyle name="Grouped Head" xfId="208" xr:uid="{00000000-0005-0000-0000-0000D0000000}"/>
    <cellStyle name="h" xfId="209" xr:uid="{00000000-0005-0000-0000-0000D1000000}"/>
    <cellStyle name="HAlignCenter" xfId="210" xr:uid="{00000000-0005-0000-0000-0000D2000000}"/>
    <cellStyle name="HAlignLeft" xfId="211" xr:uid="{00000000-0005-0000-0000-0000D3000000}"/>
    <cellStyle name="HAlignRight" xfId="212" xr:uid="{00000000-0005-0000-0000-0000D4000000}"/>
    <cellStyle name="Head 1" xfId="213" xr:uid="{00000000-0005-0000-0000-0000D5000000}"/>
    <cellStyle name="Header" xfId="214" xr:uid="{00000000-0005-0000-0000-0000D6000000}"/>
    <cellStyle name="Header1" xfId="215" xr:uid="{00000000-0005-0000-0000-0000D7000000}"/>
    <cellStyle name="Header2" xfId="216" xr:uid="{00000000-0005-0000-0000-0000D8000000}"/>
    <cellStyle name="headers" xfId="217" xr:uid="{00000000-0005-0000-0000-0000D9000000}"/>
    <cellStyle name="Heading" xfId="218" xr:uid="{00000000-0005-0000-0000-0000DA000000}"/>
    <cellStyle name="HEADINGS" xfId="219" xr:uid="{00000000-0005-0000-0000-0000DB000000}"/>
    <cellStyle name="HEADINGSTOP" xfId="220" xr:uid="{00000000-0005-0000-0000-0000DC000000}"/>
    <cellStyle name="imput" xfId="221" xr:uid="{00000000-0005-0000-0000-0000DD000000}"/>
    <cellStyle name="Input [yellow]" xfId="222" xr:uid="{00000000-0005-0000-0000-0000DE000000}"/>
    <cellStyle name="Invisible" xfId="223" xr:uid="{00000000-0005-0000-0000-0000DF000000}"/>
    <cellStyle name="ItalicHeader" xfId="224" xr:uid="{00000000-0005-0000-0000-0000E0000000}"/>
    <cellStyle name="Item Descriptions" xfId="225" xr:uid="{00000000-0005-0000-0000-0000E1000000}"/>
    <cellStyle name="Item Descriptions - Bold" xfId="226" xr:uid="{00000000-0005-0000-0000-0000E2000000}"/>
    <cellStyle name="Item Descriptions_6079BX" xfId="227" xr:uid="{00000000-0005-0000-0000-0000E3000000}"/>
    <cellStyle name="Left" xfId="228" xr:uid="{00000000-0005-0000-0000-0000E4000000}"/>
    <cellStyle name="LeftBold" xfId="229" xr:uid="{00000000-0005-0000-0000-0000E5000000}"/>
    <cellStyle name="LeftBoldBottomRule" xfId="230" xr:uid="{00000000-0005-0000-0000-0000E6000000}"/>
    <cellStyle name="LeftBoldCenterRule" xfId="231" xr:uid="{00000000-0005-0000-0000-0000E7000000}"/>
    <cellStyle name="Line" xfId="232" xr:uid="{00000000-0005-0000-0000-0000E8000000}"/>
    <cellStyle name="Link Currency (0)" xfId="233" xr:uid="{00000000-0005-0000-0000-0000E9000000}"/>
    <cellStyle name="Link Currency (2)" xfId="234" xr:uid="{00000000-0005-0000-0000-0000EA000000}"/>
    <cellStyle name="Link Units (0)" xfId="235" xr:uid="{00000000-0005-0000-0000-0000EB000000}"/>
    <cellStyle name="Link Units (1)" xfId="236" xr:uid="{00000000-0005-0000-0000-0000EC000000}"/>
    <cellStyle name="Link Units (2)" xfId="237" xr:uid="{00000000-0005-0000-0000-0000ED000000}"/>
    <cellStyle name="locked" xfId="238" xr:uid="{00000000-0005-0000-0000-0000EE000000}"/>
    <cellStyle name="m&amp;a" xfId="239" xr:uid="{00000000-0005-0000-0000-0000EF000000}"/>
    <cellStyle name="Map Labels" xfId="240" xr:uid="{00000000-0005-0000-0000-0000F0000000}"/>
    <cellStyle name="Map Legend" xfId="241" xr:uid="{00000000-0005-0000-0000-0000F1000000}"/>
    <cellStyle name="Merrill" xfId="242" xr:uid="{00000000-0005-0000-0000-0000F2000000}"/>
    <cellStyle name="Millares_Inv Detail A7" xfId="243" xr:uid="{00000000-0005-0000-0000-0000F3000000}"/>
    <cellStyle name="Milliers [0]_r00SC" xfId="244" xr:uid="{00000000-0005-0000-0000-0000F4000000}"/>
    <cellStyle name="Milliers_r00SC" xfId="245" xr:uid="{00000000-0005-0000-0000-0000F5000000}"/>
    <cellStyle name="Mix" xfId="246" xr:uid="{00000000-0005-0000-0000-0000F6000000}"/>
    <cellStyle name="mon" xfId="247" xr:uid="{00000000-0005-0000-0000-0000F7000000}"/>
    <cellStyle name="Monétaire [0]_r00SC" xfId="248" xr:uid="{00000000-0005-0000-0000-0000F8000000}"/>
    <cellStyle name="Monétaire_r00SC" xfId="249" xr:uid="{00000000-0005-0000-0000-0000F9000000}"/>
    <cellStyle name="Money" xfId="250" xr:uid="{00000000-0005-0000-0000-0000FA000000}"/>
    <cellStyle name="Multiple" xfId="251" xr:uid="{00000000-0005-0000-0000-0000FB000000}"/>
    <cellStyle name="Multiple []" xfId="252" xr:uid="{00000000-0005-0000-0000-0000FC000000}"/>
    <cellStyle name="Multiple [0]" xfId="253" xr:uid="{00000000-0005-0000-0000-0000FD000000}"/>
    <cellStyle name="Multiple [0] []" xfId="254" xr:uid="{00000000-0005-0000-0000-0000FE000000}"/>
    <cellStyle name="Multiple [0]_New MA Public Comps and WACC Model" xfId="255" xr:uid="{00000000-0005-0000-0000-0000FF000000}"/>
    <cellStyle name="Multiple [1]" xfId="256" xr:uid="{00000000-0005-0000-0000-000000010000}"/>
    <cellStyle name="Multiple [1] []" xfId="257" xr:uid="{00000000-0005-0000-0000-000001010000}"/>
    <cellStyle name="Multiple [1]_New MA Public Comps and WACC Model" xfId="258" xr:uid="{00000000-0005-0000-0000-000002010000}"/>
    <cellStyle name="Multiple_CapitalSum" xfId="259" xr:uid="{00000000-0005-0000-0000-000003010000}"/>
    <cellStyle name="N2Style" xfId="260" xr:uid="{00000000-0005-0000-0000-000004010000}"/>
    <cellStyle name="NewColumnHeaderNormal" xfId="261" xr:uid="{00000000-0005-0000-0000-000005010000}"/>
    <cellStyle name="NewSectionHeaderNormal" xfId="262" xr:uid="{00000000-0005-0000-0000-000006010000}"/>
    <cellStyle name="NewTitleNormal" xfId="263" xr:uid="{00000000-0005-0000-0000-000007010000}"/>
    <cellStyle name="Normal" xfId="0" builtinId="0"/>
    <cellStyle name="Normal - Style1" xfId="264" xr:uid="{00000000-0005-0000-0000-000009010000}"/>
    <cellStyle name="Normal 2" xfId="265" xr:uid="{00000000-0005-0000-0000-00000A010000}"/>
    <cellStyle name="Normal 2 2" xfId="266" xr:uid="{00000000-0005-0000-0000-00000B010000}"/>
    <cellStyle name="Normal 2 2 2" xfId="896" xr:uid="{00000000-0005-0000-0000-00000C010000}"/>
    <cellStyle name="Normal 3" xfId="894" xr:uid="{00000000-0005-0000-0000-00000D010000}"/>
    <cellStyle name="Normal1" xfId="267" xr:uid="{00000000-0005-0000-0000-00000E010000}"/>
    <cellStyle name="Normal10" xfId="268" xr:uid="{00000000-0005-0000-0000-00000F010000}"/>
    <cellStyle name="Normal100" xfId="269" xr:uid="{00000000-0005-0000-0000-000010010000}"/>
    <cellStyle name="Normal101" xfId="270" xr:uid="{00000000-0005-0000-0000-000011010000}"/>
    <cellStyle name="Normal102" xfId="271" xr:uid="{00000000-0005-0000-0000-000012010000}"/>
    <cellStyle name="Normal103" xfId="272" xr:uid="{00000000-0005-0000-0000-000013010000}"/>
    <cellStyle name="Normal104" xfId="273" xr:uid="{00000000-0005-0000-0000-000014010000}"/>
    <cellStyle name="Normal105" xfId="274" xr:uid="{00000000-0005-0000-0000-000015010000}"/>
    <cellStyle name="Normal106" xfId="275" xr:uid="{00000000-0005-0000-0000-000016010000}"/>
    <cellStyle name="Normal107" xfId="276" xr:uid="{00000000-0005-0000-0000-000017010000}"/>
    <cellStyle name="Normal108" xfId="277" xr:uid="{00000000-0005-0000-0000-000018010000}"/>
    <cellStyle name="Normal109" xfId="278" xr:uid="{00000000-0005-0000-0000-000019010000}"/>
    <cellStyle name="Normal11" xfId="279" xr:uid="{00000000-0005-0000-0000-00001A010000}"/>
    <cellStyle name="Normal110" xfId="280" xr:uid="{00000000-0005-0000-0000-00001B010000}"/>
    <cellStyle name="Normal111" xfId="281" xr:uid="{00000000-0005-0000-0000-00001C010000}"/>
    <cellStyle name="Normal112" xfId="282" xr:uid="{00000000-0005-0000-0000-00001D010000}"/>
    <cellStyle name="Normal113" xfId="283" xr:uid="{00000000-0005-0000-0000-00001E010000}"/>
    <cellStyle name="Normal114" xfId="284" xr:uid="{00000000-0005-0000-0000-00001F010000}"/>
    <cellStyle name="Normal115" xfId="285" xr:uid="{00000000-0005-0000-0000-000020010000}"/>
    <cellStyle name="Normal116" xfId="286" xr:uid="{00000000-0005-0000-0000-000021010000}"/>
    <cellStyle name="Normal117" xfId="287" xr:uid="{00000000-0005-0000-0000-000022010000}"/>
    <cellStyle name="Normal118" xfId="288" xr:uid="{00000000-0005-0000-0000-000023010000}"/>
    <cellStyle name="Normal119" xfId="289" xr:uid="{00000000-0005-0000-0000-000024010000}"/>
    <cellStyle name="Normal12" xfId="290" xr:uid="{00000000-0005-0000-0000-000025010000}"/>
    <cellStyle name="Normal120" xfId="291" xr:uid="{00000000-0005-0000-0000-000026010000}"/>
    <cellStyle name="Normal121" xfId="292" xr:uid="{00000000-0005-0000-0000-000027010000}"/>
    <cellStyle name="Normal122" xfId="293" xr:uid="{00000000-0005-0000-0000-000028010000}"/>
    <cellStyle name="Normal123" xfId="294" xr:uid="{00000000-0005-0000-0000-000029010000}"/>
    <cellStyle name="Normal124" xfId="295" xr:uid="{00000000-0005-0000-0000-00002A010000}"/>
    <cellStyle name="Normal125" xfId="296" xr:uid="{00000000-0005-0000-0000-00002B010000}"/>
    <cellStyle name="Normal126" xfId="297" xr:uid="{00000000-0005-0000-0000-00002C010000}"/>
    <cellStyle name="Normal127" xfId="298" xr:uid="{00000000-0005-0000-0000-00002D010000}"/>
    <cellStyle name="Normal128" xfId="299" xr:uid="{00000000-0005-0000-0000-00002E010000}"/>
    <cellStyle name="Normal129" xfId="300" xr:uid="{00000000-0005-0000-0000-00002F010000}"/>
    <cellStyle name="Normal13" xfId="301" xr:uid="{00000000-0005-0000-0000-000030010000}"/>
    <cellStyle name="Normal130" xfId="302" xr:uid="{00000000-0005-0000-0000-000031010000}"/>
    <cellStyle name="Normal131" xfId="303" xr:uid="{00000000-0005-0000-0000-000032010000}"/>
    <cellStyle name="Normal132" xfId="304" xr:uid="{00000000-0005-0000-0000-000033010000}"/>
    <cellStyle name="Normal133" xfId="305" xr:uid="{00000000-0005-0000-0000-000034010000}"/>
    <cellStyle name="Normal134" xfId="306" xr:uid="{00000000-0005-0000-0000-000035010000}"/>
    <cellStyle name="Normal135" xfId="307" xr:uid="{00000000-0005-0000-0000-000036010000}"/>
    <cellStyle name="Normal136" xfId="308" xr:uid="{00000000-0005-0000-0000-000037010000}"/>
    <cellStyle name="Normal137" xfId="309" xr:uid="{00000000-0005-0000-0000-000038010000}"/>
    <cellStyle name="Normal138" xfId="310" xr:uid="{00000000-0005-0000-0000-000039010000}"/>
    <cellStyle name="Normal139" xfId="311" xr:uid="{00000000-0005-0000-0000-00003A010000}"/>
    <cellStyle name="Normal14" xfId="312" xr:uid="{00000000-0005-0000-0000-00003B010000}"/>
    <cellStyle name="Normal140" xfId="313" xr:uid="{00000000-0005-0000-0000-00003C010000}"/>
    <cellStyle name="Normal141" xfId="314" xr:uid="{00000000-0005-0000-0000-00003D010000}"/>
    <cellStyle name="Normal142" xfId="315" xr:uid="{00000000-0005-0000-0000-00003E010000}"/>
    <cellStyle name="Normal143" xfId="316" xr:uid="{00000000-0005-0000-0000-00003F010000}"/>
    <cellStyle name="Normal144" xfId="317" xr:uid="{00000000-0005-0000-0000-000040010000}"/>
    <cellStyle name="Normal145" xfId="318" xr:uid="{00000000-0005-0000-0000-000041010000}"/>
    <cellStyle name="Normal146" xfId="319" xr:uid="{00000000-0005-0000-0000-000042010000}"/>
    <cellStyle name="Normal147" xfId="320" xr:uid="{00000000-0005-0000-0000-000043010000}"/>
    <cellStyle name="Normal148" xfId="321" xr:uid="{00000000-0005-0000-0000-000044010000}"/>
    <cellStyle name="Normal149" xfId="322" xr:uid="{00000000-0005-0000-0000-000045010000}"/>
    <cellStyle name="Normal15" xfId="323" xr:uid="{00000000-0005-0000-0000-000046010000}"/>
    <cellStyle name="Normal150" xfId="324" xr:uid="{00000000-0005-0000-0000-000047010000}"/>
    <cellStyle name="Normal151" xfId="325" xr:uid="{00000000-0005-0000-0000-000048010000}"/>
    <cellStyle name="Normal152" xfId="326" xr:uid="{00000000-0005-0000-0000-000049010000}"/>
    <cellStyle name="Normal153" xfId="327" xr:uid="{00000000-0005-0000-0000-00004A010000}"/>
    <cellStyle name="Normal154" xfId="328" xr:uid="{00000000-0005-0000-0000-00004B010000}"/>
    <cellStyle name="Normal155" xfId="329" xr:uid="{00000000-0005-0000-0000-00004C010000}"/>
    <cellStyle name="Normal156" xfId="330" xr:uid="{00000000-0005-0000-0000-00004D010000}"/>
    <cellStyle name="Normal157" xfId="331" xr:uid="{00000000-0005-0000-0000-00004E010000}"/>
    <cellStyle name="Normal158" xfId="332" xr:uid="{00000000-0005-0000-0000-00004F010000}"/>
    <cellStyle name="Normal159" xfId="333" xr:uid="{00000000-0005-0000-0000-000050010000}"/>
    <cellStyle name="Normal16" xfId="334" xr:uid="{00000000-0005-0000-0000-000051010000}"/>
    <cellStyle name="Normal160" xfId="335" xr:uid="{00000000-0005-0000-0000-000052010000}"/>
    <cellStyle name="Normal161" xfId="336" xr:uid="{00000000-0005-0000-0000-000053010000}"/>
    <cellStyle name="Normal162" xfId="337" xr:uid="{00000000-0005-0000-0000-000054010000}"/>
    <cellStyle name="Normal163" xfId="338" xr:uid="{00000000-0005-0000-0000-000055010000}"/>
    <cellStyle name="Normal164" xfId="339" xr:uid="{00000000-0005-0000-0000-000056010000}"/>
    <cellStyle name="Normal165" xfId="340" xr:uid="{00000000-0005-0000-0000-000057010000}"/>
    <cellStyle name="Normal166" xfId="341" xr:uid="{00000000-0005-0000-0000-000058010000}"/>
    <cellStyle name="Normal167" xfId="342" xr:uid="{00000000-0005-0000-0000-000059010000}"/>
    <cellStyle name="Normal168" xfId="343" xr:uid="{00000000-0005-0000-0000-00005A010000}"/>
    <cellStyle name="Normal169" xfId="344" xr:uid="{00000000-0005-0000-0000-00005B010000}"/>
    <cellStyle name="Normal17" xfId="345" xr:uid="{00000000-0005-0000-0000-00005C010000}"/>
    <cellStyle name="Normal170" xfId="346" xr:uid="{00000000-0005-0000-0000-00005D010000}"/>
    <cellStyle name="Normal171" xfId="347" xr:uid="{00000000-0005-0000-0000-00005E010000}"/>
    <cellStyle name="Normal172" xfId="348" xr:uid="{00000000-0005-0000-0000-00005F010000}"/>
    <cellStyle name="Normal173" xfId="349" xr:uid="{00000000-0005-0000-0000-000060010000}"/>
    <cellStyle name="Normal174" xfId="350" xr:uid="{00000000-0005-0000-0000-000061010000}"/>
    <cellStyle name="Normal175" xfId="351" xr:uid="{00000000-0005-0000-0000-000062010000}"/>
    <cellStyle name="Normal176" xfId="352" xr:uid="{00000000-0005-0000-0000-000063010000}"/>
    <cellStyle name="Normal177" xfId="353" xr:uid="{00000000-0005-0000-0000-000064010000}"/>
    <cellStyle name="Normal178" xfId="354" xr:uid="{00000000-0005-0000-0000-000065010000}"/>
    <cellStyle name="Normal179" xfId="355" xr:uid="{00000000-0005-0000-0000-000066010000}"/>
    <cellStyle name="Normal18" xfId="356" xr:uid="{00000000-0005-0000-0000-000067010000}"/>
    <cellStyle name="Normal180" xfId="357" xr:uid="{00000000-0005-0000-0000-000068010000}"/>
    <cellStyle name="Normal181" xfId="358" xr:uid="{00000000-0005-0000-0000-000069010000}"/>
    <cellStyle name="Normal182" xfId="359" xr:uid="{00000000-0005-0000-0000-00006A010000}"/>
    <cellStyle name="Normal183" xfId="360" xr:uid="{00000000-0005-0000-0000-00006B010000}"/>
    <cellStyle name="Normal184" xfId="361" xr:uid="{00000000-0005-0000-0000-00006C010000}"/>
    <cellStyle name="Normal185" xfId="362" xr:uid="{00000000-0005-0000-0000-00006D010000}"/>
    <cellStyle name="Normal186" xfId="363" xr:uid="{00000000-0005-0000-0000-00006E010000}"/>
    <cellStyle name="Normal187" xfId="364" xr:uid="{00000000-0005-0000-0000-00006F010000}"/>
    <cellStyle name="Normal188" xfId="365" xr:uid="{00000000-0005-0000-0000-000070010000}"/>
    <cellStyle name="Normal189" xfId="366" xr:uid="{00000000-0005-0000-0000-000071010000}"/>
    <cellStyle name="Normal19" xfId="367" xr:uid="{00000000-0005-0000-0000-000072010000}"/>
    <cellStyle name="Normal190" xfId="368" xr:uid="{00000000-0005-0000-0000-000073010000}"/>
    <cellStyle name="Normal191" xfId="369" xr:uid="{00000000-0005-0000-0000-000074010000}"/>
    <cellStyle name="Normal192" xfId="370" xr:uid="{00000000-0005-0000-0000-000075010000}"/>
    <cellStyle name="Normal193" xfId="371" xr:uid="{00000000-0005-0000-0000-000076010000}"/>
    <cellStyle name="Normal194" xfId="372" xr:uid="{00000000-0005-0000-0000-000077010000}"/>
    <cellStyle name="Normal195" xfId="373" xr:uid="{00000000-0005-0000-0000-000078010000}"/>
    <cellStyle name="Normal196" xfId="374" xr:uid="{00000000-0005-0000-0000-000079010000}"/>
    <cellStyle name="Normal197" xfId="375" xr:uid="{00000000-0005-0000-0000-00007A010000}"/>
    <cellStyle name="Normal198" xfId="376" xr:uid="{00000000-0005-0000-0000-00007B010000}"/>
    <cellStyle name="Normal199" xfId="377" xr:uid="{00000000-0005-0000-0000-00007C010000}"/>
    <cellStyle name="Normal2" xfId="378" xr:uid="{00000000-0005-0000-0000-00007D010000}"/>
    <cellStyle name="Normal20" xfId="379" xr:uid="{00000000-0005-0000-0000-00007E010000}"/>
    <cellStyle name="Normal200" xfId="380" xr:uid="{00000000-0005-0000-0000-00007F010000}"/>
    <cellStyle name="Normal201" xfId="381" xr:uid="{00000000-0005-0000-0000-000080010000}"/>
    <cellStyle name="Normal202" xfId="382" xr:uid="{00000000-0005-0000-0000-000081010000}"/>
    <cellStyle name="Normal203" xfId="383" xr:uid="{00000000-0005-0000-0000-000082010000}"/>
    <cellStyle name="Normal204" xfId="384" xr:uid="{00000000-0005-0000-0000-000083010000}"/>
    <cellStyle name="Normal205" xfId="385" xr:uid="{00000000-0005-0000-0000-000084010000}"/>
    <cellStyle name="Normal206" xfId="386" xr:uid="{00000000-0005-0000-0000-000085010000}"/>
    <cellStyle name="Normal207" xfId="387" xr:uid="{00000000-0005-0000-0000-000086010000}"/>
    <cellStyle name="Normal208" xfId="388" xr:uid="{00000000-0005-0000-0000-000087010000}"/>
    <cellStyle name="Normal209" xfId="389" xr:uid="{00000000-0005-0000-0000-000088010000}"/>
    <cellStyle name="Normal21" xfId="390" xr:uid="{00000000-0005-0000-0000-000089010000}"/>
    <cellStyle name="Normal210" xfId="391" xr:uid="{00000000-0005-0000-0000-00008A010000}"/>
    <cellStyle name="Normal211" xfId="392" xr:uid="{00000000-0005-0000-0000-00008B010000}"/>
    <cellStyle name="Normal212" xfId="393" xr:uid="{00000000-0005-0000-0000-00008C010000}"/>
    <cellStyle name="Normal213" xfId="394" xr:uid="{00000000-0005-0000-0000-00008D010000}"/>
    <cellStyle name="Normal214" xfId="395" xr:uid="{00000000-0005-0000-0000-00008E010000}"/>
    <cellStyle name="Normal215" xfId="396" xr:uid="{00000000-0005-0000-0000-00008F010000}"/>
    <cellStyle name="Normal216" xfId="397" xr:uid="{00000000-0005-0000-0000-000090010000}"/>
    <cellStyle name="Normal217" xfId="398" xr:uid="{00000000-0005-0000-0000-000091010000}"/>
    <cellStyle name="Normal218" xfId="399" xr:uid="{00000000-0005-0000-0000-000092010000}"/>
    <cellStyle name="Normal219" xfId="400" xr:uid="{00000000-0005-0000-0000-000093010000}"/>
    <cellStyle name="Normal22" xfId="401" xr:uid="{00000000-0005-0000-0000-000094010000}"/>
    <cellStyle name="Normal220" xfId="402" xr:uid="{00000000-0005-0000-0000-000095010000}"/>
    <cellStyle name="Normal221" xfId="403" xr:uid="{00000000-0005-0000-0000-000096010000}"/>
    <cellStyle name="Normal222" xfId="404" xr:uid="{00000000-0005-0000-0000-000097010000}"/>
    <cellStyle name="Normal223" xfId="405" xr:uid="{00000000-0005-0000-0000-000098010000}"/>
    <cellStyle name="Normal224" xfId="406" xr:uid="{00000000-0005-0000-0000-000099010000}"/>
    <cellStyle name="Normal225" xfId="407" xr:uid="{00000000-0005-0000-0000-00009A010000}"/>
    <cellStyle name="Normal226" xfId="408" xr:uid="{00000000-0005-0000-0000-00009B010000}"/>
    <cellStyle name="Normal227" xfId="409" xr:uid="{00000000-0005-0000-0000-00009C010000}"/>
    <cellStyle name="Normal228" xfId="410" xr:uid="{00000000-0005-0000-0000-00009D010000}"/>
    <cellStyle name="Normal229" xfId="411" xr:uid="{00000000-0005-0000-0000-00009E010000}"/>
    <cellStyle name="Normal23" xfId="412" xr:uid="{00000000-0005-0000-0000-00009F010000}"/>
    <cellStyle name="Normal230" xfId="413" xr:uid="{00000000-0005-0000-0000-0000A0010000}"/>
    <cellStyle name="Normal231" xfId="414" xr:uid="{00000000-0005-0000-0000-0000A1010000}"/>
    <cellStyle name="Normal232" xfId="415" xr:uid="{00000000-0005-0000-0000-0000A2010000}"/>
    <cellStyle name="Normal233" xfId="416" xr:uid="{00000000-0005-0000-0000-0000A3010000}"/>
    <cellStyle name="Normal234" xfId="417" xr:uid="{00000000-0005-0000-0000-0000A4010000}"/>
    <cellStyle name="Normal235" xfId="418" xr:uid="{00000000-0005-0000-0000-0000A5010000}"/>
    <cellStyle name="Normal236" xfId="419" xr:uid="{00000000-0005-0000-0000-0000A6010000}"/>
    <cellStyle name="Normal237" xfId="420" xr:uid="{00000000-0005-0000-0000-0000A7010000}"/>
    <cellStyle name="Normal238" xfId="421" xr:uid="{00000000-0005-0000-0000-0000A8010000}"/>
    <cellStyle name="Normal239" xfId="422" xr:uid="{00000000-0005-0000-0000-0000A9010000}"/>
    <cellStyle name="Normal24" xfId="423" xr:uid="{00000000-0005-0000-0000-0000AA010000}"/>
    <cellStyle name="Normal240" xfId="424" xr:uid="{00000000-0005-0000-0000-0000AB010000}"/>
    <cellStyle name="Normal241" xfId="425" xr:uid="{00000000-0005-0000-0000-0000AC010000}"/>
    <cellStyle name="Normal242" xfId="426" xr:uid="{00000000-0005-0000-0000-0000AD010000}"/>
    <cellStyle name="Normal243" xfId="427" xr:uid="{00000000-0005-0000-0000-0000AE010000}"/>
    <cellStyle name="Normal244" xfId="428" xr:uid="{00000000-0005-0000-0000-0000AF010000}"/>
    <cellStyle name="Normal245" xfId="429" xr:uid="{00000000-0005-0000-0000-0000B0010000}"/>
    <cellStyle name="Normal246" xfId="430" xr:uid="{00000000-0005-0000-0000-0000B1010000}"/>
    <cellStyle name="Normal247" xfId="431" xr:uid="{00000000-0005-0000-0000-0000B2010000}"/>
    <cellStyle name="Normal248" xfId="432" xr:uid="{00000000-0005-0000-0000-0000B3010000}"/>
    <cellStyle name="Normal249" xfId="433" xr:uid="{00000000-0005-0000-0000-0000B4010000}"/>
    <cellStyle name="Normal25" xfId="434" xr:uid="{00000000-0005-0000-0000-0000B5010000}"/>
    <cellStyle name="Normal250" xfId="435" xr:uid="{00000000-0005-0000-0000-0000B6010000}"/>
    <cellStyle name="Normal251" xfId="436" xr:uid="{00000000-0005-0000-0000-0000B7010000}"/>
    <cellStyle name="Normal252" xfId="437" xr:uid="{00000000-0005-0000-0000-0000B8010000}"/>
    <cellStyle name="Normal253" xfId="438" xr:uid="{00000000-0005-0000-0000-0000B9010000}"/>
    <cellStyle name="Normal26" xfId="439" xr:uid="{00000000-0005-0000-0000-0000BA010000}"/>
    <cellStyle name="Normal27" xfId="440" xr:uid="{00000000-0005-0000-0000-0000BB010000}"/>
    <cellStyle name="Normal28" xfId="441" xr:uid="{00000000-0005-0000-0000-0000BC010000}"/>
    <cellStyle name="Normal29" xfId="442" xr:uid="{00000000-0005-0000-0000-0000BD010000}"/>
    <cellStyle name="Normal3" xfId="443" xr:uid="{00000000-0005-0000-0000-0000BE010000}"/>
    <cellStyle name="Normal30" xfId="444" xr:uid="{00000000-0005-0000-0000-0000BF010000}"/>
    <cellStyle name="Normal31" xfId="445" xr:uid="{00000000-0005-0000-0000-0000C0010000}"/>
    <cellStyle name="Normal32" xfId="446" xr:uid="{00000000-0005-0000-0000-0000C1010000}"/>
    <cellStyle name="Normal33" xfId="447" xr:uid="{00000000-0005-0000-0000-0000C2010000}"/>
    <cellStyle name="Normal34" xfId="448" xr:uid="{00000000-0005-0000-0000-0000C3010000}"/>
    <cellStyle name="Normal35" xfId="449" xr:uid="{00000000-0005-0000-0000-0000C4010000}"/>
    <cellStyle name="Normal36" xfId="450" xr:uid="{00000000-0005-0000-0000-0000C5010000}"/>
    <cellStyle name="Normal37" xfId="451" xr:uid="{00000000-0005-0000-0000-0000C6010000}"/>
    <cellStyle name="Normal38" xfId="452" xr:uid="{00000000-0005-0000-0000-0000C7010000}"/>
    <cellStyle name="Normal39" xfId="453" xr:uid="{00000000-0005-0000-0000-0000C8010000}"/>
    <cellStyle name="Normal4" xfId="454" xr:uid="{00000000-0005-0000-0000-0000C9010000}"/>
    <cellStyle name="Normal40" xfId="455" xr:uid="{00000000-0005-0000-0000-0000CA010000}"/>
    <cellStyle name="Normal41" xfId="456" xr:uid="{00000000-0005-0000-0000-0000CB010000}"/>
    <cellStyle name="Normal42" xfId="457" xr:uid="{00000000-0005-0000-0000-0000CC010000}"/>
    <cellStyle name="Normal43" xfId="458" xr:uid="{00000000-0005-0000-0000-0000CD010000}"/>
    <cellStyle name="Normal44" xfId="459" xr:uid="{00000000-0005-0000-0000-0000CE010000}"/>
    <cellStyle name="Normal45" xfId="460" xr:uid="{00000000-0005-0000-0000-0000CF010000}"/>
    <cellStyle name="Normal46" xfId="461" xr:uid="{00000000-0005-0000-0000-0000D0010000}"/>
    <cellStyle name="Normal47" xfId="462" xr:uid="{00000000-0005-0000-0000-0000D1010000}"/>
    <cellStyle name="Normal48" xfId="463" xr:uid="{00000000-0005-0000-0000-0000D2010000}"/>
    <cellStyle name="Normal49" xfId="464" xr:uid="{00000000-0005-0000-0000-0000D3010000}"/>
    <cellStyle name="Normal5" xfId="465" xr:uid="{00000000-0005-0000-0000-0000D4010000}"/>
    <cellStyle name="Normal50" xfId="466" xr:uid="{00000000-0005-0000-0000-0000D5010000}"/>
    <cellStyle name="Normal51" xfId="467" xr:uid="{00000000-0005-0000-0000-0000D6010000}"/>
    <cellStyle name="Normal52" xfId="468" xr:uid="{00000000-0005-0000-0000-0000D7010000}"/>
    <cellStyle name="Normal53" xfId="469" xr:uid="{00000000-0005-0000-0000-0000D8010000}"/>
    <cellStyle name="Normal54" xfId="470" xr:uid="{00000000-0005-0000-0000-0000D9010000}"/>
    <cellStyle name="Normal55" xfId="471" xr:uid="{00000000-0005-0000-0000-0000DA010000}"/>
    <cellStyle name="Normal56" xfId="472" xr:uid="{00000000-0005-0000-0000-0000DB010000}"/>
    <cellStyle name="Normal57" xfId="473" xr:uid="{00000000-0005-0000-0000-0000DC010000}"/>
    <cellStyle name="Normal58" xfId="474" xr:uid="{00000000-0005-0000-0000-0000DD010000}"/>
    <cellStyle name="Normal59" xfId="475" xr:uid="{00000000-0005-0000-0000-0000DE010000}"/>
    <cellStyle name="Normal6" xfId="476" xr:uid="{00000000-0005-0000-0000-0000DF010000}"/>
    <cellStyle name="Normal60" xfId="477" xr:uid="{00000000-0005-0000-0000-0000E0010000}"/>
    <cellStyle name="Normal61" xfId="478" xr:uid="{00000000-0005-0000-0000-0000E1010000}"/>
    <cellStyle name="Normal62" xfId="479" xr:uid="{00000000-0005-0000-0000-0000E2010000}"/>
    <cellStyle name="Normal63" xfId="480" xr:uid="{00000000-0005-0000-0000-0000E3010000}"/>
    <cellStyle name="Normal64" xfId="481" xr:uid="{00000000-0005-0000-0000-0000E4010000}"/>
    <cellStyle name="Normal65" xfId="482" xr:uid="{00000000-0005-0000-0000-0000E5010000}"/>
    <cellStyle name="Normal66" xfId="483" xr:uid="{00000000-0005-0000-0000-0000E6010000}"/>
    <cellStyle name="Normal67" xfId="484" xr:uid="{00000000-0005-0000-0000-0000E7010000}"/>
    <cellStyle name="Normal68" xfId="485" xr:uid="{00000000-0005-0000-0000-0000E8010000}"/>
    <cellStyle name="Normal69" xfId="486" xr:uid="{00000000-0005-0000-0000-0000E9010000}"/>
    <cellStyle name="Normal7" xfId="487" xr:uid="{00000000-0005-0000-0000-0000EA010000}"/>
    <cellStyle name="Normal70" xfId="488" xr:uid="{00000000-0005-0000-0000-0000EB010000}"/>
    <cellStyle name="Normal71" xfId="489" xr:uid="{00000000-0005-0000-0000-0000EC010000}"/>
    <cellStyle name="Normal72" xfId="490" xr:uid="{00000000-0005-0000-0000-0000ED010000}"/>
    <cellStyle name="Normal73" xfId="491" xr:uid="{00000000-0005-0000-0000-0000EE010000}"/>
    <cellStyle name="Normal74" xfId="492" xr:uid="{00000000-0005-0000-0000-0000EF010000}"/>
    <cellStyle name="Normal75" xfId="493" xr:uid="{00000000-0005-0000-0000-0000F0010000}"/>
    <cellStyle name="Normal76" xfId="494" xr:uid="{00000000-0005-0000-0000-0000F1010000}"/>
    <cellStyle name="Normal77" xfId="495" xr:uid="{00000000-0005-0000-0000-0000F2010000}"/>
    <cellStyle name="Normal78" xfId="496" xr:uid="{00000000-0005-0000-0000-0000F3010000}"/>
    <cellStyle name="Normal79" xfId="497" xr:uid="{00000000-0005-0000-0000-0000F4010000}"/>
    <cellStyle name="Normal8" xfId="498" xr:uid="{00000000-0005-0000-0000-0000F5010000}"/>
    <cellStyle name="Normal80" xfId="499" xr:uid="{00000000-0005-0000-0000-0000F6010000}"/>
    <cellStyle name="Normal81" xfId="500" xr:uid="{00000000-0005-0000-0000-0000F7010000}"/>
    <cellStyle name="Normal82" xfId="501" xr:uid="{00000000-0005-0000-0000-0000F8010000}"/>
    <cellStyle name="Normal83" xfId="502" xr:uid="{00000000-0005-0000-0000-0000F9010000}"/>
    <cellStyle name="Normal84" xfId="503" xr:uid="{00000000-0005-0000-0000-0000FA010000}"/>
    <cellStyle name="Normal85" xfId="504" xr:uid="{00000000-0005-0000-0000-0000FB010000}"/>
    <cellStyle name="Normal86" xfId="505" xr:uid="{00000000-0005-0000-0000-0000FC010000}"/>
    <cellStyle name="Normal87" xfId="506" xr:uid="{00000000-0005-0000-0000-0000FD010000}"/>
    <cellStyle name="Normal88" xfId="507" xr:uid="{00000000-0005-0000-0000-0000FE010000}"/>
    <cellStyle name="Normal89" xfId="508" xr:uid="{00000000-0005-0000-0000-0000FF010000}"/>
    <cellStyle name="Normal9" xfId="509" xr:uid="{00000000-0005-0000-0000-000000020000}"/>
    <cellStyle name="Normal90" xfId="510" xr:uid="{00000000-0005-0000-0000-000001020000}"/>
    <cellStyle name="Normal91" xfId="511" xr:uid="{00000000-0005-0000-0000-000002020000}"/>
    <cellStyle name="Normal92" xfId="512" xr:uid="{00000000-0005-0000-0000-000003020000}"/>
    <cellStyle name="Normal93" xfId="513" xr:uid="{00000000-0005-0000-0000-000004020000}"/>
    <cellStyle name="Normal94" xfId="514" xr:uid="{00000000-0005-0000-0000-000005020000}"/>
    <cellStyle name="Normal95" xfId="515" xr:uid="{00000000-0005-0000-0000-000006020000}"/>
    <cellStyle name="Normal96" xfId="516" xr:uid="{00000000-0005-0000-0000-000007020000}"/>
    <cellStyle name="Normal97" xfId="517" xr:uid="{00000000-0005-0000-0000-000008020000}"/>
    <cellStyle name="Normal98" xfId="518" xr:uid="{00000000-0005-0000-0000-000009020000}"/>
    <cellStyle name="Normal99" xfId="519" xr:uid="{00000000-0005-0000-0000-00000A020000}"/>
    <cellStyle name="NotDeclared_1" xfId="520" xr:uid="{00000000-0005-0000-0000-00000B020000}"/>
    <cellStyle name="Numbers" xfId="521" xr:uid="{00000000-0005-0000-0000-00000C020000}"/>
    <cellStyle name="Numbers - Bold" xfId="522" xr:uid="{00000000-0005-0000-0000-00000D020000}"/>
    <cellStyle name="Numbers - Bold - Italic" xfId="523" xr:uid="{00000000-0005-0000-0000-00000E020000}"/>
    <cellStyle name="Numbers - Bold_6079BX" xfId="524" xr:uid="{00000000-0005-0000-0000-00000F020000}"/>
    <cellStyle name="Numbers - Large" xfId="525" xr:uid="{00000000-0005-0000-0000-000010020000}"/>
    <cellStyle name="Numbers_6079BX" xfId="526" xr:uid="{00000000-0005-0000-0000-000011020000}"/>
    <cellStyle name="OSW_RowLabels" xfId="527" xr:uid="{00000000-0005-0000-0000-000012020000}"/>
    <cellStyle name="Outline" xfId="528" xr:uid="{00000000-0005-0000-0000-000013020000}"/>
    <cellStyle name="Output Amounts" xfId="529" xr:uid="{00000000-0005-0000-0000-000014020000}"/>
    <cellStyle name="Output Column Headings" xfId="530" xr:uid="{00000000-0005-0000-0000-000015020000}"/>
    <cellStyle name="Output Line Items" xfId="531" xr:uid="{00000000-0005-0000-0000-000016020000}"/>
    <cellStyle name="Output Report Heading" xfId="532" xr:uid="{00000000-0005-0000-0000-000017020000}"/>
    <cellStyle name="Page" xfId="533" xr:uid="{00000000-0005-0000-0000-000018020000}"/>
    <cellStyle name="PB Table Heading" xfId="534" xr:uid="{00000000-0005-0000-0000-000019020000}"/>
    <cellStyle name="PB Table Highlight1" xfId="535" xr:uid="{00000000-0005-0000-0000-00001A020000}"/>
    <cellStyle name="PB Table Highlight2" xfId="536" xr:uid="{00000000-0005-0000-0000-00001B020000}"/>
    <cellStyle name="PB Table Highlight3" xfId="537" xr:uid="{00000000-0005-0000-0000-00001C020000}"/>
    <cellStyle name="PB Table Standard Row" xfId="538" xr:uid="{00000000-0005-0000-0000-00001D020000}"/>
    <cellStyle name="PB Table Subtotal Row" xfId="539" xr:uid="{00000000-0005-0000-0000-00001E020000}"/>
    <cellStyle name="PB Table Total Row" xfId="540" xr:uid="{00000000-0005-0000-0000-00001F020000}"/>
    <cellStyle name="Per cent" xfId="898" builtinId="5"/>
    <cellStyle name="per.style" xfId="541" xr:uid="{00000000-0005-0000-0000-000020020000}"/>
    <cellStyle name="Percent [0]" xfId="542" xr:uid="{00000000-0005-0000-0000-000022020000}"/>
    <cellStyle name="Percent [00]" xfId="543" xr:uid="{00000000-0005-0000-0000-000023020000}"/>
    <cellStyle name="Percent [1]" xfId="544" xr:uid="{00000000-0005-0000-0000-000024020000}"/>
    <cellStyle name="Percent [1][]" xfId="545" xr:uid="{00000000-0005-0000-0000-000025020000}"/>
    <cellStyle name="Percent [1]_New MA Public Comps and WACC Model" xfId="546" xr:uid="{00000000-0005-0000-0000-000026020000}"/>
    <cellStyle name="Percent [2]" xfId="547" xr:uid="{00000000-0005-0000-0000-000027020000}"/>
    <cellStyle name="Percent 2" xfId="897" xr:uid="{00000000-0005-0000-0000-000028020000}"/>
    <cellStyle name="Percent Comma" xfId="548" xr:uid="{00000000-0005-0000-0000-000029020000}"/>
    <cellStyle name="Percent1" xfId="549" xr:uid="{00000000-0005-0000-0000-00002A020000}"/>
    <cellStyle name="Percent10" xfId="550" xr:uid="{00000000-0005-0000-0000-00002B020000}"/>
    <cellStyle name="Percent100" xfId="551" xr:uid="{00000000-0005-0000-0000-00002C020000}"/>
    <cellStyle name="Percent101" xfId="552" xr:uid="{00000000-0005-0000-0000-00002D020000}"/>
    <cellStyle name="Percent102" xfId="553" xr:uid="{00000000-0005-0000-0000-00002E020000}"/>
    <cellStyle name="Percent103" xfId="554" xr:uid="{00000000-0005-0000-0000-00002F020000}"/>
    <cellStyle name="Percent104" xfId="555" xr:uid="{00000000-0005-0000-0000-000030020000}"/>
    <cellStyle name="Percent105" xfId="556" xr:uid="{00000000-0005-0000-0000-000031020000}"/>
    <cellStyle name="Percent106" xfId="557" xr:uid="{00000000-0005-0000-0000-000032020000}"/>
    <cellStyle name="Percent107" xfId="558" xr:uid="{00000000-0005-0000-0000-000033020000}"/>
    <cellStyle name="Percent108" xfId="559" xr:uid="{00000000-0005-0000-0000-000034020000}"/>
    <cellStyle name="Percent109" xfId="560" xr:uid="{00000000-0005-0000-0000-000035020000}"/>
    <cellStyle name="Percent11" xfId="561" xr:uid="{00000000-0005-0000-0000-000036020000}"/>
    <cellStyle name="Percent110" xfId="562" xr:uid="{00000000-0005-0000-0000-000037020000}"/>
    <cellStyle name="Percent111" xfId="563" xr:uid="{00000000-0005-0000-0000-000038020000}"/>
    <cellStyle name="Percent112" xfId="564" xr:uid="{00000000-0005-0000-0000-000039020000}"/>
    <cellStyle name="Percent113" xfId="565" xr:uid="{00000000-0005-0000-0000-00003A020000}"/>
    <cellStyle name="Percent114" xfId="566" xr:uid="{00000000-0005-0000-0000-00003B020000}"/>
    <cellStyle name="Percent115" xfId="567" xr:uid="{00000000-0005-0000-0000-00003C020000}"/>
    <cellStyle name="Percent116" xfId="568" xr:uid="{00000000-0005-0000-0000-00003D020000}"/>
    <cellStyle name="Percent117" xfId="569" xr:uid="{00000000-0005-0000-0000-00003E020000}"/>
    <cellStyle name="Percent118" xfId="570" xr:uid="{00000000-0005-0000-0000-00003F020000}"/>
    <cellStyle name="Percent119" xfId="571" xr:uid="{00000000-0005-0000-0000-000040020000}"/>
    <cellStyle name="Percent12" xfId="572" xr:uid="{00000000-0005-0000-0000-000041020000}"/>
    <cellStyle name="Percent120" xfId="573" xr:uid="{00000000-0005-0000-0000-000042020000}"/>
    <cellStyle name="Percent121" xfId="574" xr:uid="{00000000-0005-0000-0000-000043020000}"/>
    <cellStyle name="Percent122" xfId="575" xr:uid="{00000000-0005-0000-0000-000044020000}"/>
    <cellStyle name="Percent123" xfId="576" xr:uid="{00000000-0005-0000-0000-000045020000}"/>
    <cellStyle name="Percent124" xfId="577" xr:uid="{00000000-0005-0000-0000-000046020000}"/>
    <cellStyle name="Percent125" xfId="578" xr:uid="{00000000-0005-0000-0000-000047020000}"/>
    <cellStyle name="Percent126" xfId="579" xr:uid="{00000000-0005-0000-0000-000048020000}"/>
    <cellStyle name="Percent127" xfId="580" xr:uid="{00000000-0005-0000-0000-000049020000}"/>
    <cellStyle name="Percent128" xfId="581" xr:uid="{00000000-0005-0000-0000-00004A020000}"/>
    <cellStyle name="Percent129" xfId="582" xr:uid="{00000000-0005-0000-0000-00004B020000}"/>
    <cellStyle name="Percent13" xfId="583" xr:uid="{00000000-0005-0000-0000-00004C020000}"/>
    <cellStyle name="Percent130" xfId="584" xr:uid="{00000000-0005-0000-0000-00004D020000}"/>
    <cellStyle name="Percent131" xfId="585" xr:uid="{00000000-0005-0000-0000-00004E020000}"/>
    <cellStyle name="Percent132" xfId="586" xr:uid="{00000000-0005-0000-0000-00004F020000}"/>
    <cellStyle name="Percent133" xfId="587" xr:uid="{00000000-0005-0000-0000-000050020000}"/>
    <cellStyle name="Percent134" xfId="588" xr:uid="{00000000-0005-0000-0000-000051020000}"/>
    <cellStyle name="Percent135" xfId="589" xr:uid="{00000000-0005-0000-0000-000052020000}"/>
    <cellStyle name="Percent136" xfId="590" xr:uid="{00000000-0005-0000-0000-000053020000}"/>
    <cellStyle name="Percent137" xfId="591" xr:uid="{00000000-0005-0000-0000-000054020000}"/>
    <cellStyle name="Percent138" xfId="592" xr:uid="{00000000-0005-0000-0000-000055020000}"/>
    <cellStyle name="Percent139" xfId="593" xr:uid="{00000000-0005-0000-0000-000056020000}"/>
    <cellStyle name="Percent14" xfId="594" xr:uid="{00000000-0005-0000-0000-000057020000}"/>
    <cellStyle name="Percent140" xfId="595" xr:uid="{00000000-0005-0000-0000-000058020000}"/>
    <cellStyle name="Percent141" xfId="596" xr:uid="{00000000-0005-0000-0000-000059020000}"/>
    <cellStyle name="Percent142" xfId="597" xr:uid="{00000000-0005-0000-0000-00005A020000}"/>
    <cellStyle name="Percent143" xfId="598" xr:uid="{00000000-0005-0000-0000-00005B020000}"/>
    <cellStyle name="Percent144" xfId="599" xr:uid="{00000000-0005-0000-0000-00005C020000}"/>
    <cellStyle name="Percent145" xfId="600" xr:uid="{00000000-0005-0000-0000-00005D020000}"/>
    <cellStyle name="Percent146" xfId="601" xr:uid="{00000000-0005-0000-0000-00005E020000}"/>
    <cellStyle name="Percent147" xfId="602" xr:uid="{00000000-0005-0000-0000-00005F020000}"/>
    <cellStyle name="Percent148" xfId="603" xr:uid="{00000000-0005-0000-0000-000060020000}"/>
    <cellStyle name="Percent149" xfId="604" xr:uid="{00000000-0005-0000-0000-000061020000}"/>
    <cellStyle name="Percent15" xfId="605" xr:uid="{00000000-0005-0000-0000-000062020000}"/>
    <cellStyle name="Percent150" xfId="606" xr:uid="{00000000-0005-0000-0000-000063020000}"/>
    <cellStyle name="Percent151" xfId="607" xr:uid="{00000000-0005-0000-0000-000064020000}"/>
    <cellStyle name="Percent152" xfId="608" xr:uid="{00000000-0005-0000-0000-000065020000}"/>
    <cellStyle name="Percent153" xfId="609" xr:uid="{00000000-0005-0000-0000-000066020000}"/>
    <cellStyle name="Percent154" xfId="610" xr:uid="{00000000-0005-0000-0000-000067020000}"/>
    <cellStyle name="Percent155" xfId="611" xr:uid="{00000000-0005-0000-0000-000068020000}"/>
    <cellStyle name="Percent156" xfId="612" xr:uid="{00000000-0005-0000-0000-000069020000}"/>
    <cellStyle name="Percent157" xfId="613" xr:uid="{00000000-0005-0000-0000-00006A020000}"/>
    <cellStyle name="Percent158" xfId="614" xr:uid="{00000000-0005-0000-0000-00006B020000}"/>
    <cellStyle name="Percent159" xfId="615" xr:uid="{00000000-0005-0000-0000-00006C020000}"/>
    <cellStyle name="Percent16" xfId="616" xr:uid="{00000000-0005-0000-0000-00006D020000}"/>
    <cellStyle name="Percent160" xfId="617" xr:uid="{00000000-0005-0000-0000-00006E020000}"/>
    <cellStyle name="Percent161" xfId="618" xr:uid="{00000000-0005-0000-0000-00006F020000}"/>
    <cellStyle name="Percent162" xfId="619" xr:uid="{00000000-0005-0000-0000-000070020000}"/>
    <cellStyle name="Percent163" xfId="620" xr:uid="{00000000-0005-0000-0000-000071020000}"/>
    <cellStyle name="Percent164" xfId="621" xr:uid="{00000000-0005-0000-0000-000072020000}"/>
    <cellStyle name="Percent165" xfId="622" xr:uid="{00000000-0005-0000-0000-000073020000}"/>
    <cellStyle name="Percent166" xfId="623" xr:uid="{00000000-0005-0000-0000-000074020000}"/>
    <cellStyle name="Percent167" xfId="624" xr:uid="{00000000-0005-0000-0000-000075020000}"/>
    <cellStyle name="Percent168" xfId="625" xr:uid="{00000000-0005-0000-0000-000076020000}"/>
    <cellStyle name="Percent169" xfId="626" xr:uid="{00000000-0005-0000-0000-000077020000}"/>
    <cellStyle name="Percent17" xfId="627" xr:uid="{00000000-0005-0000-0000-000078020000}"/>
    <cellStyle name="Percent170" xfId="628" xr:uid="{00000000-0005-0000-0000-000079020000}"/>
    <cellStyle name="Percent171" xfId="629" xr:uid="{00000000-0005-0000-0000-00007A020000}"/>
    <cellStyle name="Percent172" xfId="630" xr:uid="{00000000-0005-0000-0000-00007B020000}"/>
    <cellStyle name="Percent173" xfId="631" xr:uid="{00000000-0005-0000-0000-00007C020000}"/>
    <cellStyle name="Percent174" xfId="632" xr:uid="{00000000-0005-0000-0000-00007D020000}"/>
    <cellStyle name="Percent175" xfId="633" xr:uid="{00000000-0005-0000-0000-00007E020000}"/>
    <cellStyle name="Percent176" xfId="634" xr:uid="{00000000-0005-0000-0000-00007F020000}"/>
    <cellStyle name="Percent177" xfId="635" xr:uid="{00000000-0005-0000-0000-000080020000}"/>
    <cellStyle name="Percent178" xfId="636" xr:uid="{00000000-0005-0000-0000-000081020000}"/>
    <cellStyle name="Percent179" xfId="637" xr:uid="{00000000-0005-0000-0000-000082020000}"/>
    <cellStyle name="Percent18" xfId="638" xr:uid="{00000000-0005-0000-0000-000083020000}"/>
    <cellStyle name="Percent180" xfId="639" xr:uid="{00000000-0005-0000-0000-000084020000}"/>
    <cellStyle name="Percent181" xfId="640" xr:uid="{00000000-0005-0000-0000-000085020000}"/>
    <cellStyle name="Percent182" xfId="641" xr:uid="{00000000-0005-0000-0000-000086020000}"/>
    <cellStyle name="Percent183" xfId="642" xr:uid="{00000000-0005-0000-0000-000087020000}"/>
    <cellStyle name="Percent184" xfId="643" xr:uid="{00000000-0005-0000-0000-000088020000}"/>
    <cellStyle name="Percent185" xfId="644" xr:uid="{00000000-0005-0000-0000-000089020000}"/>
    <cellStyle name="Percent186" xfId="645" xr:uid="{00000000-0005-0000-0000-00008A020000}"/>
    <cellStyle name="Percent187" xfId="646" xr:uid="{00000000-0005-0000-0000-00008B020000}"/>
    <cellStyle name="Percent188" xfId="647" xr:uid="{00000000-0005-0000-0000-00008C020000}"/>
    <cellStyle name="Percent189" xfId="648" xr:uid="{00000000-0005-0000-0000-00008D020000}"/>
    <cellStyle name="Percent19" xfId="649" xr:uid="{00000000-0005-0000-0000-00008E020000}"/>
    <cellStyle name="Percent190" xfId="650" xr:uid="{00000000-0005-0000-0000-00008F020000}"/>
    <cellStyle name="Percent191" xfId="651" xr:uid="{00000000-0005-0000-0000-000090020000}"/>
    <cellStyle name="Percent192" xfId="652" xr:uid="{00000000-0005-0000-0000-000091020000}"/>
    <cellStyle name="Percent193" xfId="653" xr:uid="{00000000-0005-0000-0000-000092020000}"/>
    <cellStyle name="Percent194" xfId="654" xr:uid="{00000000-0005-0000-0000-000093020000}"/>
    <cellStyle name="Percent195" xfId="655" xr:uid="{00000000-0005-0000-0000-000094020000}"/>
    <cellStyle name="Percent196" xfId="656" xr:uid="{00000000-0005-0000-0000-000095020000}"/>
    <cellStyle name="Percent197" xfId="657" xr:uid="{00000000-0005-0000-0000-000096020000}"/>
    <cellStyle name="Percent198" xfId="658" xr:uid="{00000000-0005-0000-0000-000097020000}"/>
    <cellStyle name="Percent199" xfId="659" xr:uid="{00000000-0005-0000-0000-000098020000}"/>
    <cellStyle name="Percent1Bold" xfId="660" xr:uid="{00000000-0005-0000-0000-000099020000}"/>
    <cellStyle name="Percent2" xfId="661" xr:uid="{00000000-0005-0000-0000-00009A020000}"/>
    <cellStyle name="Percent20" xfId="662" xr:uid="{00000000-0005-0000-0000-00009B020000}"/>
    <cellStyle name="Percent200" xfId="663" xr:uid="{00000000-0005-0000-0000-00009C020000}"/>
    <cellStyle name="Percent201" xfId="664" xr:uid="{00000000-0005-0000-0000-00009D020000}"/>
    <cellStyle name="Percent202" xfId="665" xr:uid="{00000000-0005-0000-0000-00009E020000}"/>
    <cellStyle name="Percent203" xfId="666" xr:uid="{00000000-0005-0000-0000-00009F020000}"/>
    <cellStyle name="Percent204" xfId="667" xr:uid="{00000000-0005-0000-0000-0000A0020000}"/>
    <cellStyle name="Percent205" xfId="668" xr:uid="{00000000-0005-0000-0000-0000A1020000}"/>
    <cellStyle name="Percent206" xfId="669" xr:uid="{00000000-0005-0000-0000-0000A2020000}"/>
    <cellStyle name="Percent207" xfId="670" xr:uid="{00000000-0005-0000-0000-0000A3020000}"/>
    <cellStyle name="Percent208" xfId="671" xr:uid="{00000000-0005-0000-0000-0000A4020000}"/>
    <cellStyle name="Percent209" xfId="672" xr:uid="{00000000-0005-0000-0000-0000A5020000}"/>
    <cellStyle name="Percent21" xfId="673" xr:uid="{00000000-0005-0000-0000-0000A6020000}"/>
    <cellStyle name="Percent210" xfId="674" xr:uid="{00000000-0005-0000-0000-0000A7020000}"/>
    <cellStyle name="Percent211" xfId="675" xr:uid="{00000000-0005-0000-0000-0000A8020000}"/>
    <cellStyle name="Percent212" xfId="676" xr:uid="{00000000-0005-0000-0000-0000A9020000}"/>
    <cellStyle name="Percent213" xfId="677" xr:uid="{00000000-0005-0000-0000-0000AA020000}"/>
    <cellStyle name="Percent214" xfId="678" xr:uid="{00000000-0005-0000-0000-0000AB020000}"/>
    <cellStyle name="Percent215" xfId="679" xr:uid="{00000000-0005-0000-0000-0000AC020000}"/>
    <cellStyle name="Percent216" xfId="680" xr:uid="{00000000-0005-0000-0000-0000AD020000}"/>
    <cellStyle name="Percent217" xfId="681" xr:uid="{00000000-0005-0000-0000-0000AE020000}"/>
    <cellStyle name="Percent218" xfId="682" xr:uid="{00000000-0005-0000-0000-0000AF020000}"/>
    <cellStyle name="Percent219" xfId="683" xr:uid="{00000000-0005-0000-0000-0000B0020000}"/>
    <cellStyle name="Percent22" xfId="684" xr:uid="{00000000-0005-0000-0000-0000B1020000}"/>
    <cellStyle name="Percent220" xfId="685" xr:uid="{00000000-0005-0000-0000-0000B2020000}"/>
    <cellStyle name="Percent221" xfId="686" xr:uid="{00000000-0005-0000-0000-0000B3020000}"/>
    <cellStyle name="Percent222" xfId="687" xr:uid="{00000000-0005-0000-0000-0000B4020000}"/>
    <cellStyle name="Percent223" xfId="688" xr:uid="{00000000-0005-0000-0000-0000B5020000}"/>
    <cellStyle name="Percent224" xfId="689" xr:uid="{00000000-0005-0000-0000-0000B6020000}"/>
    <cellStyle name="Percent225" xfId="690" xr:uid="{00000000-0005-0000-0000-0000B7020000}"/>
    <cellStyle name="Percent226" xfId="691" xr:uid="{00000000-0005-0000-0000-0000B8020000}"/>
    <cellStyle name="Percent227" xfId="692" xr:uid="{00000000-0005-0000-0000-0000B9020000}"/>
    <cellStyle name="Percent228" xfId="693" xr:uid="{00000000-0005-0000-0000-0000BA020000}"/>
    <cellStyle name="Percent229" xfId="694" xr:uid="{00000000-0005-0000-0000-0000BB020000}"/>
    <cellStyle name="Percent23" xfId="695" xr:uid="{00000000-0005-0000-0000-0000BC020000}"/>
    <cellStyle name="Percent230" xfId="696" xr:uid="{00000000-0005-0000-0000-0000BD020000}"/>
    <cellStyle name="Percent231" xfId="697" xr:uid="{00000000-0005-0000-0000-0000BE020000}"/>
    <cellStyle name="Percent232" xfId="698" xr:uid="{00000000-0005-0000-0000-0000BF020000}"/>
    <cellStyle name="Percent233" xfId="699" xr:uid="{00000000-0005-0000-0000-0000C0020000}"/>
    <cellStyle name="Percent234" xfId="700" xr:uid="{00000000-0005-0000-0000-0000C1020000}"/>
    <cellStyle name="Percent235" xfId="701" xr:uid="{00000000-0005-0000-0000-0000C2020000}"/>
    <cellStyle name="Percent236" xfId="702" xr:uid="{00000000-0005-0000-0000-0000C3020000}"/>
    <cellStyle name="Percent24" xfId="703" xr:uid="{00000000-0005-0000-0000-0000C4020000}"/>
    <cellStyle name="Percent25" xfId="704" xr:uid="{00000000-0005-0000-0000-0000C5020000}"/>
    <cellStyle name="Percent26" xfId="705" xr:uid="{00000000-0005-0000-0000-0000C6020000}"/>
    <cellStyle name="Percent27" xfId="706" xr:uid="{00000000-0005-0000-0000-0000C7020000}"/>
    <cellStyle name="Percent28" xfId="707" xr:uid="{00000000-0005-0000-0000-0000C8020000}"/>
    <cellStyle name="Percent29" xfId="708" xr:uid="{00000000-0005-0000-0000-0000C9020000}"/>
    <cellStyle name="Percent3" xfId="709" xr:uid="{00000000-0005-0000-0000-0000CA020000}"/>
    <cellStyle name="Percent30" xfId="710" xr:uid="{00000000-0005-0000-0000-0000CB020000}"/>
    <cellStyle name="Percent31" xfId="711" xr:uid="{00000000-0005-0000-0000-0000CC020000}"/>
    <cellStyle name="Percent32" xfId="712" xr:uid="{00000000-0005-0000-0000-0000CD020000}"/>
    <cellStyle name="Percent33" xfId="713" xr:uid="{00000000-0005-0000-0000-0000CE020000}"/>
    <cellStyle name="Percent34" xfId="714" xr:uid="{00000000-0005-0000-0000-0000CF020000}"/>
    <cellStyle name="Percent35" xfId="715" xr:uid="{00000000-0005-0000-0000-0000D0020000}"/>
    <cellStyle name="Percent36" xfId="716" xr:uid="{00000000-0005-0000-0000-0000D1020000}"/>
    <cellStyle name="Percent37" xfId="717" xr:uid="{00000000-0005-0000-0000-0000D2020000}"/>
    <cellStyle name="Percent38" xfId="718" xr:uid="{00000000-0005-0000-0000-0000D3020000}"/>
    <cellStyle name="Percent39" xfId="719" xr:uid="{00000000-0005-0000-0000-0000D4020000}"/>
    <cellStyle name="Percent4" xfId="720" xr:uid="{00000000-0005-0000-0000-0000D5020000}"/>
    <cellStyle name="Percent40" xfId="721" xr:uid="{00000000-0005-0000-0000-0000D6020000}"/>
    <cellStyle name="Percent41" xfId="722" xr:uid="{00000000-0005-0000-0000-0000D7020000}"/>
    <cellStyle name="Percent42" xfId="723" xr:uid="{00000000-0005-0000-0000-0000D8020000}"/>
    <cellStyle name="Percent43" xfId="724" xr:uid="{00000000-0005-0000-0000-0000D9020000}"/>
    <cellStyle name="Percent44" xfId="725" xr:uid="{00000000-0005-0000-0000-0000DA020000}"/>
    <cellStyle name="Percent45" xfId="726" xr:uid="{00000000-0005-0000-0000-0000DB020000}"/>
    <cellStyle name="Percent46" xfId="727" xr:uid="{00000000-0005-0000-0000-0000DC020000}"/>
    <cellStyle name="Percent47" xfId="728" xr:uid="{00000000-0005-0000-0000-0000DD020000}"/>
    <cellStyle name="Percent48" xfId="729" xr:uid="{00000000-0005-0000-0000-0000DE020000}"/>
    <cellStyle name="Percent49" xfId="730" xr:uid="{00000000-0005-0000-0000-0000DF020000}"/>
    <cellStyle name="Percent5" xfId="731" xr:uid="{00000000-0005-0000-0000-0000E0020000}"/>
    <cellStyle name="Percent50" xfId="732" xr:uid="{00000000-0005-0000-0000-0000E1020000}"/>
    <cellStyle name="Percent51" xfId="733" xr:uid="{00000000-0005-0000-0000-0000E2020000}"/>
    <cellStyle name="Percent52" xfId="734" xr:uid="{00000000-0005-0000-0000-0000E3020000}"/>
    <cellStyle name="Percent53" xfId="735" xr:uid="{00000000-0005-0000-0000-0000E4020000}"/>
    <cellStyle name="Percent54" xfId="736" xr:uid="{00000000-0005-0000-0000-0000E5020000}"/>
    <cellStyle name="Percent55" xfId="737" xr:uid="{00000000-0005-0000-0000-0000E6020000}"/>
    <cellStyle name="Percent56" xfId="738" xr:uid="{00000000-0005-0000-0000-0000E7020000}"/>
    <cellStyle name="Percent57" xfId="739" xr:uid="{00000000-0005-0000-0000-0000E8020000}"/>
    <cellStyle name="Percent58" xfId="740" xr:uid="{00000000-0005-0000-0000-0000E9020000}"/>
    <cellStyle name="Percent59" xfId="741" xr:uid="{00000000-0005-0000-0000-0000EA020000}"/>
    <cellStyle name="Percent6" xfId="742" xr:uid="{00000000-0005-0000-0000-0000EB020000}"/>
    <cellStyle name="Percent60" xfId="743" xr:uid="{00000000-0005-0000-0000-0000EC020000}"/>
    <cellStyle name="Percent61" xfId="744" xr:uid="{00000000-0005-0000-0000-0000ED020000}"/>
    <cellStyle name="Percent62" xfId="745" xr:uid="{00000000-0005-0000-0000-0000EE020000}"/>
    <cellStyle name="Percent63" xfId="746" xr:uid="{00000000-0005-0000-0000-0000EF020000}"/>
    <cellStyle name="Percent64" xfId="747" xr:uid="{00000000-0005-0000-0000-0000F0020000}"/>
    <cellStyle name="Percent65" xfId="748" xr:uid="{00000000-0005-0000-0000-0000F1020000}"/>
    <cellStyle name="Percent66" xfId="749" xr:uid="{00000000-0005-0000-0000-0000F2020000}"/>
    <cellStyle name="Percent67" xfId="750" xr:uid="{00000000-0005-0000-0000-0000F3020000}"/>
    <cellStyle name="Percent68" xfId="751" xr:uid="{00000000-0005-0000-0000-0000F4020000}"/>
    <cellStyle name="Percent69" xfId="752" xr:uid="{00000000-0005-0000-0000-0000F5020000}"/>
    <cellStyle name="Percent7" xfId="753" xr:uid="{00000000-0005-0000-0000-0000F6020000}"/>
    <cellStyle name="Percent70" xfId="754" xr:uid="{00000000-0005-0000-0000-0000F7020000}"/>
    <cellStyle name="Percent71" xfId="755" xr:uid="{00000000-0005-0000-0000-0000F8020000}"/>
    <cellStyle name="Percent72" xfId="756" xr:uid="{00000000-0005-0000-0000-0000F9020000}"/>
    <cellStyle name="Percent73" xfId="757" xr:uid="{00000000-0005-0000-0000-0000FA020000}"/>
    <cellStyle name="Percent74" xfId="758" xr:uid="{00000000-0005-0000-0000-0000FB020000}"/>
    <cellStyle name="Percent75" xfId="759" xr:uid="{00000000-0005-0000-0000-0000FC020000}"/>
    <cellStyle name="Percent76" xfId="760" xr:uid="{00000000-0005-0000-0000-0000FD020000}"/>
    <cellStyle name="Percent77" xfId="761" xr:uid="{00000000-0005-0000-0000-0000FE020000}"/>
    <cellStyle name="Percent78" xfId="762" xr:uid="{00000000-0005-0000-0000-0000FF020000}"/>
    <cellStyle name="Percent79" xfId="763" xr:uid="{00000000-0005-0000-0000-000000030000}"/>
    <cellStyle name="Percent8" xfId="764" xr:uid="{00000000-0005-0000-0000-000001030000}"/>
    <cellStyle name="Percent80" xfId="765" xr:uid="{00000000-0005-0000-0000-000002030000}"/>
    <cellStyle name="Percent81" xfId="766" xr:uid="{00000000-0005-0000-0000-000003030000}"/>
    <cellStyle name="Percent82" xfId="767" xr:uid="{00000000-0005-0000-0000-000004030000}"/>
    <cellStyle name="Percent83" xfId="768" xr:uid="{00000000-0005-0000-0000-000005030000}"/>
    <cellStyle name="Percent84" xfId="769" xr:uid="{00000000-0005-0000-0000-000006030000}"/>
    <cellStyle name="Percent85" xfId="770" xr:uid="{00000000-0005-0000-0000-000007030000}"/>
    <cellStyle name="Percent86" xfId="771" xr:uid="{00000000-0005-0000-0000-000008030000}"/>
    <cellStyle name="Percent87" xfId="772" xr:uid="{00000000-0005-0000-0000-000009030000}"/>
    <cellStyle name="Percent88" xfId="773" xr:uid="{00000000-0005-0000-0000-00000A030000}"/>
    <cellStyle name="Percent89" xfId="774" xr:uid="{00000000-0005-0000-0000-00000B030000}"/>
    <cellStyle name="Percent9" xfId="775" xr:uid="{00000000-0005-0000-0000-00000C030000}"/>
    <cellStyle name="Percent90" xfId="776" xr:uid="{00000000-0005-0000-0000-00000D030000}"/>
    <cellStyle name="Percent91" xfId="777" xr:uid="{00000000-0005-0000-0000-00000E030000}"/>
    <cellStyle name="Percent92" xfId="778" xr:uid="{00000000-0005-0000-0000-00000F030000}"/>
    <cellStyle name="Percent93" xfId="779" xr:uid="{00000000-0005-0000-0000-000010030000}"/>
    <cellStyle name="Percent94" xfId="780" xr:uid="{00000000-0005-0000-0000-000011030000}"/>
    <cellStyle name="Percent95" xfId="781" xr:uid="{00000000-0005-0000-0000-000012030000}"/>
    <cellStyle name="Percent96" xfId="782" xr:uid="{00000000-0005-0000-0000-000013030000}"/>
    <cellStyle name="Percent97" xfId="783" xr:uid="{00000000-0005-0000-0000-000014030000}"/>
    <cellStyle name="Percent98" xfId="784" xr:uid="{00000000-0005-0000-0000-000015030000}"/>
    <cellStyle name="Percent99" xfId="785" xr:uid="{00000000-0005-0000-0000-000016030000}"/>
    <cellStyle name="Percentage" xfId="786" xr:uid="{00000000-0005-0000-0000-000017030000}"/>
    <cellStyle name="PercentStyle" xfId="787" xr:uid="{00000000-0005-0000-0000-000018030000}"/>
    <cellStyle name="PrePop Currency (0)" xfId="788" xr:uid="{00000000-0005-0000-0000-000019030000}"/>
    <cellStyle name="PrePop Currency (2)" xfId="789" xr:uid="{00000000-0005-0000-0000-00001A030000}"/>
    <cellStyle name="PrePop Units (0)" xfId="790" xr:uid="{00000000-0005-0000-0000-00001B030000}"/>
    <cellStyle name="PrePop Units (1)" xfId="791" xr:uid="{00000000-0005-0000-0000-00001C030000}"/>
    <cellStyle name="PrePop Units (2)" xfId="792" xr:uid="{00000000-0005-0000-0000-00001D030000}"/>
    <cellStyle name="Price" xfId="793" xr:uid="{00000000-0005-0000-0000-00001E030000}"/>
    <cellStyle name="Product Header" xfId="794" xr:uid="{00000000-0005-0000-0000-00001F030000}"/>
    <cellStyle name="PSChar" xfId="795" xr:uid="{00000000-0005-0000-0000-000020030000}"/>
    <cellStyle name="PSDate" xfId="796" xr:uid="{00000000-0005-0000-0000-000021030000}"/>
    <cellStyle name="PSDec" xfId="797" xr:uid="{00000000-0005-0000-0000-000022030000}"/>
    <cellStyle name="PSHeading" xfId="798" xr:uid="{00000000-0005-0000-0000-000023030000}"/>
    <cellStyle name="PSInt" xfId="799" xr:uid="{00000000-0005-0000-0000-000024030000}"/>
    <cellStyle name="PSSpacer" xfId="800" xr:uid="{00000000-0005-0000-0000-000025030000}"/>
    <cellStyle name="r" xfId="801" xr:uid="{00000000-0005-0000-0000-000026030000}"/>
    <cellStyle name="r_F&amp;W Servicing Model" xfId="802" xr:uid="{00000000-0005-0000-0000-000027030000}"/>
    <cellStyle name="r_F&amp;W Servicing Model v2" xfId="803" xr:uid="{00000000-0005-0000-0000-000028030000}"/>
    <cellStyle name="r_Yell Servicing Model" xfId="804" xr:uid="{00000000-0005-0000-0000-000029030000}"/>
    <cellStyle name="rate" xfId="805" xr:uid="{00000000-0005-0000-0000-00002A030000}"/>
    <cellStyle name="Ratio" xfId="806" xr:uid="{00000000-0005-0000-0000-00002B030000}"/>
    <cellStyle name="Ratio Comma" xfId="807" xr:uid="{00000000-0005-0000-0000-00002C030000}"/>
    <cellStyle name="Ratio_Private" xfId="808" xr:uid="{00000000-0005-0000-0000-00002D030000}"/>
    <cellStyle name="regstoresfromspecstores" xfId="809" xr:uid="{00000000-0005-0000-0000-00002E030000}"/>
    <cellStyle name="RevList" xfId="810" xr:uid="{00000000-0005-0000-0000-00002F030000}"/>
    <cellStyle name="Right" xfId="811" xr:uid="{00000000-0005-0000-0000-000030030000}"/>
    <cellStyle name="RightBold" xfId="812" xr:uid="{00000000-0005-0000-0000-000031030000}"/>
    <cellStyle name="RightBoldBottomRule" xfId="813" xr:uid="{00000000-0005-0000-0000-000032030000}"/>
    <cellStyle name="RightBoldCenterRule" xfId="814" xr:uid="{00000000-0005-0000-0000-000033030000}"/>
    <cellStyle name="Section" xfId="815" xr:uid="{00000000-0005-0000-0000-000034030000}"/>
    <cellStyle name="SectionHeaderNormal" xfId="816" xr:uid="{00000000-0005-0000-0000-000035030000}"/>
    <cellStyle name="SHADEDSTORES" xfId="817" xr:uid="{00000000-0005-0000-0000-000036030000}"/>
    <cellStyle name="Short $" xfId="818" xr:uid="{00000000-0005-0000-0000-000037030000}"/>
    <cellStyle name="ShOut" xfId="819" xr:uid="{00000000-0005-0000-0000-000038030000}"/>
    <cellStyle name="Simple" xfId="820" xr:uid="{00000000-0005-0000-0000-000039030000}"/>
    <cellStyle name="SimpleBold" xfId="821" xr:uid="{00000000-0005-0000-0000-00003A030000}"/>
    <cellStyle name="Single Accounting" xfId="822" xr:uid="{00000000-0005-0000-0000-00003B030000}"/>
    <cellStyle name="specstores" xfId="823" xr:uid="{00000000-0005-0000-0000-00003C030000}"/>
    <cellStyle name="Stock Comma" xfId="824" xr:uid="{00000000-0005-0000-0000-00003D030000}"/>
    <cellStyle name="Stock Price" xfId="825" xr:uid="{00000000-0005-0000-0000-00003E030000}"/>
    <cellStyle name="Style 1" xfId="826" xr:uid="{00000000-0005-0000-0000-00003F030000}"/>
    <cellStyle name="Style 21" xfId="827" xr:uid="{00000000-0005-0000-0000-000040030000}"/>
    <cellStyle name="Style 22" xfId="828" xr:uid="{00000000-0005-0000-0000-000041030000}"/>
    <cellStyle name="Style 23" xfId="829" xr:uid="{00000000-0005-0000-0000-000042030000}"/>
    <cellStyle name="Style 24" xfId="830" xr:uid="{00000000-0005-0000-0000-000043030000}"/>
    <cellStyle name="Style 25" xfId="831" xr:uid="{00000000-0005-0000-0000-000044030000}"/>
    <cellStyle name="Style 26" xfId="832" xr:uid="{00000000-0005-0000-0000-000045030000}"/>
    <cellStyle name="Style 27" xfId="833" xr:uid="{00000000-0005-0000-0000-000046030000}"/>
    <cellStyle name="Style 28" xfId="834" xr:uid="{00000000-0005-0000-0000-000047030000}"/>
    <cellStyle name="Style 29" xfId="835" xr:uid="{00000000-0005-0000-0000-000048030000}"/>
    <cellStyle name="Style 30" xfId="836" xr:uid="{00000000-0005-0000-0000-000049030000}"/>
    <cellStyle name="Style 31" xfId="837" xr:uid="{00000000-0005-0000-0000-00004A030000}"/>
    <cellStyle name="Style 32" xfId="838" xr:uid="{00000000-0005-0000-0000-00004B030000}"/>
    <cellStyle name="Style 33" xfId="839" xr:uid="{00000000-0005-0000-0000-00004C030000}"/>
    <cellStyle name="Style 34" xfId="840" xr:uid="{00000000-0005-0000-0000-00004D030000}"/>
    <cellStyle name="Style 35" xfId="841" xr:uid="{00000000-0005-0000-0000-00004E030000}"/>
    <cellStyle name="Style 36" xfId="842" xr:uid="{00000000-0005-0000-0000-00004F030000}"/>
    <cellStyle name="Style 37" xfId="843" xr:uid="{00000000-0005-0000-0000-000050030000}"/>
    <cellStyle name="Style 38" xfId="844" xr:uid="{00000000-0005-0000-0000-000051030000}"/>
    <cellStyle name="Style 39" xfId="845" xr:uid="{00000000-0005-0000-0000-000052030000}"/>
    <cellStyle name="Style 40" xfId="846" xr:uid="{00000000-0005-0000-0000-000053030000}"/>
    <cellStyle name="Style 41" xfId="847" xr:uid="{00000000-0005-0000-0000-000054030000}"/>
    <cellStyle name="Style 42" xfId="848" xr:uid="{00000000-0005-0000-0000-000055030000}"/>
    <cellStyle name="Style 43" xfId="849" xr:uid="{00000000-0005-0000-0000-000056030000}"/>
    <cellStyle name="Style 44" xfId="850" xr:uid="{00000000-0005-0000-0000-000057030000}"/>
    <cellStyle name="Style 45" xfId="851" xr:uid="{00000000-0005-0000-0000-000058030000}"/>
    <cellStyle name="Style 46" xfId="852" xr:uid="{00000000-0005-0000-0000-000059030000}"/>
    <cellStyle name="Style 47" xfId="853" xr:uid="{00000000-0005-0000-0000-00005A030000}"/>
    <cellStyle name="Style 48" xfId="854" xr:uid="{00000000-0005-0000-0000-00005B030000}"/>
    <cellStyle name="STYLE1" xfId="855" xr:uid="{00000000-0005-0000-0000-00005C030000}"/>
    <cellStyle name="SubScript" xfId="856" xr:uid="{00000000-0005-0000-0000-00005D030000}"/>
    <cellStyle name="Subtotal" xfId="857" xr:uid="{00000000-0005-0000-0000-00005E030000}"/>
    <cellStyle name="Sum" xfId="858" xr:uid="{00000000-0005-0000-0000-00005F030000}"/>
    <cellStyle name="SuperScript" xfId="859" xr:uid="{00000000-0005-0000-0000-000060030000}"/>
    <cellStyle name="Table_Title" xfId="860" xr:uid="{00000000-0005-0000-0000-000061030000}"/>
    <cellStyle name="Test" xfId="861" xr:uid="{00000000-0005-0000-0000-000062030000}"/>
    <cellStyle name="Text Indent A" xfId="862" xr:uid="{00000000-0005-0000-0000-000063030000}"/>
    <cellStyle name="Text Indent B" xfId="863" xr:uid="{00000000-0005-0000-0000-000064030000}"/>
    <cellStyle name="Text Indent C" xfId="864" xr:uid="{00000000-0005-0000-0000-000065030000}"/>
    <cellStyle name="TextBold" xfId="865" xr:uid="{00000000-0005-0000-0000-000066030000}"/>
    <cellStyle name="TextItalic" xfId="866" xr:uid="{00000000-0005-0000-0000-000067030000}"/>
    <cellStyle name="TextNormal" xfId="867" xr:uid="{00000000-0005-0000-0000-000068030000}"/>
    <cellStyle name="Time" xfId="868" xr:uid="{00000000-0005-0000-0000-000069030000}"/>
    <cellStyle name="Times 10" xfId="869" xr:uid="{00000000-0005-0000-0000-00006A030000}"/>
    <cellStyle name="Times 12" xfId="870" xr:uid="{00000000-0005-0000-0000-00006B030000}"/>
    <cellStyle name="Title - PROJECT" xfId="871" xr:uid="{00000000-0005-0000-0000-00006C030000}"/>
    <cellStyle name="Title - Underline" xfId="872" xr:uid="{00000000-0005-0000-0000-00006D030000}"/>
    <cellStyle name="Title1" xfId="873" xr:uid="{00000000-0005-0000-0000-00006E030000}"/>
    <cellStyle name="Title2" xfId="874" xr:uid="{00000000-0005-0000-0000-00006F030000}"/>
    <cellStyle name="TitleNormal" xfId="875" xr:uid="{00000000-0005-0000-0000-000070030000}"/>
    <cellStyle name="Titles - Col. Headings" xfId="876" xr:uid="{00000000-0005-0000-0000-000071030000}"/>
    <cellStyle name="Titles - Other" xfId="877" xr:uid="{00000000-0005-0000-0000-000072030000}"/>
    <cellStyle name="Top Edge" xfId="878" xr:uid="{00000000-0005-0000-0000-000073030000}"/>
    <cellStyle name="Total" xfId="879" builtinId="25" customBuiltin="1"/>
    <cellStyle name="ubordinated Debt" xfId="880" xr:uid="{00000000-0005-0000-0000-000075030000}"/>
    <cellStyle name="wheat merger's and acquisitions" xfId="881" xr:uid="{00000000-0005-0000-0000-000076030000}"/>
    <cellStyle name="x" xfId="882" xr:uid="{00000000-0005-0000-0000-000077030000}"/>
    <cellStyle name="x_TSA Model - 1 8 06 - v2" xfId="883" xr:uid="{00000000-0005-0000-0000-000078030000}"/>
    <cellStyle name="Y2K Compliant Date Fmt" xfId="884" xr:uid="{00000000-0005-0000-0000-000079030000}"/>
    <cellStyle name="Years" xfId="885" xr:uid="{00000000-0005-0000-0000-00007A030000}"/>
    <cellStyle name="yellow" xfId="886" xr:uid="{00000000-0005-0000-0000-00007B030000}"/>
    <cellStyle name="Yen" xfId="887" xr:uid="{00000000-0005-0000-0000-00007C030000}"/>
    <cellStyle name="YYYY" xfId="888" xr:uid="{00000000-0005-0000-0000-00007D030000}"/>
    <cellStyle name="桁区切り [0.00]_Appendix" xfId="889" xr:uid="{00000000-0005-0000-0000-00007E030000}"/>
    <cellStyle name="桁区切り_Appendix" xfId="890" xr:uid="{00000000-0005-0000-0000-00007F030000}"/>
    <cellStyle name="標準_Appendix" xfId="891" xr:uid="{00000000-0005-0000-0000-000080030000}"/>
    <cellStyle name="通貨 [0.00]_Appendix" xfId="892" xr:uid="{00000000-0005-0000-0000-000081030000}"/>
    <cellStyle name="通貨_Appendix" xfId="893" xr:uid="{00000000-0005-0000-0000-00008203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EAEAEA"/>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calcChain" Target="calcChain.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customXml" Target="../customXml/item3.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theme" Target="theme/theme1.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8" Type="http://schemas.openxmlformats.org/officeDocument/2006/relationships/externalLink" Target="externalLinks/externalLink4.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858</xdr:colOff>
      <xdr:row>5</xdr:row>
      <xdr:rowOff>33130</xdr:rowOff>
    </xdr:from>
    <xdr:to>
      <xdr:col>11</xdr:col>
      <xdr:colOff>297942</xdr:colOff>
      <xdr:row>26</xdr:row>
      <xdr:rowOff>115274</xdr:rowOff>
    </xdr:to>
    <xdr:pic>
      <xdr:nvPicPr>
        <xdr:cNvPr id="2" name="Picture 1">
          <a:extLst>
            <a:ext uri="{FF2B5EF4-FFF2-40B4-BE49-F238E27FC236}">
              <a16:creationId xmlns:a16="http://schemas.microsoft.com/office/drawing/2014/main" id="{734835B0-1E91-5B6F-F830-D8694B8AA6C3}"/>
            </a:ext>
          </a:extLst>
        </xdr:cNvPr>
        <xdr:cNvPicPr>
          <a:picLocks noChangeAspect="1"/>
        </xdr:cNvPicPr>
      </xdr:nvPicPr>
      <xdr:blipFill>
        <a:blip xmlns:r="http://schemas.openxmlformats.org/officeDocument/2006/relationships" r:embed="rId1"/>
        <a:stretch>
          <a:fillRect/>
        </a:stretch>
      </xdr:blipFill>
      <xdr:spPr>
        <a:xfrm>
          <a:off x="7041075" y="993913"/>
          <a:ext cx="5978954" cy="4082644"/>
        </a:xfrm>
        <a:prstGeom prst="rect">
          <a:avLst/>
        </a:prstGeom>
        <a:ln>
          <a:solidFill>
            <a:schemeClr val="accent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Office\Media\COMPS%20-%20B2B%20Publisher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_sfnt01\GBlank$\My%20Documents\TPG\LBO\Bally\BFT%20Forecast%20Mod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p_sfnt01\GBlank$\Documents%20and%20Settings\GBlank\Local%20Settings\Temporary%20Internet%20Files\OLK39\TSA%20Model%20-%201%208%2006%20-%20v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ETG%20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Bank%20Loan%20Team\APPROVAL%20MEMOS\Endurance%20Media\BLT%20Work\EBM%20Quarterly%20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Bank%20Loan%20Team\ELK%20TEAM\Models\Presentation\Draft%20Presentation%20Files\Presentation%20Info%2022%20(Adam%20Silv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Bank%20Loan%20Team\ELK%20TEAM\Models\Presentation\Draft%20Presentation%20Files\PresentationChartDat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WCMP%20II\PORTFOLIO%20COMPANIES\Jobson%20Medical%20Information\Bank%20Correspondence\JMI%20Model%20(Wx%20Model%20-%20BMO%20Adjusted%205-1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WCMP%20II\INACTIVE%20DEALS\Facts%20on%20File\Transaction%20Models\FOF%20Model%20v3%20(Asset%20Purchase).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Documents%20and%20Settings/nbk7h1e/Local%20Settings/Temporary%20Internet%20Files/OLK61/Bank%20Austria/Returns@@@2.xls" TargetMode="External"/><Relationship Id="rId1" Type="http://schemas.openxmlformats.org/officeDocument/2006/relationships/externalLinkPath" Target="/Documents%20and%20Settings/nbk7h1e/Local%20Settings/Temporary%20Internet%20Files/OLK61/Bank%20Austria/Returns@@@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Deals%20-%20In%20Process\TruCom\BridgeCom%20Budget%202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y-fil01\data\Wicks\Wicks%20Model\JMI%20Model%20(Wx%20Model%20-%20BMO%20Adjusted%205-1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Deals%20-%20In%20Process\Crescent%20Publishing%20Company,%20LLC\R0%20-%20Aug%202,%202001\CrescentPublishing%20Model%208-01%20R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Credit%20Derivatives%20Group\Emerging\CBO\MFS\Jersey%20Street%20CLO\Warehouse\Warehouse%20Report\versions\August\Jersey%20Street%20CLO%208.7.06%20Committ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mail.wicksgroup.com/PORTFOLIO%20COMPANIES/Bressler%20Outdoor/Financial%20Models/SubDebt%20Model%20-%20IRR%20-$30MM%20Equity.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ominous.studioholdings.net\temp\unzipped\7xbb01_\7b7k01_.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ominous.studioholdings.net\temp\TEMP\Consolidated%2012-4-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tc-neptune\accounting\Invoices\Invoice%2099\z.December%201999\DEC99Invoice%20Summary.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Rosetta%20Stone%20Model%20(91"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Documents%20and%20Settings\smarimow\My%20Documents\Companies\Univision\Model\Bank%20Model%20-%20Financing\Company%20Materials\Company%20Materials\Bank%20Model_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Bank%20Loan%20Team%20Research\_RAs\Takacs_G\PORTFOLIO%20-%20Takac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Spring%202002\Modeling\Problem%204%20workshee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Documents%20and%20Settings\smarimow\My%20Documents\Companies\Univision\Model\Bank%20Model%20-%20Financing\Bank%20Model_2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MNT14\USERS$\mm93223\My%20Documents\Templates\Servicing%20Template%20-%20MA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Documents%20and%20Settings\EMcKee\Local%20Settings\Temporary%20Internet%20Files\OLK12\65%20UVN%207-Year%20Mode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windows\TEMP\financial%20forecast%207.27.9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Beckett\Deals%20in%20process\UniFocus%20R6\Unifocus%20Model%204-02%20R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I:\Documents%20and%20Settings\CRothbard\Local%20Settings\Temporary%20Internet%20Files\OLK146\JMI_WMI%20Financing%20Model%20(02-09-06)_vTD4%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Documents%20and%20Settings\jorr\Local%20Settings\Temporary%20Internet%20Files\OLK27\MC-DW-JOB%20Merger%20Model%20for%20Syndicate%20-%203.31.05%20rjf%205.03.0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WCMP%20II\PORTFOLIO%20COMPANIES\Jobson%20Medical%20Information\Corporate%20Development\JMI_WMI%20Combination\2005.11\Oct%202005\MEDCON%20Projection%20Model%20September%202005%20(09-13-05)%20v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ominous.studioholdings.net\temp\M&amp;A_Deal\New%20Models\dcf.sho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 Page"/>
      <sheetName val="Deal Multiples"/>
      <sheetName val="Asset Coverage"/>
      <sheetName val="Status"/>
      <sheetName val="Output"/>
      <sheetName val="Graphs"/>
      <sheetName val="Inputs"/>
      <sheetName val="WARF"/>
      <sheetName val="Comps"/>
      <sheetName val="Magazines"/>
      <sheetName val="2"/>
      <sheetName val="4"/>
      <sheetName val="5"/>
      <sheetName val="6"/>
      <sheetName val="7"/>
      <sheetName val="8"/>
      <sheetName val="10"/>
      <sheetName val="11"/>
      <sheetName val="12"/>
      <sheetName val="14"/>
      <sheetName val="16"/>
      <sheetName val="1"/>
      <sheetName val="3"/>
      <sheetName val="9"/>
      <sheetName val="13"/>
      <sheetName val="15"/>
      <sheetName val="ARP"/>
      <sheetName val="CNG"/>
      <sheetName val="F&amp;W"/>
      <sheetName val="HNW"/>
      <sheetName val="IMO"/>
      <sheetName val="JMI"/>
      <sheetName val="MMH"/>
      <sheetName val="PRM"/>
      <sheetName val="RDA"/>
      <sheetName val="SRCE"/>
      <sheetName val="SPRG"/>
      <sheetName val="WNM"/>
      <sheetName val="RVDP"/>
      <sheetName val="SMTB"/>
      <sheetName val="TMN"/>
      <sheetName val="Portfolio"/>
      <sheetName val="LBO Summary"/>
      <sheetName val="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ttrition"/>
      <sheetName val="Sheet1"/>
      <sheetName val="IncStmt"/>
      <sheetName val="CashFlow"/>
      <sheetName val="BalSht"/>
      <sheetName val="Allowance"/>
      <sheetName val="CashEBITDA"/>
      <sheetName val="FxdChg"/>
      <sheetName val="Ratio"/>
      <sheetName val="Module1"/>
      <sheetName val="LBO Summary"/>
      <sheetName val="Chart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Returns Summary"/>
      <sheetName val="Case Logic"/>
      <sheetName val="Option Summary"/>
      <sheetName val="TRANSACTION"/>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nning Assumptions"/>
      <sheetName val="Tanning P&amp;L"/>
      <sheetName val="Tanning Balance Sheets"/>
      <sheetName val="Tanning Cash Flows"/>
      <sheetName val="Meta P&amp;L"/>
      <sheetName val="Meta Balance Sheet"/>
      <sheetName val="Meta Cash Flow"/>
      <sheetName val="Combined Balance Sheet"/>
      <sheetName val="Combined P&amp;L"/>
      <sheetName val="Combined Cash Flow"/>
      <sheetName val="Shares"/>
      <sheetName val="EssRet"/>
      <sheetName val="Meta Segments"/>
      <sheetName val="Capex"/>
      <sheetName val="Sheet5"/>
      <sheetName val="D"/>
      <sheetName val="TRANSA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Qual. Analysis"/>
      <sheetName val="Inputs"/>
      <sheetName val="Base"/>
      <sheetName val="EV_DCF Analysis"/>
      <sheetName val="VeCTOR Import"/>
      <sheetName val="Annual Summary"/>
    </sheetNames>
    <sheetDataSet>
      <sheetData sheetId="0" refreshError="1"/>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ions"/>
      <sheetName val="Calcs"/>
      <sheetName val="Account"/>
      <sheetName val="OCTrends"/>
      <sheetName val="ICTrends"/>
      <sheetName val="DivTrends"/>
      <sheetName val="WARFTrends"/>
      <sheetName val="WARFFitchTrends"/>
      <sheetName val="WASTrends"/>
      <sheetName val="WACTrends"/>
      <sheetName val="WALTrends"/>
      <sheetName val="Debt Structure"/>
      <sheetName val="Fund Schedule"/>
      <sheetName val="Principal"/>
      <sheetName val="Ineligible"/>
      <sheetName val="S&amp;P Industry"/>
      <sheetName val="Trade Activity Summary"/>
      <sheetName val="Sale Activity Bond"/>
      <sheetName val="Sale Activity"/>
      <sheetName val="Buy Activity Bond"/>
      <sheetName val="Buy Activity"/>
      <sheetName val="Default"/>
      <sheetName val="CCC"/>
      <sheetName val="CCCBond"/>
      <sheetName val="Presentation Info 22 (Adam Silv"/>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M YTD 2000"/>
      <sheetName val="AUM_Chart"/>
      <sheetName val="Cap Structure"/>
      <sheetName val="TOP10"/>
      <sheetName val="DefaultHistory"/>
      <sheetName val="DefaultedSecuritySummary"/>
      <sheetName val="DefaultedSecuritySummary2"/>
      <sheetName val="DefaultedSecurityData"/>
      <sheetName val="Actual vs Covenant"/>
      <sheetName val="APEX"/>
      <sheetName val="APEX_MR"/>
      <sheetName val="APEX_SR"/>
      <sheetName val="APEX_MI"/>
      <sheetName val="APEX_SI"/>
      <sheetName val="ELC1"/>
      <sheetName val="ELC1_SR"/>
      <sheetName val="ELC1_MR"/>
      <sheetName val="ELC1_FR"/>
      <sheetName val="ELC1_SI"/>
      <sheetName val="ELC1_MI"/>
      <sheetName val="ELC2"/>
      <sheetName val="ELC2_SR"/>
      <sheetName val="ELC2_FR"/>
      <sheetName val="ELC2_SI"/>
      <sheetName val="ELC2_MI"/>
      <sheetName val="ELC3"/>
      <sheetName val="ELC3_MR"/>
      <sheetName val="ELC3_SR"/>
      <sheetName val="ELC3_FR"/>
      <sheetName val="ELC3_MI"/>
      <sheetName val="ELC3_SI"/>
      <sheetName val="ELC4"/>
      <sheetName val="ELC4_MR"/>
      <sheetName val="ELC4_SR"/>
      <sheetName val="ELC4_MI"/>
      <sheetName val="ELC4_SI"/>
      <sheetName val="ELC5"/>
      <sheetName val="ELC5_MR"/>
      <sheetName val="ELC5_SR"/>
      <sheetName val="ELC5_MI"/>
      <sheetName val="ELC5_SI"/>
      <sheetName val="TRYN"/>
      <sheetName val="TRYN_MR"/>
      <sheetName val="TRYN_SR"/>
      <sheetName val="TRYN_SI"/>
      <sheetName val="TRYN_MI"/>
      <sheetName val="SaleData"/>
      <sheetName val="SH_Results"/>
      <sheetName val="SH_APEX"/>
      <sheetName val="SH_ELC1"/>
      <sheetName val="SH_ELC2"/>
      <sheetName val="SH_ELC3"/>
      <sheetName val="SH_ELC4"/>
      <sheetName val="SH_ELC5"/>
      <sheetName val="SH_TRY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DISPLAY"/>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
      <sheetName val="BS"/>
      <sheetName val="IS"/>
      <sheetName val="CFS"/>
      <sheetName val="REV"/>
      <sheetName val="RATIO"/>
      <sheetName val="RETURN"/>
      <sheetName val="CONTROL"/>
      <sheetName val="D&amp;A"/>
    </sheetNames>
    <sheetDataSet>
      <sheetData sheetId="0" refreshError="1"/>
      <sheetData sheetId="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shflows"/>
      <sheetName val="OC-IC"/>
      <sheetName val="Sources and Uses"/>
      <sheetName val="After Tax"/>
      <sheetName val="Tax Report"/>
      <sheetName val="Price Yield"/>
      <sheetName val="LIBOR"/>
      <sheetName val="Revolver"/>
      <sheetName val="PV Calc"/>
      <sheetName val="Module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RIVER"/>
      <sheetName val="Sheet1"/>
      <sheetName val="Bcom IS-Mnthly"/>
      <sheetName val="Conversion Balance Sheet"/>
      <sheetName val="Bcom BS-Mnthly"/>
      <sheetName val="Bcom FAS95-Mnthly"/>
      <sheetName val="Bcom Rollup-Income"/>
      <sheetName val="Bcom Rollup- Balance"/>
      <sheetName val="Bcom Conversion Charge Adj"/>
      <sheetName val="Bcom Debt"/>
      <sheetName val="Bcom Fixed Assets"/>
      <sheetName val="Bcom Lines"/>
      <sheetName val="Bcom New AE Efficiency"/>
      <sheetName val="Bcom Rev"/>
      <sheetName val="Bcom COGS"/>
      <sheetName val="Bcom-SG&amp;A,Taxes"/>
      <sheetName val="Bcom HEADCOUNT"/>
      <sheetName val="MasterDriverTrucom"/>
      <sheetName val="TruCom IS"/>
      <sheetName val="TruCom BS"/>
      <sheetName val="TruCom FAS95-Mnthly"/>
      <sheetName val="TruCom Rev"/>
      <sheetName val="TruCom COGS"/>
      <sheetName val="TruCom Lines"/>
      <sheetName val="TruCom-SG&amp;A,Taxes"/>
      <sheetName val="TruCom HEADCOUNT"/>
      <sheetName val="TruCom Amort."/>
      <sheetName val="TruCom Fixed Assets"/>
      <sheetName val="TruCom Debt"/>
      <sheetName val="TruCom Debt worksheet"/>
      <sheetName val="Cap Tables"/>
      <sheetName val="TruCom Cash Acct. Recon."/>
      <sheetName val="MAST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DISPLAY"/>
      <sheetName val="OPT-MIS"/>
      <sheetName val="REV"/>
      <sheetName val="EXP"/>
      <sheetName val="MODR"/>
      <sheetName val="D&amp;A"/>
      <sheetName val="DEBT"/>
      <sheetName val="COVS"/>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M 2000 Rev Chart"/>
      <sheetName val="MCM 2001 Rev Chart"/>
      <sheetName val="MCM 1999 P&amp;L"/>
      <sheetName val="MCM 2000 P&amp;L"/>
      <sheetName val="MCM 2001 Plan"/>
      <sheetName val="MCM 2000 and 2001 Plan"/>
      <sheetName val="GSN Hist IS"/>
      <sheetName val="GSN Hist BS"/>
      <sheetName val="CC 2000 Detail"/>
      <sheetName val="CC 2000 IS"/>
      <sheetName val="CC 2000 BS"/>
      <sheetName val="CC 2000 CF"/>
      <sheetName val="Crescent Mo IS 9-00 to 6-01"/>
      <sheetName val="Crescent Qtr IS Sep00-Jun01"/>
      <sheetName val="Target P&amp;L RollUp"/>
      <sheetName val="Target P&amp;L RollUp June"/>
      <sheetName val="Target P&amp;L Pct Sales"/>
      <sheetName val="MASTER DRIVERS"/>
      <sheetName val="Summary"/>
      <sheetName val="IS Sum"/>
      <sheetName val="BS Sum"/>
      <sheetName val="CF Sum"/>
      <sheetName val="Covenants and Capitalization"/>
      <sheetName val="Ret Earn Reconcile"/>
      <sheetName val="GSN IS Sum"/>
      <sheetName val="Maine IS Sum"/>
      <sheetName val="Conversion BS"/>
      <sheetName val="Key Ratios"/>
      <sheetName val="MCG vs Vaxa"/>
      <sheetName val="Exhibits1"/>
      <sheetName val="Exhibits2"/>
      <sheetName val="IS"/>
      <sheetName val="BS"/>
      <sheetName val="CF"/>
      <sheetName val="Debt"/>
      <sheetName val="Fixed Assets"/>
      <sheetName val="Intangibles"/>
      <sheetName val="DCF"/>
      <sheetName val="Initial TTM EBITDA by Cluster"/>
      <sheetName val="Geographic Concentration"/>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X"/>
      <sheetName val="Portfolio Input"/>
      <sheetName val="Warehouse Summary"/>
      <sheetName val="Investor Summary"/>
      <sheetName val="Industry"/>
      <sheetName val="Rating"/>
      <sheetName val="Broad Loan Category"/>
      <sheetName val="Diversity Calc"/>
      <sheetName val="Vlooku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Pipeline"/>
      <sheetName val="Monthly Financials"/>
      <sheetName val="Quarterly Financials"/>
      <sheetName val="Yearly Financials"/>
      <sheetName val="Distributions"/>
      <sheetName val="Returns"/>
      <sheetName val="Operations"/>
      <sheetName val="Payroll"/>
      <sheetName val="Depreciation"/>
      <sheetName val="Debt"/>
      <sheetName val="Equ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
      <sheetName val="Model"/>
      <sheetName val="Portfolio Input"/>
    </sheetNames>
    <sheetDataSet>
      <sheetData sheetId="0"/>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TransSum"/>
      <sheetName val="Consolidated"/>
      <sheetName val="JDPC Proj."/>
      <sheetName val="EG Proj."/>
      <sheetName val="KBB Proj. "/>
    </sheetNames>
    <sheetDataSet>
      <sheetData sheetId="0"/>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
      <sheetName val="Final"/>
    </sheetNames>
    <sheetDataSet>
      <sheetData sheetId="0" refreshError="1"/>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01_05_v_Wicks_xls__01_05_v_Wic"/>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Adj 2006"/>
      <sheetName val="Credit"/>
      <sheetName val="For Banks"/>
      <sheetName val="_01_05_v_Wicks_xls__01_05_v_Wic"/>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Yields"/>
      <sheetName val="Vector Output"/>
      <sheetName val="Portfolio"/>
      <sheetName val="Action Items"/>
      <sheetName val="Defense Comps"/>
      <sheetName val="Telecom"/>
      <sheetName val="WARF"/>
      <sheetName val="Template"/>
      <sheetName val="1"/>
      <sheetName val="2"/>
      <sheetName val="3"/>
      <sheetName val="4"/>
      <sheetName val="Credit Breakdown"/>
      <sheetName val="Auto EVs"/>
      <sheetName val="WARF Tracker"/>
      <sheetName val="Deal Multiples"/>
      <sheetName val="Status"/>
      <sheetName val="Output"/>
      <sheetName val="Graphs"/>
      <sheetName val="Inputs"/>
      <sheetName val="LBO Summary"/>
      <sheetName val="Tanning Assumptions"/>
      <sheetName val="IncStmt"/>
      <sheetName val="BS"/>
      <sheetName val="DCF"/>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by-night - Base"/>
      <sheetName val="Fly-by-night - problem 5"/>
      <sheetName val="Fly-by-night - problem 6"/>
      <sheetName val="Fly-by-night - Base with ltd"/>
      <sheetName val="Portfolio"/>
      <sheetName val="MASTER DRIVER"/>
      <sheetName val="LBO Summary"/>
      <sheetName val="IncStmt"/>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Credit"/>
      <sheetName val="Summary"/>
      <sheetName val="Segments"/>
      <sheetName val="Adjustments"/>
      <sheetName val="Fly-by-night - problem 5"/>
      <sheetName val="Inpu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Info"/>
      <sheetName val="Qualitative Analysis"/>
      <sheetName val="Base"/>
      <sheetName val="EV_DCF Analysis"/>
      <sheetName val="VeCTOR Import"/>
      <sheetName val="Annual Summary"/>
      <sheetName val="LBO Summary"/>
      <sheetName val="Fly-by-night - problem 5"/>
      <sheetName val="Segment Info"/>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UMMARY"/>
      <sheetName val="TRANSACTION"/>
      <sheetName val="Capital Structure"/>
      <sheetName val="DEBT DETAIL"/>
      <sheetName val="Sheet2"/>
      <sheetName val="Flat EBITDA"/>
      <sheetName val="Scenario Fan"/>
      <sheetName val="Sheet1"/>
      <sheetName val="Sheet1 (2)"/>
      <sheetName val="Case Comparison"/>
      <sheetName val="INCOME STATEMENT"/>
      <sheetName val="BALANCE SHEET"/>
      <sheetName val="CASH FLOW"/>
      <sheetName val="World Cup"/>
      <sheetName val="Taxes"/>
      <sheetName val="CAPEX &amp; INTANG"/>
      <sheetName val="Drivers"/>
      <sheetName val="WORKING CAPITAL"/>
      <sheetName val="Buildup"/>
      <sheetName val="S&amp;U"/>
      <sheetName val="TV Build"/>
      <sheetName val="TV Group"/>
      <sheetName val="UVN"/>
      <sheetName val="TLF"/>
      <sheetName val="Gala"/>
      <sheetName val="TV Station Group"/>
      <sheetName val="UTG"/>
      <sheetName val="TTG"/>
      <sheetName val="Radio Operating Build"/>
      <sheetName val="Radio Drivers"/>
      <sheetName val="Consolidated"/>
      <sheetName val="Market Build"/>
      <sheetName val="Other"/>
      <sheetName val="Overview"/>
      <sheetName val="Margin Bridge"/>
      <sheetName val="Projections Detail"/>
      <sheetName val="VeCTOR Import"/>
      <sheetName val="LBO Summary"/>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reciation"/>
      <sheetName val="S&amp;U"/>
      <sheetName val="Sheet1"/>
      <sheetName val="1998 assump"/>
      <sheetName val="1997 assump"/>
      <sheetName val="******"/>
      <sheetName val="1998 P &amp; L"/>
      <sheetName val="1999 P &amp; L"/>
      <sheetName val="summ people"/>
      <sheetName val="people"/>
      <sheetName val="Sheet2"/>
      <sheetName val="B"/>
      <sheetName val="Sheet5"/>
      <sheetName val="Employees"/>
      <sheetName val="Reconcile"/>
      <sheetName val="D"/>
      <sheetName val="TRANSACTION"/>
      <sheetName val="VeCTOR 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vCalcs Table"/>
      <sheetName val="IS Table"/>
      <sheetName val="BS Table"/>
      <sheetName val="SoCF Table"/>
      <sheetName val="RE &amp; DIVS Table"/>
      <sheetName val="Debt Table"/>
      <sheetName val="RE &amp; DIVS"/>
      <sheetName val="Debt"/>
      <sheetName val="BalSh Comb"/>
      <sheetName val="SoCF Comb"/>
      <sheetName val="IS Comb"/>
      <sheetName val="Covenant Summary"/>
      <sheetName val="UF P&amp;L-Mth"/>
      <sheetName val="Sheet1"/>
      <sheetName val="MASTER"/>
      <sheetName val="FC P&amp;L-Mth"/>
      <sheetName val="Headcount"/>
      <sheetName val="New FC Contracts"/>
      <sheetName val="UF Bal-Mth"/>
      <sheetName val="FC Bal-Mth"/>
      <sheetName val="Fixed Assets"/>
      <sheetName val="G&amp;A"/>
      <sheetName val="FC Contracts 2001"/>
      <sheetName val="End Model"/>
      <sheetName val="Combnd Hist BS"/>
      <sheetName val="UF Bal Sheet"/>
      <sheetName val="FC Bal Sheet"/>
      <sheetName val="UF P&amp;L Hist"/>
      <sheetName val="FC P&amp;L Hist"/>
      <sheetName val="UF2000"/>
      <sheetName val="UF2001"/>
      <sheetName val="FC2000"/>
      <sheetName val="FC2001"/>
      <sheetName val="vs. 2001 actuals"/>
      <sheetName val="Sheet3"/>
      <sheetName val="Equity Table"/>
      <sheetName val="Card Count Table"/>
      <sheetName val="BS Tables"/>
      <sheetName val="Concentr Table"/>
      <sheetName val="BS Analysis"/>
      <sheetName val="Table 5"/>
      <sheetName val="Table 4"/>
      <sheetName val="Table 3"/>
      <sheetName val="Table 2"/>
      <sheetName val="Table 1"/>
      <sheetName val="DCF"/>
      <sheetName val="top50hotels"/>
      <sheetName val="Sheet5"/>
      <sheetName val="D"/>
      <sheetName val="MASTER DRI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OBS - MEDCON"/>
      <sheetName val="OBS - REFI"/>
      <sheetName val="AFS"/>
      <sheetName val="MBS"/>
      <sheetName val="MMIS (2)"/>
      <sheetName val="WHEC"/>
      <sheetName val="MIS"/>
      <sheetName val="MCF"/>
      <sheetName val="PACING06"/>
      <sheetName val="D&amp;A"/>
      <sheetName val="D&amp;A (2)"/>
      <sheetName val="DEBT"/>
      <sheetName val="CHARTS&gt;&gt;&gt;"/>
      <sheetName val="S&amp;U_CAP_MERGER"/>
      <sheetName val="S&amp;U_CAP_REFI"/>
      <sheetName val="MEDCON IS"/>
      <sheetName val="SUM IS"/>
      <sheetName val="PF IS"/>
      <sheetName val="PF BS"/>
      <sheetName val="COVS"/>
      <sheetName val="ECF"/>
      <sheetName val="Bridge"/>
      <sheetName val="HoldCo INT"/>
      <sheetName val="PACING05"/>
      <sheetName val="MASTER"/>
    </sheetNames>
    <sheetDataSet>
      <sheetData sheetId="0"/>
      <sheetData sheetId="1" refreshError="1"/>
      <sheetData sheetId="2"/>
      <sheetData sheetId="3" refreshError="1"/>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CONTROL"/>
      <sheetName val="OBS - REFI"/>
      <sheetName val="WH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AFS"/>
      <sheetName val="MIS"/>
      <sheetName val="MBS"/>
      <sheetName val="MCF"/>
      <sheetName val="DEBT"/>
      <sheetName val="D&amp;A"/>
      <sheetName val="COVS_ACTUAL"/>
      <sheetName val="COVS"/>
      <sheetName val="PACING05"/>
      <sheetName val="PACING06"/>
    </sheetNames>
    <sheetDataSet>
      <sheetData sheetId="0" refreshError="1"/>
      <sheetData sheetId="1"/>
      <sheetData sheetId="2" refreshError="1"/>
      <sheetData sheetId="3"/>
      <sheetData sheetId="4" refreshError="1"/>
      <sheetData sheetId="5" refreshError="1"/>
      <sheetData sheetId="6"/>
      <sheetData sheetId="7" refreshError="1"/>
      <sheetData sheetId="8"/>
      <sheetData sheetId="9"/>
      <sheetData sheetId="10" refreshError="1"/>
      <sheetData sheetId="1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CF"/>
      <sheetName val="DCFnew"/>
      <sheetName val="COVS_ACTUAL"/>
      <sheetName val="D&amp;A"/>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J941"/>
  <sheetViews>
    <sheetView showGridLines="0" zoomScaleNormal="100" workbookViewId="0">
      <selection activeCell="S1" sqref="S1"/>
    </sheetView>
  </sheetViews>
  <sheetFormatPr defaultRowHeight="15"/>
  <cols>
    <col min="1" max="1" width="9.140625" style="1"/>
    <col min="2" max="2" width="50.7109375" style="1" customWidth="1"/>
    <col min="3" max="4" width="12.7109375" style="1" customWidth="1"/>
    <col min="5" max="6" width="6.42578125" style="1" customWidth="1"/>
    <col min="7" max="7" width="7.42578125" style="1" bestFit="1" customWidth="1"/>
    <col min="8" max="8" width="50.7109375" style="1" customWidth="1"/>
    <col min="9" max="10" width="12.7109375" style="1" customWidth="1"/>
    <col min="11" max="253" width="9.140625" style="1"/>
    <col min="254" max="254" width="30.140625" style="1" customWidth="1"/>
    <col min="255" max="255" width="10.85546875" style="1" customWidth="1"/>
    <col min="256" max="260" width="9.140625" style="1"/>
    <col min="261" max="261" width="34.42578125" style="1" customWidth="1"/>
    <col min="262" max="263" width="9.140625" style="1"/>
    <col min="264" max="264" width="27.5703125" style="1" customWidth="1"/>
    <col min="265" max="509" width="9.140625" style="1"/>
    <col min="510" max="510" width="30.140625" style="1" customWidth="1"/>
    <col min="511" max="511" width="10.85546875" style="1" customWidth="1"/>
    <col min="512" max="516" width="9.140625" style="1"/>
    <col min="517" max="517" width="34.42578125" style="1" customWidth="1"/>
    <col min="518" max="519" width="9.140625" style="1"/>
    <col min="520" max="520" width="27.5703125" style="1" customWidth="1"/>
    <col min="521" max="765" width="9.140625" style="1"/>
    <col min="766" max="766" width="30.140625" style="1" customWidth="1"/>
    <col min="767" max="767" width="10.85546875" style="1" customWidth="1"/>
    <col min="768" max="772" width="9.140625" style="1"/>
    <col min="773" max="773" width="34.42578125" style="1" customWidth="1"/>
    <col min="774" max="775" width="9.140625" style="1"/>
    <col min="776" max="776" width="27.5703125" style="1" customWidth="1"/>
    <col min="777" max="1021" width="9.140625" style="1"/>
    <col min="1022" max="1022" width="30.140625" style="1" customWidth="1"/>
    <col min="1023" max="1023" width="10.85546875" style="1" customWidth="1"/>
    <col min="1024" max="1028" width="9.140625" style="1"/>
    <col min="1029" max="1029" width="34.42578125" style="1" customWidth="1"/>
    <col min="1030" max="1031" width="9.140625" style="1"/>
    <col min="1032" max="1032" width="27.5703125" style="1" customWidth="1"/>
    <col min="1033" max="1277" width="9.140625" style="1"/>
    <col min="1278" max="1278" width="30.140625" style="1" customWidth="1"/>
    <col min="1279" max="1279" width="10.85546875" style="1" customWidth="1"/>
    <col min="1280" max="1284" width="9.140625" style="1"/>
    <col min="1285" max="1285" width="34.42578125" style="1" customWidth="1"/>
    <col min="1286" max="1287" width="9.140625" style="1"/>
    <col min="1288" max="1288" width="27.5703125" style="1" customWidth="1"/>
    <col min="1289" max="1533" width="9.140625" style="1"/>
    <col min="1534" max="1534" width="30.140625" style="1" customWidth="1"/>
    <col min="1535" max="1535" width="10.85546875" style="1" customWidth="1"/>
    <col min="1536" max="1540" width="9.140625" style="1"/>
    <col min="1541" max="1541" width="34.42578125" style="1" customWidth="1"/>
    <col min="1542" max="1543" width="9.140625" style="1"/>
    <col min="1544" max="1544" width="27.5703125" style="1" customWidth="1"/>
    <col min="1545" max="1789" width="9.140625" style="1"/>
    <col min="1790" max="1790" width="30.140625" style="1" customWidth="1"/>
    <col min="1791" max="1791" width="10.85546875" style="1" customWidth="1"/>
    <col min="1792" max="1796" width="9.140625" style="1"/>
    <col min="1797" max="1797" width="34.42578125" style="1" customWidth="1"/>
    <col min="1798" max="1799" width="9.140625" style="1"/>
    <col min="1800" max="1800" width="27.5703125" style="1" customWidth="1"/>
    <col min="1801" max="2045" width="9.140625" style="1"/>
    <col min="2046" max="2046" width="30.140625" style="1" customWidth="1"/>
    <col min="2047" max="2047" width="10.85546875" style="1" customWidth="1"/>
    <col min="2048" max="2052" width="9.140625" style="1"/>
    <col min="2053" max="2053" width="34.42578125" style="1" customWidth="1"/>
    <col min="2054" max="2055" width="9.140625" style="1"/>
    <col min="2056" max="2056" width="27.5703125" style="1" customWidth="1"/>
    <col min="2057" max="2301" width="9.140625" style="1"/>
    <col min="2302" max="2302" width="30.140625" style="1" customWidth="1"/>
    <col min="2303" max="2303" width="10.85546875" style="1" customWidth="1"/>
    <col min="2304" max="2308" width="9.140625" style="1"/>
    <col min="2309" max="2309" width="34.42578125" style="1" customWidth="1"/>
    <col min="2310" max="2311" width="9.140625" style="1"/>
    <col min="2312" max="2312" width="27.5703125" style="1" customWidth="1"/>
    <col min="2313" max="2557" width="9.140625" style="1"/>
    <col min="2558" max="2558" width="30.140625" style="1" customWidth="1"/>
    <col min="2559" max="2559" width="10.85546875" style="1" customWidth="1"/>
    <col min="2560" max="2564" width="9.140625" style="1"/>
    <col min="2565" max="2565" width="34.42578125" style="1" customWidth="1"/>
    <col min="2566" max="2567" width="9.140625" style="1"/>
    <col min="2568" max="2568" width="27.5703125" style="1" customWidth="1"/>
    <col min="2569" max="2813" width="9.140625" style="1"/>
    <col min="2814" max="2814" width="30.140625" style="1" customWidth="1"/>
    <col min="2815" max="2815" width="10.85546875" style="1" customWidth="1"/>
    <col min="2816" max="2820" width="9.140625" style="1"/>
    <col min="2821" max="2821" width="34.42578125" style="1" customWidth="1"/>
    <col min="2822" max="2823" width="9.140625" style="1"/>
    <col min="2824" max="2824" width="27.5703125" style="1" customWidth="1"/>
    <col min="2825" max="3069" width="9.140625" style="1"/>
    <col min="3070" max="3070" width="30.140625" style="1" customWidth="1"/>
    <col min="3071" max="3071" width="10.85546875" style="1" customWidth="1"/>
    <col min="3072" max="3076" width="9.140625" style="1"/>
    <col min="3077" max="3077" width="34.42578125" style="1" customWidth="1"/>
    <col min="3078" max="3079" width="9.140625" style="1"/>
    <col min="3080" max="3080" width="27.5703125" style="1" customWidth="1"/>
    <col min="3081" max="3325" width="9.140625" style="1"/>
    <col min="3326" max="3326" width="30.140625" style="1" customWidth="1"/>
    <col min="3327" max="3327" width="10.85546875" style="1" customWidth="1"/>
    <col min="3328" max="3332" width="9.140625" style="1"/>
    <col min="3333" max="3333" width="34.42578125" style="1" customWidth="1"/>
    <col min="3334" max="3335" width="9.140625" style="1"/>
    <col min="3336" max="3336" width="27.5703125" style="1" customWidth="1"/>
    <col min="3337" max="3581" width="9.140625" style="1"/>
    <col min="3582" max="3582" width="30.140625" style="1" customWidth="1"/>
    <col min="3583" max="3583" width="10.85546875" style="1" customWidth="1"/>
    <col min="3584" max="3588" width="9.140625" style="1"/>
    <col min="3589" max="3589" width="34.42578125" style="1" customWidth="1"/>
    <col min="3590" max="3591" width="9.140625" style="1"/>
    <col min="3592" max="3592" width="27.5703125" style="1" customWidth="1"/>
    <col min="3593" max="3837" width="9.140625" style="1"/>
    <col min="3838" max="3838" width="30.140625" style="1" customWidth="1"/>
    <col min="3839" max="3839" width="10.85546875" style="1" customWidth="1"/>
    <col min="3840" max="3844" width="9.140625" style="1"/>
    <col min="3845" max="3845" width="34.42578125" style="1" customWidth="1"/>
    <col min="3846" max="3847" width="9.140625" style="1"/>
    <col min="3848" max="3848" width="27.5703125" style="1" customWidth="1"/>
    <col min="3849" max="4093" width="9.140625" style="1"/>
    <col min="4094" max="4094" width="30.140625" style="1" customWidth="1"/>
    <col min="4095" max="4095" width="10.85546875" style="1" customWidth="1"/>
    <col min="4096" max="4100" width="9.140625" style="1"/>
    <col min="4101" max="4101" width="34.42578125" style="1" customWidth="1"/>
    <col min="4102" max="4103" width="9.140625" style="1"/>
    <col min="4104" max="4104" width="27.5703125" style="1" customWidth="1"/>
    <col min="4105" max="4349" width="9.140625" style="1"/>
    <col min="4350" max="4350" width="30.140625" style="1" customWidth="1"/>
    <col min="4351" max="4351" width="10.85546875" style="1" customWidth="1"/>
    <col min="4352" max="4356" width="9.140625" style="1"/>
    <col min="4357" max="4357" width="34.42578125" style="1" customWidth="1"/>
    <col min="4358" max="4359" width="9.140625" style="1"/>
    <col min="4360" max="4360" width="27.5703125" style="1" customWidth="1"/>
    <col min="4361" max="4605" width="9.140625" style="1"/>
    <col min="4606" max="4606" width="30.140625" style="1" customWidth="1"/>
    <col min="4607" max="4607" width="10.85546875" style="1" customWidth="1"/>
    <col min="4608" max="4612" width="9.140625" style="1"/>
    <col min="4613" max="4613" width="34.42578125" style="1" customWidth="1"/>
    <col min="4614" max="4615" width="9.140625" style="1"/>
    <col min="4616" max="4616" width="27.5703125" style="1" customWidth="1"/>
    <col min="4617" max="4861" width="9.140625" style="1"/>
    <col min="4862" max="4862" width="30.140625" style="1" customWidth="1"/>
    <col min="4863" max="4863" width="10.85546875" style="1" customWidth="1"/>
    <col min="4864" max="4868" width="9.140625" style="1"/>
    <col min="4869" max="4869" width="34.42578125" style="1" customWidth="1"/>
    <col min="4870" max="4871" width="9.140625" style="1"/>
    <col min="4872" max="4872" width="27.5703125" style="1" customWidth="1"/>
    <col min="4873" max="5117" width="9.140625" style="1"/>
    <col min="5118" max="5118" width="30.140625" style="1" customWidth="1"/>
    <col min="5119" max="5119" width="10.85546875" style="1" customWidth="1"/>
    <col min="5120" max="5124" width="9.140625" style="1"/>
    <col min="5125" max="5125" width="34.42578125" style="1" customWidth="1"/>
    <col min="5126" max="5127" width="9.140625" style="1"/>
    <col min="5128" max="5128" width="27.5703125" style="1" customWidth="1"/>
    <col min="5129" max="5373" width="9.140625" style="1"/>
    <col min="5374" max="5374" width="30.140625" style="1" customWidth="1"/>
    <col min="5375" max="5375" width="10.85546875" style="1" customWidth="1"/>
    <col min="5376" max="5380" width="9.140625" style="1"/>
    <col min="5381" max="5381" width="34.42578125" style="1" customWidth="1"/>
    <col min="5382" max="5383" width="9.140625" style="1"/>
    <col min="5384" max="5384" width="27.5703125" style="1" customWidth="1"/>
    <col min="5385" max="5629" width="9.140625" style="1"/>
    <col min="5630" max="5630" width="30.140625" style="1" customWidth="1"/>
    <col min="5631" max="5631" width="10.85546875" style="1" customWidth="1"/>
    <col min="5632" max="5636" width="9.140625" style="1"/>
    <col min="5637" max="5637" width="34.42578125" style="1" customWidth="1"/>
    <col min="5638" max="5639" width="9.140625" style="1"/>
    <col min="5640" max="5640" width="27.5703125" style="1" customWidth="1"/>
    <col min="5641" max="5885" width="9.140625" style="1"/>
    <col min="5886" max="5886" width="30.140625" style="1" customWidth="1"/>
    <col min="5887" max="5887" width="10.85546875" style="1" customWidth="1"/>
    <col min="5888" max="5892" width="9.140625" style="1"/>
    <col min="5893" max="5893" width="34.42578125" style="1" customWidth="1"/>
    <col min="5894" max="5895" width="9.140625" style="1"/>
    <col min="5896" max="5896" width="27.5703125" style="1" customWidth="1"/>
    <col min="5897" max="6141" width="9.140625" style="1"/>
    <col min="6142" max="6142" width="30.140625" style="1" customWidth="1"/>
    <col min="6143" max="6143" width="10.85546875" style="1" customWidth="1"/>
    <col min="6144" max="6148" width="9.140625" style="1"/>
    <col min="6149" max="6149" width="34.42578125" style="1" customWidth="1"/>
    <col min="6150" max="6151" width="9.140625" style="1"/>
    <col min="6152" max="6152" width="27.5703125" style="1" customWidth="1"/>
    <col min="6153" max="6397" width="9.140625" style="1"/>
    <col min="6398" max="6398" width="30.140625" style="1" customWidth="1"/>
    <col min="6399" max="6399" width="10.85546875" style="1" customWidth="1"/>
    <col min="6400" max="6404" width="9.140625" style="1"/>
    <col min="6405" max="6405" width="34.42578125" style="1" customWidth="1"/>
    <col min="6406" max="6407" width="9.140625" style="1"/>
    <col min="6408" max="6408" width="27.5703125" style="1" customWidth="1"/>
    <col min="6409" max="6653" width="9.140625" style="1"/>
    <col min="6654" max="6654" width="30.140625" style="1" customWidth="1"/>
    <col min="6655" max="6655" width="10.85546875" style="1" customWidth="1"/>
    <col min="6656" max="6660" width="9.140625" style="1"/>
    <col min="6661" max="6661" width="34.42578125" style="1" customWidth="1"/>
    <col min="6662" max="6663" width="9.140625" style="1"/>
    <col min="6664" max="6664" width="27.5703125" style="1" customWidth="1"/>
    <col min="6665" max="6909" width="9.140625" style="1"/>
    <col min="6910" max="6910" width="30.140625" style="1" customWidth="1"/>
    <col min="6911" max="6911" width="10.85546875" style="1" customWidth="1"/>
    <col min="6912" max="6916" width="9.140625" style="1"/>
    <col min="6917" max="6917" width="34.42578125" style="1" customWidth="1"/>
    <col min="6918" max="6919" width="9.140625" style="1"/>
    <col min="6920" max="6920" width="27.5703125" style="1" customWidth="1"/>
    <col min="6921" max="7165" width="9.140625" style="1"/>
    <col min="7166" max="7166" width="30.140625" style="1" customWidth="1"/>
    <col min="7167" max="7167" width="10.85546875" style="1" customWidth="1"/>
    <col min="7168" max="7172" width="9.140625" style="1"/>
    <col min="7173" max="7173" width="34.42578125" style="1" customWidth="1"/>
    <col min="7174" max="7175" width="9.140625" style="1"/>
    <col min="7176" max="7176" width="27.5703125" style="1" customWidth="1"/>
    <col min="7177" max="7421" width="9.140625" style="1"/>
    <col min="7422" max="7422" width="30.140625" style="1" customWidth="1"/>
    <col min="7423" max="7423" width="10.85546875" style="1" customWidth="1"/>
    <col min="7424" max="7428" width="9.140625" style="1"/>
    <col min="7429" max="7429" width="34.42578125" style="1" customWidth="1"/>
    <col min="7430" max="7431" width="9.140625" style="1"/>
    <col min="7432" max="7432" width="27.5703125" style="1" customWidth="1"/>
    <col min="7433" max="7677" width="9.140625" style="1"/>
    <col min="7678" max="7678" width="30.140625" style="1" customWidth="1"/>
    <col min="7679" max="7679" width="10.85546875" style="1" customWidth="1"/>
    <col min="7680" max="7684" width="9.140625" style="1"/>
    <col min="7685" max="7685" width="34.42578125" style="1" customWidth="1"/>
    <col min="7686" max="7687" width="9.140625" style="1"/>
    <col min="7688" max="7688" width="27.5703125" style="1" customWidth="1"/>
    <col min="7689" max="7933" width="9.140625" style="1"/>
    <col min="7934" max="7934" width="30.140625" style="1" customWidth="1"/>
    <col min="7935" max="7935" width="10.85546875" style="1" customWidth="1"/>
    <col min="7936" max="7940" width="9.140625" style="1"/>
    <col min="7941" max="7941" width="34.42578125" style="1" customWidth="1"/>
    <col min="7942" max="7943" width="9.140625" style="1"/>
    <col min="7944" max="7944" width="27.5703125" style="1" customWidth="1"/>
    <col min="7945" max="8189" width="9.140625" style="1"/>
    <col min="8190" max="8190" width="30.140625" style="1" customWidth="1"/>
    <col min="8191" max="8191" width="10.85546875" style="1" customWidth="1"/>
    <col min="8192" max="8196" width="9.140625" style="1"/>
    <col min="8197" max="8197" width="34.42578125" style="1" customWidth="1"/>
    <col min="8198" max="8199" width="9.140625" style="1"/>
    <col min="8200" max="8200" width="27.5703125" style="1" customWidth="1"/>
    <col min="8201" max="8445" width="9.140625" style="1"/>
    <col min="8446" max="8446" width="30.140625" style="1" customWidth="1"/>
    <col min="8447" max="8447" width="10.85546875" style="1" customWidth="1"/>
    <col min="8448" max="8452" width="9.140625" style="1"/>
    <col min="8453" max="8453" width="34.42578125" style="1" customWidth="1"/>
    <col min="8454" max="8455" width="9.140625" style="1"/>
    <col min="8456" max="8456" width="27.5703125" style="1" customWidth="1"/>
    <col min="8457" max="8701" width="9.140625" style="1"/>
    <col min="8702" max="8702" width="30.140625" style="1" customWidth="1"/>
    <col min="8703" max="8703" width="10.85546875" style="1" customWidth="1"/>
    <col min="8704" max="8708" width="9.140625" style="1"/>
    <col min="8709" max="8709" width="34.42578125" style="1" customWidth="1"/>
    <col min="8710" max="8711" width="9.140625" style="1"/>
    <col min="8712" max="8712" width="27.5703125" style="1" customWidth="1"/>
    <col min="8713" max="8957" width="9.140625" style="1"/>
    <col min="8958" max="8958" width="30.140625" style="1" customWidth="1"/>
    <col min="8959" max="8959" width="10.85546875" style="1" customWidth="1"/>
    <col min="8960" max="8964" width="9.140625" style="1"/>
    <col min="8965" max="8965" width="34.42578125" style="1" customWidth="1"/>
    <col min="8966" max="8967" width="9.140625" style="1"/>
    <col min="8968" max="8968" width="27.5703125" style="1" customWidth="1"/>
    <col min="8969" max="9213" width="9.140625" style="1"/>
    <col min="9214" max="9214" width="30.140625" style="1" customWidth="1"/>
    <col min="9215" max="9215" width="10.85546875" style="1" customWidth="1"/>
    <col min="9216" max="9220" width="9.140625" style="1"/>
    <col min="9221" max="9221" width="34.42578125" style="1" customWidth="1"/>
    <col min="9222" max="9223" width="9.140625" style="1"/>
    <col min="9224" max="9224" width="27.5703125" style="1" customWidth="1"/>
    <col min="9225" max="9469" width="9.140625" style="1"/>
    <col min="9470" max="9470" width="30.140625" style="1" customWidth="1"/>
    <col min="9471" max="9471" width="10.85546875" style="1" customWidth="1"/>
    <col min="9472" max="9476" width="9.140625" style="1"/>
    <col min="9477" max="9477" width="34.42578125" style="1" customWidth="1"/>
    <col min="9478" max="9479" width="9.140625" style="1"/>
    <col min="9480" max="9480" width="27.5703125" style="1" customWidth="1"/>
    <col min="9481" max="9725" width="9.140625" style="1"/>
    <col min="9726" max="9726" width="30.140625" style="1" customWidth="1"/>
    <col min="9727" max="9727" width="10.85546875" style="1" customWidth="1"/>
    <col min="9728" max="9732" width="9.140625" style="1"/>
    <col min="9733" max="9733" width="34.42578125" style="1" customWidth="1"/>
    <col min="9734" max="9735" width="9.140625" style="1"/>
    <col min="9736" max="9736" width="27.5703125" style="1" customWidth="1"/>
    <col min="9737" max="9981" width="9.140625" style="1"/>
    <col min="9982" max="9982" width="30.140625" style="1" customWidth="1"/>
    <col min="9983" max="9983" width="10.85546875" style="1" customWidth="1"/>
    <col min="9984" max="9988" width="9.140625" style="1"/>
    <col min="9989" max="9989" width="34.42578125" style="1" customWidth="1"/>
    <col min="9990" max="9991" width="9.140625" style="1"/>
    <col min="9992" max="9992" width="27.5703125" style="1" customWidth="1"/>
    <col min="9993" max="10237" width="9.140625" style="1"/>
    <col min="10238" max="10238" width="30.140625" style="1" customWidth="1"/>
    <col min="10239" max="10239" width="10.85546875" style="1" customWidth="1"/>
    <col min="10240" max="10244" width="9.140625" style="1"/>
    <col min="10245" max="10245" width="34.42578125" style="1" customWidth="1"/>
    <col min="10246" max="10247" width="9.140625" style="1"/>
    <col min="10248" max="10248" width="27.5703125" style="1" customWidth="1"/>
    <col min="10249" max="10493" width="9.140625" style="1"/>
    <col min="10494" max="10494" width="30.140625" style="1" customWidth="1"/>
    <col min="10495" max="10495" width="10.85546875" style="1" customWidth="1"/>
    <col min="10496" max="10500" width="9.140625" style="1"/>
    <col min="10501" max="10501" width="34.42578125" style="1" customWidth="1"/>
    <col min="10502" max="10503" width="9.140625" style="1"/>
    <col min="10504" max="10504" width="27.5703125" style="1" customWidth="1"/>
    <col min="10505" max="10749" width="9.140625" style="1"/>
    <col min="10750" max="10750" width="30.140625" style="1" customWidth="1"/>
    <col min="10751" max="10751" width="10.85546875" style="1" customWidth="1"/>
    <col min="10752" max="10756" width="9.140625" style="1"/>
    <col min="10757" max="10757" width="34.42578125" style="1" customWidth="1"/>
    <col min="10758" max="10759" width="9.140625" style="1"/>
    <col min="10760" max="10760" width="27.5703125" style="1" customWidth="1"/>
    <col min="10761" max="11005" width="9.140625" style="1"/>
    <col min="11006" max="11006" width="30.140625" style="1" customWidth="1"/>
    <col min="11007" max="11007" width="10.85546875" style="1" customWidth="1"/>
    <col min="11008" max="11012" width="9.140625" style="1"/>
    <col min="11013" max="11013" width="34.42578125" style="1" customWidth="1"/>
    <col min="11014" max="11015" width="9.140625" style="1"/>
    <col min="11016" max="11016" width="27.5703125" style="1" customWidth="1"/>
    <col min="11017" max="11261" width="9.140625" style="1"/>
    <col min="11262" max="11262" width="30.140625" style="1" customWidth="1"/>
    <col min="11263" max="11263" width="10.85546875" style="1" customWidth="1"/>
    <col min="11264" max="11268" width="9.140625" style="1"/>
    <col min="11269" max="11269" width="34.42578125" style="1" customWidth="1"/>
    <col min="11270" max="11271" width="9.140625" style="1"/>
    <col min="11272" max="11272" width="27.5703125" style="1" customWidth="1"/>
    <col min="11273" max="11517" width="9.140625" style="1"/>
    <col min="11518" max="11518" width="30.140625" style="1" customWidth="1"/>
    <col min="11519" max="11519" width="10.85546875" style="1" customWidth="1"/>
    <col min="11520" max="11524" width="9.140625" style="1"/>
    <col min="11525" max="11525" width="34.42578125" style="1" customWidth="1"/>
    <col min="11526" max="11527" width="9.140625" style="1"/>
    <col min="11528" max="11528" width="27.5703125" style="1" customWidth="1"/>
    <col min="11529" max="11773" width="9.140625" style="1"/>
    <col min="11774" max="11774" width="30.140625" style="1" customWidth="1"/>
    <col min="11775" max="11775" width="10.85546875" style="1" customWidth="1"/>
    <col min="11776" max="11780" width="9.140625" style="1"/>
    <col min="11781" max="11781" width="34.42578125" style="1" customWidth="1"/>
    <col min="11782" max="11783" width="9.140625" style="1"/>
    <col min="11784" max="11784" width="27.5703125" style="1" customWidth="1"/>
    <col min="11785" max="12029" width="9.140625" style="1"/>
    <col min="12030" max="12030" width="30.140625" style="1" customWidth="1"/>
    <col min="12031" max="12031" width="10.85546875" style="1" customWidth="1"/>
    <col min="12032" max="12036" width="9.140625" style="1"/>
    <col min="12037" max="12037" width="34.42578125" style="1" customWidth="1"/>
    <col min="12038" max="12039" width="9.140625" style="1"/>
    <col min="12040" max="12040" width="27.5703125" style="1" customWidth="1"/>
    <col min="12041" max="12285" width="9.140625" style="1"/>
    <col min="12286" max="12286" width="30.140625" style="1" customWidth="1"/>
    <col min="12287" max="12287" width="10.85546875" style="1" customWidth="1"/>
    <col min="12288" max="12292" width="9.140625" style="1"/>
    <col min="12293" max="12293" width="34.42578125" style="1" customWidth="1"/>
    <col min="12294" max="12295" width="9.140625" style="1"/>
    <col min="12296" max="12296" width="27.5703125" style="1" customWidth="1"/>
    <col min="12297" max="12541" width="9.140625" style="1"/>
    <col min="12542" max="12542" width="30.140625" style="1" customWidth="1"/>
    <col min="12543" max="12543" width="10.85546875" style="1" customWidth="1"/>
    <col min="12544" max="12548" width="9.140625" style="1"/>
    <col min="12549" max="12549" width="34.42578125" style="1" customWidth="1"/>
    <col min="12550" max="12551" width="9.140625" style="1"/>
    <col min="12552" max="12552" width="27.5703125" style="1" customWidth="1"/>
    <col min="12553" max="12797" width="9.140625" style="1"/>
    <col min="12798" max="12798" width="30.140625" style="1" customWidth="1"/>
    <col min="12799" max="12799" width="10.85546875" style="1" customWidth="1"/>
    <col min="12800" max="12804" width="9.140625" style="1"/>
    <col min="12805" max="12805" width="34.42578125" style="1" customWidth="1"/>
    <col min="12806" max="12807" width="9.140625" style="1"/>
    <col min="12808" max="12808" width="27.5703125" style="1" customWidth="1"/>
    <col min="12809" max="13053" width="9.140625" style="1"/>
    <col min="13054" max="13054" width="30.140625" style="1" customWidth="1"/>
    <col min="13055" max="13055" width="10.85546875" style="1" customWidth="1"/>
    <col min="13056" max="13060" width="9.140625" style="1"/>
    <col min="13061" max="13061" width="34.42578125" style="1" customWidth="1"/>
    <col min="13062" max="13063" width="9.140625" style="1"/>
    <col min="13064" max="13064" width="27.5703125" style="1" customWidth="1"/>
    <col min="13065" max="13309" width="9.140625" style="1"/>
    <col min="13310" max="13310" width="30.140625" style="1" customWidth="1"/>
    <col min="13311" max="13311" width="10.85546875" style="1" customWidth="1"/>
    <col min="13312" max="13316" width="9.140625" style="1"/>
    <col min="13317" max="13317" width="34.42578125" style="1" customWidth="1"/>
    <col min="13318" max="13319" width="9.140625" style="1"/>
    <col min="13320" max="13320" width="27.5703125" style="1" customWidth="1"/>
    <col min="13321" max="13565" width="9.140625" style="1"/>
    <col min="13566" max="13566" width="30.140625" style="1" customWidth="1"/>
    <col min="13567" max="13567" width="10.85546875" style="1" customWidth="1"/>
    <col min="13568" max="13572" width="9.140625" style="1"/>
    <col min="13573" max="13573" width="34.42578125" style="1" customWidth="1"/>
    <col min="13574" max="13575" width="9.140625" style="1"/>
    <col min="13576" max="13576" width="27.5703125" style="1" customWidth="1"/>
    <col min="13577" max="13821" width="9.140625" style="1"/>
    <col min="13822" max="13822" width="30.140625" style="1" customWidth="1"/>
    <col min="13823" max="13823" width="10.85546875" style="1" customWidth="1"/>
    <col min="13824" max="13828" width="9.140625" style="1"/>
    <col min="13829" max="13829" width="34.42578125" style="1" customWidth="1"/>
    <col min="13830" max="13831" width="9.140625" style="1"/>
    <col min="13832" max="13832" width="27.5703125" style="1" customWidth="1"/>
    <col min="13833" max="14077" width="9.140625" style="1"/>
    <col min="14078" max="14078" width="30.140625" style="1" customWidth="1"/>
    <col min="14079" max="14079" width="10.85546875" style="1" customWidth="1"/>
    <col min="14080" max="14084" width="9.140625" style="1"/>
    <col min="14085" max="14085" width="34.42578125" style="1" customWidth="1"/>
    <col min="14086" max="14087" width="9.140625" style="1"/>
    <col min="14088" max="14088" width="27.5703125" style="1" customWidth="1"/>
    <col min="14089" max="14333" width="9.140625" style="1"/>
    <col min="14334" max="14334" width="30.140625" style="1" customWidth="1"/>
    <col min="14335" max="14335" width="10.85546875" style="1" customWidth="1"/>
    <col min="14336" max="14340" width="9.140625" style="1"/>
    <col min="14341" max="14341" width="34.42578125" style="1" customWidth="1"/>
    <col min="14342" max="14343" width="9.140625" style="1"/>
    <col min="14344" max="14344" width="27.5703125" style="1" customWidth="1"/>
    <col min="14345" max="14589" width="9.140625" style="1"/>
    <col min="14590" max="14590" width="30.140625" style="1" customWidth="1"/>
    <col min="14591" max="14591" width="10.85546875" style="1" customWidth="1"/>
    <col min="14592" max="14596" width="9.140625" style="1"/>
    <col min="14597" max="14597" width="34.42578125" style="1" customWidth="1"/>
    <col min="14598" max="14599" width="9.140625" style="1"/>
    <col min="14600" max="14600" width="27.5703125" style="1" customWidth="1"/>
    <col min="14601" max="14845" width="9.140625" style="1"/>
    <col min="14846" max="14846" width="30.140625" style="1" customWidth="1"/>
    <col min="14847" max="14847" width="10.85546875" style="1" customWidth="1"/>
    <col min="14848" max="14852" width="9.140625" style="1"/>
    <col min="14853" max="14853" width="34.42578125" style="1" customWidth="1"/>
    <col min="14854" max="14855" width="9.140625" style="1"/>
    <col min="14856" max="14856" width="27.5703125" style="1" customWidth="1"/>
    <col min="14857" max="15101" width="9.140625" style="1"/>
    <col min="15102" max="15102" width="30.140625" style="1" customWidth="1"/>
    <col min="15103" max="15103" width="10.85546875" style="1" customWidth="1"/>
    <col min="15104" max="15108" width="9.140625" style="1"/>
    <col min="15109" max="15109" width="34.42578125" style="1" customWidth="1"/>
    <col min="15110" max="15111" width="9.140625" style="1"/>
    <col min="15112" max="15112" width="27.5703125" style="1" customWidth="1"/>
    <col min="15113" max="15357" width="9.140625" style="1"/>
    <col min="15358" max="15358" width="30.140625" style="1" customWidth="1"/>
    <col min="15359" max="15359" width="10.85546875" style="1" customWidth="1"/>
    <col min="15360" max="15364" width="9.140625" style="1"/>
    <col min="15365" max="15365" width="34.42578125" style="1" customWidth="1"/>
    <col min="15366" max="15367" width="9.140625" style="1"/>
    <col min="15368" max="15368" width="27.5703125" style="1" customWidth="1"/>
    <col min="15369" max="15613" width="9.140625" style="1"/>
    <col min="15614" max="15614" width="30.140625" style="1" customWidth="1"/>
    <col min="15615" max="15615" width="10.85546875" style="1" customWidth="1"/>
    <col min="15616" max="15620" width="9.140625" style="1"/>
    <col min="15621" max="15621" width="34.42578125" style="1" customWidth="1"/>
    <col min="15622" max="15623" width="9.140625" style="1"/>
    <col min="15624" max="15624" width="27.5703125" style="1" customWidth="1"/>
    <col min="15625" max="15869" width="9.140625" style="1"/>
    <col min="15870" max="15870" width="30.140625" style="1" customWidth="1"/>
    <col min="15871" max="15871" width="10.85546875" style="1" customWidth="1"/>
    <col min="15872" max="15876" width="9.140625" style="1"/>
    <col min="15877" max="15877" width="34.42578125" style="1" customWidth="1"/>
    <col min="15878" max="15879" width="9.140625" style="1"/>
    <col min="15880" max="15880" width="27.5703125" style="1" customWidth="1"/>
    <col min="15881" max="16125" width="9.140625" style="1"/>
    <col min="16126" max="16126" width="30.140625" style="1" customWidth="1"/>
    <col min="16127" max="16127" width="10.85546875" style="1" customWidth="1"/>
    <col min="16128" max="16132" width="9.140625" style="1"/>
    <col min="16133" max="16133" width="34.42578125" style="1" customWidth="1"/>
    <col min="16134" max="16135" width="9.140625" style="1"/>
    <col min="16136" max="16136" width="27.5703125" style="1" customWidth="1"/>
    <col min="16137" max="16384" width="9.140625" style="1"/>
  </cols>
  <sheetData>
    <row r="3" spans="1:10">
      <c r="A3" s="34" t="s">
        <v>0</v>
      </c>
    </row>
    <row r="4" spans="1:10" ht="15.75" thickBot="1"/>
    <row r="5" spans="1:10">
      <c r="B5" s="158" t="s">
        <v>1</v>
      </c>
      <c r="C5" s="159" t="s">
        <v>2</v>
      </c>
      <c r="D5" s="192" t="s">
        <v>3</v>
      </c>
      <c r="H5" s="190" t="s">
        <v>4</v>
      </c>
      <c r="I5" s="184" t="s">
        <v>2</v>
      </c>
      <c r="J5" s="191" t="s">
        <v>3</v>
      </c>
    </row>
    <row r="6" spans="1:10">
      <c r="B6" s="27" t="s">
        <v>5</v>
      </c>
      <c r="C6" s="26">
        <f>SUM(C7:C16)</f>
        <v>1175.684483</v>
      </c>
      <c r="D6" s="28"/>
    </row>
    <row r="7" spans="1:10">
      <c r="B7" s="182" t="s">
        <v>6</v>
      </c>
      <c r="C7" s="161">
        <v>60</v>
      </c>
      <c r="D7" s="28"/>
    </row>
    <row r="8" spans="1:10">
      <c r="B8" s="182" t="s">
        <v>7</v>
      </c>
      <c r="C8" s="161">
        <v>45</v>
      </c>
      <c r="D8" s="28"/>
    </row>
    <row r="9" spans="1:10">
      <c r="B9" s="182" t="s">
        <v>8</v>
      </c>
      <c r="C9" s="161">
        <v>0</v>
      </c>
      <c r="D9" s="28"/>
    </row>
    <row r="10" spans="1:10">
      <c r="B10" s="182" t="s">
        <v>9</v>
      </c>
      <c r="C10" s="161">
        <v>70</v>
      </c>
      <c r="D10" s="28"/>
    </row>
    <row r="11" spans="1:10">
      <c r="B11" s="182" t="s">
        <v>10</v>
      </c>
      <c r="C11" s="161">
        <v>15</v>
      </c>
      <c r="D11" s="28"/>
    </row>
    <row r="12" spans="1:10">
      <c r="B12" s="183" t="s">
        <v>11</v>
      </c>
      <c r="C12" s="161">
        <v>350</v>
      </c>
      <c r="D12" s="28"/>
    </row>
    <row r="13" spans="1:10">
      <c r="B13" s="183" t="s">
        <v>12</v>
      </c>
      <c r="C13" s="161">
        <v>75</v>
      </c>
      <c r="D13" s="28"/>
    </row>
    <row r="14" spans="1:10">
      <c r="B14" s="183" t="s">
        <v>13</v>
      </c>
      <c r="C14" s="161">
        <v>75</v>
      </c>
      <c r="D14" s="28"/>
    </row>
    <row r="15" spans="1:10">
      <c r="B15" s="182" t="s">
        <v>14</v>
      </c>
      <c r="C15" s="161">
        <v>500</v>
      </c>
      <c r="D15" s="28"/>
    </row>
    <row r="16" spans="1:10">
      <c r="B16" s="183" t="s">
        <v>15</v>
      </c>
      <c r="C16" s="161">
        <v>-14.315517</v>
      </c>
      <c r="D16" s="28"/>
    </row>
    <row r="17" spans="2:4">
      <c r="B17" s="183"/>
      <c r="C17" s="161"/>
      <c r="D17" s="28"/>
    </row>
    <row r="18" spans="2:4">
      <c r="B18" s="27" t="s">
        <v>16</v>
      </c>
      <c r="C18" s="26">
        <f>Model!$AP$121</f>
        <v>1.383273</v>
      </c>
    </row>
    <row r="19" spans="2:4">
      <c r="B19" s="27"/>
      <c r="C19" s="26"/>
    </row>
    <row r="20" spans="2:4">
      <c r="B20" s="21" t="s">
        <v>17</v>
      </c>
      <c r="C20" s="20">
        <f>C6+C18</f>
        <v>1177.0677559999999</v>
      </c>
      <c r="D20" s="19">
        <f>C20/C25</f>
        <v>4.9470287814973775</v>
      </c>
    </row>
    <row r="21" spans="2:4">
      <c r="B21" s="15" t="s">
        <v>18</v>
      </c>
      <c r="C21" s="23">
        <f>Model!$AP$127</f>
        <v>206.14451399999999</v>
      </c>
      <c r="D21" s="22"/>
    </row>
    <row r="22" spans="2:4">
      <c r="B22" s="21" t="s">
        <v>19</v>
      </c>
      <c r="C22" s="20">
        <f>C20-C21</f>
        <v>970.92324199999996</v>
      </c>
      <c r="D22" s="19">
        <f>C22/C25</f>
        <v>4.0806361386716503</v>
      </c>
    </row>
    <row r="23" spans="2:4" s="122" customFormat="1">
      <c r="B23" s="15" t="s">
        <v>20</v>
      </c>
      <c r="C23" s="151">
        <f>Model!$AP$131</f>
        <v>2858.672196</v>
      </c>
      <c r="D23" s="22"/>
    </row>
    <row r="24" spans="2:4">
      <c r="B24" s="10" t="s">
        <v>21</v>
      </c>
      <c r="C24" s="18">
        <f>C22+C23</f>
        <v>3829.5954379999998</v>
      </c>
      <c r="D24" s="17"/>
    </row>
    <row r="25" spans="2:4" s="210" customFormat="1">
      <c r="B25" s="10" t="s">
        <v>22</v>
      </c>
      <c r="C25" s="68">
        <f>Model!$AP$98</f>
        <v>237.93428500000002</v>
      </c>
      <c r="D25" s="10"/>
    </row>
    <row r="26" spans="2:4">
      <c r="B26" s="14" t="s">
        <v>23</v>
      </c>
      <c r="C26" s="13">
        <f>C20-Model!$AP$126</f>
        <v>0</v>
      </c>
      <c r="D26" s="12"/>
    </row>
    <row r="27" spans="2:4">
      <c r="B27" s="14"/>
      <c r="C27" s="13"/>
      <c r="D27" s="12"/>
    </row>
    <row r="28" spans="2:4" ht="15.75" thickBot="1">
      <c r="B28" s="14"/>
      <c r="C28" s="13"/>
      <c r="D28" s="12"/>
    </row>
    <row r="29" spans="2:4">
      <c r="B29" s="162" t="s">
        <v>24</v>
      </c>
      <c r="C29" s="191" t="s">
        <v>2</v>
      </c>
    </row>
    <row r="30" spans="2:4">
      <c r="B30" s="5" t="s">
        <v>25</v>
      </c>
      <c r="C30" s="4">
        <v>206.12474900000001</v>
      </c>
    </row>
    <row r="31" spans="2:4">
      <c r="B31" s="5" t="s">
        <v>26</v>
      </c>
      <c r="C31" s="4">
        <v>1.9765000000000001E-2</v>
      </c>
    </row>
    <row r="32" spans="2:4">
      <c r="B32" s="5" t="s">
        <v>27</v>
      </c>
      <c r="C32" s="4">
        <v>0</v>
      </c>
    </row>
    <row r="33" spans="2:3" ht="15.75" thickBot="1">
      <c r="B33" s="3" t="s">
        <v>28</v>
      </c>
      <c r="C33" s="2">
        <f>+C30+C31+C32</f>
        <v>206.14451400000002</v>
      </c>
    </row>
    <row r="34" spans="2:3">
      <c r="B34" s="14" t="s">
        <v>23</v>
      </c>
      <c r="C34" s="164">
        <f>C33-C21</f>
        <v>0</v>
      </c>
    </row>
    <row r="35" spans="2:3">
      <c r="B35" s="14"/>
      <c r="C35" s="164"/>
    </row>
    <row r="36" spans="2:3" ht="15.75" thickBot="1">
      <c r="B36" s="10"/>
      <c r="C36" s="9"/>
    </row>
    <row r="37" spans="2:3">
      <c r="B37" s="162" t="s">
        <v>29</v>
      </c>
      <c r="C37" s="165" t="s">
        <v>2</v>
      </c>
    </row>
    <row r="38" spans="2:3">
      <c r="B38" s="5">
        <v>2027</v>
      </c>
      <c r="C38" s="4">
        <f>60+75</f>
        <v>135</v>
      </c>
    </row>
    <row r="39" spans="2:3">
      <c r="B39" s="5">
        <v>2028</v>
      </c>
      <c r="C39" s="4">
        <f>45</f>
        <v>45</v>
      </c>
    </row>
    <row r="40" spans="2:3">
      <c r="B40" s="5">
        <v>2029</v>
      </c>
      <c r="C40" s="4">
        <f>70+75</f>
        <v>145</v>
      </c>
    </row>
    <row r="41" spans="2:3">
      <c r="B41" s="5" t="s">
        <v>30</v>
      </c>
      <c r="C41" s="4">
        <f>15+350+500</f>
        <v>865</v>
      </c>
    </row>
    <row r="42" spans="2:3">
      <c r="B42" s="5" t="s">
        <v>15</v>
      </c>
      <c r="C42" s="125">
        <f>C16</f>
        <v>-14.315517</v>
      </c>
    </row>
    <row r="43" spans="2:3" ht="15.75" thickBot="1">
      <c r="B43" s="3" t="s">
        <v>31</v>
      </c>
      <c r="C43" s="2">
        <f>SUM(C38:C42)</f>
        <v>1175.684483</v>
      </c>
    </row>
    <row r="44" spans="2:3">
      <c r="B44" s="14" t="s">
        <v>23</v>
      </c>
      <c r="C44" s="164">
        <f>C43-C6</f>
        <v>0</v>
      </c>
    </row>
    <row r="45" spans="2:3">
      <c r="B45" s="14"/>
      <c r="C45" s="164"/>
    </row>
    <row r="46" spans="2:3" ht="15.75" thickBot="1">
      <c r="B46" s="10"/>
      <c r="C46" s="9"/>
    </row>
    <row r="47" spans="2:3">
      <c r="B47" s="162" t="s">
        <v>32</v>
      </c>
      <c r="C47" s="165" t="s">
        <v>2</v>
      </c>
    </row>
    <row r="48" spans="2:3">
      <c r="B48" s="5" t="s">
        <v>33</v>
      </c>
      <c r="C48" s="4">
        <v>0.71990200000000004</v>
      </c>
    </row>
    <row r="49" spans="1:10">
      <c r="B49" s="5" t="s">
        <v>34</v>
      </c>
      <c r="C49" s="4">
        <v>0.77466000000000002</v>
      </c>
    </row>
    <row r="50" spans="1:10">
      <c r="B50" s="5" t="s">
        <v>35</v>
      </c>
      <c r="C50" s="4">
        <v>-0.111289</v>
      </c>
    </row>
    <row r="51" spans="1:10" ht="15.75" thickBot="1">
      <c r="B51" s="3" t="s">
        <v>31</v>
      </c>
      <c r="C51" s="2">
        <f>SUM(C48:C50)</f>
        <v>1.3832730000000002</v>
      </c>
    </row>
    <row r="52" spans="1:10">
      <c r="B52" s="14" t="s">
        <v>23</v>
      </c>
      <c r="C52" s="164">
        <f>C51-C18</f>
        <v>0</v>
      </c>
    </row>
    <row r="53" spans="1:10">
      <c r="B53" s="10"/>
      <c r="C53" s="9"/>
    </row>
    <row r="54" spans="1:10">
      <c r="B54" s="10"/>
      <c r="C54" s="9"/>
    </row>
    <row r="58" spans="1:10">
      <c r="A58" s="34" t="s">
        <v>36</v>
      </c>
    </row>
    <row r="59" spans="1:10" ht="15.75" thickBot="1"/>
    <row r="60" spans="1:10">
      <c r="B60" s="158" t="s">
        <v>37</v>
      </c>
      <c r="C60" s="159" t="s">
        <v>2</v>
      </c>
      <c r="D60" s="192" t="s">
        <v>3</v>
      </c>
      <c r="H60" s="190" t="s">
        <v>4</v>
      </c>
      <c r="I60" s="184" t="s">
        <v>2</v>
      </c>
      <c r="J60" s="191" t="s">
        <v>3</v>
      </c>
    </row>
    <row r="61" spans="1:10">
      <c r="B61" s="27" t="s">
        <v>5</v>
      </c>
      <c r="C61" s="26">
        <f>SUM(C62:C75)</f>
        <v>1275.2013930000001</v>
      </c>
      <c r="D61" s="28"/>
      <c r="H61" s="5" t="s">
        <v>38</v>
      </c>
      <c r="I61" s="161">
        <v>1275.2013930000001</v>
      </c>
      <c r="J61" s="185">
        <f>I61/$C$82</f>
        <v>5.5179636218087413</v>
      </c>
    </row>
    <row r="62" spans="1:10">
      <c r="B62" s="182" t="s">
        <v>39</v>
      </c>
      <c r="C62" s="161">
        <v>0</v>
      </c>
      <c r="D62" s="28"/>
      <c r="H62" s="5" t="s">
        <v>40</v>
      </c>
      <c r="I62" s="161">
        <v>-336.90128299999998</v>
      </c>
      <c r="J62" s="186"/>
    </row>
    <row r="63" spans="1:10" ht="15.75" thickBot="1">
      <c r="B63" s="182" t="s">
        <v>41</v>
      </c>
      <c r="C63" s="161">
        <v>0</v>
      </c>
      <c r="D63" s="28"/>
      <c r="H63" s="187" t="s">
        <v>42</v>
      </c>
      <c r="I63" s="188">
        <f>SUM(I61:I62)</f>
        <v>938.30011000000013</v>
      </c>
      <c r="J63" s="189">
        <f>I63/$C$82</f>
        <v>4.0601475984422333</v>
      </c>
    </row>
    <row r="64" spans="1:10">
      <c r="B64" s="182" t="s">
        <v>43</v>
      </c>
      <c r="C64" s="161">
        <v>60</v>
      </c>
      <c r="D64" s="28"/>
    </row>
    <row r="65" spans="2:4">
      <c r="B65" s="182" t="s">
        <v>44</v>
      </c>
      <c r="C65" s="161">
        <v>0</v>
      </c>
      <c r="D65" s="28"/>
    </row>
    <row r="66" spans="2:4">
      <c r="B66" s="182" t="s">
        <v>45</v>
      </c>
      <c r="C66" s="161">
        <v>45</v>
      </c>
      <c r="D66" s="28"/>
    </row>
    <row r="67" spans="2:4">
      <c r="B67" s="182" t="s">
        <v>46</v>
      </c>
      <c r="C67" s="161">
        <v>100.63484099999999</v>
      </c>
      <c r="D67" s="28"/>
    </row>
    <row r="68" spans="2:4">
      <c r="B68" s="182" t="s">
        <v>47</v>
      </c>
      <c r="C68" s="161">
        <v>0</v>
      </c>
      <c r="D68" s="28"/>
    </row>
    <row r="69" spans="2:4">
      <c r="B69" s="182" t="s">
        <v>48</v>
      </c>
      <c r="C69" s="161">
        <v>70</v>
      </c>
      <c r="D69" s="28"/>
    </row>
    <row r="70" spans="2:4">
      <c r="B70" s="182" t="s">
        <v>49</v>
      </c>
      <c r="C70" s="161">
        <v>15</v>
      </c>
      <c r="D70" s="28"/>
    </row>
    <row r="71" spans="2:4">
      <c r="B71" s="183" t="s">
        <v>50</v>
      </c>
      <c r="C71" s="161">
        <v>350</v>
      </c>
      <c r="D71" s="28"/>
    </row>
    <row r="72" spans="2:4">
      <c r="B72" s="183" t="s">
        <v>51</v>
      </c>
      <c r="C72" s="161">
        <v>75</v>
      </c>
      <c r="D72" s="28"/>
    </row>
    <row r="73" spans="2:4">
      <c r="B73" s="183" t="s">
        <v>52</v>
      </c>
      <c r="C73" s="161">
        <v>75</v>
      </c>
      <c r="D73" s="28"/>
    </row>
    <row r="74" spans="2:4">
      <c r="B74" s="183" t="s">
        <v>53</v>
      </c>
      <c r="C74" s="161">
        <v>500</v>
      </c>
      <c r="D74" s="28"/>
    </row>
    <row r="75" spans="2:4">
      <c r="B75" s="183" t="s">
        <v>15</v>
      </c>
      <c r="C75" s="161">
        <v>-15.433448</v>
      </c>
      <c r="D75" s="28"/>
    </row>
    <row r="76" spans="2:4">
      <c r="B76" s="27" t="s">
        <v>16</v>
      </c>
      <c r="C76" s="26">
        <f>Model!$AO$121</f>
        <v>1.456046</v>
      </c>
    </row>
    <row r="77" spans="2:4">
      <c r="B77" s="21" t="s">
        <v>17</v>
      </c>
      <c r="C77" s="20">
        <f>C61+C76</f>
        <v>1276.6574390000001</v>
      </c>
      <c r="D77" s="19">
        <f>C77/C82</f>
        <v>5.52426412375595</v>
      </c>
    </row>
    <row r="78" spans="2:4">
      <c r="B78" s="15" t="s">
        <v>18</v>
      </c>
      <c r="C78" s="23">
        <f>Model!$AO$127</f>
        <v>336.90128299999998</v>
      </c>
      <c r="D78" s="22"/>
    </row>
    <row r="79" spans="2:4">
      <c r="B79" s="21" t="s">
        <v>19</v>
      </c>
      <c r="C79" s="20">
        <f>C77-C78</f>
        <v>939.75615600000015</v>
      </c>
      <c r="D79" s="19">
        <f>C79/C82</f>
        <v>4.0664481003894428</v>
      </c>
    </row>
    <row r="80" spans="2:4">
      <c r="B80" s="10" t="s">
        <v>20</v>
      </c>
      <c r="C80" s="18">
        <f>Model!$AO$131</f>
        <v>2747.756742</v>
      </c>
      <c r="D80" s="17"/>
    </row>
    <row r="81" spans="2:4">
      <c r="B81" s="10" t="s">
        <v>21</v>
      </c>
      <c r="C81" s="18">
        <f>C79+C80</f>
        <v>3687.512898</v>
      </c>
      <c r="D81" s="17"/>
    </row>
    <row r="82" spans="2:4">
      <c r="B82" s="15" t="s">
        <v>22</v>
      </c>
      <c r="C82" s="16">
        <f>Model!$AO$98</f>
        <v>231.1</v>
      </c>
      <c r="D82" s="15"/>
    </row>
    <row r="83" spans="2:4">
      <c r="B83" s="14" t="s">
        <v>23</v>
      </c>
      <c r="C83" s="13">
        <f>C77-Model!$AO$126</f>
        <v>0</v>
      </c>
      <c r="D83" s="12"/>
    </row>
    <row r="84" spans="2:4" ht="15.75" thickBot="1">
      <c r="B84" s="14"/>
      <c r="C84" s="13"/>
      <c r="D84" s="12"/>
    </row>
    <row r="85" spans="2:4">
      <c r="B85" s="162" t="s">
        <v>54</v>
      </c>
      <c r="C85" s="191" t="s">
        <v>2</v>
      </c>
    </row>
    <row r="86" spans="2:4">
      <c r="B86" s="5" t="s">
        <v>25</v>
      </c>
      <c r="C86" s="4">
        <v>336.88146999999998</v>
      </c>
    </row>
    <row r="87" spans="2:4">
      <c r="B87" s="5" t="s">
        <v>26</v>
      </c>
      <c r="C87" s="4">
        <v>1.9813000000000001E-2</v>
      </c>
    </row>
    <row r="88" spans="2:4">
      <c r="B88" s="5" t="s">
        <v>27</v>
      </c>
      <c r="C88" s="4">
        <v>0.73531199999999997</v>
      </c>
    </row>
    <row r="89" spans="2:4" ht="15.75" thickBot="1">
      <c r="B89" s="3" t="s">
        <v>28</v>
      </c>
      <c r="C89" s="2">
        <f>+C86+C87+C88</f>
        <v>337.636595</v>
      </c>
    </row>
    <row r="90" spans="2:4">
      <c r="B90" s="10"/>
      <c r="C90" s="9"/>
    </row>
    <row r="91" spans="2:4" ht="15.75" thickBot="1">
      <c r="B91" s="10"/>
      <c r="C91" s="9"/>
    </row>
    <row r="92" spans="2:4">
      <c r="B92" s="162" t="s">
        <v>55</v>
      </c>
      <c r="C92" s="165" t="s">
        <v>2</v>
      </c>
    </row>
    <row r="93" spans="2:4">
      <c r="B93" s="5">
        <v>2027</v>
      </c>
      <c r="C93" s="4">
        <f>60+100.634841+75</f>
        <v>235.63484099999999</v>
      </c>
    </row>
    <row r="94" spans="2:4">
      <c r="B94" s="5">
        <v>2028</v>
      </c>
      <c r="C94" s="4">
        <f>45</f>
        <v>45</v>
      </c>
    </row>
    <row r="95" spans="2:4">
      <c r="B95" s="5">
        <v>2029</v>
      </c>
      <c r="C95" s="4">
        <f>70+75</f>
        <v>145</v>
      </c>
    </row>
    <row r="96" spans="2:4">
      <c r="B96" s="5" t="s">
        <v>30</v>
      </c>
      <c r="C96" s="4">
        <f>15+350+500</f>
        <v>865</v>
      </c>
    </row>
    <row r="97" spans="1:3">
      <c r="B97" s="5" t="s">
        <v>15</v>
      </c>
      <c r="C97" s="125">
        <f>C75</f>
        <v>-15.433448</v>
      </c>
    </row>
    <row r="98" spans="1:3" ht="15.75" thickBot="1">
      <c r="B98" s="3" t="s">
        <v>31</v>
      </c>
      <c r="C98" s="2">
        <f>SUM(C93:C97)</f>
        <v>1275.2013930000001</v>
      </c>
    </row>
    <row r="99" spans="1:3">
      <c r="B99" s="14" t="s">
        <v>23</v>
      </c>
      <c r="C99" s="164">
        <f>C98-C61</f>
        <v>0</v>
      </c>
    </row>
    <row r="100" spans="1:3" ht="15.75" thickBot="1">
      <c r="B100" s="10"/>
      <c r="C100" s="9"/>
    </row>
    <row r="101" spans="1:3">
      <c r="B101" s="162" t="s">
        <v>56</v>
      </c>
      <c r="C101" s="165" t="s">
        <v>2</v>
      </c>
    </row>
    <row r="102" spans="1:3">
      <c r="B102" s="5" t="s">
        <v>33</v>
      </c>
      <c r="C102" s="4">
        <f>0.717288</f>
        <v>0.71728800000000004</v>
      </c>
    </row>
    <row r="103" spans="1:3">
      <c r="B103" s="5" t="s">
        <v>34</v>
      </c>
      <c r="C103" s="4">
        <v>0.86407999999999996</v>
      </c>
    </row>
    <row r="104" spans="1:3">
      <c r="B104" s="5" t="s">
        <v>35</v>
      </c>
      <c r="C104" s="4">
        <v>-0.12532199999999999</v>
      </c>
    </row>
    <row r="105" spans="1:3" ht="15.75" thickBot="1">
      <c r="B105" s="3" t="s">
        <v>31</v>
      </c>
      <c r="C105" s="2">
        <f>SUM(C102:C104)</f>
        <v>1.456046</v>
      </c>
    </row>
    <row r="106" spans="1:3">
      <c r="B106" s="14" t="s">
        <v>23</v>
      </c>
      <c r="C106" s="164">
        <f>C105-C76</f>
        <v>0</v>
      </c>
    </row>
    <row r="107" spans="1:3">
      <c r="B107" s="10"/>
      <c r="C107" s="9"/>
    </row>
    <row r="108" spans="1:3">
      <c r="B108" s="10"/>
      <c r="C108" s="9"/>
    </row>
    <row r="112" spans="1:3">
      <c r="A112" s="34" t="s">
        <v>57</v>
      </c>
    </row>
    <row r="114" spans="2:4">
      <c r="B114" s="158" t="s">
        <v>58</v>
      </c>
      <c r="C114" s="159" t="s">
        <v>2</v>
      </c>
      <c r="D114" s="160" t="s">
        <v>3</v>
      </c>
    </row>
    <row r="115" spans="2:4">
      <c r="B115" s="27" t="s">
        <v>5</v>
      </c>
      <c r="C115" s="26">
        <f>SUM(C116:C128)</f>
        <v>1445.2304099999999</v>
      </c>
      <c r="D115" s="28"/>
    </row>
    <row r="116" spans="2:4">
      <c r="B116" s="30" t="s">
        <v>39</v>
      </c>
      <c r="C116" s="161">
        <v>139.689573</v>
      </c>
      <c r="D116" s="28"/>
    </row>
    <row r="117" spans="2:4">
      <c r="B117" s="30" t="s">
        <v>43</v>
      </c>
      <c r="C117" s="161">
        <v>60</v>
      </c>
      <c r="D117" s="28"/>
    </row>
    <row r="118" spans="2:4">
      <c r="B118" s="30" t="s">
        <v>44</v>
      </c>
      <c r="C118" s="161">
        <v>0</v>
      </c>
      <c r="D118" s="28"/>
    </row>
    <row r="119" spans="2:4">
      <c r="B119" s="30" t="s">
        <v>45</v>
      </c>
      <c r="C119" s="161">
        <v>45</v>
      </c>
      <c r="D119" s="28"/>
    </row>
    <row r="120" spans="2:4">
      <c r="B120" s="30" t="s">
        <v>46</v>
      </c>
      <c r="C120" s="161">
        <v>101.067328</v>
      </c>
      <c r="D120" s="28"/>
    </row>
    <row r="121" spans="2:4">
      <c r="B121" s="30" t="s">
        <v>47</v>
      </c>
      <c r="C121" s="161">
        <v>24.836172000000001</v>
      </c>
      <c r="D121" s="28"/>
    </row>
    <row r="122" spans="2:4">
      <c r="B122" s="30" t="s">
        <v>48</v>
      </c>
      <c r="C122" s="161">
        <v>70</v>
      </c>
      <c r="D122" s="28"/>
    </row>
    <row r="123" spans="2:4">
      <c r="B123" s="30" t="s">
        <v>49</v>
      </c>
      <c r="C123" s="161">
        <v>15</v>
      </c>
      <c r="D123" s="28"/>
    </row>
    <row r="124" spans="2:4">
      <c r="B124" s="15" t="s">
        <v>59</v>
      </c>
      <c r="C124" s="161">
        <v>350</v>
      </c>
      <c r="D124" s="28"/>
    </row>
    <row r="125" spans="2:4">
      <c r="B125" s="15" t="s">
        <v>51</v>
      </c>
      <c r="C125" s="161">
        <v>75</v>
      </c>
      <c r="D125" s="28"/>
    </row>
    <row r="126" spans="2:4">
      <c r="B126" s="15" t="s">
        <v>60</v>
      </c>
      <c r="C126" s="161">
        <v>75</v>
      </c>
      <c r="D126" s="28"/>
    </row>
    <row r="127" spans="2:4">
      <c r="B127" s="15" t="s">
        <v>53</v>
      </c>
      <c r="C127" s="161">
        <v>500</v>
      </c>
      <c r="D127" s="28"/>
    </row>
    <row r="128" spans="2:4">
      <c r="B128" s="15" t="s">
        <v>15</v>
      </c>
      <c r="C128" s="161">
        <v>-10.362663</v>
      </c>
      <c r="D128" s="28"/>
    </row>
    <row r="129" spans="2:4">
      <c r="B129" s="27" t="s">
        <v>16</v>
      </c>
      <c r="C129" s="26">
        <f>Model!$AN$121</f>
        <v>1.5070000000000001</v>
      </c>
    </row>
    <row r="130" spans="2:4">
      <c r="B130" s="21" t="s">
        <v>17</v>
      </c>
      <c r="C130" s="20">
        <f>C115+C129</f>
        <v>1446.73741</v>
      </c>
      <c r="D130" s="19">
        <f>C130/C135</f>
        <v>6.5462001069274027</v>
      </c>
    </row>
    <row r="131" spans="2:4">
      <c r="B131" s="15" t="s">
        <v>18</v>
      </c>
      <c r="C131" s="23">
        <f>Model!$AN$127</f>
        <v>587.04836899999998</v>
      </c>
      <c r="D131" s="22"/>
    </row>
    <row r="132" spans="2:4">
      <c r="B132" s="21" t="s">
        <v>19</v>
      </c>
      <c r="C132" s="20">
        <f>C130-C131</f>
        <v>859.68904099999997</v>
      </c>
      <c r="D132" s="19">
        <f>C132/C135</f>
        <v>3.8899225617719506</v>
      </c>
    </row>
    <row r="133" spans="2:4">
      <c r="B133" s="10" t="s">
        <v>20</v>
      </c>
      <c r="C133" s="18">
        <f>Model!$AN$131</f>
        <v>2573.02403</v>
      </c>
      <c r="D133" s="17"/>
    </row>
    <row r="134" spans="2:4">
      <c r="B134" s="10" t="s">
        <v>21</v>
      </c>
      <c r="C134" s="18">
        <f>C132+C133</f>
        <v>3432.7130710000001</v>
      </c>
      <c r="D134" s="17"/>
    </row>
    <row r="135" spans="2:4">
      <c r="B135" s="15" t="s">
        <v>22</v>
      </c>
      <c r="C135" s="16">
        <f>Model!$AN$98</f>
        <v>221.00415299999997</v>
      </c>
      <c r="D135" s="15"/>
    </row>
    <row r="136" spans="2:4">
      <c r="B136" s="14" t="s">
        <v>23</v>
      </c>
      <c r="C136" s="13">
        <f>C130-Model!$AN$126</f>
        <v>0</v>
      </c>
      <c r="D136" s="12"/>
    </row>
    <row r="137" spans="2:4" ht="15.75" thickBot="1">
      <c r="B137" s="14"/>
      <c r="C137" s="13"/>
      <c r="D137" s="12"/>
    </row>
    <row r="138" spans="2:4">
      <c r="B138" s="162" t="s">
        <v>61</v>
      </c>
      <c r="C138" s="163" t="s">
        <v>2</v>
      </c>
    </row>
    <row r="139" spans="2:4">
      <c r="B139" s="5" t="s">
        <v>25</v>
      </c>
      <c r="C139" s="4">
        <v>586.42741999999998</v>
      </c>
    </row>
    <row r="140" spans="2:4">
      <c r="B140" s="5" t="s">
        <v>26</v>
      </c>
      <c r="C140" s="4">
        <v>0.62094899999999997</v>
      </c>
    </row>
    <row r="141" spans="2:4">
      <c r="B141" s="5" t="s">
        <v>27</v>
      </c>
      <c r="C141" s="4">
        <v>0.73531199999999997</v>
      </c>
    </row>
    <row r="142" spans="2:4" ht="15.75" thickBot="1">
      <c r="B142" s="3" t="s">
        <v>28</v>
      </c>
      <c r="C142" s="2">
        <f>+C139+C140+C141</f>
        <v>587.783681</v>
      </c>
    </row>
    <row r="143" spans="2:4">
      <c r="B143" s="10"/>
      <c r="C143" s="9"/>
    </row>
    <row r="144" spans="2:4" ht="15.75" thickBot="1">
      <c r="B144" s="10"/>
      <c r="C144" s="9"/>
    </row>
    <row r="145" spans="2:3">
      <c r="B145" s="162" t="s">
        <v>62</v>
      </c>
      <c r="C145" s="165" t="s">
        <v>2</v>
      </c>
    </row>
    <row r="146" spans="2:3">
      <c r="B146" s="5">
        <v>2026</v>
      </c>
      <c r="C146" s="4">
        <f>(139689573+24836172)/1000000</f>
        <v>164.525745</v>
      </c>
    </row>
    <row r="147" spans="2:3">
      <c r="B147" s="5">
        <v>2027</v>
      </c>
      <c r="C147" s="4">
        <f>(60000000+101067328+75000000)/1000000</f>
        <v>236.067328</v>
      </c>
    </row>
    <row r="148" spans="2:3">
      <c r="B148" s="5">
        <v>2028</v>
      </c>
      <c r="C148" s="4">
        <f>(45000000)/1000000</f>
        <v>45</v>
      </c>
    </row>
    <row r="149" spans="2:3">
      <c r="B149" s="5">
        <v>2029</v>
      </c>
      <c r="C149" s="4">
        <f>(70000000+75000000)/1000000</f>
        <v>145</v>
      </c>
    </row>
    <row r="150" spans="2:3">
      <c r="B150" s="5" t="s">
        <v>30</v>
      </c>
      <c r="C150" s="4">
        <f>(15000000+350000000+500000000)/1000000</f>
        <v>865</v>
      </c>
    </row>
    <row r="151" spans="2:3">
      <c r="B151" s="5" t="s">
        <v>15</v>
      </c>
      <c r="C151" s="125">
        <f>C128</f>
        <v>-10.362663</v>
      </c>
    </row>
    <row r="152" spans="2:3" ht="15.75" thickBot="1">
      <c r="B152" s="3" t="s">
        <v>31</v>
      </c>
      <c r="C152" s="2">
        <f>SUM(C146:C151)</f>
        <v>1445.2304099999999</v>
      </c>
    </row>
    <row r="153" spans="2:3">
      <c r="B153" s="14" t="s">
        <v>23</v>
      </c>
      <c r="C153" s="164">
        <f>C152-C115</f>
        <v>0</v>
      </c>
    </row>
    <row r="154" spans="2:3" ht="15.75" thickBot="1">
      <c r="B154" s="10"/>
      <c r="C154" s="9"/>
    </row>
    <row r="155" spans="2:3">
      <c r="B155" s="162" t="s">
        <v>63</v>
      </c>
      <c r="C155" s="165" t="s">
        <v>2</v>
      </c>
    </row>
    <row r="156" spans="2:3">
      <c r="B156" s="5" t="s">
        <v>33</v>
      </c>
      <c r="C156" s="4">
        <f>(710677)/1000000</f>
        <v>0.710677</v>
      </c>
    </row>
    <row r="157" spans="2:3">
      <c r="B157" s="5" t="s">
        <v>34</v>
      </c>
      <c r="C157" s="4">
        <f>(914023)/1000000</f>
        <v>0.91402300000000003</v>
      </c>
    </row>
    <row r="158" spans="2:3">
      <c r="B158" s="5" t="s">
        <v>15</v>
      </c>
      <c r="C158" s="4">
        <v>-0.1177</v>
      </c>
    </row>
    <row r="159" spans="2:3" ht="15.75" thickBot="1">
      <c r="B159" s="3" t="s">
        <v>31</v>
      </c>
      <c r="C159" s="2">
        <f>SUM(C156:C158)</f>
        <v>1.5070000000000001</v>
      </c>
    </row>
    <row r="160" spans="2:3">
      <c r="B160" s="14" t="s">
        <v>23</v>
      </c>
      <c r="C160" s="164">
        <f>C159-C129</f>
        <v>0</v>
      </c>
    </row>
    <row r="161" spans="1:4">
      <c r="B161" s="10"/>
      <c r="C161" s="9"/>
    </row>
    <row r="162" spans="1:4">
      <c r="B162" s="10"/>
      <c r="C162" s="9"/>
    </row>
    <row r="164" spans="1:4">
      <c r="A164" s="34" t="s">
        <v>64</v>
      </c>
    </row>
    <row r="166" spans="1:4">
      <c r="B166" s="33" t="s">
        <v>65</v>
      </c>
      <c r="C166" s="32" t="s">
        <v>2</v>
      </c>
      <c r="D166" s="31" t="s">
        <v>3</v>
      </c>
    </row>
    <row r="167" spans="1:4">
      <c r="B167" s="27" t="s">
        <v>5</v>
      </c>
      <c r="C167" s="26">
        <f>SUM(C168:C182)</f>
        <v>900.35780900000009</v>
      </c>
      <c r="D167" s="28"/>
    </row>
    <row r="168" spans="1:4">
      <c r="B168" s="30" t="s">
        <v>39</v>
      </c>
      <c r="C168" s="29">
        <v>140.35351700000001</v>
      </c>
      <c r="D168" s="28"/>
    </row>
    <row r="169" spans="1:4">
      <c r="B169" s="30" t="s">
        <v>66</v>
      </c>
      <c r="C169" s="29">
        <v>0</v>
      </c>
      <c r="D169" s="28"/>
    </row>
    <row r="170" spans="1:4">
      <c r="B170" s="30" t="s">
        <v>41</v>
      </c>
      <c r="C170" s="29">
        <v>0</v>
      </c>
      <c r="D170" s="28"/>
    </row>
    <row r="171" spans="1:4">
      <c r="B171" s="30" t="s">
        <v>43</v>
      </c>
      <c r="C171" s="29">
        <v>60</v>
      </c>
      <c r="D171" s="28"/>
    </row>
    <row r="172" spans="1:4">
      <c r="B172" s="30" t="s">
        <v>44</v>
      </c>
      <c r="C172" s="29">
        <v>0</v>
      </c>
      <c r="D172" s="28"/>
    </row>
    <row r="173" spans="1:4">
      <c r="B173" s="30" t="s">
        <v>45</v>
      </c>
      <c r="C173" s="29">
        <v>45</v>
      </c>
      <c r="D173" s="28"/>
    </row>
    <row r="174" spans="1:4">
      <c r="B174" s="30" t="s">
        <v>46</v>
      </c>
      <c r="C174" s="29">
        <v>101.494719</v>
      </c>
      <c r="D174" s="28"/>
    </row>
    <row r="175" spans="1:4">
      <c r="B175" s="30" t="s">
        <v>47</v>
      </c>
      <c r="C175" s="29">
        <v>24.950022000000001</v>
      </c>
      <c r="D175" s="28"/>
    </row>
    <row r="176" spans="1:4">
      <c r="B176" s="30" t="s">
        <v>48</v>
      </c>
      <c r="C176" s="29">
        <v>70</v>
      </c>
      <c r="D176" s="28"/>
    </row>
    <row r="177" spans="2:4">
      <c r="B177" s="30" t="s">
        <v>49</v>
      </c>
      <c r="C177" s="29">
        <v>15</v>
      </c>
      <c r="D177" s="28"/>
    </row>
    <row r="178" spans="2:4">
      <c r="B178" s="30" t="s">
        <v>67</v>
      </c>
      <c r="C178" s="131" t="s">
        <v>68</v>
      </c>
      <c r="D178" s="28"/>
    </row>
    <row r="179" spans="2:4">
      <c r="B179" s="15" t="s">
        <v>69</v>
      </c>
      <c r="C179" s="131" t="s">
        <v>68</v>
      </c>
      <c r="D179" s="28"/>
    </row>
    <row r="180" spans="2:4">
      <c r="B180" s="15" t="s">
        <v>59</v>
      </c>
      <c r="C180" s="29">
        <v>350</v>
      </c>
      <c r="D180" s="28"/>
    </row>
    <row r="181" spans="2:4">
      <c r="B181" s="15" t="s">
        <v>70</v>
      </c>
      <c r="C181" s="29">
        <f>50+50</f>
        <v>100</v>
      </c>
      <c r="D181" s="28"/>
    </row>
    <row r="182" spans="2:4">
      <c r="B182" s="15" t="s">
        <v>15</v>
      </c>
      <c r="C182" s="29">
        <v>-6.4404490000000001</v>
      </c>
      <c r="D182" s="28"/>
    </row>
    <row r="183" spans="2:4">
      <c r="B183" s="27" t="s">
        <v>16</v>
      </c>
      <c r="C183" s="26">
        <f>Model!$AM$121</f>
        <v>0.4</v>
      </c>
    </row>
    <row r="184" spans="2:4">
      <c r="B184" s="21" t="s">
        <v>17</v>
      </c>
      <c r="C184" s="20">
        <f>C167+C183</f>
        <v>900.75780900000007</v>
      </c>
      <c r="D184" s="19">
        <f>C184/C189</f>
        <v>4.2159136646778261</v>
      </c>
    </row>
    <row r="185" spans="2:4">
      <c r="B185" s="15" t="s">
        <v>18</v>
      </c>
      <c r="C185" s="23">
        <f>Model!$AM$127</f>
        <v>65.2</v>
      </c>
      <c r="D185" s="22"/>
    </row>
    <row r="186" spans="2:4">
      <c r="B186" s="21" t="s">
        <v>19</v>
      </c>
      <c r="C186" s="20">
        <f>C184-C185</f>
        <v>835.55780900000002</v>
      </c>
      <c r="D186" s="19">
        <f>C186/C189</f>
        <v>3.9107510913528647</v>
      </c>
    </row>
    <row r="187" spans="2:4">
      <c r="B187" s="10" t="s">
        <v>20</v>
      </c>
      <c r="C187" s="18">
        <f>Model!$AM$131</f>
        <v>2543.1</v>
      </c>
      <c r="D187" s="17"/>
    </row>
    <row r="188" spans="2:4">
      <c r="B188" s="10" t="s">
        <v>21</v>
      </c>
      <c r="C188" s="18">
        <f>C186+C187</f>
        <v>3378.6578089999998</v>
      </c>
      <c r="D188" s="17"/>
    </row>
    <row r="189" spans="2:4">
      <c r="B189" s="15" t="s">
        <v>22</v>
      </c>
      <c r="C189" s="16">
        <f>Model!$AM$98</f>
        <v>213.65660699999998</v>
      </c>
      <c r="D189" s="15"/>
    </row>
    <row r="190" spans="2:4">
      <c r="B190" s="14" t="s">
        <v>23</v>
      </c>
      <c r="C190" s="13">
        <f>C184-Model!$AM$126</f>
        <v>-4.2191000000002532E-2</v>
      </c>
      <c r="D190" s="12"/>
    </row>
    <row r="191" spans="2:4" ht="15.75" thickBot="1">
      <c r="B191" s="14"/>
      <c r="C191" s="13"/>
      <c r="D191" s="12"/>
    </row>
    <row r="192" spans="2:4">
      <c r="B192" s="7" t="s">
        <v>71</v>
      </c>
      <c r="C192" s="11" t="s">
        <v>2</v>
      </c>
    </row>
    <row r="193" spans="2:3">
      <c r="B193" s="5" t="s">
        <v>25</v>
      </c>
      <c r="C193" s="4">
        <v>65.154004999999998</v>
      </c>
    </row>
    <row r="194" spans="2:3">
      <c r="B194" s="5" t="s">
        <v>26</v>
      </c>
      <c r="C194" s="4">
        <f>0.085097</f>
        <v>8.5097000000000006E-2</v>
      </c>
    </row>
    <row r="195" spans="2:3">
      <c r="B195" s="5" t="s">
        <v>27</v>
      </c>
      <c r="C195" s="4">
        <v>0.73531199999999997</v>
      </c>
    </row>
    <row r="196" spans="2:3" ht="15.75" thickBot="1">
      <c r="B196" s="3" t="s">
        <v>28</v>
      </c>
      <c r="C196" s="2">
        <f>+C193+C194+C195</f>
        <v>65.974413999999996</v>
      </c>
    </row>
    <row r="197" spans="2:3" ht="15.75" thickBot="1">
      <c r="B197" s="10"/>
      <c r="C197" s="9"/>
    </row>
    <row r="198" spans="2:3">
      <c r="B198" s="7" t="s">
        <v>72</v>
      </c>
      <c r="C198" s="6" t="s">
        <v>2</v>
      </c>
    </row>
    <row r="199" spans="2:3">
      <c r="B199" s="5">
        <v>2026</v>
      </c>
      <c r="C199" s="4">
        <f>(140353517+24950022)/1000000</f>
        <v>165.303539</v>
      </c>
    </row>
    <row r="200" spans="2:3">
      <c r="B200" s="5">
        <v>2027</v>
      </c>
      <c r="C200" s="4">
        <f>(60000000+101494719+50000000)/1000000</f>
        <v>211.494719</v>
      </c>
    </row>
    <row r="201" spans="2:3">
      <c r="B201" s="5">
        <v>2028</v>
      </c>
      <c r="C201" s="4">
        <v>45</v>
      </c>
    </row>
    <row r="202" spans="2:3">
      <c r="B202" s="5">
        <v>2029</v>
      </c>
      <c r="C202" s="4">
        <f>70+50</f>
        <v>120</v>
      </c>
    </row>
    <row r="203" spans="2:3">
      <c r="B203" s="5" t="s">
        <v>30</v>
      </c>
      <c r="C203" s="4">
        <f>(15000000+350000000)/1000000</f>
        <v>365</v>
      </c>
    </row>
    <row r="204" spans="2:3">
      <c r="B204" s="5" t="s">
        <v>15</v>
      </c>
      <c r="C204" s="125">
        <f>C182</f>
        <v>-6.4404490000000001</v>
      </c>
    </row>
    <row r="205" spans="2:3" ht="15.75" thickBot="1">
      <c r="B205" s="3" t="s">
        <v>31</v>
      </c>
      <c r="C205" s="2">
        <f>SUM(C199:C204)</f>
        <v>900.35780900000009</v>
      </c>
    </row>
    <row r="206" spans="2:3" ht="15.75" thickBot="1">
      <c r="B206" s="10"/>
      <c r="C206" s="9"/>
    </row>
    <row r="207" spans="2:3">
      <c r="B207" s="7" t="s">
        <v>73</v>
      </c>
      <c r="C207" s="6" t="s">
        <v>2</v>
      </c>
    </row>
    <row r="208" spans="2:3">
      <c r="B208" s="5" t="s">
        <v>33</v>
      </c>
      <c r="C208" s="4">
        <v>0.27807399999999999</v>
      </c>
    </row>
    <row r="209" spans="1:4">
      <c r="B209" s="5" t="s">
        <v>34</v>
      </c>
      <c r="C209" s="4">
        <v>0.215918</v>
      </c>
    </row>
    <row r="210" spans="1:4">
      <c r="B210" s="5" t="s">
        <v>15</v>
      </c>
      <c r="C210" s="125">
        <v>-5.4357999999999997E-2</v>
      </c>
    </row>
    <row r="211" spans="1:4" ht="15.75" thickBot="1">
      <c r="B211" s="3" t="s">
        <v>31</v>
      </c>
      <c r="C211" s="2">
        <f>SUM(C208:C210)</f>
        <v>0.43963399999999997</v>
      </c>
    </row>
    <row r="212" spans="1:4">
      <c r="B212" s="10"/>
      <c r="C212" s="9"/>
    </row>
    <row r="213" spans="1:4">
      <c r="B213" s="10"/>
      <c r="C213" s="9"/>
    </row>
    <row r="214" spans="1:4">
      <c r="B214" s="10"/>
      <c r="C214" s="9"/>
    </row>
    <row r="216" spans="1:4">
      <c r="A216" s="34" t="s">
        <v>74</v>
      </c>
    </row>
    <row r="218" spans="1:4">
      <c r="B218" s="33" t="s">
        <v>75</v>
      </c>
      <c r="C218" s="32" t="s">
        <v>2</v>
      </c>
      <c r="D218" s="31" t="s">
        <v>3</v>
      </c>
    </row>
    <row r="219" spans="1:4">
      <c r="B219" s="27" t="s">
        <v>5</v>
      </c>
      <c r="C219" s="26">
        <f>SUM(C220:C233)</f>
        <v>801.20074499999998</v>
      </c>
      <c r="D219" s="28"/>
    </row>
    <row r="220" spans="1:4">
      <c r="B220" s="30" t="s">
        <v>39</v>
      </c>
      <c r="C220" s="29">
        <v>141.02755500000001</v>
      </c>
      <c r="D220" s="28"/>
    </row>
    <row r="221" spans="1:4">
      <c r="B221" s="30" t="s">
        <v>66</v>
      </c>
      <c r="C221" s="29">
        <v>0</v>
      </c>
      <c r="D221" s="28"/>
    </row>
    <row r="222" spans="1:4">
      <c r="B222" s="30" t="s">
        <v>41</v>
      </c>
      <c r="C222" s="29">
        <v>0</v>
      </c>
      <c r="D222" s="28"/>
    </row>
    <row r="223" spans="1:4">
      <c r="B223" s="30" t="s">
        <v>43</v>
      </c>
      <c r="C223" s="29">
        <v>60</v>
      </c>
      <c r="D223" s="28"/>
    </row>
    <row r="224" spans="1:4">
      <c r="B224" s="30" t="s">
        <v>44</v>
      </c>
      <c r="C224" s="29">
        <v>45</v>
      </c>
      <c r="D224" s="28"/>
    </row>
    <row r="225" spans="2:4">
      <c r="B225" s="30" t="s">
        <v>45</v>
      </c>
      <c r="C225" s="29">
        <v>0</v>
      </c>
      <c r="D225" s="28"/>
    </row>
    <row r="226" spans="2:4">
      <c r="B226" s="30" t="s">
        <v>46</v>
      </c>
      <c r="C226" s="29">
        <v>101.917075</v>
      </c>
      <c r="D226" s="28"/>
    </row>
    <row r="227" spans="2:4">
      <c r="B227" s="30" t="s">
        <v>47</v>
      </c>
      <c r="C227" s="29">
        <v>25.065795000000001</v>
      </c>
      <c r="D227" s="28"/>
    </row>
    <row r="228" spans="2:4">
      <c r="B228" s="30" t="s">
        <v>48</v>
      </c>
      <c r="C228" s="29">
        <v>70</v>
      </c>
      <c r="D228" s="28"/>
    </row>
    <row r="229" spans="2:4">
      <c r="B229" s="30" t="s">
        <v>49</v>
      </c>
      <c r="C229" s="29">
        <v>15</v>
      </c>
      <c r="D229" s="28"/>
    </row>
    <row r="230" spans="2:4">
      <c r="B230" s="30" t="s">
        <v>67</v>
      </c>
      <c r="C230" s="131" t="s">
        <v>68</v>
      </c>
      <c r="D230" s="28"/>
    </row>
    <row r="231" spans="2:4">
      <c r="B231" s="15" t="s">
        <v>69</v>
      </c>
      <c r="C231" s="131" t="s">
        <v>68</v>
      </c>
      <c r="D231" s="28"/>
    </row>
    <row r="232" spans="2:4">
      <c r="B232" s="15" t="s">
        <v>59</v>
      </c>
      <c r="C232" s="29">
        <v>350</v>
      </c>
      <c r="D232" s="28"/>
    </row>
    <row r="233" spans="2:4">
      <c r="B233" s="15" t="s">
        <v>15</v>
      </c>
      <c r="C233" s="29">
        <v>-6.8096800000000002</v>
      </c>
      <c r="D233" s="28"/>
    </row>
    <row r="234" spans="2:4">
      <c r="B234" s="27" t="s">
        <v>16</v>
      </c>
      <c r="C234" s="26">
        <f>Model!$AL$121</f>
        <v>0.37912600000000002</v>
      </c>
    </row>
    <row r="235" spans="2:4">
      <c r="B235" s="21" t="s">
        <v>17</v>
      </c>
      <c r="C235" s="20">
        <f>C219+C234</f>
        <v>801.57987100000003</v>
      </c>
      <c r="D235" s="19">
        <f>C235/C240</f>
        <v>3.8314757219967808</v>
      </c>
    </row>
    <row r="236" spans="2:4">
      <c r="B236" s="15" t="s">
        <v>18</v>
      </c>
      <c r="C236" s="23">
        <f>Model!$AL$127</f>
        <v>48.685208000000003</v>
      </c>
      <c r="D236" s="22"/>
    </row>
    <row r="237" spans="2:4">
      <c r="B237" s="21" t="s">
        <v>19</v>
      </c>
      <c r="C237" s="20">
        <f>C235-C236</f>
        <v>752.89466300000004</v>
      </c>
      <c r="D237" s="19">
        <f>C237/C240</f>
        <v>3.598765047463933</v>
      </c>
    </row>
    <row r="238" spans="2:4">
      <c r="B238" s="10" t="s">
        <v>20</v>
      </c>
      <c r="C238" s="18">
        <f>Model!$AL$131</f>
        <v>2506.3390559999998</v>
      </c>
      <c r="D238" s="17"/>
    </row>
    <row r="239" spans="2:4">
      <c r="B239" s="10" t="s">
        <v>21</v>
      </c>
      <c r="C239" s="18">
        <f>C237+C238</f>
        <v>3259.2337189999998</v>
      </c>
      <c r="D239" s="17"/>
    </row>
    <row r="240" spans="2:4">
      <c r="B240" s="15" t="s">
        <v>22</v>
      </c>
      <c r="C240" s="16">
        <f>Model!$AL$98</f>
        <v>209.20917399999996</v>
      </c>
      <c r="D240" s="15"/>
    </row>
    <row r="241" spans="2:4">
      <c r="B241" s="14" t="s">
        <v>23</v>
      </c>
      <c r="C241" s="13">
        <f>C235-Model!$AL$126</f>
        <v>0</v>
      </c>
      <c r="D241" s="12"/>
    </row>
    <row r="242" spans="2:4" ht="15.75" thickBot="1">
      <c r="B242" s="14"/>
      <c r="C242" s="13"/>
      <c r="D242" s="12"/>
    </row>
    <row r="243" spans="2:4">
      <c r="B243" s="7" t="s">
        <v>76</v>
      </c>
      <c r="C243" s="11" t="s">
        <v>2</v>
      </c>
    </row>
    <row r="244" spans="2:4">
      <c r="B244" s="5" t="s">
        <v>25</v>
      </c>
      <c r="C244" s="4">
        <v>48.537194999999997</v>
      </c>
    </row>
    <row r="245" spans="2:4">
      <c r="B245" s="5" t="s">
        <v>26</v>
      </c>
      <c r="C245" s="4">
        <v>0.14801300000000001</v>
      </c>
    </row>
    <row r="246" spans="2:4">
      <c r="B246" s="5" t="s">
        <v>27</v>
      </c>
      <c r="C246" s="4">
        <v>0.73531199999999997</v>
      </c>
    </row>
    <row r="247" spans="2:4" ht="15.75" thickBot="1">
      <c r="B247" s="3" t="s">
        <v>28</v>
      </c>
      <c r="C247" s="2">
        <f>+C244+C245+C246</f>
        <v>49.420519999999996</v>
      </c>
    </row>
    <row r="248" spans="2:4" ht="15.75" thickBot="1">
      <c r="B248" s="10"/>
      <c r="C248" s="9"/>
    </row>
    <row r="249" spans="2:4">
      <c r="B249" s="7" t="s">
        <v>77</v>
      </c>
      <c r="C249" s="6" t="s">
        <v>2</v>
      </c>
    </row>
    <row r="250" spans="2:4">
      <c r="B250" s="5">
        <v>2026</v>
      </c>
      <c r="C250" s="4">
        <f>(141027555+25065795)/1000000</f>
        <v>166.09334999999999</v>
      </c>
    </row>
    <row r="251" spans="2:4">
      <c r="B251" s="5">
        <v>2027</v>
      </c>
      <c r="C251" s="4">
        <f>(60000000+101917075)/1000000</f>
        <v>161.91707500000001</v>
      </c>
    </row>
    <row r="252" spans="2:4">
      <c r="B252" s="5">
        <v>2028</v>
      </c>
      <c r="C252" s="4">
        <v>45</v>
      </c>
    </row>
    <row r="253" spans="2:4">
      <c r="B253" s="5">
        <v>2029</v>
      </c>
      <c r="C253" s="4">
        <v>70</v>
      </c>
    </row>
    <row r="254" spans="2:4">
      <c r="B254" s="5" t="s">
        <v>30</v>
      </c>
      <c r="C254" s="4">
        <f>(15000000+350000000)/1000000</f>
        <v>365</v>
      </c>
    </row>
    <row r="255" spans="2:4">
      <c r="B255" s="5" t="s">
        <v>15</v>
      </c>
      <c r="C255" s="125">
        <f>C233</f>
        <v>-6.8096800000000002</v>
      </c>
    </row>
    <row r="256" spans="2:4" ht="15.75" thickBot="1">
      <c r="B256" s="3" t="s">
        <v>31</v>
      </c>
      <c r="C256" s="2">
        <f>SUM(C250:C255)</f>
        <v>801.20074499999998</v>
      </c>
    </row>
    <row r="257" spans="1:4" ht="15.75" thickBot="1">
      <c r="B257" s="10"/>
      <c r="C257" s="9"/>
    </row>
    <row r="258" spans="1:4">
      <c r="B258" s="7" t="s">
        <v>78</v>
      </c>
      <c r="C258" s="6" t="s">
        <v>2</v>
      </c>
    </row>
    <row r="259" spans="1:4">
      <c r="B259" s="5" t="s">
        <v>33</v>
      </c>
      <c r="C259" s="4">
        <v>0.288933</v>
      </c>
    </row>
    <row r="260" spans="1:4">
      <c r="B260" s="5" t="s">
        <v>34</v>
      </c>
      <c r="C260" s="4">
        <v>0.124487</v>
      </c>
    </row>
    <row r="261" spans="1:4">
      <c r="B261" s="5" t="s">
        <v>15</v>
      </c>
      <c r="C261" s="125">
        <f>-(0.034294)</f>
        <v>-3.4293999999999998E-2</v>
      </c>
    </row>
    <row r="262" spans="1:4" ht="15.75" thickBot="1">
      <c r="B262" s="3" t="s">
        <v>31</v>
      </c>
      <c r="C262" s="2">
        <f>SUM(C259:C261)</f>
        <v>0.37912600000000002</v>
      </c>
    </row>
    <row r="263" spans="1:4">
      <c r="B263" s="10"/>
      <c r="C263" s="9"/>
    </row>
    <row r="264" spans="1:4">
      <c r="B264" s="10"/>
      <c r="C264" s="9"/>
    </row>
    <row r="265" spans="1:4">
      <c r="B265" s="10"/>
      <c r="C265" s="9"/>
    </row>
    <row r="267" spans="1:4">
      <c r="A267" s="34" t="s">
        <v>79</v>
      </c>
    </row>
    <row r="269" spans="1:4">
      <c r="B269" s="33" t="s">
        <v>80</v>
      </c>
      <c r="C269" s="32" t="s">
        <v>2</v>
      </c>
      <c r="D269" s="31" t="s">
        <v>3</v>
      </c>
    </row>
    <row r="270" spans="1:4">
      <c r="B270" s="27" t="s">
        <v>5</v>
      </c>
      <c r="C270" s="26">
        <f>SUM(C271:C284)</f>
        <v>847.05067400000007</v>
      </c>
      <c r="D270" s="28"/>
    </row>
    <row r="271" spans="1:4">
      <c r="B271" s="30" t="s">
        <v>39</v>
      </c>
      <c r="C271" s="29">
        <v>141.71165099999999</v>
      </c>
      <c r="D271" s="28"/>
    </row>
    <row r="272" spans="1:4">
      <c r="B272" s="30" t="s">
        <v>66</v>
      </c>
      <c r="C272" s="29">
        <v>0</v>
      </c>
      <c r="D272" s="28"/>
    </row>
    <row r="273" spans="2:4">
      <c r="B273" s="30" t="s">
        <v>41</v>
      </c>
      <c r="C273" s="29">
        <v>0</v>
      </c>
      <c r="D273" s="28"/>
    </row>
    <row r="274" spans="2:4">
      <c r="B274" s="30" t="s">
        <v>43</v>
      </c>
      <c r="C274" s="29">
        <v>60</v>
      </c>
      <c r="D274" s="28"/>
    </row>
    <row r="275" spans="2:4">
      <c r="B275" s="30" t="s">
        <v>44</v>
      </c>
      <c r="C275" s="29">
        <v>45</v>
      </c>
      <c r="D275" s="28"/>
    </row>
    <row r="276" spans="2:4">
      <c r="B276" s="30" t="s">
        <v>45</v>
      </c>
      <c r="C276" s="29">
        <v>45</v>
      </c>
      <c r="D276" s="28"/>
    </row>
    <row r="277" spans="2:4">
      <c r="B277" s="30" t="s">
        <v>46</v>
      </c>
      <c r="C277" s="29">
        <v>102.33445399999999</v>
      </c>
      <c r="D277" s="28"/>
    </row>
    <row r="278" spans="2:4">
      <c r="B278" s="30" t="s">
        <v>47</v>
      </c>
      <c r="C278" s="29">
        <v>25.183482000000001</v>
      </c>
      <c r="D278" s="28"/>
    </row>
    <row r="279" spans="2:4">
      <c r="B279" s="30" t="s">
        <v>48</v>
      </c>
      <c r="C279" s="29">
        <v>70</v>
      </c>
      <c r="D279" s="28"/>
    </row>
    <row r="280" spans="2:4">
      <c r="B280" s="30" t="s">
        <v>49</v>
      </c>
      <c r="C280" s="29">
        <v>15</v>
      </c>
      <c r="D280" s="28"/>
    </row>
    <row r="281" spans="2:4">
      <c r="B281" s="30" t="s">
        <v>67</v>
      </c>
      <c r="C281" s="131" t="s">
        <v>68</v>
      </c>
      <c r="D281" s="28"/>
    </row>
    <row r="282" spans="2:4">
      <c r="B282" s="15" t="s">
        <v>69</v>
      </c>
      <c r="C282" s="131" t="s">
        <v>68</v>
      </c>
      <c r="D282" s="28"/>
    </row>
    <row r="283" spans="2:4">
      <c r="B283" s="15" t="s">
        <v>59</v>
      </c>
      <c r="C283" s="29">
        <v>350</v>
      </c>
      <c r="D283" s="28"/>
    </row>
    <row r="284" spans="2:4">
      <c r="B284" s="15" t="s">
        <v>15</v>
      </c>
      <c r="C284" s="29">
        <v>-7.1789129999999997</v>
      </c>
      <c r="D284" s="28"/>
    </row>
    <row r="285" spans="2:4">
      <c r="B285" s="27" t="s">
        <v>16</v>
      </c>
      <c r="C285" s="26">
        <f>Model!$AK$121</f>
        <v>0.55811599999999995</v>
      </c>
    </row>
    <row r="286" spans="2:4">
      <c r="B286" s="21" t="s">
        <v>17</v>
      </c>
      <c r="C286" s="20">
        <f>C270+C285</f>
        <v>847.60879000000011</v>
      </c>
      <c r="D286" s="19">
        <f>C286/C291</f>
        <v>4.1442007818836712</v>
      </c>
    </row>
    <row r="287" spans="2:4">
      <c r="B287" s="15" t="s">
        <v>18</v>
      </c>
      <c r="C287" s="23">
        <f>Model!$AK$127</f>
        <v>184.12089399999999</v>
      </c>
      <c r="D287" s="22"/>
    </row>
    <row r="288" spans="2:4">
      <c r="B288" s="21" t="s">
        <v>19</v>
      </c>
      <c r="C288" s="20">
        <f>C286-C287</f>
        <v>663.48789600000009</v>
      </c>
      <c r="D288" s="19">
        <f>C288/C291</f>
        <v>3.2439812916210462</v>
      </c>
    </row>
    <row r="289" spans="1:4">
      <c r="B289" s="10" t="s">
        <v>20</v>
      </c>
      <c r="C289" s="18">
        <f>Model!$AK$131</f>
        <v>2597.2841830000002</v>
      </c>
      <c r="D289" s="17"/>
    </row>
    <row r="290" spans="1:4">
      <c r="B290" s="10" t="s">
        <v>21</v>
      </c>
      <c r="C290" s="18">
        <f>C288+C289</f>
        <v>3260.7720790000003</v>
      </c>
      <c r="D290" s="17"/>
    </row>
    <row r="291" spans="1:4">
      <c r="B291" s="15" t="s">
        <v>22</v>
      </c>
      <c r="C291" s="16">
        <f>Model!$AK$98</f>
        <v>204.52889099999999</v>
      </c>
      <c r="D291" s="15"/>
    </row>
    <row r="292" spans="1:4">
      <c r="B292" s="14" t="s">
        <v>23</v>
      </c>
      <c r="C292" s="13">
        <f>C286-Model!$AK$126</f>
        <v>0</v>
      </c>
      <c r="D292" s="12"/>
    </row>
    <row r="293" spans="1:4" ht="15.75" thickBot="1">
      <c r="B293" s="14"/>
      <c r="C293" s="13"/>
      <c r="D293" s="12"/>
    </row>
    <row r="294" spans="1:4">
      <c r="B294" s="7" t="s">
        <v>81</v>
      </c>
      <c r="C294" s="11" t="s">
        <v>2</v>
      </c>
    </row>
    <row r="295" spans="1:4">
      <c r="B295" s="5" t="s">
        <v>25</v>
      </c>
      <c r="C295" s="4">
        <v>183.99309099999999</v>
      </c>
    </row>
    <row r="296" spans="1:4">
      <c r="B296" s="5" t="s">
        <v>26</v>
      </c>
      <c r="C296" s="4">
        <v>0.127803</v>
      </c>
    </row>
    <row r="297" spans="1:4">
      <c r="B297" s="5" t="s">
        <v>27</v>
      </c>
      <c r="C297" s="4">
        <v>0.73531199999999997</v>
      </c>
    </row>
    <row r="298" spans="1:4" ht="15.75" thickBot="1">
      <c r="B298" s="3" t="s">
        <v>28</v>
      </c>
      <c r="C298" s="2">
        <f>+C295+C296+C297</f>
        <v>184.85620599999999</v>
      </c>
    </row>
    <row r="299" spans="1:4" ht="15.75" thickBot="1">
      <c r="B299" s="10"/>
      <c r="C299" s="9"/>
    </row>
    <row r="300" spans="1:4">
      <c r="B300" s="7" t="s">
        <v>82</v>
      </c>
      <c r="C300" s="6" t="s">
        <v>2</v>
      </c>
    </row>
    <row r="301" spans="1:4">
      <c r="A301" s="122"/>
      <c r="B301" s="5" t="s">
        <v>83</v>
      </c>
      <c r="C301" s="125">
        <f>Model!$AK$114</f>
        <v>49.856046999999997</v>
      </c>
      <c r="D301" s="122"/>
    </row>
    <row r="302" spans="1:4">
      <c r="B302" s="5">
        <v>2026</v>
      </c>
      <c r="C302" s="4">
        <v>165.52082300000001</v>
      </c>
    </row>
    <row r="303" spans="1:4">
      <c r="B303" s="5">
        <v>2027</v>
      </c>
      <c r="C303" s="4">
        <v>158.85271700000001</v>
      </c>
    </row>
    <row r="304" spans="1:4">
      <c r="B304" s="5">
        <v>2028</v>
      </c>
      <c r="C304" s="4">
        <v>45</v>
      </c>
    </row>
    <row r="305" spans="1:4">
      <c r="B305" s="5">
        <v>2029</v>
      </c>
      <c r="C305" s="4">
        <v>70</v>
      </c>
    </row>
    <row r="306" spans="1:4">
      <c r="B306" s="5" t="s">
        <v>30</v>
      </c>
      <c r="C306" s="4">
        <v>365</v>
      </c>
    </row>
    <row r="307" spans="1:4">
      <c r="B307" s="5" t="s">
        <v>15</v>
      </c>
      <c r="C307" s="125">
        <f>C284</f>
        <v>-7.1789129999999997</v>
      </c>
    </row>
    <row r="308" spans="1:4" ht="15.75" thickBot="1">
      <c r="B308" s="3" t="s">
        <v>31</v>
      </c>
      <c r="C308" s="2">
        <f>SUM(C301:C307)</f>
        <v>847.05067400000007</v>
      </c>
    </row>
    <row r="311" spans="1:4">
      <c r="A311" s="34" t="s">
        <v>84</v>
      </c>
    </row>
    <row r="313" spans="1:4">
      <c r="B313" s="33" t="s">
        <v>85</v>
      </c>
      <c r="C313" s="32" t="s">
        <v>2</v>
      </c>
      <c r="D313" s="31" t="s">
        <v>3</v>
      </c>
    </row>
    <row r="314" spans="1:4">
      <c r="B314" s="27" t="s">
        <v>5</v>
      </c>
      <c r="C314" s="26">
        <f>SUM(C315:C328)</f>
        <v>847.84430199999997</v>
      </c>
      <c r="D314" s="28"/>
    </row>
    <row r="315" spans="1:4">
      <c r="B315" s="30" t="s">
        <v>39</v>
      </c>
      <c r="C315" s="29">
        <v>142.35236</v>
      </c>
      <c r="D315" s="28"/>
    </row>
    <row r="316" spans="1:4">
      <c r="B316" s="30" t="s">
        <v>66</v>
      </c>
      <c r="C316" s="29">
        <v>0</v>
      </c>
      <c r="D316" s="28"/>
    </row>
    <row r="317" spans="1:4">
      <c r="B317" s="30" t="s">
        <v>41</v>
      </c>
      <c r="C317" s="29">
        <v>0</v>
      </c>
      <c r="D317" s="28"/>
    </row>
    <row r="318" spans="1:4">
      <c r="B318" s="30" t="s">
        <v>43</v>
      </c>
      <c r="C318" s="29">
        <v>60</v>
      </c>
      <c r="D318" s="28"/>
    </row>
    <row r="319" spans="1:4">
      <c r="B319" s="30" t="s">
        <v>44</v>
      </c>
      <c r="C319" s="29">
        <v>45</v>
      </c>
      <c r="D319" s="28"/>
    </row>
    <row r="320" spans="1:4">
      <c r="B320" s="30" t="s">
        <v>45</v>
      </c>
      <c r="C320" s="29">
        <v>45</v>
      </c>
      <c r="D320" s="28"/>
    </row>
    <row r="321" spans="2:4">
      <c r="B321" s="30" t="s">
        <v>46</v>
      </c>
      <c r="C321" s="29">
        <v>102.746916</v>
      </c>
      <c r="D321" s="28"/>
    </row>
    <row r="322" spans="2:4">
      <c r="B322" s="30" t="s">
        <v>47</v>
      </c>
      <c r="C322" s="29">
        <v>25.293168000000001</v>
      </c>
      <c r="D322" s="28"/>
    </row>
    <row r="323" spans="2:4">
      <c r="B323" s="30" t="s">
        <v>48</v>
      </c>
      <c r="C323" s="29">
        <v>70</v>
      </c>
      <c r="D323" s="28"/>
    </row>
    <row r="324" spans="2:4">
      <c r="B324" s="30" t="s">
        <v>49</v>
      </c>
      <c r="C324" s="29">
        <v>15</v>
      </c>
      <c r="D324" s="28"/>
    </row>
    <row r="325" spans="2:4">
      <c r="B325" s="30" t="s">
        <v>67</v>
      </c>
      <c r="C325" s="131" t="s">
        <v>68</v>
      </c>
      <c r="D325" s="28"/>
    </row>
    <row r="326" spans="2:4">
      <c r="B326" s="15" t="s">
        <v>69</v>
      </c>
      <c r="C326" s="131" t="s">
        <v>68</v>
      </c>
      <c r="D326" s="28"/>
    </row>
    <row r="327" spans="2:4">
      <c r="B327" s="15" t="s">
        <v>59</v>
      </c>
      <c r="C327" s="29">
        <v>350</v>
      </c>
      <c r="D327" s="28"/>
    </row>
    <row r="328" spans="2:4">
      <c r="B328" s="15" t="s">
        <v>15</v>
      </c>
      <c r="C328" s="29">
        <v>-7.5481420000000004</v>
      </c>
      <c r="D328" s="28"/>
    </row>
    <row r="329" spans="2:4">
      <c r="B329" s="27" t="s">
        <v>16</v>
      </c>
      <c r="C329" s="26">
        <f>Model!$AJ$121</f>
        <v>0.44114999999999999</v>
      </c>
    </row>
    <row r="330" spans="2:4">
      <c r="B330" s="21" t="s">
        <v>17</v>
      </c>
      <c r="C330" s="20">
        <f>C314+C329</f>
        <v>848.28545199999996</v>
      </c>
      <c r="D330" s="19">
        <f>C330/C335</f>
        <v>4.2922589808191978</v>
      </c>
    </row>
    <row r="331" spans="2:4">
      <c r="B331" s="15" t="s">
        <v>18</v>
      </c>
      <c r="C331" s="23">
        <f>Model!$AJ$127</f>
        <v>281.197607</v>
      </c>
      <c r="D331" s="22"/>
    </row>
    <row r="332" spans="2:4">
      <c r="B332" s="21" t="s">
        <v>19</v>
      </c>
      <c r="C332" s="20">
        <f>C330-C331</f>
        <v>567.08784500000002</v>
      </c>
      <c r="D332" s="19">
        <f>C332/C335</f>
        <v>2.8694207708924089</v>
      </c>
    </row>
    <row r="333" spans="2:4">
      <c r="B333" s="10" t="s">
        <v>20</v>
      </c>
      <c r="C333" s="18">
        <f>Model!$AJ$131</f>
        <v>2691.5646339999998</v>
      </c>
      <c r="D333" s="17"/>
    </row>
    <row r="334" spans="2:4">
      <c r="B334" s="10" t="s">
        <v>21</v>
      </c>
      <c r="C334" s="18">
        <f>C332+C333</f>
        <v>3258.6524789999999</v>
      </c>
      <c r="D334" s="17"/>
    </row>
    <row r="335" spans="2:4">
      <c r="B335" s="15" t="s">
        <v>22</v>
      </c>
      <c r="C335" s="16">
        <f>Model!$AJ$98</f>
        <v>197.63147000000001</v>
      </c>
      <c r="D335" s="15"/>
    </row>
    <row r="336" spans="2:4">
      <c r="B336" s="14" t="s">
        <v>23</v>
      </c>
      <c r="C336" s="13">
        <f>C330-Model!$AJ$126</f>
        <v>0</v>
      </c>
      <c r="D336" s="12"/>
    </row>
    <row r="337" spans="1:4" ht="15.75" thickBot="1">
      <c r="B337" s="14"/>
      <c r="C337" s="13"/>
      <c r="D337" s="12"/>
    </row>
    <row r="338" spans="1:4">
      <c r="B338" s="7" t="s">
        <v>86</v>
      </c>
      <c r="C338" s="11" t="s">
        <v>2</v>
      </c>
    </row>
    <row r="339" spans="1:4">
      <c r="B339" s="5" t="s">
        <v>25</v>
      </c>
      <c r="C339" s="4">
        <v>281.04385300000001</v>
      </c>
    </row>
    <row r="340" spans="1:4">
      <c r="B340" s="5" t="s">
        <v>26</v>
      </c>
      <c r="C340" s="4">
        <v>0.153754</v>
      </c>
    </row>
    <row r="341" spans="1:4">
      <c r="B341" s="5" t="s">
        <v>27</v>
      </c>
      <c r="C341" s="4">
        <v>0.73531199999999997</v>
      </c>
    </row>
    <row r="342" spans="1:4" ht="15.75" thickBot="1">
      <c r="B342" s="3" t="s">
        <v>28</v>
      </c>
      <c r="C342" s="2">
        <f>+C339+C340+C341</f>
        <v>281.93291900000003</v>
      </c>
    </row>
    <row r="343" spans="1:4" ht="15.75" thickBot="1">
      <c r="B343" s="10"/>
      <c r="C343" s="9"/>
    </row>
    <row r="344" spans="1:4">
      <c r="B344" s="7" t="s">
        <v>87</v>
      </c>
      <c r="C344" s="6" t="s">
        <v>2</v>
      </c>
    </row>
    <row r="345" spans="1:4">
      <c r="A345" s="122"/>
      <c r="B345" s="5" t="s">
        <v>83</v>
      </c>
      <c r="C345" s="125">
        <f>Model!$AJ$114</f>
        <v>4.7993709999999998</v>
      </c>
      <c r="D345" s="122"/>
    </row>
    <row r="346" spans="1:4">
      <c r="B346" s="5">
        <v>2025</v>
      </c>
      <c r="C346" s="4">
        <v>45</v>
      </c>
    </row>
    <row r="347" spans="1:4">
      <c r="B347" s="5">
        <v>2028</v>
      </c>
      <c r="C347" s="4">
        <v>45</v>
      </c>
    </row>
    <row r="348" spans="1:4">
      <c r="B348" s="5">
        <v>2031</v>
      </c>
      <c r="C348" s="4">
        <v>350</v>
      </c>
    </row>
    <row r="349" spans="1:4">
      <c r="B349" s="5" t="s">
        <v>15</v>
      </c>
      <c r="C349" s="125">
        <f>C328</f>
        <v>-7.5481420000000004</v>
      </c>
    </row>
    <row r="350" spans="1:4" ht="15.75" thickBot="1">
      <c r="B350" s="3" t="s">
        <v>31</v>
      </c>
      <c r="C350" s="2">
        <f>SUM(C345:C349)</f>
        <v>437.25122900000002</v>
      </c>
    </row>
    <row r="353" spans="1:4">
      <c r="A353" s="34" t="s">
        <v>88</v>
      </c>
    </row>
    <row r="355" spans="1:4">
      <c r="B355" s="33" t="s">
        <v>89</v>
      </c>
      <c r="C355" s="32" t="s">
        <v>2</v>
      </c>
      <c r="D355" s="31" t="s">
        <v>3</v>
      </c>
    </row>
    <row r="356" spans="1:4">
      <c r="B356" s="27" t="s">
        <v>5</v>
      </c>
      <c r="C356" s="26">
        <f>SUM(C357:C370)</f>
        <v>913.62423999999999</v>
      </c>
      <c r="D356" s="28"/>
    </row>
    <row r="357" spans="1:4">
      <c r="B357" s="30" t="s">
        <v>39</v>
      </c>
      <c r="C357" s="29">
        <v>142.98558</v>
      </c>
      <c r="D357" s="28"/>
    </row>
    <row r="358" spans="1:4">
      <c r="B358" s="30" t="s">
        <v>66</v>
      </c>
      <c r="C358" s="29">
        <v>0</v>
      </c>
      <c r="D358" s="28"/>
    </row>
    <row r="359" spans="1:4">
      <c r="B359" s="30" t="s">
        <v>41</v>
      </c>
      <c r="C359" s="29">
        <v>65</v>
      </c>
      <c r="D359" s="28"/>
    </row>
    <row r="360" spans="1:4">
      <c r="B360" s="30" t="s">
        <v>43</v>
      </c>
      <c r="C360" s="29">
        <v>60</v>
      </c>
      <c r="D360" s="28"/>
    </row>
    <row r="361" spans="1:4">
      <c r="B361" s="30" t="s">
        <v>44</v>
      </c>
      <c r="C361" s="29">
        <v>45</v>
      </c>
      <c r="D361" s="28"/>
    </row>
    <row r="362" spans="1:4">
      <c r="B362" s="30" t="s">
        <v>45</v>
      </c>
      <c r="C362" s="29">
        <v>45</v>
      </c>
      <c r="D362" s="28"/>
    </row>
    <row r="363" spans="1:4">
      <c r="B363" s="30" t="s">
        <v>46</v>
      </c>
      <c r="C363" s="29">
        <v>103.154518</v>
      </c>
      <c r="D363" s="28"/>
    </row>
    <row r="364" spans="1:4">
      <c r="B364" s="30" t="s">
        <v>47</v>
      </c>
      <c r="C364" s="29">
        <v>25.401516000000001</v>
      </c>
      <c r="D364" s="28"/>
    </row>
    <row r="365" spans="1:4">
      <c r="B365" s="30" t="s">
        <v>48</v>
      </c>
      <c r="C365" s="29">
        <v>70</v>
      </c>
      <c r="D365" s="28"/>
    </row>
    <row r="366" spans="1:4">
      <c r="B366" s="30" t="s">
        <v>49</v>
      </c>
      <c r="C366" s="29">
        <v>15</v>
      </c>
      <c r="D366" s="28"/>
    </row>
    <row r="367" spans="1:4">
      <c r="B367" s="30" t="s">
        <v>67</v>
      </c>
      <c r="C367" s="29" t="s">
        <v>68</v>
      </c>
      <c r="D367" s="28"/>
    </row>
    <row r="368" spans="1:4">
      <c r="B368" s="15" t="s">
        <v>69</v>
      </c>
      <c r="C368" s="29" t="s">
        <v>68</v>
      </c>
      <c r="D368" s="28"/>
    </row>
    <row r="369" spans="2:4">
      <c r="B369" s="15" t="s">
        <v>59</v>
      </c>
      <c r="C369" s="29">
        <v>350</v>
      </c>
      <c r="D369" s="28"/>
    </row>
    <row r="370" spans="2:4">
      <c r="B370" s="15" t="s">
        <v>15</v>
      </c>
      <c r="C370" s="29">
        <v>-7.9173739999999997</v>
      </c>
      <c r="D370" s="28"/>
    </row>
    <row r="371" spans="2:4">
      <c r="B371" s="27" t="s">
        <v>16</v>
      </c>
      <c r="C371" s="26">
        <f>Model!$AI$121</f>
        <v>0.74590299999999998</v>
      </c>
    </row>
    <row r="372" spans="2:4">
      <c r="B372" s="21" t="s">
        <v>17</v>
      </c>
      <c r="C372" s="20">
        <f>C356+C371</f>
        <v>914.37014299999998</v>
      </c>
      <c r="D372" s="19">
        <f>C372/C377</f>
        <v>4.8038038742472278</v>
      </c>
    </row>
    <row r="373" spans="2:4">
      <c r="B373" s="15" t="s">
        <v>18</v>
      </c>
      <c r="C373" s="23">
        <f>Model!$AI$127</f>
        <v>376.94147500000003</v>
      </c>
      <c r="D373" s="22"/>
    </row>
    <row r="374" spans="2:4">
      <c r="B374" s="21" t="s">
        <v>19</v>
      </c>
      <c r="C374" s="20">
        <f>C372-C373</f>
        <v>537.42866800000002</v>
      </c>
      <c r="D374" s="19">
        <f>C374/C377</f>
        <v>2.8234757414535649</v>
      </c>
    </row>
    <row r="375" spans="2:4">
      <c r="B375" s="10" t="s">
        <v>20</v>
      </c>
      <c r="C375" s="18">
        <f>Model!$AI$131</f>
        <v>2660.7246369999998</v>
      </c>
      <c r="D375" s="17"/>
    </row>
    <row r="376" spans="2:4">
      <c r="B376" s="10" t="s">
        <v>21</v>
      </c>
      <c r="C376" s="18">
        <f>C374+C375</f>
        <v>3198.1533049999998</v>
      </c>
      <c r="D376" s="17"/>
    </row>
    <row r="377" spans="2:4">
      <c r="B377" s="15" t="s">
        <v>22</v>
      </c>
      <c r="C377" s="16">
        <f>Model!$AI$98</f>
        <v>190.34293800000003</v>
      </c>
      <c r="D377" s="15"/>
    </row>
    <row r="378" spans="2:4">
      <c r="B378" s="14" t="s">
        <v>23</v>
      </c>
      <c r="C378" s="13">
        <f>C372-Model!$AI$126</f>
        <v>0</v>
      </c>
      <c r="D378" s="12"/>
    </row>
    <row r="379" spans="2:4" ht="15.75" thickBot="1">
      <c r="B379" s="14"/>
      <c r="C379" s="13"/>
      <c r="D379" s="12"/>
    </row>
    <row r="380" spans="2:4">
      <c r="B380" s="7" t="s">
        <v>90</v>
      </c>
      <c r="C380" s="11" t="s">
        <v>2</v>
      </c>
    </row>
    <row r="381" spans="2:4">
      <c r="B381" s="5" t="s">
        <v>25</v>
      </c>
      <c r="C381" s="4">
        <v>376.81244500000003</v>
      </c>
    </row>
    <row r="382" spans="2:4">
      <c r="B382" s="5" t="s">
        <v>26</v>
      </c>
      <c r="C382" s="4">
        <v>0.12903000000000001</v>
      </c>
    </row>
    <row r="383" spans="2:4">
      <c r="B383" s="5" t="s">
        <v>27</v>
      </c>
      <c r="C383" s="4">
        <v>0.73531199999999997</v>
      </c>
    </row>
    <row r="384" spans="2:4" ht="15.75" thickBot="1">
      <c r="B384" s="3" t="s">
        <v>28</v>
      </c>
      <c r="C384" s="2">
        <f>+C381+C382+C383</f>
        <v>377.67678700000005</v>
      </c>
    </row>
    <row r="385" spans="1:4" ht="15.75" thickBot="1">
      <c r="B385" s="10"/>
      <c r="C385" s="9"/>
    </row>
    <row r="386" spans="1:4">
      <c r="B386" s="7" t="s">
        <v>91</v>
      </c>
      <c r="C386" s="6" t="s">
        <v>2</v>
      </c>
    </row>
    <row r="387" spans="1:4">
      <c r="A387" s="122"/>
      <c r="B387" s="5" t="s">
        <v>83</v>
      </c>
      <c r="C387" s="125">
        <f>Model!$AI$114</f>
        <v>69.743356000000006</v>
      </c>
      <c r="D387" s="122"/>
    </row>
    <row r="388" spans="1:4">
      <c r="B388" s="5">
        <v>2025</v>
      </c>
      <c r="C388" s="4">
        <v>245</v>
      </c>
    </row>
    <row r="389" spans="1:4">
      <c r="B389" s="5">
        <f>+B388+1</f>
        <v>2026</v>
      </c>
      <c r="C389" s="4">
        <v>0</v>
      </c>
    </row>
    <row r="390" spans="1:4">
      <c r="B390" s="5" t="s">
        <v>92</v>
      </c>
      <c r="C390" s="4">
        <f>45+350</f>
        <v>395</v>
      </c>
    </row>
    <row r="391" spans="1:4">
      <c r="B391" s="5" t="s">
        <v>15</v>
      </c>
      <c r="C391" s="125">
        <f>C370</f>
        <v>-7.9173739999999997</v>
      </c>
    </row>
    <row r="392" spans="1:4" ht="15.75" thickBot="1">
      <c r="B392" s="3" t="s">
        <v>31</v>
      </c>
      <c r="C392" s="2">
        <f>SUM(C387:C391)</f>
        <v>701.82598199999995</v>
      </c>
    </row>
    <row r="395" spans="1:4">
      <c r="A395" s="34" t="s">
        <v>93</v>
      </c>
    </row>
    <row r="397" spans="1:4">
      <c r="B397" s="33" t="s">
        <v>94</v>
      </c>
      <c r="C397" s="32" t="s">
        <v>2</v>
      </c>
      <c r="D397" s="31" t="s">
        <v>3</v>
      </c>
    </row>
    <row r="398" spans="1:4">
      <c r="B398" s="27" t="s">
        <v>5</v>
      </c>
      <c r="C398" s="26">
        <f>SUM(C399:C412)</f>
        <v>914.41220099999998</v>
      </c>
      <c r="D398" s="28"/>
    </row>
    <row r="399" spans="1:4">
      <c r="B399" s="30" t="s">
        <v>39</v>
      </c>
      <c r="C399" s="29">
        <v>143.62957599999999</v>
      </c>
      <c r="D399" s="28"/>
    </row>
    <row r="400" spans="1:4">
      <c r="B400" s="30" t="s">
        <v>66</v>
      </c>
      <c r="C400" s="29">
        <v>0</v>
      </c>
      <c r="D400" s="28"/>
    </row>
    <row r="401" spans="2:4">
      <c r="B401" s="30" t="s">
        <v>41</v>
      </c>
      <c r="C401" s="29">
        <v>65</v>
      </c>
      <c r="D401" s="28"/>
    </row>
    <row r="402" spans="2:4">
      <c r="B402" s="30" t="s">
        <v>43</v>
      </c>
      <c r="C402" s="29">
        <v>60</v>
      </c>
      <c r="D402" s="28"/>
    </row>
    <row r="403" spans="2:4">
      <c r="B403" s="30" t="s">
        <v>44</v>
      </c>
      <c r="C403" s="29">
        <v>45</v>
      </c>
      <c r="D403" s="28"/>
    </row>
    <row r="404" spans="2:4">
      <c r="B404" s="30" t="s">
        <v>45</v>
      </c>
      <c r="C404" s="29">
        <v>45</v>
      </c>
      <c r="D404" s="28"/>
    </row>
    <row r="405" spans="2:4">
      <c r="B405" s="30" t="s">
        <v>46</v>
      </c>
      <c r="C405" s="29">
        <v>103.55731900000001</v>
      </c>
      <c r="D405" s="28"/>
    </row>
    <row r="406" spans="2:4">
      <c r="B406" s="30" t="s">
        <v>47</v>
      </c>
      <c r="C406" s="29">
        <v>25.511911000000001</v>
      </c>
      <c r="D406" s="28"/>
    </row>
    <row r="407" spans="2:4">
      <c r="B407" s="30" t="s">
        <v>48</v>
      </c>
      <c r="C407" s="29">
        <v>70</v>
      </c>
      <c r="D407" s="28"/>
    </row>
    <row r="408" spans="2:4">
      <c r="B408" s="30" t="s">
        <v>49</v>
      </c>
      <c r="C408" s="29">
        <v>15</v>
      </c>
      <c r="D408" s="28"/>
    </row>
    <row r="409" spans="2:4">
      <c r="B409" s="30" t="s">
        <v>67</v>
      </c>
      <c r="C409" s="29" t="s">
        <v>68</v>
      </c>
      <c r="D409" s="28"/>
    </row>
    <row r="410" spans="2:4">
      <c r="B410" s="15" t="s">
        <v>69</v>
      </c>
      <c r="C410" s="29" t="s">
        <v>68</v>
      </c>
      <c r="D410" s="28"/>
    </row>
    <row r="411" spans="2:4">
      <c r="B411" s="15" t="s">
        <v>59</v>
      </c>
      <c r="C411" s="29">
        <v>350</v>
      </c>
      <c r="D411" s="28"/>
    </row>
    <row r="412" spans="2:4">
      <c r="B412" s="15" t="s">
        <v>15</v>
      </c>
      <c r="C412" s="29">
        <f>-8.286605</f>
        <v>-8.2866049999999998</v>
      </c>
      <c r="D412" s="28"/>
    </row>
    <row r="413" spans="2:4">
      <c r="B413" s="27" t="s">
        <v>16</v>
      </c>
      <c r="C413" s="26">
        <f>Model!$AH$121</f>
        <v>0.74590299999999998</v>
      </c>
    </row>
    <row r="414" spans="2:4">
      <c r="B414" s="21" t="s">
        <v>17</v>
      </c>
      <c r="C414" s="20">
        <f>C398+C413</f>
        <v>915.15810399999998</v>
      </c>
      <c r="D414" s="19">
        <f>C414/C419</f>
        <v>5.0096457009472344</v>
      </c>
    </row>
    <row r="415" spans="2:4">
      <c r="B415" s="15" t="s">
        <v>18</v>
      </c>
      <c r="C415" s="23">
        <f>Model!$AH$127</f>
        <v>445.06134900000001</v>
      </c>
      <c r="D415" s="22"/>
    </row>
    <row r="416" spans="2:4">
      <c r="B416" s="21" t="s">
        <v>19</v>
      </c>
      <c r="C416" s="20">
        <f>C414-C415</f>
        <v>470.09675499999997</v>
      </c>
      <c r="D416" s="19">
        <f>C416/C419</f>
        <v>2.573345717446649</v>
      </c>
    </row>
    <row r="417" spans="1:4">
      <c r="B417" s="10" t="s">
        <v>20</v>
      </c>
      <c r="C417" s="18">
        <f>Model!$AH$131</f>
        <v>2548.4364340000002</v>
      </c>
      <c r="D417" s="17"/>
    </row>
    <row r="418" spans="1:4">
      <c r="B418" s="10" t="s">
        <v>21</v>
      </c>
      <c r="C418" s="18">
        <f>C416+C417</f>
        <v>3018.5331890000002</v>
      </c>
      <c r="D418" s="17"/>
    </row>
    <row r="419" spans="1:4">
      <c r="B419" s="15" t="s">
        <v>22</v>
      </c>
      <c r="C419" s="16">
        <f>Model!$AH$98</f>
        <v>182.67920700000002</v>
      </c>
      <c r="D419" s="15"/>
    </row>
    <row r="420" spans="1:4">
      <c r="B420" s="14" t="s">
        <v>23</v>
      </c>
      <c r="C420" s="13">
        <f>C414-Model!$AH$126</f>
        <v>0</v>
      </c>
      <c r="D420" s="12"/>
    </row>
    <row r="421" spans="1:4" ht="15.75" thickBot="1">
      <c r="B421" s="14"/>
      <c r="C421" s="13"/>
      <c r="D421" s="12"/>
    </row>
    <row r="422" spans="1:4">
      <c r="B422" s="7" t="s">
        <v>95</v>
      </c>
      <c r="C422" s="11" t="s">
        <v>2</v>
      </c>
    </row>
    <row r="423" spans="1:4">
      <c r="B423" s="5" t="s">
        <v>25</v>
      </c>
      <c r="C423" s="4">
        <v>444.80232100000001</v>
      </c>
    </row>
    <row r="424" spans="1:4">
      <c r="B424" s="5" t="s">
        <v>26</v>
      </c>
      <c r="C424" s="4">
        <v>0.25902799999999998</v>
      </c>
    </row>
    <row r="425" spans="1:4">
      <c r="B425" s="5" t="s">
        <v>27</v>
      </c>
      <c r="C425" s="4">
        <v>0.73531199999999997</v>
      </c>
    </row>
    <row r="426" spans="1:4" ht="15.75" thickBot="1">
      <c r="B426" s="3" t="s">
        <v>28</v>
      </c>
      <c r="C426" s="2">
        <f>+C423+C424+C425</f>
        <v>445.79666100000003</v>
      </c>
    </row>
    <row r="427" spans="1:4" ht="15.75" thickBot="1">
      <c r="B427" s="10"/>
      <c r="C427" s="9"/>
    </row>
    <row r="428" spans="1:4">
      <c r="B428" s="7" t="s">
        <v>96</v>
      </c>
      <c r="C428" s="6" t="s">
        <v>2</v>
      </c>
    </row>
    <row r="429" spans="1:4">
      <c r="A429" s="122"/>
      <c r="B429" s="5" t="s">
        <v>83</v>
      </c>
      <c r="C429" s="125">
        <f>Model!$AH$114</f>
        <v>69.688381000000007</v>
      </c>
      <c r="D429" s="122"/>
    </row>
    <row r="430" spans="1:4">
      <c r="B430" s="5">
        <v>2025</v>
      </c>
      <c r="C430" s="4">
        <v>245</v>
      </c>
    </row>
    <row r="431" spans="1:4">
      <c r="B431" s="5">
        <f>+B430+1</f>
        <v>2026</v>
      </c>
      <c r="C431" s="4">
        <v>0</v>
      </c>
    </row>
    <row r="432" spans="1:4">
      <c r="B432" s="5" t="s">
        <v>92</v>
      </c>
      <c r="C432" s="4">
        <f>45+350</f>
        <v>395</v>
      </c>
    </row>
    <row r="433" spans="1:4">
      <c r="B433" s="5" t="s">
        <v>15</v>
      </c>
      <c r="C433" s="125">
        <f>C412</f>
        <v>-8.2866049999999998</v>
      </c>
    </row>
    <row r="434" spans="1:4" ht="15.75" thickBot="1">
      <c r="B434" s="3" t="s">
        <v>31</v>
      </c>
      <c r="C434" s="2">
        <f>SUM(C429:C433)</f>
        <v>701.40177599999993</v>
      </c>
    </row>
    <row r="437" spans="1:4">
      <c r="A437" s="34" t="s">
        <v>97</v>
      </c>
    </row>
    <row r="439" spans="1:4">
      <c r="B439" s="33" t="s">
        <v>98</v>
      </c>
      <c r="C439" s="32" t="s">
        <v>2</v>
      </c>
      <c r="D439" s="31" t="s">
        <v>3</v>
      </c>
    </row>
    <row r="440" spans="1:4">
      <c r="B440" s="27" t="s">
        <v>5</v>
      </c>
      <c r="C440" s="26">
        <f>SUM(C441:C454)</f>
        <v>915.18675399999995</v>
      </c>
      <c r="D440" s="28"/>
    </row>
    <row r="441" spans="1:4">
      <c r="B441" s="30" t="s">
        <v>39</v>
      </c>
      <c r="C441" s="29">
        <v>144.26622399999999</v>
      </c>
      <c r="D441" s="28"/>
    </row>
    <row r="442" spans="1:4">
      <c r="B442" s="30" t="s">
        <v>66</v>
      </c>
      <c r="C442" s="29">
        <v>0</v>
      </c>
      <c r="D442" s="28"/>
    </row>
    <row r="443" spans="1:4">
      <c r="B443" s="30" t="s">
        <v>41</v>
      </c>
      <c r="C443" s="29">
        <v>65</v>
      </c>
      <c r="D443" s="28"/>
    </row>
    <row r="444" spans="1:4">
      <c r="B444" s="30" t="s">
        <v>43</v>
      </c>
      <c r="C444" s="29">
        <v>60</v>
      </c>
      <c r="D444" s="28"/>
    </row>
    <row r="445" spans="1:4">
      <c r="B445" s="30" t="s">
        <v>44</v>
      </c>
      <c r="C445" s="29">
        <v>45</v>
      </c>
      <c r="D445" s="28"/>
    </row>
    <row r="446" spans="1:4">
      <c r="B446" s="30" t="s">
        <v>45</v>
      </c>
      <c r="C446" s="29">
        <v>45</v>
      </c>
      <c r="D446" s="28"/>
    </row>
    <row r="447" spans="1:4">
      <c r="B447" s="30" t="s">
        <v>46</v>
      </c>
      <c r="C447" s="29">
        <v>103.95537400000001</v>
      </c>
      <c r="D447" s="28"/>
    </row>
    <row r="448" spans="1:4">
      <c r="B448" s="30" t="s">
        <v>47</v>
      </c>
      <c r="C448" s="29">
        <v>25.620991</v>
      </c>
      <c r="D448" s="28"/>
    </row>
    <row r="449" spans="2:4">
      <c r="B449" s="30" t="s">
        <v>48</v>
      </c>
      <c r="C449" s="29">
        <v>70</v>
      </c>
      <c r="D449" s="28"/>
    </row>
    <row r="450" spans="2:4">
      <c r="B450" s="30" t="s">
        <v>49</v>
      </c>
      <c r="C450" s="29">
        <v>15</v>
      </c>
      <c r="D450" s="28"/>
    </row>
    <row r="451" spans="2:4">
      <c r="B451" s="30" t="s">
        <v>67</v>
      </c>
      <c r="C451" s="29" t="s">
        <v>68</v>
      </c>
      <c r="D451" s="28"/>
    </row>
    <row r="452" spans="2:4">
      <c r="B452" s="15" t="s">
        <v>69</v>
      </c>
      <c r="C452" s="29" t="s">
        <v>68</v>
      </c>
      <c r="D452" s="28"/>
    </row>
    <row r="453" spans="2:4">
      <c r="B453" s="15" t="s">
        <v>59</v>
      </c>
      <c r="C453" s="29">
        <v>350</v>
      </c>
      <c r="D453" s="28"/>
    </row>
    <row r="454" spans="2:4">
      <c r="B454" s="15" t="s">
        <v>15</v>
      </c>
      <c r="C454" s="29">
        <v>-8.6558349999999997</v>
      </c>
      <c r="D454" s="28"/>
    </row>
    <row r="455" spans="2:4">
      <c r="B455" s="27" t="s">
        <v>16</v>
      </c>
      <c r="C455" s="26">
        <f>Model!$AG$121</f>
        <v>0.89765099999999998</v>
      </c>
    </row>
    <row r="456" spans="2:4">
      <c r="B456" s="21" t="s">
        <v>17</v>
      </c>
      <c r="C456" s="20">
        <f>C440+C455</f>
        <v>916.08440499999995</v>
      </c>
      <c r="D456" s="19">
        <f>C456/C461</f>
        <v>5.2621946169848357</v>
      </c>
    </row>
    <row r="457" spans="2:4">
      <c r="B457" s="15" t="s">
        <v>18</v>
      </c>
      <c r="C457" s="23">
        <f>Model!$AG$127</f>
        <v>501.16613599999999</v>
      </c>
      <c r="D457" s="22"/>
    </row>
    <row r="458" spans="2:4">
      <c r="B458" s="21" t="s">
        <v>19</v>
      </c>
      <c r="C458" s="20">
        <f>C456-C457</f>
        <v>414.91826899999995</v>
      </c>
      <c r="D458" s="19">
        <f>C458/C461</f>
        <v>2.3833837468507784</v>
      </c>
    </row>
    <row r="459" spans="2:4">
      <c r="B459" s="10" t="s">
        <v>20</v>
      </c>
      <c r="C459" s="18">
        <f>Model!$AG$131</f>
        <v>2486.968425</v>
      </c>
      <c r="D459" s="17"/>
    </row>
    <row r="460" spans="2:4">
      <c r="B460" s="10" t="s">
        <v>21</v>
      </c>
      <c r="C460" s="18">
        <f>C458+C459</f>
        <v>2901.8866939999998</v>
      </c>
      <c r="D460" s="17"/>
    </row>
    <row r="461" spans="2:4">
      <c r="B461" s="15" t="s">
        <v>22</v>
      </c>
      <c r="C461" s="16">
        <f>Model!$AG$98</f>
        <v>174.08789900000002</v>
      </c>
      <c r="D461" s="15"/>
    </row>
    <row r="462" spans="2:4">
      <c r="B462" s="14" t="s">
        <v>23</v>
      </c>
      <c r="C462" s="13">
        <f>C456-Model!$AG$126</f>
        <v>0</v>
      </c>
      <c r="D462" s="12"/>
    </row>
    <row r="463" spans="2:4" ht="15.75" thickBot="1">
      <c r="B463" s="14"/>
      <c r="C463" s="13"/>
      <c r="D463" s="12"/>
    </row>
    <row r="464" spans="2:4">
      <c r="B464" s="7" t="s">
        <v>99</v>
      </c>
      <c r="C464" s="11" t="s">
        <v>2</v>
      </c>
    </row>
    <row r="465" spans="1:4">
      <c r="B465" s="5" t="s">
        <v>25</v>
      </c>
      <c r="C465" s="4">
        <v>501.09392100000002</v>
      </c>
    </row>
    <row r="466" spans="1:4">
      <c r="B466" s="5" t="s">
        <v>26</v>
      </c>
      <c r="C466" s="4">
        <v>7.2215000000000001E-2</v>
      </c>
    </row>
    <row r="467" spans="1:4">
      <c r="B467" s="5" t="s">
        <v>27</v>
      </c>
      <c r="C467" s="4">
        <v>0.73531199999999997</v>
      </c>
    </row>
    <row r="468" spans="1:4" ht="15.75" thickBot="1">
      <c r="B468" s="3" t="s">
        <v>28</v>
      </c>
      <c r="C468" s="2">
        <f>+C465+C466+C467</f>
        <v>501.90144800000007</v>
      </c>
    </row>
    <row r="469" spans="1:4" ht="15.75" thickBot="1">
      <c r="B469" s="10"/>
      <c r="C469" s="9"/>
    </row>
    <row r="470" spans="1:4">
      <c r="B470" s="7" t="s">
        <v>100</v>
      </c>
      <c r="C470" s="6" t="s">
        <v>2</v>
      </c>
    </row>
    <row r="471" spans="1:4">
      <c r="A471" s="122"/>
      <c r="B471" s="5" t="s">
        <v>83</v>
      </c>
      <c r="C471" s="125">
        <f>Model!$AG$114</f>
        <v>69.613001999999994</v>
      </c>
      <c r="D471" s="122"/>
    </row>
    <row r="472" spans="1:4">
      <c r="B472" s="5">
        <v>2025</v>
      </c>
      <c r="C472" s="4">
        <v>49.856046999999997</v>
      </c>
    </row>
    <row r="473" spans="1:4">
      <c r="B473" s="5">
        <f>+B472+1</f>
        <v>2026</v>
      </c>
      <c r="C473" s="4">
        <v>165.52082300000001</v>
      </c>
    </row>
    <row r="474" spans="1:4">
      <c r="B474" s="5" t="s">
        <v>92</v>
      </c>
      <c r="C474" s="4">
        <f>98.852717+105+70+365</f>
        <v>638.85271699999998</v>
      </c>
    </row>
    <row r="475" spans="1:4">
      <c r="B475" s="5" t="s">
        <v>15</v>
      </c>
      <c r="C475" s="125">
        <f>C454</f>
        <v>-8.6558349999999997</v>
      </c>
    </row>
    <row r="476" spans="1:4" ht="15.75" thickBot="1">
      <c r="B476" s="3" t="s">
        <v>31</v>
      </c>
      <c r="C476" s="2">
        <f>SUM(C471:C475)</f>
        <v>915.18675399999995</v>
      </c>
    </row>
    <row r="479" spans="1:4">
      <c r="A479" s="34" t="s">
        <v>101</v>
      </c>
    </row>
    <row r="481" spans="2:4">
      <c r="B481" s="33" t="s">
        <v>102</v>
      </c>
      <c r="C481" s="32" t="s">
        <v>2</v>
      </c>
      <c r="D481" s="31" t="s">
        <v>3</v>
      </c>
    </row>
    <row r="482" spans="2:4">
      <c r="B482" s="27" t="s">
        <v>5</v>
      </c>
      <c r="C482" s="26">
        <f>SUM(C483:C496)</f>
        <v>928.14381400000002</v>
      </c>
      <c r="D482" s="28"/>
    </row>
    <row r="483" spans="2:4">
      <c r="B483" s="30" t="s">
        <v>39</v>
      </c>
      <c r="C483" s="29">
        <v>144.87745699999999</v>
      </c>
      <c r="D483" s="28"/>
    </row>
    <row r="484" spans="2:4">
      <c r="B484" s="30" t="s">
        <v>66</v>
      </c>
      <c r="C484" s="29">
        <v>0</v>
      </c>
      <c r="D484" s="28"/>
    </row>
    <row r="485" spans="2:4">
      <c r="B485" s="30" t="s">
        <v>41</v>
      </c>
      <c r="C485" s="29">
        <v>65</v>
      </c>
      <c r="D485" s="28"/>
    </row>
    <row r="486" spans="2:4">
      <c r="B486" s="30" t="s">
        <v>43</v>
      </c>
      <c r="C486" s="29">
        <v>60</v>
      </c>
      <c r="D486" s="28"/>
    </row>
    <row r="487" spans="2:4">
      <c r="B487" s="30" t="s">
        <v>44</v>
      </c>
      <c r="C487" s="29">
        <v>45</v>
      </c>
      <c r="D487" s="28"/>
    </row>
    <row r="488" spans="2:4">
      <c r="B488" s="30" t="s">
        <v>45</v>
      </c>
      <c r="C488" s="29">
        <v>45</v>
      </c>
      <c r="D488" s="28"/>
    </row>
    <row r="489" spans="2:4">
      <c r="B489" s="30" t="s">
        <v>46</v>
      </c>
      <c r="C489" s="29">
        <v>116.55155000000001</v>
      </c>
      <c r="D489" s="28"/>
    </row>
    <row r="490" spans="2:4">
      <c r="B490" s="30" t="s">
        <v>47</v>
      </c>
      <c r="C490" s="29">
        <v>25.72541</v>
      </c>
      <c r="D490" s="28"/>
    </row>
    <row r="491" spans="2:4">
      <c r="B491" s="30" t="s">
        <v>48</v>
      </c>
      <c r="C491" s="29">
        <v>70</v>
      </c>
      <c r="D491" s="28"/>
    </row>
    <row r="492" spans="2:4">
      <c r="B492" s="30" t="s">
        <v>49</v>
      </c>
      <c r="C492" s="29">
        <v>15</v>
      </c>
      <c r="D492" s="28"/>
    </row>
    <row r="493" spans="2:4">
      <c r="B493" s="30" t="s">
        <v>67</v>
      </c>
      <c r="C493" s="29" t="s">
        <v>68</v>
      </c>
      <c r="D493" s="28"/>
    </row>
    <row r="494" spans="2:4">
      <c r="B494" s="15" t="s">
        <v>69</v>
      </c>
      <c r="C494" s="29" t="s">
        <v>68</v>
      </c>
      <c r="D494" s="28"/>
    </row>
    <row r="495" spans="2:4">
      <c r="B495" s="15" t="s">
        <v>59</v>
      </c>
      <c r="C495" s="29">
        <v>350</v>
      </c>
      <c r="D495" s="28"/>
    </row>
    <row r="496" spans="2:4">
      <c r="B496" s="15" t="s">
        <v>15</v>
      </c>
      <c r="C496" s="29">
        <v>-9.0106029999999997</v>
      </c>
      <c r="D496" s="28"/>
    </row>
    <row r="497" spans="2:4">
      <c r="B497" s="27" t="s">
        <v>16</v>
      </c>
      <c r="C497" s="26">
        <f>Model!$AF$121</f>
        <v>1.0492810000000001</v>
      </c>
    </row>
    <row r="498" spans="2:4">
      <c r="B498" s="21" t="s">
        <v>17</v>
      </c>
      <c r="C498" s="20">
        <f>C482+C497</f>
        <v>929.19309499999997</v>
      </c>
      <c r="D498" s="19">
        <f>C498/C503</f>
        <v>5.4785075613782972</v>
      </c>
    </row>
    <row r="499" spans="2:4">
      <c r="B499" s="15" t="s">
        <v>18</v>
      </c>
      <c r="C499" s="23">
        <f>Model!$AF$127</f>
        <v>408.18265700000001</v>
      </c>
      <c r="D499" s="22"/>
    </row>
    <row r="500" spans="2:4">
      <c r="B500" s="21" t="s">
        <v>19</v>
      </c>
      <c r="C500" s="20">
        <f>C498-C499</f>
        <v>521.01043800000002</v>
      </c>
      <c r="D500" s="19">
        <f>C500/C503</f>
        <v>3.0718691728332512</v>
      </c>
    </row>
    <row r="501" spans="2:4">
      <c r="B501" s="10" t="s">
        <v>20</v>
      </c>
      <c r="C501" s="18">
        <f>Model!$AF$131</f>
        <v>2220.6804590000002</v>
      </c>
      <c r="D501" s="17"/>
    </row>
    <row r="502" spans="2:4">
      <c r="B502" s="10" t="s">
        <v>21</v>
      </c>
      <c r="C502" s="18">
        <f>C500+C501</f>
        <v>2741.6908970000004</v>
      </c>
      <c r="D502" s="17"/>
    </row>
    <row r="503" spans="2:4">
      <c r="B503" s="15" t="s">
        <v>22</v>
      </c>
      <c r="C503" s="16">
        <f>Model!$AF$98</f>
        <v>169.60697500000003</v>
      </c>
      <c r="D503" s="15"/>
    </row>
    <row r="504" spans="2:4">
      <c r="B504" s="14" t="s">
        <v>23</v>
      </c>
      <c r="C504" s="13">
        <f>C498-Model!$AF$126</f>
        <v>0</v>
      </c>
      <c r="D504" s="12"/>
    </row>
    <row r="505" spans="2:4" ht="15.75" thickBot="1">
      <c r="B505" s="14"/>
      <c r="C505" s="13"/>
      <c r="D505" s="12"/>
    </row>
    <row r="506" spans="2:4">
      <c r="B506" s="7" t="s">
        <v>103</v>
      </c>
      <c r="C506" s="11" t="s">
        <v>2</v>
      </c>
    </row>
    <row r="507" spans="2:4">
      <c r="B507" s="5" t="s">
        <v>25</v>
      </c>
      <c r="C507" s="4">
        <v>407.91962999999998</v>
      </c>
    </row>
    <row r="508" spans="2:4">
      <c r="B508" s="5" t="s">
        <v>26</v>
      </c>
      <c r="C508" s="4">
        <v>0.26302700000000001</v>
      </c>
    </row>
    <row r="509" spans="2:4">
      <c r="B509" s="5" t="s">
        <v>27</v>
      </c>
      <c r="C509" s="4">
        <v>0.73531199999999997</v>
      </c>
    </row>
    <row r="510" spans="2:4" ht="15.75" thickBot="1">
      <c r="B510" s="3" t="s">
        <v>28</v>
      </c>
      <c r="C510" s="2">
        <f>+C507+C508+C509</f>
        <v>408.91796900000003</v>
      </c>
    </row>
    <row r="511" spans="2:4" ht="15.75" thickBot="1">
      <c r="B511" s="10"/>
      <c r="C511" s="9"/>
    </row>
    <row r="512" spans="2:4">
      <c r="B512" s="7" t="s">
        <v>104</v>
      </c>
      <c r="C512" s="6" t="s">
        <v>2</v>
      </c>
    </row>
    <row r="513" spans="1:4">
      <c r="A513" s="122"/>
      <c r="B513" s="5" t="s">
        <v>83</v>
      </c>
      <c r="C513" s="125">
        <f>Model!$AF$114</f>
        <v>4.7547560000000004</v>
      </c>
      <c r="D513" s="122"/>
    </row>
    <row r="514" spans="1:4">
      <c r="B514" s="5">
        <v>2024</v>
      </c>
      <c r="C514" s="4">
        <v>80</v>
      </c>
    </row>
    <row r="515" spans="1:4">
      <c r="B515" s="5">
        <f>+B514+1</f>
        <v>2025</v>
      </c>
      <c r="C515" s="4">
        <v>245</v>
      </c>
    </row>
    <row r="516" spans="1:4">
      <c r="B516" s="5" t="s">
        <v>92</v>
      </c>
      <c r="C516" s="4">
        <f>45+350</f>
        <v>395</v>
      </c>
    </row>
    <row r="517" spans="1:4">
      <c r="B517" s="5" t="s">
        <v>15</v>
      </c>
      <c r="C517" s="125">
        <f>C496</f>
        <v>-9.0106029999999997</v>
      </c>
    </row>
    <row r="518" spans="1:4" ht="15.75" thickBot="1">
      <c r="B518" s="3" t="s">
        <v>31</v>
      </c>
      <c r="C518" s="2">
        <f>SUM(C513:C517)</f>
        <v>715.7441530000001</v>
      </c>
    </row>
    <row r="521" spans="1:4">
      <c r="A521" s="34" t="s">
        <v>105</v>
      </c>
    </row>
    <row r="523" spans="1:4">
      <c r="B523" s="33" t="s">
        <v>106</v>
      </c>
      <c r="C523" s="32" t="s">
        <v>2</v>
      </c>
      <c r="D523" s="31" t="s">
        <v>3</v>
      </c>
    </row>
    <row r="524" spans="1:4">
      <c r="B524" s="27" t="s">
        <v>5</v>
      </c>
      <c r="C524" s="26">
        <f>SUM(C525:C538)</f>
        <v>928.89562100000001</v>
      </c>
      <c r="D524" s="28"/>
    </row>
    <row r="525" spans="1:4">
      <c r="B525" s="30" t="s">
        <v>39</v>
      </c>
      <c r="C525" s="29">
        <v>145.48154199999999</v>
      </c>
      <c r="D525" s="28"/>
    </row>
    <row r="526" spans="1:4">
      <c r="B526" s="30" t="s">
        <v>66</v>
      </c>
      <c r="C526" s="29">
        <v>0</v>
      </c>
      <c r="D526" s="28"/>
    </row>
    <row r="527" spans="1:4">
      <c r="B527" s="30" t="s">
        <v>41</v>
      </c>
      <c r="C527" s="29">
        <v>65</v>
      </c>
      <c r="D527" s="28"/>
    </row>
    <row r="528" spans="1:4">
      <c r="B528" s="30" t="s">
        <v>43</v>
      </c>
      <c r="C528" s="29">
        <v>60</v>
      </c>
      <c r="D528" s="28"/>
    </row>
    <row r="529" spans="2:4">
      <c r="B529" s="30" t="s">
        <v>44</v>
      </c>
      <c r="C529" s="29">
        <v>45</v>
      </c>
      <c r="D529" s="28"/>
    </row>
    <row r="530" spans="2:4">
      <c r="B530" s="30" t="s">
        <v>45</v>
      </c>
      <c r="C530" s="29">
        <v>45</v>
      </c>
      <c r="D530" s="28"/>
    </row>
    <row r="531" spans="2:4">
      <c r="B531" s="30" t="s">
        <v>46</v>
      </c>
      <c r="C531" s="29">
        <v>116.97982500000001</v>
      </c>
      <c r="D531" s="28"/>
    </row>
    <row r="532" spans="2:4">
      <c r="B532" s="30" t="s">
        <v>47</v>
      </c>
      <c r="C532" s="29">
        <v>25.828551999999998</v>
      </c>
      <c r="D532" s="28"/>
    </row>
    <row r="533" spans="2:4">
      <c r="B533" s="30" t="s">
        <v>48</v>
      </c>
      <c r="C533" s="29">
        <v>70</v>
      </c>
      <c r="D533" s="28"/>
    </row>
    <row r="534" spans="2:4">
      <c r="B534" s="30" t="s">
        <v>49</v>
      </c>
      <c r="C534" s="29">
        <v>15</v>
      </c>
      <c r="D534" s="28"/>
    </row>
    <row r="535" spans="2:4">
      <c r="B535" s="30" t="s">
        <v>67</v>
      </c>
      <c r="C535" s="29" t="s">
        <v>68</v>
      </c>
      <c r="D535" s="28"/>
    </row>
    <row r="536" spans="2:4">
      <c r="B536" s="15" t="s">
        <v>69</v>
      </c>
      <c r="C536" s="29" t="s">
        <v>68</v>
      </c>
      <c r="D536" s="28"/>
    </row>
    <row r="537" spans="2:4">
      <c r="B537" s="15" t="s">
        <v>59</v>
      </c>
      <c r="C537" s="29">
        <v>350</v>
      </c>
      <c r="D537" s="28"/>
    </row>
    <row r="538" spans="2:4">
      <c r="B538" s="15" t="s">
        <v>15</v>
      </c>
      <c r="C538" s="29">
        <v>-9.3942979999999991</v>
      </c>
      <c r="D538" s="28"/>
    </row>
    <row r="539" spans="2:4">
      <c r="B539" s="27" t="s">
        <v>16</v>
      </c>
      <c r="C539" s="26">
        <f>Model!AE121</f>
        <v>1.201716</v>
      </c>
    </row>
    <row r="540" spans="2:4">
      <c r="B540" s="21" t="s">
        <v>17</v>
      </c>
      <c r="C540" s="20">
        <f>C524+C539</f>
        <v>930.09733700000004</v>
      </c>
      <c r="D540" s="19">
        <f>C540/C545</f>
        <v>5.6983489854989058</v>
      </c>
    </row>
    <row r="541" spans="2:4">
      <c r="B541" s="15" t="s">
        <v>18</v>
      </c>
      <c r="C541" s="23">
        <f>Model!AE127</f>
        <v>50.724851000000001</v>
      </c>
      <c r="D541" s="22"/>
    </row>
    <row r="542" spans="2:4">
      <c r="B542" s="21" t="s">
        <v>19</v>
      </c>
      <c r="C542" s="20">
        <f>C540-C541</f>
        <v>879.37248599999998</v>
      </c>
      <c r="D542" s="19">
        <f>C542/C545</f>
        <v>5.3875773149039246</v>
      </c>
    </row>
    <row r="543" spans="2:4">
      <c r="B543" s="10" t="s">
        <v>20</v>
      </c>
      <c r="C543" s="18">
        <f>Model!AE131</f>
        <v>1741.695561</v>
      </c>
      <c r="D543" s="17"/>
    </row>
    <row r="544" spans="2:4">
      <c r="B544" s="10" t="s">
        <v>21</v>
      </c>
      <c r="C544" s="18">
        <f>C542+C543</f>
        <v>2621.0680469999998</v>
      </c>
      <c r="D544" s="17"/>
    </row>
    <row r="545" spans="1:4">
      <c r="B545" s="15" t="s">
        <v>22</v>
      </c>
      <c r="C545" s="16">
        <f>Model!AE98</f>
        <v>163.22224900000003</v>
      </c>
      <c r="D545" s="15"/>
    </row>
    <row r="546" spans="1:4">
      <c r="B546" s="14" t="s">
        <v>23</v>
      </c>
      <c r="C546" s="13">
        <f>C540-Model!AE126</f>
        <v>0</v>
      </c>
      <c r="D546" s="12"/>
    </row>
    <row r="547" spans="1:4" ht="15.75" thickBot="1">
      <c r="B547" s="14"/>
      <c r="C547" s="13"/>
      <c r="D547" s="12"/>
    </row>
    <row r="548" spans="1:4">
      <c r="B548" s="7" t="s">
        <v>107</v>
      </c>
      <c r="C548" s="11" t="s">
        <v>2</v>
      </c>
    </row>
    <row r="549" spans="1:4">
      <c r="B549" s="5" t="s">
        <v>25</v>
      </c>
      <c r="C549" s="4">
        <v>50.402928000000003</v>
      </c>
    </row>
    <row r="550" spans="1:4">
      <c r="B550" s="5" t="s">
        <v>26</v>
      </c>
      <c r="C550" s="4">
        <v>0.32192300000000001</v>
      </c>
    </row>
    <row r="551" spans="1:4">
      <c r="B551" s="5" t="s">
        <v>27</v>
      </c>
      <c r="C551" s="4">
        <v>0.73531199999999997</v>
      </c>
    </row>
    <row r="552" spans="1:4" ht="15.75" thickBot="1">
      <c r="B552" s="3" t="s">
        <v>28</v>
      </c>
      <c r="C552" s="2">
        <f>+C549+C550+C551</f>
        <v>51.460163000000001</v>
      </c>
    </row>
    <row r="553" spans="1:4" ht="15.75" thickBot="1">
      <c r="B553" s="10"/>
      <c r="C553" s="9"/>
    </row>
    <row r="554" spans="1:4">
      <c r="B554" s="7" t="s">
        <v>108</v>
      </c>
      <c r="C554" s="6" t="s">
        <v>2</v>
      </c>
    </row>
    <row r="555" spans="1:4">
      <c r="A555" s="122"/>
      <c r="B555" s="5" t="s">
        <v>83</v>
      </c>
      <c r="C555" s="4">
        <f>Model!AE114</f>
        <v>4.6987730000000001</v>
      </c>
      <c r="D555" s="122"/>
    </row>
    <row r="556" spans="1:4">
      <c r="B556" s="5">
        <v>2024</v>
      </c>
      <c r="C556" s="4">
        <v>80</v>
      </c>
    </row>
    <row r="557" spans="1:4">
      <c r="B557" s="5">
        <f>+B556+1</f>
        <v>2025</v>
      </c>
      <c r="C557" s="4">
        <v>245</v>
      </c>
    </row>
    <row r="558" spans="1:4">
      <c r="B558" s="5" t="s">
        <v>92</v>
      </c>
      <c r="C558" s="4">
        <f>45+350</f>
        <v>395</v>
      </c>
    </row>
    <row r="559" spans="1:4">
      <c r="B559" s="5" t="s">
        <v>15</v>
      </c>
      <c r="C559" s="4">
        <f>C538</f>
        <v>-9.3942979999999991</v>
      </c>
    </row>
    <row r="560" spans="1:4" ht="15.75" thickBot="1">
      <c r="B560" s="3" t="s">
        <v>31</v>
      </c>
      <c r="C560" s="2">
        <f>SUM(C555:C559)</f>
        <v>715.30447500000002</v>
      </c>
    </row>
    <row r="563" spans="1:4">
      <c r="A563" s="34" t="s">
        <v>109</v>
      </c>
    </row>
    <row r="565" spans="1:4">
      <c r="B565" s="33" t="s">
        <v>110</v>
      </c>
      <c r="C565" s="32" t="s">
        <v>2</v>
      </c>
      <c r="D565" s="31" t="s">
        <v>3</v>
      </c>
    </row>
    <row r="566" spans="1:4">
      <c r="B566" s="27" t="s">
        <v>5</v>
      </c>
      <c r="C566" s="26">
        <f>SUM(C567:C580)</f>
        <v>929.68575499999997</v>
      </c>
      <c r="D566" s="28"/>
    </row>
    <row r="567" spans="1:4">
      <c r="B567" s="30" t="s">
        <v>39</v>
      </c>
      <c r="C567" s="29">
        <v>146.09705</v>
      </c>
      <c r="D567" s="28"/>
    </row>
    <row r="568" spans="1:4">
      <c r="B568" s="30" t="s">
        <v>66</v>
      </c>
      <c r="C568" s="29">
        <v>0</v>
      </c>
      <c r="D568" s="28"/>
    </row>
    <row r="569" spans="1:4">
      <c r="B569" s="30" t="s">
        <v>41</v>
      </c>
      <c r="C569" s="29">
        <v>65</v>
      </c>
      <c r="D569" s="28"/>
    </row>
    <row r="570" spans="1:4">
      <c r="B570" s="30" t="s">
        <v>43</v>
      </c>
      <c r="C570" s="29">
        <v>60</v>
      </c>
      <c r="D570" s="28"/>
    </row>
    <row r="571" spans="1:4">
      <c r="B571" s="30" t="s">
        <v>44</v>
      </c>
      <c r="C571" s="29">
        <v>45</v>
      </c>
      <c r="D571" s="28"/>
    </row>
    <row r="572" spans="1:4">
      <c r="B572" s="30" t="s">
        <v>45</v>
      </c>
      <c r="C572" s="29">
        <v>45</v>
      </c>
      <c r="D572" s="28"/>
    </row>
    <row r="573" spans="1:4">
      <c r="B573" s="30" t="s">
        <v>46</v>
      </c>
      <c r="C573" s="29">
        <v>117.41837200000001</v>
      </c>
      <c r="D573" s="28"/>
    </row>
    <row r="574" spans="1:4">
      <c r="B574" s="30" t="s">
        <v>47</v>
      </c>
      <c r="C574" s="29">
        <v>25.933861</v>
      </c>
      <c r="D574" s="28"/>
    </row>
    <row r="575" spans="1:4">
      <c r="B575" s="30" t="s">
        <v>48</v>
      </c>
      <c r="C575" s="29">
        <v>70</v>
      </c>
      <c r="D575" s="28"/>
    </row>
    <row r="576" spans="1:4">
      <c r="B576" s="30" t="s">
        <v>49</v>
      </c>
      <c r="C576" s="29">
        <v>15</v>
      </c>
      <c r="D576" s="28"/>
    </row>
    <row r="577" spans="2:4">
      <c r="B577" s="30" t="s">
        <v>67</v>
      </c>
      <c r="C577" s="29" t="s">
        <v>68</v>
      </c>
      <c r="D577" s="28"/>
    </row>
    <row r="578" spans="2:4">
      <c r="B578" s="15" t="s">
        <v>69</v>
      </c>
      <c r="C578" s="29" t="s">
        <v>68</v>
      </c>
      <c r="D578" s="28"/>
    </row>
    <row r="579" spans="2:4">
      <c r="B579" s="15" t="s">
        <v>59</v>
      </c>
      <c r="C579" s="29">
        <v>350</v>
      </c>
      <c r="D579" s="28"/>
    </row>
    <row r="580" spans="2:4">
      <c r="B580" s="15" t="s">
        <v>15</v>
      </c>
      <c r="C580" s="29">
        <v>-9.7635280000000009</v>
      </c>
      <c r="D580" s="28"/>
    </row>
    <row r="581" spans="2:4">
      <c r="B581" s="27" t="s">
        <v>16</v>
      </c>
      <c r="C581" s="26">
        <f>Model!AD121</f>
        <v>1.352646</v>
      </c>
    </row>
    <row r="582" spans="2:4">
      <c r="B582" s="21" t="s">
        <v>17</v>
      </c>
      <c r="C582" s="20">
        <f>C566+C581</f>
        <v>931.03840100000002</v>
      </c>
      <c r="D582" s="19">
        <f>C582/C587</f>
        <v>5.9359098072199936</v>
      </c>
    </row>
    <row r="583" spans="2:4">
      <c r="B583" s="15" t="s">
        <v>18</v>
      </c>
      <c r="C583" s="23">
        <f>Model!AD127</f>
        <v>98.212738999999999</v>
      </c>
      <c r="D583" s="22"/>
    </row>
    <row r="584" spans="2:4">
      <c r="B584" s="21" t="s">
        <v>19</v>
      </c>
      <c r="C584" s="20">
        <f>C582-C583</f>
        <v>832.82566199999997</v>
      </c>
      <c r="D584" s="19">
        <f>C584/C587</f>
        <v>5.3097466328569656</v>
      </c>
    </row>
    <row r="585" spans="2:4">
      <c r="B585" s="10" t="s">
        <v>20</v>
      </c>
      <c r="C585" s="18">
        <f>Model!AD131</f>
        <v>1641.3932319999999</v>
      </c>
      <c r="D585" s="17"/>
    </row>
    <row r="586" spans="2:4">
      <c r="B586" s="10" t="s">
        <v>21</v>
      </c>
      <c r="C586" s="18">
        <f>C584+C585</f>
        <v>2474.2188939999996</v>
      </c>
      <c r="D586" s="17"/>
    </row>
    <row r="587" spans="2:4">
      <c r="B587" s="15" t="s">
        <v>22</v>
      </c>
      <c r="C587" s="16">
        <f>Model!AD98</f>
        <v>156.84847500000001</v>
      </c>
      <c r="D587" s="15"/>
    </row>
    <row r="588" spans="2:4">
      <c r="B588" s="14" t="s">
        <v>23</v>
      </c>
      <c r="C588" s="13">
        <f>C582-Model!AD126</f>
        <v>0</v>
      </c>
      <c r="D588" s="12"/>
    </row>
    <row r="589" spans="2:4" ht="15.75" thickBot="1">
      <c r="B589" s="14"/>
      <c r="C589" s="13"/>
      <c r="D589" s="12"/>
    </row>
    <row r="590" spans="2:4">
      <c r="B590" s="7" t="s">
        <v>111</v>
      </c>
      <c r="C590" s="11" t="s">
        <v>2</v>
      </c>
    </row>
    <row r="591" spans="2:4">
      <c r="B591" s="5" t="s">
        <v>25</v>
      </c>
      <c r="C591" s="4">
        <v>98.012561000000005</v>
      </c>
    </row>
    <row r="592" spans="2:4">
      <c r="B592" s="5" t="s">
        <v>26</v>
      </c>
      <c r="C592" s="4">
        <v>0.20017799999999999</v>
      </c>
    </row>
    <row r="593" spans="1:4">
      <c r="B593" s="5" t="s">
        <v>27</v>
      </c>
      <c r="C593" s="4">
        <v>0.73531199999999997</v>
      </c>
    </row>
    <row r="594" spans="1:4" ht="15.75" thickBot="1">
      <c r="B594" s="3" t="s">
        <v>28</v>
      </c>
      <c r="C594" s="2">
        <f>+C591+C592+C593</f>
        <v>98.948050999999992</v>
      </c>
    </row>
    <row r="595" spans="1:4" ht="15.75" thickBot="1">
      <c r="B595" s="10"/>
      <c r="C595" s="9"/>
    </row>
    <row r="596" spans="1:4">
      <c r="B596" s="7" t="s">
        <v>112</v>
      </c>
      <c r="C596" s="6" t="s">
        <v>2</v>
      </c>
    </row>
    <row r="597" spans="1:4">
      <c r="A597" s="122"/>
      <c r="B597" s="5" t="s">
        <v>83</v>
      </c>
      <c r="C597" s="4">
        <v>4.6440460000000003</v>
      </c>
      <c r="D597" s="122"/>
    </row>
    <row r="598" spans="1:4">
      <c r="B598" s="5">
        <v>2024</v>
      </c>
      <c r="C598" s="4">
        <v>4.9045160000000001</v>
      </c>
    </row>
    <row r="599" spans="1:4">
      <c r="B599" s="5">
        <f>+B598+1</f>
        <v>2025</v>
      </c>
      <c r="C599" s="4">
        <v>115.140491</v>
      </c>
    </row>
    <row r="600" spans="1:4">
      <c r="B600" s="5" t="s">
        <v>92</v>
      </c>
      <c r="C600" s="4">
        <f>164.944327+169.815903+480</f>
        <v>814.76022999999998</v>
      </c>
    </row>
    <row r="601" spans="1:4">
      <c r="B601" s="5" t="s">
        <v>15</v>
      </c>
      <c r="C601" s="4">
        <v>-9.7635280000000009</v>
      </c>
    </row>
    <row r="602" spans="1:4" ht="15.75" thickBot="1">
      <c r="B602" s="3" t="s">
        <v>31</v>
      </c>
      <c r="C602" s="2">
        <f>SUM(C597:C601)</f>
        <v>929.68575499999997</v>
      </c>
    </row>
    <row r="605" spans="1:4">
      <c r="A605" s="34" t="s">
        <v>113</v>
      </c>
    </row>
    <row r="607" spans="1:4">
      <c r="B607" s="33" t="s">
        <v>114</v>
      </c>
      <c r="C607" s="32" t="s">
        <v>2</v>
      </c>
      <c r="D607" s="31" t="s">
        <v>3</v>
      </c>
    </row>
    <row r="608" spans="1:4">
      <c r="B608" s="27" t="s">
        <v>5</v>
      </c>
      <c r="C608" s="26">
        <f>SUM(C609:C622)</f>
        <v>930.49958600000002</v>
      </c>
      <c r="D608" s="28"/>
    </row>
    <row r="609" spans="2:4">
      <c r="B609" s="30" t="s">
        <v>39</v>
      </c>
      <c r="C609" s="29">
        <v>146.72391500000001</v>
      </c>
      <c r="D609" s="28"/>
    </row>
    <row r="610" spans="2:4">
      <c r="B610" s="30" t="s">
        <v>66</v>
      </c>
      <c r="C610" s="29">
        <v>0</v>
      </c>
      <c r="D610" s="28"/>
    </row>
    <row r="611" spans="2:4">
      <c r="B611" s="30" t="s">
        <v>41</v>
      </c>
      <c r="C611" s="29">
        <v>65</v>
      </c>
      <c r="D611" s="28"/>
    </row>
    <row r="612" spans="2:4">
      <c r="B612" s="30" t="s">
        <v>43</v>
      </c>
      <c r="C612" s="29">
        <v>60</v>
      </c>
      <c r="D612" s="28"/>
    </row>
    <row r="613" spans="2:4">
      <c r="B613" s="30" t="s">
        <v>44</v>
      </c>
      <c r="C613" s="29">
        <v>45</v>
      </c>
      <c r="D613" s="28"/>
    </row>
    <row r="614" spans="2:4">
      <c r="B614" s="30" t="s">
        <v>45</v>
      </c>
      <c r="C614" s="29">
        <v>45</v>
      </c>
      <c r="D614" s="28"/>
    </row>
    <row r="615" spans="2:4">
      <c r="B615" s="30" t="s">
        <v>46</v>
      </c>
      <c r="C615" s="29">
        <v>117.867109</v>
      </c>
      <c r="D615" s="28"/>
    </row>
    <row r="616" spans="2:4">
      <c r="B616" s="30" t="s">
        <v>47</v>
      </c>
      <c r="C616" s="29">
        <v>26.041321</v>
      </c>
      <c r="D616" s="28"/>
    </row>
    <row r="617" spans="2:4">
      <c r="B617" s="30" t="s">
        <v>48</v>
      </c>
      <c r="C617" s="29">
        <v>70</v>
      </c>
      <c r="D617" s="28"/>
    </row>
    <row r="618" spans="2:4">
      <c r="B618" s="30" t="s">
        <v>49</v>
      </c>
      <c r="C618" s="29">
        <v>15</v>
      </c>
      <c r="D618" s="28"/>
    </row>
    <row r="619" spans="2:4">
      <c r="B619" s="30" t="s">
        <v>67</v>
      </c>
      <c r="C619" s="29" t="s">
        <v>68</v>
      </c>
      <c r="D619" s="28"/>
    </row>
    <row r="620" spans="2:4">
      <c r="B620" s="15" t="s">
        <v>69</v>
      </c>
      <c r="C620" s="29" t="s">
        <v>68</v>
      </c>
      <c r="D620" s="28"/>
    </row>
    <row r="621" spans="2:4">
      <c r="B621" s="15" t="s">
        <v>59</v>
      </c>
      <c r="C621" s="29">
        <v>350</v>
      </c>
      <c r="D621" s="28"/>
    </row>
    <row r="622" spans="2:4">
      <c r="B622" s="15" t="s">
        <v>15</v>
      </c>
      <c r="C622" s="29">
        <v>-10.132759</v>
      </c>
      <c r="D622" s="28"/>
    </row>
    <row r="623" spans="2:4">
      <c r="B623" s="27" t="s">
        <v>16</v>
      </c>
      <c r="C623" s="26">
        <f>Model!AC121</f>
        <v>1.5039389999999999</v>
      </c>
    </row>
    <row r="624" spans="2:4">
      <c r="B624" s="21" t="s">
        <v>17</v>
      </c>
      <c r="C624" s="20">
        <f>C608+C623</f>
        <v>932.00352499999997</v>
      </c>
      <c r="D624" s="19">
        <f>C624/C629</f>
        <v>6.202285753263757</v>
      </c>
    </row>
    <row r="625" spans="1:4">
      <c r="B625" s="15" t="s">
        <v>18</v>
      </c>
      <c r="C625" s="23">
        <f>Model!AC127</f>
        <v>139.147085</v>
      </c>
      <c r="D625" s="22"/>
    </row>
    <row r="626" spans="1:4">
      <c r="B626" s="21" t="s">
        <v>19</v>
      </c>
      <c r="C626" s="20">
        <f>C624-C625</f>
        <v>792.85644000000002</v>
      </c>
      <c r="D626" s="19">
        <f>C626/C629</f>
        <v>5.276291419815629</v>
      </c>
    </row>
    <row r="627" spans="1:4">
      <c r="B627" s="10" t="s">
        <v>20</v>
      </c>
      <c r="C627" s="18">
        <f>Model!AC131</f>
        <v>1639.3114880000001</v>
      </c>
      <c r="D627" s="17"/>
    </row>
    <row r="628" spans="1:4">
      <c r="B628" s="10" t="s">
        <v>21</v>
      </c>
      <c r="C628" s="18">
        <f>C626+C627</f>
        <v>2432.1679279999998</v>
      </c>
      <c r="D628" s="17"/>
    </row>
    <row r="629" spans="1:4">
      <c r="B629" s="15" t="s">
        <v>22</v>
      </c>
      <c r="C629" s="16">
        <f>Model!AC98</f>
        <v>150.26775000000001</v>
      </c>
      <c r="D629" s="15"/>
    </row>
    <row r="630" spans="1:4">
      <c r="B630" s="14" t="s">
        <v>23</v>
      </c>
      <c r="C630" s="13">
        <f>C624-Model!AC126</f>
        <v>0</v>
      </c>
      <c r="D630" s="12"/>
    </row>
    <row r="631" spans="1:4" ht="15.75" thickBot="1">
      <c r="B631" s="14"/>
      <c r="C631" s="13"/>
      <c r="D631" s="12"/>
    </row>
    <row r="632" spans="1:4">
      <c r="B632" s="7" t="s">
        <v>115</v>
      </c>
      <c r="C632" s="11" t="s">
        <v>2</v>
      </c>
    </row>
    <row r="633" spans="1:4">
      <c r="B633" s="5" t="s">
        <v>25</v>
      </c>
      <c r="C633" s="4">
        <v>139.05686299999999</v>
      </c>
    </row>
    <row r="634" spans="1:4">
      <c r="B634" s="5" t="s">
        <v>26</v>
      </c>
      <c r="C634" s="4">
        <v>9.0221999999999997E-2</v>
      </c>
    </row>
    <row r="635" spans="1:4">
      <c r="B635" s="5" t="s">
        <v>27</v>
      </c>
      <c r="C635" s="4">
        <v>0.73531199999999997</v>
      </c>
    </row>
    <row r="636" spans="1:4" ht="15.75" thickBot="1">
      <c r="B636" s="3" t="s">
        <v>28</v>
      </c>
      <c r="C636" s="2">
        <f>+C633+C634+C635</f>
        <v>139.882397</v>
      </c>
    </row>
    <row r="637" spans="1:4" ht="15.75" thickBot="1">
      <c r="B637" s="10"/>
      <c r="C637" s="9"/>
    </row>
    <row r="638" spans="1:4">
      <c r="B638" s="7" t="s">
        <v>116</v>
      </c>
      <c r="C638" s="6" t="s">
        <v>2</v>
      </c>
    </row>
    <row r="639" spans="1:4">
      <c r="A639" s="122"/>
      <c r="B639" s="5" t="s">
        <v>117</v>
      </c>
      <c r="C639" s="4">
        <v>4.627154</v>
      </c>
      <c r="D639" s="122"/>
    </row>
    <row r="640" spans="1:4">
      <c r="B640" s="5">
        <v>2024</v>
      </c>
      <c r="C640" s="4">
        <v>69.811407000000003</v>
      </c>
    </row>
    <row r="641" spans="1:4">
      <c r="B641" s="5">
        <f>+B640+1</f>
        <v>2025</v>
      </c>
      <c r="C641" s="4">
        <v>50.081268999999999</v>
      </c>
    </row>
    <row r="642" spans="1:4">
      <c r="B642" s="5" t="s">
        <v>92</v>
      </c>
      <c r="C642" s="4">
        <v>816.11251500000003</v>
      </c>
    </row>
    <row r="643" spans="1:4">
      <c r="B643" s="5" t="s">
        <v>15</v>
      </c>
      <c r="C643" s="4">
        <v>-10.132759</v>
      </c>
    </row>
    <row r="644" spans="1:4" ht="15.75" thickBot="1">
      <c r="B644" s="3" t="s">
        <v>31</v>
      </c>
      <c r="C644" s="2">
        <f>SUM(C639:C643)</f>
        <v>930.49958600000002</v>
      </c>
    </row>
    <row r="646" spans="1:4">
      <c r="A646" s="34" t="s">
        <v>118</v>
      </c>
    </row>
    <row r="648" spans="1:4">
      <c r="B648" s="33" t="s">
        <v>119</v>
      </c>
      <c r="C648" s="32" t="s">
        <v>2</v>
      </c>
      <c r="D648" s="31" t="s">
        <v>3</v>
      </c>
    </row>
    <row r="649" spans="1:4">
      <c r="B649" s="27" t="s">
        <v>5</v>
      </c>
      <c r="C649" s="26">
        <f>SUM(C650:C663)</f>
        <v>931.46088299999997</v>
      </c>
      <c r="D649" s="28"/>
    </row>
    <row r="650" spans="1:4">
      <c r="B650" s="30" t="s">
        <v>39</v>
      </c>
      <c r="C650" s="29">
        <v>147.306791</v>
      </c>
      <c r="D650" s="28"/>
    </row>
    <row r="651" spans="1:4">
      <c r="B651" s="30" t="s">
        <v>66</v>
      </c>
      <c r="C651" s="29">
        <v>0</v>
      </c>
      <c r="D651" s="28"/>
    </row>
    <row r="652" spans="1:4">
      <c r="B652" s="30" t="s">
        <v>41</v>
      </c>
      <c r="C652" s="29">
        <v>65</v>
      </c>
      <c r="D652" s="28"/>
    </row>
    <row r="653" spans="1:4">
      <c r="B653" s="30" t="s">
        <v>43</v>
      </c>
      <c r="C653" s="29">
        <v>60</v>
      </c>
      <c r="D653" s="28"/>
    </row>
    <row r="654" spans="1:4">
      <c r="B654" s="30" t="s">
        <v>44</v>
      </c>
      <c r="C654" s="29">
        <v>45</v>
      </c>
      <c r="D654" s="28"/>
    </row>
    <row r="655" spans="1:4">
      <c r="B655" s="30" t="s">
        <v>45</v>
      </c>
      <c r="C655" s="29">
        <v>45</v>
      </c>
      <c r="D655" s="28"/>
    </row>
    <row r="656" spans="1:4">
      <c r="B656" s="30" t="s">
        <v>46</v>
      </c>
      <c r="C656" s="29">
        <v>118</v>
      </c>
      <c r="D656" s="28"/>
    </row>
    <row r="657" spans="2:4">
      <c r="B657" s="30" t="s">
        <v>47</v>
      </c>
      <c r="C657" s="29">
        <v>26.140677</v>
      </c>
      <c r="D657" s="28"/>
    </row>
    <row r="658" spans="2:4">
      <c r="B658" s="30" t="s">
        <v>48</v>
      </c>
      <c r="C658" s="29">
        <v>70</v>
      </c>
      <c r="D658" s="28"/>
    </row>
    <row r="659" spans="2:4">
      <c r="B659" s="30" t="s">
        <v>49</v>
      </c>
      <c r="C659" s="29">
        <v>15</v>
      </c>
      <c r="D659" s="28"/>
    </row>
    <row r="660" spans="2:4">
      <c r="B660" s="30" t="s">
        <v>67</v>
      </c>
      <c r="C660" s="29" t="s">
        <v>68</v>
      </c>
      <c r="D660" s="28"/>
    </row>
    <row r="661" spans="2:4">
      <c r="B661" s="15" t="s">
        <v>69</v>
      </c>
      <c r="C661" s="29" t="s">
        <v>68</v>
      </c>
      <c r="D661" s="28"/>
    </row>
    <row r="662" spans="2:4">
      <c r="B662" s="15" t="s">
        <v>59</v>
      </c>
      <c r="C662" s="29">
        <v>350</v>
      </c>
      <c r="D662" s="28"/>
    </row>
    <row r="663" spans="2:4">
      <c r="B663" s="15" t="s">
        <v>15</v>
      </c>
      <c r="C663" s="29">
        <v>-9.9865849999999998</v>
      </c>
      <c r="D663" s="28"/>
    </row>
    <row r="664" spans="2:4">
      <c r="B664" s="27" t="s">
        <v>16</v>
      </c>
      <c r="C664" s="26">
        <f>Model!AB121</f>
        <v>1.0133799999999999</v>
      </c>
    </row>
    <row r="665" spans="2:4">
      <c r="B665" s="21" t="s">
        <v>17</v>
      </c>
      <c r="C665" s="20">
        <f>C649+C664</f>
        <v>932.47426299999995</v>
      </c>
      <c r="D665" s="19">
        <f>C665/C670</f>
        <v>6.4406010826296534</v>
      </c>
    </row>
    <row r="666" spans="2:4">
      <c r="B666" s="15" t="s">
        <v>18</v>
      </c>
      <c r="C666" s="23">
        <f>Model!AB127</f>
        <v>270.69513599999999</v>
      </c>
      <c r="D666" s="22"/>
    </row>
    <row r="667" spans="2:4">
      <c r="B667" s="21" t="s">
        <v>19</v>
      </c>
      <c r="C667" s="20">
        <f>C665-C666</f>
        <v>661.77912700000002</v>
      </c>
      <c r="D667" s="19">
        <f>C667/C670</f>
        <v>4.570909386930615</v>
      </c>
    </row>
    <row r="668" spans="2:4">
      <c r="B668" s="10" t="s">
        <v>20</v>
      </c>
      <c r="C668" s="18">
        <f>Model!AB131</f>
        <v>1553.514807</v>
      </c>
      <c r="D668" s="17"/>
    </row>
    <row r="669" spans="2:4">
      <c r="B669" s="10" t="s">
        <v>21</v>
      </c>
      <c r="C669" s="18">
        <f>C667+C668</f>
        <v>2215.2939340000003</v>
      </c>
      <c r="D669" s="17"/>
    </row>
    <row r="670" spans="2:4">
      <c r="B670" s="15" t="s">
        <v>22</v>
      </c>
      <c r="C670" s="16">
        <f>Model!AB98</f>
        <v>144.78062699999998</v>
      </c>
      <c r="D670" s="15"/>
    </row>
    <row r="671" spans="2:4">
      <c r="B671" s="14" t="s">
        <v>23</v>
      </c>
      <c r="C671" s="13">
        <f>C665-Model!AB126</f>
        <v>9.9999988378840499E-7</v>
      </c>
      <c r="D671" s="12"/>
    </row>
    <row r="672" spans="2:4" ht="15.75" thickBot="1">
      <c r="B672" s="14"/>
      <c r="C672" s="13"/>
      <c r="D672" s="12"/>
    </row>
    <row r="673" spans="1:6">
      <c r="B673" s="7" t="s">
        <v>120</v>
      </c>
      <c r="C673" s="11" t="s">
        <v>2</v>
      </c>
    </row>
    <row r="674" spans="1:6">
      <c r="B674" s="5" t="s">
        <v>25</v>
      </c>
      <c r="C674" s="4">
        <v>270.510604</v>
      </c>
    </row>
    <row r="675" spans="1:6">
      <c r="B675" s="5" t="s">
        <v>26</v>
      </c>
      <c r="C675" s="4">
        <v>0.184532</v>
      </c>
    </row>
    <row r="676" spans="1:6">
      <c r="B676" s="5" t="s">
        <v>27</v>
      </c>
      <c r="C676" s="4">
        <v>0.73531199999999997</v>
      </c>
    </row>
    <row r="677" spans="1:6" ht="15.75" thickBot="1">
      <c r="B677" s="3" t="s">
        <v>28</v>
      </c>
      <c r="C677" s="2">
        <f>+C674+C675+C676</f>
        <v>271.43044800000001</v>
      </c>
    </row>
    <row r="678" spans="1:6" ht="15.75" thickBot="1">
      <c r="B678" s="10"/>
      <c r="C678" s="9"/>
    </row>
    <row r="679" spans="1:6">
      <c r="B679" s="7" t="s">
        <v>121</v>
      </c>
      <c r="C679" s="6" t="s">
        <v>2</v>
      </c>
    </row>
    <row r="680" spans="1:6">
      <c r="A680" s="122"/>
      <c r="B680" s="5" t="s">
        <v>117</v>
      </c>
      <c r="C680" s="4">
        <v>2.7190020000000001</v>
      </c>
      <c r="D680" s="122"/>
      <c r="E680" s="122"/>
      <c r="F680" s="122"/>
    </row>
    <row r="681" spans="1:6">
      <c r="B681" s="5">
        <v>2024</v>
      </c>
      <c r="C681" s="4">
        <v>4.6776210000000003</v>
      </c>
    </row>
    <row r="682" spans="1:6">
      <c r="B682" s="5">
        <f>+B681+1</f>
        <v>2025</v>
      </c>
      <c r="C682" s="4">
        <v>114.93993399999999</v>
      </c>
    </row>
    <row r="683" spans="1:6">
      <c r="B683" s="5" t="s">
        <v>92</v>
      </c>
      <c r="C683" s="4">
        <f>279.11091+540</f>
        <v>819.11090999999999</v>
      </c>
    </row>
    <row r="684" spans="1:6">
      <c r="B684" s="5" t="s">
        <v>15</v>
      </c>
      <c r="C684" s="4">
        <v>-9.9865849999999998</v>
      </c>
    </row>
    <row r="685" spans="1:6" ht="15.75" thickBot="1">
      <c r="B685" s="3" t="s">
        <v>31</v>
      </c>
      <c r="C685" s="2">
        <f>SUM(C680:C684)</f>
        <v>931.46088199999997</v>
      </c>
    </row>
    <row r="687" spans="1:6">
      <c r="A687" s="34" t="s">
        <v>122</v>
      </c>
    </row>
    <row r="689" spans="2:4">
      <c r="B689" s="33" t="s">
        <v>123</v>
      </c>
      <c r="C689" s="32" t="s">
        <v>2</v>
      </c>
      <c r="D689" s="31" t="s">
        <v>3</v>
      </c>
    </row>
    <row r="690" spans="2:4">
      <c r="B690" s="27" t="s">
        <v>5</v>
      </c>
      <c r="C690" s="26">
        <f>SUM(C691:C704)</f>
        <v>932.81054200000005</v>
      </c>
      <c r="D690" s="28"/>
    </row>
    <row r="691" spans="2:4">
      <c r="B691" s="30" t="s">
        <v>39</v>
      </c>
      <c r="C691" s="29">
        <v>147.882846</v>
      </c>
      <c r="D691" s="28"/>
    </row>
    <row r="692" spans="2:4">
      <c r="B692" s="30" t="s">
        <v>66</v>
      </c>
      <c r="C692" s="29">
        <v>0</v>
      </c>
      <c r="D692" s="28"/>
    </row>
    <row r="693" spans="2:4">
      <c r="B693" s="30" t="s">
        <v>41</v>
      </c>
      <c r="C693" s="29">
        <v>65</v>
      </c>
      <c r="D693" s="28"/>
    </row>
    <row r="694" spans="2:4">
      <c r="B694" s="30" t="s">
        <v>43</v>
      </c>
      <c r="C694" s="29">
        <v>60</v>
      </c>
      <c r="D694" s="28"/>
    </row>
    <row r="695" spans="2:4">
      <c r="B695" s="30" t="s">
        <v>44</v>
      </c>
      <c r="C695" s="29">
        <v>45</v>
      </c>
      <c r="D695" s="28"/>
    </row>
    <row r="696" spans="2:4">
      <c r="B696" s="30" t="s">
        <v>45</v>
      </c>
      <c r="C696" s="29">
        <v>45</v>
      </c>
      <c r="D696" s="28"/>
    </row>
    <row r="697" spans="2:4">
      <c r="B697" s="30" t="s">
        <v>46</v>
      </c>
      <c r="C697" s="29">
        <v>118</v>
      </c>
      <c r="D697" s="28"/>
    </row>
    <row r="698" spans="2:4">
      <c r="B698" s="30" t="s">
        <v>47</v>
      </c>
      <c r="C698" s="29">
        <v>26.23882</v>
      </c>
      <c r="D698" s="28"/>
    </row>
    <row r="699" spans="2:4">
      <c r="B699" s="30" t="s">
        <v>48</v>
      </c>
      <c r="C699" s="29">
        <v>70</v>
      </c>
      <c r="D699" s="28"/>
    </row>
    <row r="700" spans="2:4">
      <c r="B700" s="30" t="s">
        <v>49</v>
      </c>
      <c r="C700" s="29">
        <v>15</v>
      </c>
      <c r="D700" s="28"/>
    </row>
    <row r="701" spans="2:4">
      <c r="B701" s="30" t="s">
        <v>67</v>
      </c>
      <c r="C701" s="29" t="s">
        <v>68</v>
      </c>
      <c r="D701" s="28"/>
    </row>
    <row r="702" spans="2:4">
      <c r="B702" s="15" t="s">
        <v>69</v>
      </c>
      <c r="C702" s="29" t="s">
        <v>68</v>
      </c>
      <c r="D702" s="28"/>
    </row>
    <row r="703" spans="2:4">
      <c r="B703" s="15" t="s">
        <v>59</v>
      </c>
      <c r="C703" s="29">
        <v>350</v>
      </c>
      <c r="D703" s="28"/>
    </row>
    <row r="704" spans="2:4">
      <c r="B704" s="15" t="s">
        <v>15</v>
      </c>
      <c r="C704" s="29">
        <v>-9.3111239999999995</v>
      </c>
      <c r="D704" s="28"/>
    </row>
    <row r="705" spans="1:7">
      <c r="B705" s="27" t="s">
        <v>16</v>
      </c>
      <c r="C705" s="26">
        <f>Model!AA121</f>
        <v>1.127818</v>
      </c>
    </row>
    <row r="706" spans="1:7">
      <c r="B706" s="21" t="s">
        <v>17</v>
      </c>
      <c r="C706" s="20">
        <f>C690+C705</f>
        <v>933.9383600000001</v>
      </c>
      <c r="D706" s="19">
        <f>C706/C711</f>
        <v>6.6479642959970402</v>
      </c>
    </row>
    <row r="707" spans="1:7">
      <c r="B707" s="15" t="s">
        <v>18</v>
      </c>
      <c r="C707" s="23">
        <f>Model!AA127</f>
        <v>298.38502599999998</v>
      </c>
      <c r="D707" s="22"/>
      <c r="G707" s="121"/>
    </row>
    <row r="708" spans="1:7">
      <c r="B708" s="21" t="s">
        <v>19</v>
      </c>
      <c r="C708" s="20">
        <f>C706-C707</f>
        <v>635.55333400000018</v>
      </c>
      <c r="D708" s="19">
        <f>C708/C711</f>
        <v>4.5239986423021348</v>
      </c>
    </row>
    <row r="709" spans="1:7">
      <c r="B709" s="10" t="s">
        <v>20</v>
      </c>
      <c r="C709" s="18">
        <f>Model!AA131</f>
        <v>1489.752659</v>
      </c>
      <c r="D709" s="17"/>
    </row>
    <row r="710" spans="1:7">
      <c r="B710" s="10" t="s">
        <v>21</v>
      </c>
      <c r="C710" s="18">
        <f>C708+C709</f>
        <v>2125.3059929999999</v>
      </c>
      <c r="D710" s="17"/>
    </row>
    <row r="711" spans="1:7">
      <c r="B711" s="15" t="s">
        <v>22</v>
      </c>
      <c r="C711" s="16">
        <f>Model!AA98</f>
        <v>140.48486400000002</v>
      </c>
      <c r="D711" s="15"/>
    </row>
    <row r="712" spans="1:7" s="122" customFormat="1">
      <c r="A712" s="1"/>
      <c r="B712" s="14" t="s">
        <v>23</v>
      </c>
      <c r="C712" s="13">
        <f>C706-Model!AA126</f>
        <v>0</v>
      </c>
      <c r="D712" s="12"/>
      <c r="E712" s="1"/>
      <c r="F712" s="1"/>
      <c r="G712" s="1"/>
    </row>
    <row r="713" spans="1:7" ht="15.75" thickBot="1">
      <c r="B713" s="14"/>
      <c r="C713" s="13"/>
      <c r="D713" s="12"/>
    </row>
    <row r="714" spans="1:7">
      <c r="B714" s="7" t="s">
        <v>124</v>
      </c>
      <c r="C714" s="11" t="s">
        <v>2</v>
      </c>
    </row>
    <row r="715" spans="1:7">
      <c r="B715" s="5" t="s">
        <v>25</v>
      </c>
      <c r="C715" s="4">
        <v>298.30728800000003</v>
      </c>
    </row>
    <row r="716" spans="1:7">
      <c r="B716" s="5" t="s">
        <v>26</v>
      </c>
      <c r="C716" s="4">
        <v>7.7738000000000002E-2</v>
      </c>
    </row>
    <row r="717" spans="1:7">
      <c r="B717" s="5" t="s">
        <v>27</v>
      </c>
      <c r="C717" s="4">
        <v>0.73531199999999997</v>
      </c>
    </row>
    <row r="718" spans="1:7" ht="15.75" thickBot="1">
      <c r="B718" s="3" t="s">
        <v>28</v>
      </c>
      <c r="C718" s="2">
        <f>+C715+C716+C717</f>
        <v>299.12033800000006</v>
      </c>
    </row>
    <row r="719" spans="1:7" ht="15.75" thickBot="1">
      <c r="B719" s="10"/>
      <c r="C719" s="9"/>
    </row>
    <row r="720" spans="1:7">
      <c r="B720" s="7" t="s">
        <v>125</v>
      </c>
      <c r="C720" s="6" t="s">
        <v>2</v>
      </c>
    </row>
    <row r="721" spans="1:7">
      <c r="A721" s="122"/>
      <c r="B721" s="5" t="s">
        <v>117</v>
      </c>
      <c r="C721" s="4">
        <v>2.672383</v>
      </c>
      <c r="D721" s="122"/>
    </row>
    <row r="722" spans="1:7">
      <c r="B722" s="5">
        <v>2024</v>
      </c>
      <c r="C722" s="4">
        <v>4.6440460000000003</v>
      </c>
      <c r="E722" s="122"/>
      <c r="F722" s="122"/>
      <c r="G722" s="122"/>
    </row>
    <row r="723" spans="1:7">
      <c r="B723" s="5">
        <f>+B722+1</f>
        <v>2025</v>
      </c>
      <c r="C723" s="4">
        <v>114.904516</v>
      </c>
    </row>
    <row r="724" spans="1:7">
      <c r="B724" s="5" t="s">
        <v>92</v>
      </c>
      <c r="C724" s="4">
        <f>279.900721+540</f>
        <v>819.90072099999998</v>
      </c>
    </row>
    <row r="725" spans="1:7">
      <c r="B725" s="5" t="s">
        <v>15</v>
      </c>
      <c r="C725" s="4">
        <v>-9.3111239999999995</v>
      </c>
    </row>
    <row r="726" spans="1:7" ht="15.75" thickBot="1">
      <c r="B726" s="3" t="s">
        <v>31</v>
      </c>
      <c r="C726" s="2">
        <f>SUM(C721:C725)</f>
        <v>932.81054200000005</v>
      </c>
    </row>
    <row r="729" spans="1:7">
      <c r="A729" s="34" t="s">
        <v>126</v>
      </c>
    </row>
    <row r="731" spans="1:7">
      <c r="B731" s="33" t="s">
        <v>127</v>
      </c>
      <c r="C731" s="32" t="s">
        <v>2</v>
      </c>
      <c r="D731" s="31" t="s">
        <v>3</v>
      </c>
    </row>
    <row r="732" spans="1:7">
      <c r="B732" s="27" t="s">
        <v>5</v>
      </c>
      <c r="C732" s="26">
        <f>SUM(C733:C746)</f>
        <v>933.16476599999999</v>
      </c>
      <c r="D732" s="28"/>
    </row>
    <row r="733" spans="1:7">
      <c r="B733" s="30" t="s">
        <v>39</v>
      </c>
      <c r="C733" s="29">
        <v>148.470946</v>
      </c>
      <c r="D733" s="28"/>
    </row>
    <row r="734" spans="1:7">
      <c r="B734" s="30" t="s">
        <v>66</v>
      </c>
      <c r="C734" s="29">
        <v>0</v>
      </c>
      <c r="D734" s="28"/>
    </row>
    <row r="735" spans="1:7">
      <c r="B735" s="30" t="s">
        <v>41</v>
      </c>
      <c r="C735" s="29">
        <v>65</v>
      </c>
      <c r="D735" s="28"/>
    </row>
    <row r="736" spans="1:7">
      <c r="B736" s="30" t="s">
        <v>43</v>
      </c>
      <c r="C736" s="29">
        <v>60</v>
      </c>
      <c r="D736" s="28"/>
    </row>
    <row r="737" spans="2:7">
      <c r="B737" s="30" t="s">
        <v>44</v>
      </c>
      <c r="C737" s="29">
        <v>45</v>
      </c>
      <c r="D737" s="28"/>
    </row>
    <row r="738" spans="2:7">
      <c r="B738" s="30" t="s">
        <v>45</v>
      </c>
      <c r="C738" s="29">
        <v>45</v>
      </c>
      <c r="D738" s="28"/>
    </row>
    <row r="739" spans="2:7">
      <c r="B739" s="30" t="s">
        <v>46</v>
      </c>
      <c r="C739" s="29">
        <v>118</v>
      </c>
      <c r="D739" s="28"/>
    </row>
    <row r="740" spans="2:7">
      <c r="B740" s="30" t="s">
        <v>47</v>
      </c>
      <c r="C740" s="29">
        <v>26.339241999999999</v>
      </c>
      <c r="D740" s="28"/>
    </row>
    <row r="741" spans="2:7">
      <c r="B741" s="30" t="s">
        <v>48</v>
      </c>
      <c r="C741" s="29">
        <v>70</v>
      </c>
      <c r="D741" s="28"/>
    </row>
    <row r="742" spans="2:7">
      <c r="B742" s="30" t="s">
        <v>49</v>
      </c>
      <c r="C742" s="29">
        <v>15</v>
      </c>
      <c r="D742" s="28"/>
    </row>
    <row r="743" spans="2:7">
      <c r="B743" s="30" t="s">
        <v>67</v>
      </c>
      <c r="C743" s="29" t="s">
        <v>68</v>
      </c>
      <c r="D743" s="28"/>
    </row>
    <row r="744" spans="2:7">
      <c r="B744" s="15" t="s">
        <v>69</v>
      </c>
      <c r="C744" s="29" t="s">
        <v>68</v>
      </c>
      <c r="D744" s="28"/>
    </row>
    <row r="745" spans="2:7">
      <c r="B745" s="15" t="s">
        <v>59</v>
      </c>
      <c r="C745" s="29">
        <v>350</v>
      </c>
      <c r="D745" s="28"/>
    </row>
    <row r="746" spans="2:7">
      <c r="B746" s="15" t="s">
        <v>15</v>
      </c>
      <c r="C746" s="29">
        <v>-9.6454219999999999</v>
      </c>
      <c r="D746" s="28"/>
    </row>
    <row r="747" spans="2:7">
      <c r="B747" s="27" t="s">
        <v>16</v>
      </c>
      <c r="C747" s="26">
        <f>Model!Z121</f>
        <v>1.255139</v>
      </c>
    </row>
    <row r="748" spans="2:7">
      <c r="B748" s="21" t="s">
        <v>17</v>
      </c>
      <c r="C748" s="20">
        <f>C732+C747</f>
        <v>934.41990499999997</v>
      </c>
      <c r="D748" s="19">
        <f>C748/C753</f>
        <v>6.782123951939572</v>
      </c>
      <c r="G748" s="121"/>
    </row>
    <row r="749" spans="2:7">
      <c r="B749" s="15" t="s">
        <v>18</v>
      </c>
      <c r="C749" s="23">
        <f>Model!Z127</f>
        <v>342.50453700000003</v>
      </c>
      <c r="D749" s="22"/>
    </row>
    <row r="750" spans="2:7">
      <c r="B750" s="21" t="s">
        <v>19</v>
      </c>
      <c r="C750" s="20">
        <f>C748-C749</f>
        <v>591.91536799999994</v>
      </c>
      <c r="D750" s="19">
        <f>C750/C753</f>
        <v>4.2961877988182691</v>
      </c>
    </row>
    <row r="751" spans="2:7">
      <c r="B751" s="10" t="s">
        <v>20</v>
      </c>
      <c r="C751" s="18">
        <f>Model!Z131</f>
        <v>1447.101236</v>
      </c>
      <c r="D751" s="17"/>
    </row>
    <row r="752" spans="2:7">
      <c r="B752" s="10" t="s">
        <v>21</v>
      </c>
      <c r="C752" s="18">
        <f>C750+C751</f>
        <v>2039.0166039999999</v>
      </c>
      <c r="D752" s="17"/>
    </row>
    <row r="753" spans="1:7">
      <c r="B753" s="15" t="s">
        <v>22</v>
      </c>
      <c r="C753" s="16">
        <f>Model!Z98</f>
        <v>137.776884</v>
      </c>
      <c r="D753" s="15"/>
    </row>
    <row r="754" spans="1:7">
      <c r="B754" s="14" t="s">
        <v>23</v>
      </c>
      <c r="C754" s="13">
        <f>C748-Model!Z126</f>
        <v>0</v>
      </c>
      <c r="D754" s="12"/>
    </row>
    <row r="755" spans="1:7" s="122" customFormat="1" ht="15.75" thickBot="1">
      <c r="A755" s="1"/>
      <c r="B755" s="14"/>
      <c r="C755" s="13"/>
      <c r="D755" s="12"/>
      <c r="E755" s="1"/>
      <c r="F755" s="1"/>
      <c r="G755" s="1"/>
    </row>
    <row r="756" spans="1:7">
      <c r="B756" s="7" t="s">
        <v>128</v>
      </c>
      <c r="C756" s="11" t="s">
        <v>2</v>
      </c>
    </row>
    <row r="757" spans="1:7">
      <c r="B757" s="5" t="s">
        <v>25</v>
      </c>
      <c r="C757" s="4">
        <v>342.48571600000002</v>
      </c>
    </row>
    <row r="758" spans="1:7">
      <c r="B758" s="5" t="s">
        <v>26</v>
      </c>
      <c r="C758" s="4">
        <v>1.8821000000000001E-2</v>
      </c>
    </row>
    <row r="759" spans="1:7">
      <c r="B759" s="5" t="s">
        <v>27</v>
      </c>
      <c r="C759" s="4">
        <v>0.73531199999999997</v>
      </c>
    </row>
    <row r="760" spans="1:7" ht="15.75" thickBot="1">
      <c r="B760" s="3" t="s">
        <v>28</v>
      </c>
      <c r="C760" s="2">
        <f>+C757+C758+C759</f>
        <v>343.23984900000005</v>
      </c>
    </row>
    <row r="761" spans="1:7" ht="15.75" thickBot="1">
      <c r="B761" s="10"/>
      <c r="C761" s="9"/>
    </row>
    <row r="762" spans="1:7">
      <c r="B762" s="7" t="s">
        <v>129</v>
      </c>
      <c r="C762" s="6" t="s">
        <v>2</v>
      </c>
    </row>
    <row r="763" spans="1:7">
      <c r="A763" s="122"/>
      <c r="B763" s="5" t="s">
        <v>117</v>
      </c>
      <c r="C763" s="4">
        <v>3.3609049999999998</v>
      </c>
      <c r="D763" s="122"/>
      <c r="E763" s="122"/>
      <c r="F763" s="122"/>
      <c r="G763" s="122"/>
    </row>
    <row r="764" spans="1:7">
      <c r="B764" s="5">
        <v>2024</v>
      </c>
      <c r="C764" s="4">
        <v>4.6440460000000003</v>
      </c>
    </row>
    <row r="765" spans="1:7">
      <c r="B765" s="5">
        <f>+B764+1</f>
        <v>2025</v>
      </c>
      <c r="C765" s="4">
        <v>114.904516</v>
      </c>
    </row>
    <row r="766" spans="1:7">
      <c r="B766" s="5" t="s">
        <v>92</v>
      </c>
      <c r="C766" s="4">
        <f>279.900721+540</f>
        <v>819.90072099999998</v>
      </c>
    </row>
    <row r="767" spans="1:7">
      <c r="B767" s="5" t="s">
        <v>15</v>
      </c>
      <c r="C767" s="4">
        <v>-9.6454219999999999</v>
      </c>
    </row>
    <row r="768" spans="1:7" ht="15.75" thickBot="1">
      <c r="B768" s="3" t="s">
        <v>31</v>
      </c>
      <c r="C768" s="2">
        <f>SUM(C763:C767)</f>
        <v>933.16476599999987</v>
      </c>
    </row>
    <row r="771" spans="1:4">
      <c r="A771" s="34" t="s">
        <v>130</v>
      </c>
    </row>
    <row r="773" spans="1:4">
      <c r="B773" s="33" t="s">
        <v>131</v>
      </c>
      <c r="C773" s="32" t="s">
        <v>2</v>
      </c>
      <c r="D773" s="31" t="s">
        <v>3</v>
      </c>
    </row>
    <row r="774" spans="1:4">
      <c r="B774" s="27" t="s">
        <v>5</v>
      </c>
      <c r="C774" s="26">
        <f>SUM(C775:C788)</f>
        <v>934.46220400000004</v>
      </c>
      <c r="D774" s="28"/>
    </row>
    <row r="775" spans="1:4">
      <c r="B775" s="30" t="s">
        <v>39</v>
      </c>
      <c r="C775" s="29">
        <v>150</v>
      </c>
      <c r="D775" s="28"/>
    </row>
    <row r="776" spans="1:4">
      <c r="B776" s="30" t="s">
        <v>66</v>
      </c>
      <c r="C776" s="29">
        <v>0</v>
      </c>
      <c r="D776" s="28"/>
    </row>
    <row r="777" spans="1:4">
      <c r="B777" s="30" t="s">
        <v>41</v>
      </c>
      <c r="C777" s="29">
        <v>65</v>
      </c>
      <c r="D777" s="28"/>
    </row>
    <row r="778" spans="1:4">
      <c r="B778" s="30" t="s">
        <v>43</v>
      </c>
      <c r="C778" s="29">
        <v>60</v>
      </c>
      <c r="D778" s="28"/>
    </row>
    <row r="779" spans="1:4">
      <c r="B779" s="30" t="s">
        <v>44</v>
      </c>
      <c r="C779" s="29">
        <v>45</v>
      </c>
      <c r="D779" s="28"/>
    </row>
    <row r="780" spans="1:4">
      <c r="B780" s="30" t="s">
        <v>45</v>
      </c>
      <c r="C780" s="29">
        <v>45</v>
      </c>
      <c r="D780" s="28"/>
    </row>
    <row r="781" spans="1:4">
      <c r="B781" s="30" t="s">
        <v>46</v>
      </c>
      <c r="C781" s="29">
        <v>118</v>
      </c>
      <c r="D781" s="28"/>
    </row>
    <row r="782" spans="1:4">
      <c r="B782" s="30" t="s">
        <v>47</v>
      </c>
      <c r="C782" s="29">
        <f>26441925/10^6</f>
        <v>26.441925000000001</v>
      </c>
      <c r="D782" s="28"/>
    </row>
    <row r="783" spans="1:4">
      <c r="B783" s="30" t="s">
        <v>48</v>
      </c>
      <c r="C783" s="29">
        <v>70</v>
      </c>
      <c r="D783" s="28"/>
    </row>
    <row r="784" spans="1:4">
      <c r="B784" s="30" t="s">
        <v>49</v>
      </c>
      <c r="C784" s="29">
        <v>15</v>
      </c>
      <c r="D784" s="28"/>
    </row>
    <row r="785" spans="2:7">
      <c r="B785" s="30" t="s">
        <v>67</v>
      </c>
      <c r="C785" s="29" t="s">
        <v>68</v>
      </c>
      <c r="D785" s="28"/>
    </row>
    <row r="786" spans="2:7">
      <c r="B786" s="15" t="s">
        <v>69</v>
      </c>
      <c r="C786" s="29" t="s">
        <v>68</v>
      </c>
      <c r="D786" s="28"/>
    </row>
    <row r="787" spans="2:7">
      <c r="B787" s="15" t="s">
        <v>59</v>
      </c>
      <c r="C787" s="29">
        <v>350</v>
      </c>
      <c r="D787" s="28"/>
    </row>
    <row r="788" spans="2:7">
      <c r="B788" s="15" t="s">
        <v>15</v>
      </c>
      <c r="C788" s="29">
        <f>-9.979721</f>
        <v>-9.9797209999999996</v>
      </c>
      <c r="D788" s="28"/>
    </row>
    <row r="789" spans="2:7">
      <c r="B789" s="27" t="s">
        <v>16</v>
      </c>
      <c r="C789" s="26">
        <f>Model!Y80</f>
        <v>2.3917000000000077E-2</v>
      </c>
    </row>
    <row r="790" spans="2:7">
      <c r="B790" s="21" t="s">
        <v>17</v>
      </c>
      <c r="C790" s="20">
        <f>C774+C789</f>
        <v>934.48612100000003</v>
      </c>
      <c r="D790" s="19">
        <f>C790/C795</f>
        <v>526.15861961404323</v>
      </c>
    </row>
    <row r="791" spans="2:7">
      <c r="B791" s="15" t="s">
        <v>18</v>
      </c>
      <c r="C791" s="23">
        <f>Model!Y127</f>
        <v>452.82113199999998</v>
      </c>
      <c r="D791" s="22"/>
      <c r="G791" s="121"/>
    </row>
    <row r="792" spans="2:7">
      <c r="B792" s="21" t="s">
        <v>19</v>
      </c>
      <c r="C792" s="20">
        <f>C790-C791</f>
        <v>481.66498900000005</v>
      </c>
      <c r="D792" s="19">
        <f>C792/C795</f>
        <v>271.19951814528162</v>
      </c>
    </row>
    <row r="793" spans="2:7">
      <c r="B793" s="10" t="s">
        <v>20</v>
      </c>
      <c r="C793" s="18">
        <f>Model!Y131</f>
        <v>1453.652407</v>
      </c>
      <c r="D793" s="17"/>
    </row>
    <row r="794" spans="2:7">
      <c r="B794" s="10" t="s">
        <v>21</v>
      </c>
      <c r="C794" s="18">
        <f>C792+C793</f>
        <v>1935.3173960000001</v>
      </c>
      <c r="D794" s="17"/>
    </row>
    <row r="795" spans="2:7">
      <c r="B795" s="15" t="s">
        <v>22</v>
      </c>
      <c r="C795" s="16">
        <f>Model!Y57</f>
        <v>1.776054</v>
      </c>
      <c r="D795" s="15"/>
    </row>
    <row r="796" spans="2:7">
      <c r="B796" s="14" t="s">
        <v>23</v>
      </c>
      <c r="C796" s="13">
        <f>C790-Model!Y126</f>
        <v>-0.4275079999999889</v>
      </c>
      <c r="D796" s="12"/>
    </row>
    <row r="797" spans="2:7" ht="15.75" thickBot="1">
      <c r="B797" s="14"/>
      <c r="C797" s="13"/>
      <c r="D797" s="12"/>
    </row>
    <row r="798" spans="2:7">
      <c r="B798" s="7" t="s">
        <v>132</v>
      </c>
      <c r="C798" s="11" t="s">
        <v>2</v>
      </c>
    </row>
    <row r="799" spans="2:7">
      <c r="B799" s="5" t="s">
        <v>25</v>
      </c>
      <c r="C799" s="4">
        <v>452.80204900000001</v>
      </c>
    </row>
    <row r="800" spans="2:7">
      <c r="B800" s="5" t="s">
        <v>26</v>
      </c>
      <c r="C800" s="4">
        <v>1.9082999999999999E-2</v>
      </c>
    </row>
    <row r="801" spans="1:7">
      <c r="B801" s="5" t="s">
        <v>27</v>
      </c>
      <c r="C801" s="4">
        <v>0.73531199999999997</v>
      </c>
    </row>
    <row r="802" spans="1:7" ht="15.75" thickBot="1">
      <c r="B802" s="3" t="s">
        <v>28</v>
      </c>
      <c r="C802" s="2">
        <f>+C799+C800+C801</f>
        <v>453.55644400000006</v>
      </c>
    </row>
    <row r="803" spans="1:7" ht="15.75" thickBot="1">
      <c r="B803" s="10"/>
      <c r="C803" s="9"/>
    </row>
    <row r="804" spans="1:7">
      <c r="B804" s="7" t="s">
        <v>133</v>
      </c>
      <c r="C804" s="6" t="s">
        <v>2</v>
      </c>
    </row>
    <row r="805" spans="1:7">
      <c r="A805" s="122"/>
      <c r="B805" s="5" t="s">
        <v>117</v>
      </c>
      <c r="C805" s="4">
        <v>2.880592</v>
      </c>
      <c r="D805" s="122"/>
    </row>
    <row r="806" spans="1:7">
      <c r="B806" s="5">
        <v>2023</v>
      </c>
      <c r="C806" s="4">
        <v>4.627154</v>
      </c>
      <c r="E806" s="122"/>
      <c r="F806" s="122"/>
      <c r="G806" s="122"/>
    </row>
    <row r="807" spans="1:7">
      <c r="B807" s="5">
        <f>+B806+1</f>
        <v>2024</v>
      </c>
      <c r="C807" s="4">
        <v>69.811407000000003</v>
      </c>
    </row>
    <row r="808" spans="1:7">
      <c r="B808" s="5" t="s">
        <v>134</v>
      </c>
      <c r="C808" s="4">
        <f>816.112515+50.081269</f>
        <v>866.19378400000005</v>
      </c>
    </row>
    <row r="809" spans="1:7">
      <c r="B809" s="5" t="s">
        <v>15</v>
      </c>
      <c r="C809" s="4">
        <v>-9.9797209999999996</v>
      </c>
    </row>
    <row r="810" spans="1:7" ht="15.75" thickBot="1">
      <c r="B810" s="3" t="s">
        <v>31</v>
      </c>
      <c r="C810" s="2">
        <f>SUM(C805:C809)</f>
        <v>933.53321600000004</v>
      </c>
    </row>
    <row r="812" spans="1:7">
      <c r="A812" s="34" t="s">
        <v>135</v>
      </c>
    </row>
    <row r="814" spans="1:7">
      <c r="B814" s="33" t="s">
        <v>136</v>
      </c>
      <c r="C814" s="32" t="s">
        <v>2</v>
      </c>
      <c r="D814" s="31" t="s">
        <v>3</v>
      </c>
    </row>
    <row r="815" spans="1:7">
      <c r="B815" s="27" t="s">
        <v>5</v>
      </c>
      <c r="C815" s="26">
        <f>SUM(C816:C829)</f>
        <v>934.28598099999999</v>
      </c>
      <c r="D815" s="28"/>
    </row>
    <row r="816" spans="1:7">
      <c r="B816" s="30" t="s">
        <v>39</v>
      </c>
      <c r="C816" s="29">
        <v>150</v>
      </c>
      <c r="D816" s="28"/>
    </row>
    <row r="817" spans="2:4">
      <c r="B817" s="30" t="s">
        <v>66</v>
      </c>
      <c r="C817" s="29">
        <v>0</v>
      </c>
      <c r="D817" s="28"/>
    </row>
    <row r="818" spans="2:4">
      <c r="B818" s="30" t="s">
        <v>41</v>
      </c>
      <c r="C818" s="29">
        <v>65</v>
      </c>
      <c r="D818" s="28"/>
    </row>
    <row r="819" spans="2:4">
      <c r="B819" s="30" t="s">
        <v>43</v>
      </c>
      <c r="C819" s="29">
        <v>60</v>
      </c>
      <c r="D819" s="28"/>
    </row>
    <row r="820" spans="2:4">
      <c r="B820" s="30" t="s">
        <v>44</v>
      </c>
      <c r="C820" s="29">
        <v>45</v>
      </c>
      <c r="D820" s="28"/>
    </row>
    <row r="821" spans="2:4">
      <c r="B821" s="30" t="s">
        <v>45</v>
      </c>
      <c r="C821" s="29">
        <v>45</v>
      </c>
      <c r="D821" s="28"/>
    </row>
    <row r="822" spans="2:4">
      <c r="B822" s="30" t="s">
        <v>46</v>
      </c>
      <c r="C822" s="29">
        <v>118</v>
      </c>
      <c r="D822" s="28"/>
    </row>
    <row r="823" spans="2:4">
      <c r="B823" s="30" t="s">
        <v>47</v>
      </c>
      <c r="C823" s="29">
        <v>26.6</v>
      </c>
      <c r="D823" s="28"/>
    </row>
    <row r="824" spans="2:4">
      <c r="B824" s="30" t="s">
        <v>48</v>
      </c>
      <c r="C824" s="29">
        <v>70</v>
      </c>
      <c r="D824" s="28"/>
    </row>
    <row r="825" spans="2:4">
      <c r="B825" s="30" t="s">
        <v>49</v>
      </c>
      <c r="C825" s="29">
        <v>15</v>
      </c>
      <c r="D825" s="28"/>
    </row>
    <row r="826" spans="2:4">
      <c r="B826" s="30" t="s">
        <v>67</v>
      </c>
      <c r="C826" s="29" t="s">
        <v>68</v>
      </c>
      <c r="D826" s="28"/>
    </row>
    <row r="827" spans="2:4">
      <c r="B827" s="15" t="s">
        <v>69</v>
      </c>
      <c r="C827" s="29" t="s">
        <v>68</v>
      </c>
      <c r="D827" s="28"/>
    </row>
    <row r="828" spans="2:4">
      <c r="B828" s="15" t="s">
        <v>59</v>
      </c>
      <c r="C828" s="29">
        <v>350</v>
      </c>
      <c r="D828" s="28"/>
    </row>
    <row r="829" spans="2:4">
      <c r="B829" s="15" t="s">
        <v>15</v>
      </c>
      <c r="C829" s="29">
        <v>-10.314019</v>
      </c>
      <c r="D829" s="28"/>
    </row>
    <row r="830" spans="2:4">
      <c r="B830" s="27" t="s">
        <v>16</v>
      </c>
      <c r="C830" s="26">
        <f>Model!X121</f>
        <v>0.39937</v>
      </c>
    </row>
    <row r="831" spans="2:4">
      <c r="B831" s="21" t="s">
        <v>17</v>
      </c>
      <c r="C831" s="20">
        <f>C815+C830</f>
        <v>934.68535099999997</v>
      </c>
      <c r="D831" s="19">
        <f>C831/C836</f>
        <v>7.0032987500170831</v>
      </c>
    </row>
    <row r="832" spans="2:4">
      <c r="B832" s="15" t="s">
        <v>18</v>
      </c>
      <c r="C832" s="23">
        <f>Model!X127</f>
        <v>373.721699</v>
      </c>
      <c r="D832" s="22"/>
    </row>
    <row r="833" spans="1:7">
      <c r="B833" s="21" t="s">
        <v>19</v>
      </c>
      <c r="C833" s="20">
        <f>C831-C832</f>
        <v>560.96365199999991</v>
      </c>
      <c r="D833" s="19">
        <f>C833/C836</f>
        <v>4.2031214447230782</v>
      </c>
    </row>
    <row r="834" spans="1:7">
      <c r="B834" s="10" t="s">
        <v>20</v>
      </c>
      <c r="C834" s="18">
        <f>Model!X131</f>
        <v>1409.069295</v>
      </c>
      <c r="D834" s="17"/>
    </row>
    <row r="835" spans="1:7">
      <c r="B835" s="10" t="s">
        <v>21</v>
      </c>
      <c r="C835" s="18">
        <f>C833+C834</f>
        <v>1970.0329469999999</v>
      </c>
      <c r="D835" s="17"/>
      <c r="G835" s="24"/>
    </row>
    <row r="836" spans="1:7">
      <c r="B836" s="15" t="s">
        <v>22</v>
      </c>
      <c r="C836" s="16">
        <f>Model!X98</f>
        <v>133.463584</v>
      </c>
      <c r="D836" s="15"/>
      <c r="E836" s="25"/>
      <c r="F836" s="25"/>
      <c r="G836" s="24"/>
    </row>
    <row r="837" spans="1:7">
      <c r="B837" s="14" t="s">
        <v>23</v>
      </c>
      <c r="C837" s="123">
        <f>C831-Model!X126</f>
        <v>0</v>
      </c>
      <c r="D837" s="12"/>
    </row>
    <row r="838" spans="1:7" ht="15.75" thickBot="1">
      <c r="B838" s="14"/>
      <c r="C838" s="13"/>
      <c r="D838" s="12"/>
    </row>
    <row r="839" spans="1:7">
      <c r="B839" s="7" t="s">
        <v>137</v>
      </c>
      <c r="C839" s="11" t="s">
        <v>2</v>
      </c>
    </row>
    <row r="840" spans="1:7">
      <c r="B840" s="5" t="s">
        <v>25</v>
      </c>
      <c r="C840" s="4">
        <v>373.70250600000003</v>
      </c>
    </row>
    <row r="841" spans="1:7">
      <c r="B841" s="5" t="s">
        <v>26</v>
      </c>
      <c r="C841" s="4">
        <v>1.9193000000000002E-2</v>
      </c>
    </row>
    <row r="842" spans="1:7">
      <c r="B842" s="5" t="s">
        <v>27</v>
      </c>
      <c r="C842" s="4">
        <v>0.73531199999999997</v>
      </c>
    </row>
    <row r="843" spans="1:7" ht="15.75" thickBot="1">
      <c r="B843" s="3" t="s">
        <v>28</v>
      </c>
      <c r="C843" s="2">
        <f>+C840+C841+C842</f>
        <v>374.45701100000002</v>
      </c>
    </row>
    <row r="844" spans="1:7" ht="15.75" thickBot="1">
      <c r="B844" s="10"/>
      <c r="C844" s="9"/>
    </row>
    <row r="845" spans="1:7">
      <c r="B845" s="7" t="s">
        <v>138</v>
      </c>
      <c r="C845" s="6" t="s">
        <v>2</v>
      </c>
    </row>
    <row r="846" spans="1:7">
      <c r="A846" s="122"/>
      <c r="B846" s="5" t="s">
        <v>117</v>
      </c>
      <c r="C846" s="4">
        <v>3.1525310000000002</v>
      </c>
      <c r="D846" s="122"/>
    </row>
    <row r="847" spans="1:7">
      <c r="B847" s="5">
        <v>2023</v>
      </c>
      <c r="C847" s="4">
        <v>3.1525310000000002</v>
      </c>
    </row>
    <row r="848" spans="1:7">
      <c r="B848" s="5">
        <f>+B847+1</f>
        <v>2024</v>
      </c>
      <c r="C848" s="4">
        <v>4.2930510000000002</v>
      </c>
    </row>
    <row r="849" spans="1:4">
      <c r="B849" s="5" t="s">
        <v>134</v>
      </c>
      <c r="C849" s="4">
        <v>934.00188700000001</v>
      </c>
    </row>
    <row r="850" spans="1:4">
      <c r="B850" s="5" t="s">
        <v>15</v>
      </c>
      <c r="C850" s="4">
        <v>-10.314019</v>
      </c>
    </row>
    <row r="851" spans="1:4" ht="15.75" thickBot="1">
      <c r="B851" s="3" t="s">
        <v>31</v>
      </c>
      <c r="C851" s="2">
        <f>SUM(C846:C850)</f>
        <v>934.28598099999999</v>
      </c>
    </row>
    <row r="855" spans="1:4">
      <c r="A855" s="34" t="s">
        <v>139</v>
      </c>
    </row>
    <row r="857" spans="1:4">
      <c r="B857" s="33" t="s">
        <v>140</v>
      </c>
      <c r="C857" s="32" t="s">
        <v>2</v>
      </c>
      <c r="D857" s="31" t="s">
        <v>3</v>
      </c>
    </row>
    <row r="858" spans="1:4">
      <c r="B858" s="27" t="s">
        <v>5</v>
      </c>
      <c r="C858" s="26">
        <f>SUM(C859:C872)</f>
        <v>934.43288000000007</v>
      </c>
      <c r="D858" s="28"/>
    </row>
    <row r="859" spans="1:4">
      <c r="B859" s="30" t="s">
        <v>39</v>
      </c>
      <c r="C859" s="29">
        <v>150</v>
      </c>
      <c r="D859" s="28"/>
    </row>
    <row r="860" spans="1:4">
      <c r="B860" s="30" t="s">
        <v>66</v>
      </c>
      <c r="C860" s="29" t="s">
        <v>68</v>
      </c>
      <c r="D860" s="28"/>
    </row>
    <row r="861" spans="1:4">
      <c r="B861" s="30" t="s">
        <v>41</v>
      </c>
      <c r="C861" s="29">
        <v>65</v>
      </c>
      <c r="D861" s="28"/>
    </row>
    <row r="862" spans="1:4">
      <c r="B862" s="30" t="s">
        <v>43</v>
      </c>
      <c r="C862" s="29">
        <v>60</v>
      </c>
      <c r="D862" s="28"/>
    </row>
    <row r="863" spans="1:4">
      <c r="B863" s="30" t="s">
        <v>44</v>
      </c>
      <c r="C863" s="29">
        <v>45</v>
      </c>
      <c r="D863" s="28"/>
    </row>
    <row r="864" spans="1:4">
      <c r="B864" s="30" t="s">
        <v>45</v>
      </c>
      <c r="C864" s="29">
        <v>45</v>
      </c>
      <c r="D864" s="28"/>
    </row>
    <row r="865" spans="2:4">
      <c r="B865" s="30" t="s">
        <v>46</v>
      </c>
      <c r="C865" s="29">
        <v>118</v>
      </c>
      <c r="D865" s="28"/>
    </row>
    <row r="866" spans="2:4">
      <c r="B866" s="30" t="s">
        <v>47</v>
      </c>
      <c r="C866" s="29">
        <v>26.6</v>
      </c>
      <c r="D866" s="28"/>
    </row>
    <row r="867" spans="2:4">
      <c r="B867" s="30" t="s">
        <v>48</v>
      </c>
      <c r="C867" s="29">
        <v>70</v>
      </c>
      <c r="D867" s="28"/>
    </row>
    <row r="868" spans="2:4">
      <c r="B868" s="30" t="s">
        <v>49</v>
      </c>
      <c r="C868" s="29">
        <v>15</v>
      </c>
      <c r="D868" s="28"/>
    </row>
    <row r="869" spans="2:4">
      <c r="B869" s="30" t="s">
        <v>67</v>
      </c>
      <c r="C869" s="29">
        <v>0</v>
      </c>
      <c r="D869" s="28"/>
    </row>
    <row r="870" spans="2:4">
      <c r="B870" s="15" t="s">
        <v>69</v>
      </c>
      <c r="C870" s="29">
        <v>0</v>
      </c>
      <c r="D870" s="28"/>
    </row>
    <row r="871" spans="2:4">
      <c r="B871" s="15" t="s">
        <v>59</v>
      </c>
      <c r="C871" s="29">
        <v>350</v>
      </c>
      <c r="D871" s="28"/>
    </row>
    <row r="872" spans="2:4">
      <c r="B872" s="15" t="s">
        <v>15</v>
      </c>
      <c r="C872" s="29">
        <v>-10.167120000000001</v>
      </c>
      <c r="D872" s="28"/>
    </row>
    <row r="873" spans="2:4">
      <c r="B873" s="27" t="s">
        <v>16</v>
      </c>
      <c r="C873" s="26">
        <f>Model!W121</f>
        <v>0.51289799999999997</v>
      </c>
    </row>
    <row r="874" spans="2:4">
      <c r="B874" s="21" t="s">
        <v>17</v>
      </c>
      <c r="C874" s="20">
        <f>C858+C873</f>
        <v>934.94577800000002</v>
      </c>
      <c r="D874" s="19">
        <f>C874/C879</f>
        <v>7.1276603467233794</v>
      </c>
    </row>
    <row r="875" spans="2:4">
      <c r="B875" s="15" t="s">
        <v>18</v>
      </c>
      <c r="C875" s="23">
        <f>Model!W127</f>
        <v>393.43617799999998</v>
      </c>
      <c r="D875" s="22"/>
    </row>
    <row r="876" spans="2:4">
      <c r="B876" s="21" t="s">
        <v>19</v>
      </c>
      <c r="C876" s="20">
        <f>C874-C875</f>
        <v>541.50960000000009</v>
      </c>
      <c r="D876" s="19">
        <f>C876/C879</f>
        <v>4.1282570541647381</v>
      </c>
    </row>
    <row r="877" spans="2:4">
      <c r="B877" s="10" t="s">
        <v>20</v>
      </c>
      <c r="C877" s="18">
        <f>Model!W131</f>
        <v>1403.686868</v>
      </c>
      <c r="D877" s="17"/>
    </row>
    <row r="878" spans="2:4">
      <c r="B878" s="10" t="s">
        <v>21</v>
      </c>
      <c r="C878" s="18">
        <f>C876+C877</f>
        <v>1945.1964680000001</v>
      </c>
      <c r="D878" s="17"/>
    </row>
    <row r="879" spans="2:4">
      <c r="B879" s="15" t="s">
        <v>22</v>
      </c>
      <c r="C879" s="16">
        <f>Model!W98</f>
        <v>131.17148300000002</v>
      </c>
      <c r="D879" s="15"/>
    </row>
    <row r="880" spans="2:4">
      <c r="B880" s="14" t="s">
        <v>23</v>
      </c>
      <c r="C880" s="13">
        <f>C874-Model!W126</f>
        <v>8.0000000002655725E-4</v>
      </c>
      <c r="D880" s="12"/>
    </row>
    <row r="881" spans="1:4" ht="15.75" thickBot="1">
      <c r="B881" s="14"/>
      <c r="C881" s="13"/>
      <c r="D881" s="12"/>
    </row>
    <row r="882" spans="1:4">
      <c r="B882" s="7" t="s">
        <v>141</v>
      </c>
      <c r="C882" s="11" t="s">
        <v>2</v>
      </c>
    </row>
    <row r="883" spans="1:4">
      <c r="B883" s="5" t="s">
        <v>25</v>
      </c>
      <c r="C883" s="4">
        <v>393.38173699999999</v>
      </c>
    </row>
    <row r="884" spans="1:4">
      <c r="B884" s="5" t="s">
        <v>26</v>
      </c>
      <c r="C884" s="4">
        <v>5.4441000000000003E-2</v>
      </c>
    </row>
    <row r="885" spans="1:4">
      <c r="B885" s="5" t="s">
        <v>27</v>
      </c>
      <c r="C885" s="4">
        <v>0.73531199999999997</v>
      </c>
    </row>
    <row r="886" spans="1:4" ht="15.75" thickBot="1">
      <c r="B886" s="3" t="s">
        <v>28</v>
      </c>
      <c r="C886" s="2">
        <f>+C883+C884+C885</f>
        <v>394.17149000000001</v>
      </c>
    </row>
    <row r="887" spans="1:4" ht="15.75" thickBot="1">
      <c r="B887" s="10"/>
      <c r="C887" s="9"/>
    </row>
    <row r="888" spans="1:4">
      <c r="B888" s="7" t="s">
        <v>142</v>
      </c>
      <c r="C888" s="6" t="s">
        <v>2</v>
      </c>
    </row>
    <row r="889" spans="1:4">
      <c r="A889" s="122"/>
      <c r="B889" s="5" t="s">
        <v>117</v>
      </c>
      <c r="C889" s="4">
        <v>2.4435750000000001</v>
      </c>
      <c r="D889" s="122"/>
    </row>
    <row r="890" spans="1:4">
      <c r="B890" s="5">
        <v>2023</v>
      </c>
      <c r="C890" s="4">
        <v>3.8301289999999999</v>
      </c>
    </row>
    <row r="891" spans="1:4">
      <c r="B891" s="5">
        <f>+B890+1</f>
        <v>2024</v>
      </c>
      <c r="C891" s="4">
        <v>4.6970900000000002</v>
      </c>
    </row>
    <row r="892" spans="1:4">
      <c r="B892" s="5" t="s">
        <v>134</v>
      </c>
      <c r="C892" s="4">
        <v>931.18563099999994</v>
      </c>
    </row>
    <row r="893" spans="1:4">
      <c r="B893" s="5" t="s">
        <v>15</v>
      </c>
      <c r="C893" s="4">
        <v>-10.167920000000001</v>
      </c>
    </row>
    <row r="894" spans="1:4" ht="15.75" thickBot="1">
      <c r="B894" s="3" t="s">
        <v>31</v>
      </c>
      <c r="C894" s="2">
        <f>SUM(C889:C893)</f>
        <v>931.98850499999992</v>
      </c>
    </row>
    <row r="901" spans="1:4">
      <c r="A901" s="34" t="s">
        <v>143</v>
      </c>
    </row>
    <row r="903" spans="1:4">
      <c r="B903" s="33" t="s">
        <v>144</v>
      </c>
      <c r="C903" s="32" t="s">
        <v>2</v>
      </c>
      <c r="D903" s="31" t="s">
        <v>3</v>
      </c>
    </row>
    <row r="904" spans="1:4">
      <c r="B904" s="27" t="s">
        <v>5</v>
      </c>
      <c r="C904" s="26">
        <f>SUM(C905:C917)</f>
        <v>839.80256199999997</v>
      </c>
      <c r="D904" s="28"/>
    </row>
    <row r="905" spans="1:4">
      <c r="B905" s="30" t="s">
        <v>39</v>
      </c>
      <c r="C905" s="29">
        <v>150</v>
      </c>
      <c r="D905" s="28"/>
    </row>
    <row r="906" spans="1:4">
      <c r="B906" s="30" t="s">
        <v>66</v>
      </c>
      <c r="C906" s="29">
        <v>45.544286999999997</v>
      </c>
      <c r="D906" s="28"/>
    </row>
    <row r="907" spans="1:4">
      <c r="B907" s="30" t="s">
        <v>41</v>
      </c>
      <c r="C907" s="29">
        <v>65</v>
      </c>
      <c r="D907" s="28"/>
    </row>
    <row r="908" spans="1:4">
      <c r="B908" s="30" t="s">
        <v>43</v>
      </c>
      <c r="C908" s="29">
        <v>60</v>
      </c>
      <c r="D908" s="28"/>
    </row>
    <row r="909" spans="1:4">
      <c r="B909" s="30" t="s">
        <v>44</v>
      </c>
      <c r="C909" s="29">
        <v>45</v>
      </c>
      <c r="D909" s="28"/>
    </row>
    <row r="910" spans="1:4">
      <c r="B910" s="30" t="s">
        <v>45</v>
      </c>
      <c r="C910" s="29">
        <v>45</v>
      </c>
      <c r="D910" s="28"/>
    </row>
    <row r="911" spans="1:4">
      <c r="B911" s="30" t="s">
        <v>46</v>
      </c>
      <c r="C911" s="29">
        <v>118</v>
      </c>
      <c r="D911" s="28"/>
    </row>
    <row r="912" spans="1:4">
      <c r="B912" s="30" t="s">
        <v>47</v>
      </c>
      <c r="C912" s="29">
        <v>26.6</v>
      </c>
      <c r="D912" s="28"/>
    </row>
    <row r="913" spans="2:4">
      <c r="B913" s="30" t="s">
        <v>48</v>
      </c>
      <c r="C913" s="29">
        <v>70</v>
      </c>
      <c r="D913" s="28"/>
    </row>
    <row r="914" spans="2:4">
      <c r="B914" s="30" t="s">
        <v>49</v>
      </c>
      <c r="C914" s="29">
        <v>15</v>
      </c>
      <c r="D914" s="28"/>
    </row>
    <row r="915" spans="2:4">
      <c r="B915" s="30" t="s">
        <v>67</v>
      </c>
      <c r="C915" s="29">
        <v>80</v>
      </c>
      <c r="D915" s="28"/>
    </row>
    <row r="916" spans="2:4">
      <c r="B916" s="15" t="s">
        <v>69</v>
      </c>
      <c r="C916" s="29">
        <v>125</v>
      </c>
      <c r="D916" s="28"/>
    </row>
    <row r="917" spans="2:4">
      <c r="B917" s="15" t="s">
        <v>15</v>
      </c>
      <c r="C917" s="29">
        <v>-5.3417250000000003</v>
      </c>
      <c r="D917" s="28"/>
    </row>
    <row r="918" spans="2:4">
      <c r="B918" s="27" t="s">
        <v>16</v>
      </c>
      <c r="C918" s="26">
        <f>Model!V121</f>
        <v>0.62350800000000006</v>
      </c>
    </row>
    <row r="919" spans="2:4">
      <c r="B919" s="21" t="s">
        <v>17</v>
      </c>
      <c r="C919" s="20">
        <f>C904+C918</f>
        <v>840.42606999999998</v>
      </c>
      <c r="D919" s="19">
        <f>C919/C924</f>
        <v>6.557239917066128</v>
      </c>
    </row>
    <row r="920" spans="2:4">
      <c r="B920" s="15" t="s">
        <v>18</v>
      </c>
      <c r="C920" s="23">
        <f>Model!V127</f>
        <v>99.119437000000005</v>
      </c>
      <c r="D920" s="22"/>
    </row>
    <row r="921" spans="2:4">
      <c r="B921" s="21" t="s">
        <v>19</v>
      </c>
      <c r="C921" s="20">
        <f>C919-C920</f>
        <v>741.30663299999992</v>
      </c>
      <c r="D921" s="19">
        <f>C921/C924</f>
        <v>5.7838822690180116</v>
      </c>
    </row>
    <row r="922" spans="2:4">
      <c r="B922" s="10" t="s">
        <v>20</v>
      </c>
      <c r="C922" s="18">
        <f>Model!V131</f>
        <v>1067.7819830000001</v>
      </c>
      <c r="D922" s="17"/>
    </row>
    <row r="923" spans="2:4">
      <c r="B923" s="10" t="s">
        <v>21</v>
      </c>
      <c r="C923" s="18">
        <f>C921+C922</f>
        <v>1809.088616</v>
      </c>
      <c r="D923" s="17"/>
    </row>
    <row r="924" spans="2:4">
      <c r="B924" s="15" t="s">
        <v>22</v>
      </c>
      <c r="C924" s="16">
        <f>Model!V98</f>
        <v>128.16765599999999</v>
      </c>
      <c r="D924" s="15"/>
    </row>
    <row r="925" spans="2:4">
      <c r="B925" s="14" t="s">
        <v>23</v>
      </c>
      <c r="C925" s="13">
        <f>+C919-Model!V126</f>
        <v>0</v>
      </c>
      <c r="D925" s="12"/>
    </row>
    <row r="926" spans="2:4" ht="15.75" thickBot="1">
      <c r="B926" s="14"/>
      <c r="C926" s="13"/>
      <c r="D926" s="12"/>
    </row>
    <row r="927" spans="2:4">
      <c r="B927" s="7" t="s">
        <v>145</v>
      </c>
      <c r="C927" s="11" t="s">
        <v>2</v>
      </c>
    </row>
    <row r="928" spans="2:4">
      <c r="B928" s="5" t="s">
        <v>25</v>
      </c>
      <c r="C928" s="4">
        <f>98.191214</f>
        <v>98.191214000000002</v>
      </c>
    </row>
    <row r="929" spans="2:3">
      <c r="B929" s="5" t="s">
        <v>26</v>
      </c>
      <c r="C929" s="4">
        <f>0.928223</f>
        <v>0.92822300000000002</v>
      </c>
    </row>
    <row r="930" spans="2:3">
      <c r="B930" s="5" t="s">
        <v>27</v>
      </c>
      <c r="C930" s="4">
        <v>0.73531199999999997</v>
      </c>
    </row>
    <row r="931" spans="2:3" ht="15.75" thickBot="1">
      <c r="B931" s="3" t="s">
        <v>28</v>
      </c>
      <c r="C931" s="2">
        <f>+C928+C929+C930</f>
        <v>99.854748999999998</v>
      </c>
    </row>
    <row r="932" spans="2:3" ht="15.75" thickBot="1">
      <c r="B932" s="10"/>
      <c r="C932" s="9"/>
    </row>
    <row r="933" spans="2:3">
      <c r="B933" s="7" t="s">
        <v>146</v>
      </c>
      <c r="C933" s="6" t="s">
        <v>2</v>
      </c>
    </row>
    <row r="934" spans="2:3">
      <c r="B934" s="5">
        <v>2022</v>
      </c>
      <c r="C934" s="4">
        <v>47.303201999999999</v>
      </c>
    </row>
    <row r="935" spans="2:3">
      <c r="B935" s="5">
        <f>+B934+1</f>
        <v>2023</v>
      </c>
      <c r="C935" s="4">
        <v>128.359253</v>
      </c>
    </row>
    <row r="936" spans="2:3">
      <c r="B936" s="5">
        <f>+B935+1</f>
        <v>2024</v>
      </c>
      <c r="C936" s="4">
        <v>4.6423269999999999</v>
      </c>
    </row>
    <row r="937" spans="2:3">
      <c r="B937" s="5">
        <f>+B936+1</f>
        <v>2025</v>
      </c>
      <c r="C937" s="4">
        <v>4.9026990000000001</v>
      </c>
    </row>
    <row r="938" spans="2:3">
      <c r="B938" s="5" t="s">
        <v>147</v>
      </c>
      <c r="C938" s="4">
        <v>612.63360399999999</v>
      </c>
    </row>
    <row r="939" spans="2:3">
      <c r="B939" s="5" t="s">
        <v>15</v>
      </c>
      <c r="C939" s="4">
        <v>-5.3417250000000003</v>
      </c>
    </row>
    <row r="940" spans="2:3" ht="15.75" thickBot="1">
      <c r="B940" s="3" t="s">
        <v>148</v>
      </c>
      <c r="C940" s="2">
        <f>SUM(C934:C939)</f>
        <v>792.49936000000002</v>
      </c>
    </row>
    <row r="941" spans="2:3">
      <c r="C941" s="8"/>
    </row>
  </sheetData>
  <pageMargins left="0.7" right="0.7" top="0.75" bottom="0.75" header="0.3" footer="0.3"/>
  <pageSetup orientation="portrait" horizontalDpi="90" verticalDpi="90" r:id="rId1"/>
  <headerFooter>
    <oddFooter>&amp;C_x000D_&amp;1#&amp;"Aptos"&amp;10&amp;K000000 Barings-Corporate</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S282"/>
  <sheetViews>
    <sheetView showGridLines="0" tabSelected="1" zoomScaleNormal="100" workbookViewId="0">
      <pane xSplit="2" ySplit="6" topLeftCell="I7" activePane="bottomRight" state="frozen"/>
      <selection pane="bottomRight" activeCell="AU2" sqref="AU2"/>
      <selection pane="bottomLeft" activeCell="O19" sqref="O19"/>
      <selection pane="topRight" activeCell="O19" sqref="O19"/>
    </sheetView>
  </sheetViews>
  <sheetFormatPr defaultColWidth="11.42578125" defaultRowHeight="12.75" outlineLevelCol="1"/>
  <cols>
    <col min="1" max="1" width="2.7109375" style="35" customWidth="1"/>
    <col min="2" max="2" width="50.7109375" style="35" customWidth="1"/>
    <col min="3" max="5" width="12.7109375" style="35" hidden="1" customWidth="1" outlineLevel="1"/>
    <col min="6" max="7" width="12.7109375" style="35" hidden="1" customWidth="1" outlineLevel="1" collapsed="1"/>
    <col min="8" max="8" width="12.7109375" style="35" hidden="1" customWidth="1" outlineLevel="1"/>
    <col min="9" max="9" width="12.7109375" style="35" customWidth="1" collapsed="1"/>
    <col min="10" max="13" width="12.7109375" style="35" customWidth="1"/>
    <col min="14" max="25" width="12.7109375" style="35" hidden="1" customWidth="1" outlineLevel="1"/>
    <col min="26" max="27" width="12.7109375" style="35" hidden="1" customWidth="1" outlineLevel="1" collapsed="1"/>
    <col min="28" max="33" width="12.7109375" style="35" hidden="1" customWidth="1" outlineLevel="1"/>
    <col min="34" max="34" width="12.7109375" style="35" customWidth="1" collapsed="1"/>
    <col min="35" max="48" width="12.7109375" style="35" customWidth="1"/>
    <col min="49" max="258" width="11.42578125" style="35"/>
    <col min="259" max="259" width="3.5703125" style="35" customWidth="1"/>
    <col min="260" max="260" width="13.42578125" style="35" customWidth="1"/>
    <col min="261" max="268" width="11.42578125" style="35" customWidth="1"/>
    <col min="269" max="269" width="9.5703125" style="35" bestFit="1" customWidth="1"/>
    <col min="270" max="273" width="0" style="35" hidden="1" customWidth="1"/>
    <col min="274" max="282" width="11.42578125" style="35" customWidth="1"/>
    <col min="283" max="514" width="11.42578125" style="35"/>
    <col min="515" max="515" width="3.5703125" style="35" customWidth="1"/>
    <col min="516" max="516" width="13.42578125" style="35" customWidth="1"/>
    <col min="517" max="524" width="11.42578125" style="35" customWidth="1"/>
    <col min="525" max="525" width="9.5703125" style="35" bestFit="1" customWidth="1"/>
    <col min="526" max="529" width="0" style="35" hidden="1" customWidth="1"/>
    <col min="530" max="538" width="11.42578125" style="35" customWidth="1"/>
    <col min="539" max="770" width="11.42578125" style="35"/>
    <col min="771" max="771" width="3.5703125" style="35" customWidth="1"/>
    <col min="772" max="772" width="13.42578125" style="35" customWidth="1"/>
    <col min="773" max="780" width="11.42578125" style="35" customWidth="1"/>
    <col min="781" max="781" width="9.5703125" style="35" bestFit="1" customWidth="1"/>
    <col min="782" max="785" width="0" style="35" hidden="1" customWidth="1"/>
    <col min="786" max="794" width="11.42578125" style="35" customWidth="1"/>
    <col min="795" max="1026" width="11.42578125" style="35"/>
    <col min="1027" max="1027" width="3.5703125" style="35" customWidth="1"/>
    <col min="1028" max="1028" width="13.42578125" style="35" customWidth="1"/>
    <col min="1029" max="1036" width="11.42578125" style="35" customWidth="1"/>
    <col min="1037" max="1037" width="9.5703125" style="35" bestFit="1" customWidth="1"/>
    <col min="1038" max="1041" width="0" style="35" hidden="1" customWidth="1"/>
    <col min="1042" max="1050" width="11.42578125" style="35" customWidth="1"/>
    <col min="1051" max="1282" width="11.42578125" style="35"/>
    <col min="1283" max="1283" width="3.5703125" style="35" customWidth="1"/>
    <col min="1284" max="1284" width="13.42578125" style="35" customWidth="1"/>
    <col min="1285" max="1292" width="11.42578125" style="35" customWidth="1"/>
    <col min="1293" max="1293" width="9.5703125" style="35" bestFit="1" customWidth="1"/>
    <col min="1294" max="1297" width="0" style="35" hidden="1" customWidth="1"/>
    <col min="1298" max="1306" width="11.42578125" style="35" customWidth="1"/>
    <col min="1307" max="1538" width="11.42578125" style="35"/>
    <col min="1539" max="1539" width="3.5703125" style="35" customWidth="1"/>
    <col min="1540" max="1540" width="13.42578125" style="35" customWidth="1"/>
    <col min="1541" max="1548" width="11.42578125" style="35" customWidth="1"/>
    <col min="1549" max="1549" width="9.5703125" style="35" bestFit="1" customWidth="1"/>
    <col min="1550" max="1553" width="0" style="35" hidden="1" customWidth="1"/>
    <col min="1554" max="1562" width="11.42578125" style="35" customWidth="1"/>
    <col min="1563" max="1794" width="11.42578125" style="35"/>
    <col min="1795" max="1795" width="3.5703125" style="35" customWidth="1"/>
    <col min="1796" max="1796" width="13.42578125" style="35" customWidth="1"/>
    <col min="1797" max="1804" width="11.42578125" style="35" customWidth="1"/>
    <col min="1805" max="1805" width="9.5703125" style="35" bestFit="1" customWidth="1"/>
    <col min="1806" max="1809" width="0" style="35" hidden="1" customWidth="1"/>
    <col min="1810" max="1818" width="11.42578125" style="35" customWidth="1"/>
    <col min="1819" max="2050" width="11.42578125" style="35"/>
    <col min="2051" max="2051" width="3.5703125" style="35" customWidth="1"/>
    <col min="2052" max="2052" width="13.42578125" style="35" customWidth="1"/>
    <col min="2053" max="2060" width="11.42578125" style="35" customWidth="1"/>
    <col min="2061" max="2061" width="9.5703125" style="35" bestFit="1" customWidth="1"/>
    <col min="2062" max="2065" width="0" style="35" hidden="1" customWidth="1"/>
    <col min="2066" max="2074" width="11.42578125" style="35" customWidth="1"/>
    <col min="2075" max="2306" width="11.42578125" style="35"/>
    <col min="2307" max="2307" width="3.5703125" style="35" customWidth="1"/>
    <col min="2308" max="2308" width="13.42578125" style="35" customWidth="1"/>
    <col min="2309" max="2316" width="11.42578125" style="35" customWidth="1"/>
    <col min="2317" max="2317" width="9.5703125" style="35" bestFit="1" customWidth="1"/>
    <col min="2318" max="2321" width="0" style="35" hidden="1" customWidth="1"/>
    <col min="2322" max="2330" width="11.42578125" style="35" customWidth="1"/>
    <col min="2331" max="2562" width="11.42578125" style="35"/>
    <col min="2563" max="2563" width="3.5703125" style="35" customWidth="1"/>
    <col min="2564" max="2564" width="13.42578125" style="35" customWidth="1"/>
    <col min="2565" max="2572" width="11.42578125" style="35" customWidth="1"/>
    <col min="2573" max="2573" width="9.5703125" style="35" bestFit="1" customWidth="1"/>
    <col min="2574" max="2577" width="0" style="35" hidden="1" customWidth="1"/>
    <col min="2578" max="2586" width="11.42578125" style="35" customWidth="1"/>
    <col min="2587" max="2818" width="11.42578125" style="35"/>
    <col min="2819" max="2819" width="3.5703125" style="35" customWidth="1"/>
    <col min="2820" max="2820" width="13.42578125" style="35" customWidth="1"/>
    <col min="2821" max="2828" width="11.42578125" style="35" customWidth="1"/>
    <col min="2829" max="2829" width="9.5703125" style="35" bestFit="1" customWidth="1"/>
    <col min="2830" max="2833" width="0" style="35" hidden="1" customWidth="1"/>
    <col min="2834" max="2842" width="11.42578125" style="35" customWidth="1"/>
    <col min="2843" max="3074" width="11.42578125" style="35"/>
    <col min="3075" max="3075" width="3.5703125" style="35" customWidth="1"/>
    <col min="3076" max="3076" width="13.42578125" style="35" customWidth="1"/>
    <col min="3077" max="3084" width="11.42578125" style="35" customWidth="1"/>
    <col min="3085" max="3085" width="9.5703125" style="35" bestFit="1" customWidth="1"/>
    <col min="3086" max="3089" width="0" style="35" hidden="1" customWidth="1"/>
    <col min="3090" max="3098" width="11.42578125" style="35" customWidth="1"/>
    <col min="3099" max="3330" width="11.42578125" style="35"/>
    <col min="3331" max="3331" width="3.5703125" style="35" customWidth="1"/>
    <col min="3332" max="3332" width="13.42578125" style="35" customWidth="1"/>
    <col min="3333" max="3340" width="11.42578125" style="35" customWidth="1"/>
    <col min="3341" max="3341" width="9.5703125" style="35" bestFit="1" customWidth="1"/>
    <col min="3342" max="3345" width="0" style="35" hidden="1" customWidth="1"/>
    <col min="3346" max="3354" width="11.42578125" style="35" customWidth="1"/>
    <col min="3355" max="3586" width="11.42578125" style="35"/>
    <col min="3587" max="3587" width="3.5703125" style="35" customWidth="1"/>
    <col min="3588" max="3588" width="13.42578125" style="35" customWidth="1"/>
    <col min="3589" max="3596" width="11.42578125" style="35" customWidth="1"/>
    <col min="3597" max="3597" width="9.5703125" style="35" bestFit="1" customWidth="1"/>
    <col min="3598" max="3601" width="0" style="35" hidden="1" customWidth="1"/>
    <col min="3602" max="3610" width="11.42578125" style="35" customWidth="1"/>
    <col min="3611" max="3842" width="11.42578125" style="35"/>
    <col min="3843" max="3843" width="3.5703125" style="35" customWidth="1"/>
    <col min="3844" max="3844" width="13.42578125" style="35" customWidth="1"/>
    <col min="3845" max="3852" width="11.42578125" style="35" customWidth="1"/>
    <col min="3853" max="3853" width="9.5703125" style="35" bestFit="1" customWidth="1"/>
    <col min="3854" max="3857" width="0" style="35" hidden="1" customWidth="1"/>
    <col min="3858" max="3866" width="11.42578125" style="35" customWidth="1"/>
    <col min="3867" max="4098" width="11.42578125" style="35"/>
    <col min="4099" max="4099" width="3.5703125" style="35" customWidth="1"/>
    <col min="4100" max="4100" width="13.42578125" style="35" customWidth="1"/>
    <col min="4101" max="4108" width="11.42578125" style="35" customWidth="1"/>
    <col min="4109" max="4109" width="9.5703125" style="35" bestFit="1" customWidth="1"/>
    <col min="4110" max="4113" width="0" style="35" hidden="1" customWidth="1"/>
    <col min="4114" max="4122" width="11.42578125" style="35" customWidth="1"/>
    <col min="4123" max="4354" width="11.42578125" style="35"/>
    <col min="4355" max="4355" width="3.5703125" style="35" customWidth="1"/>
    <col min="4356" max="4356" width="13.42578125" style="35" customWidth="1"/>
    <col min="4357" max="4364" width="11.42578125" style="35" customWidth="1"/>
    <col min="4365" max="4365" width="9.5703125" style="35" bestFit="1" customWidth="1"/>
    <col min="4366" max="4369" width="0" style="35" hidden="1" customWidth="1"/>
    <col min="4370" max="4378" width="11.42578125" style="35" customWidth="1"/>
    <col min="4379" max="4610" width="11.42578125" style="35"/>
    <col min="4611" max="4611" width="3.5703125" style="35" customWidth="1"/>
    <col min="4612" max="4612" width="13.42578125" style="35" customWidth="1"/>
    <col min="4613" max="4620" width="11.42578125" style="35" customWidth="1"/>
    <col min="4621" max="4621" width="9.5703125" style="35" bestFit="1" customWidth="1"/>
    <col min="4622" max="4625" width="0" style="35" hidden="1" customWidth="1"/>
    <col min="4626" max="4634" width="11.42578125" style="35" customWidth="1"/>
    <col min="4635" max="4866" width="11.42578125" style="35"/>
    <col min="4867" max="4867" width="3.5703125" style="35" customWidth="1"/>
    <col min="4868" max="4868" width="13.42578125" style="35" customWidth="1"/>
    <col min="4869" max="4876" width="11.42578125" style="35" customWidth="1"/>
    <col min="4877" max="4877" width="9.5703125" style="35" bestFit="1" customWidth="1"/>
    <col min="4878" max="4881" width="0" style="35" hidden="1" customWidth="1"/>
    <col min="4882" max="4890" width="11.42578125" style="35" customWidth="1"/>
    <col min="4891" max="5122" width="11.42578125" style="35"/>
    <col min="5123" max="5123" width="3.5703125" style="35" customWidth="1"/>
    <col min="5124" max="5124" width="13.42578125" style="35" customWidth="1"/>
    <col min="5125" max="5132" width="11.42578125" style="35" customWidth="1"/>
    <col min="5133" max="5133" width="9.5703125" style="35" bestFit="1" customWidth="1"/>
    <col min="5134" max="5137" width="0" style="35" hidden="1" customWidth="1"/>
    <col min="5138" max="5146" width="11.42578125" style="35" customWidth="1"/>
    <col min="5147" max="5378" width="11.42578125" style="35"/>
    <col min="5379" max="5379" width="3.5703125" style="35" customWidth="1"/>
    <col min="5380" max="5380" width="13.42578125" style="35" customWidth="1"/>
    <col min="5381" max="5388" width="11.42578125" style="35" customWidth="1"/>
    <col min="5389" max="5389" width="9.5703125" style="35" bestFit="1" customWidth="1"/>
    <col min="5390" max="5393" width="0" style="35" hidden="1" customWidth="1"/>
    <col min="5394" max="5402" width="11.42578125" style="35" customWidth="1"/>
    <col min="5403" max="5634" width="11.42578125" style="35"/>
    <col min="5635" max="5635" width="3.5703125" style="35" customWidth="1"/>
    <col min="5636" max="5636" width="13.42578125" style="35" customWidth="1"/>
    <col min="5637" max="5644" width="11.42578125" style="35" customWidth="1"/>
    <col min="5645" max="5645" width="9.5703125" style="35" bestFit="1" customWidth="1"/>
    <col min="5646" max="5649" width="0" style="35" hidden="1" customWidth="1"/>
    <col min="5650" max="5658" width="11.42578125" style="35" customWidth="1"/>
    <col min="5659" max="5890" width="11.42578125" style="35"/>
    <col min="5891" max="5891" width="3.5703125" style="35" customWidth="1"/>
    <col min="5892" max="5892" width="13.42578125" style="35" customWidth="1"/>
    <col min="5893" max="5900" width="11.42578125" style="35" customWidth="1"/>
    <col min="5901" max="5901" width="9.5703125" style="35" bestFit="1" customWidth="1"/>
    <col min="5902" max="5905" width="0" style="35" hidden="1" customWidth="1"/>
    <col min="5906" max="5914" width="11.42578125" style="35" customWidth="1"/>
    <col min="5915" max="6146" width="11.42578125" style="35"/>
    <col min="6147" max="6147" width="3.5703125" style="35" customWidth="1"/>
    <col min="6148" max="6148" width="13.42578125" style="35" customWidth="1"/>
    <col min="6149" max="6156" width="11.42578125" style="35" customWidth="1"/>
    <col min="6157" max="6157" width="9.5703125" style="35" bestFit="1" customWidth="1"/>
    <col min="6158" max="6161" width="0" style="35" hidden="1" customWidth="1"/>
    <col min="6162" max="6170" width="11.42578125" style="35" customWidth="1"/>
    <col min="6171" max="6402" width="11.42578125" style="35"/>
    <col min="6403" max="6403" width="3.5703125" style="35" customWidth="1"/>
    <col min="6404" max="6404" width="13.42578125" style="35" customWidth="1"/>
    <col min="6405" max="6412" width="11.42578125" style="35" customWidth="1"/>
    <col min="6413" max="6413" width="9.5703125" style="35" bestFit="1" customWidth="1"/>
    <col min="6414" max="6417" width="0" style="35" hidden="1" customWidth="1"/>
    <col min="6418" max="6426" width="11.42578125" style="35" customWidth="1"/>
    <col min="6427" max="6658" width="11.42578125" style="35"/>
    <col min="6659" max="6659" width="3.5703125" style="35" customWidth="1"/>
    <col min="6660" max="6660" width="13.42578125" style="35" customWidth="1"/>
    <col min="6661" max="6668" width="11.42578125" style="35" customWidth="1"/>
    <col min="6669" max="6669" width="9.5703125" style="35" bestFit="1" customWidth="1"/>
    <col min="6670" max="6673" width="0" style="35" hidden="1" customWidth="1"/>
    <col min="6674" max="6682" width="11.42578125" style="35" customWidth="1"/>
    <col min="6683" max="6914" width="11.42578125" style="35"/>
    <col min="6915" max="6915" width="3.5703125" style="35" customWidth="1"/>
    <col min="6916" max="6916" width="13.42578125" style="35" customWidth="1"/>
    <col min="6917" max="6924" width="11.42578125" style="35" customWidth="1"/>
    <col min="6925" max="6925" width="9.5703125" style="35" bestFit="1" customWidth="1"/>
    <col min="6926" max="6929" width="0" style="35" hidden="1" customWidth="1"/>
    <col min="6930" max="6938" width="11.42578125" style="35" customWidth="1"/>
    <col min="6939" max="7170" width="11.42578125" style="35"/>
    <col min="7171" max="7171" width="3.5703125" style="35" customWidth="1"/>
    <col min="7172" max="7172" width="13.42578125" style="35" customWidth="1"/>
    <col min="7173" max="7180" width="11.42578125" style="35" customWidth="1"/>
    <col min="7181" max="7181" width="9.5703125" style="35" bestFit="1" customWidth="1"/>
    <col min="7182" max="7185" width="0" style="35" hidden="1" customWidth="1"/>
    <col min="7186" max="7194" width="11.42578125" style="35" customWidth="1"/>
    <col min="7195" max="7426" width="11.42578125" style="35"/>
    <col min="7427" max="7427" width="3.5703125" style="35" customWidth="1"/>
    <col min="7428" max="7428" width="13.42578125" style="35" customWidth="1"/>
    <col min="7429" max="7436" width="11.42578125" style="35" customWidth="1"/>
    <col min="7437" max="7437" width="9.5703125" style="35" bestFit="1" customWidth="1"/>
    <col min="7438" max="7441" width="0" style="35" hidden="1" customWidth="1"/>
    <col min="7442" max="7450" width="11.42578125" style="35" customWidth="1"/>
    <col min="7451" max="7682" width="11.42578125" style="35"/>
    <col min="7683" max="7683" width="3.5703125" style="35" customWidth="1"/>
    <col min="7684" max="7684" width="13.42578125" style="35" customWidth="1"/>
    <col min="7685" max="7692" width="11.42578125" style="35" customWidth="1"/>
    <col min="7693" max="7693" width="9.5703125" style="35" bestFit="1" customWidth="1"/>
    <col min="7694" max="7697" width="0" style="35" hidden="1" customWidth="1"/>
    <col min="7698" max="7706" width="11.42578125" style="35" customWidth="1"/>
    <col min="7707" max="7938" width="11.42578125" style="35"/>
    <col min="7939" max="7939" width="3.5703125" style="35" customWidth="1"/>
    <col min="7940" max="7940" width="13.42578125" style="35" customWidth="1"/>
    <col min="7941" max="7948" width="11.42578125" style="35" customWidth="1"/>
    <col min="7949" max="7949" width="9.5703125" style="35" bestFit="1" customWidth="1"/>
    <col min="7950" max="7953" width="0" style="35" hidden="1" customWidth="1"/>
    <col min="7954" max="7962" width="11.42578125" style="35" customWidth="1"/>
    <col min="7963" max="8194" width="11.42578125" style="35"/>
    <col min="8195" max="8195" width="3.5703125" style="35" customWidth="1"/>
    <col min="8196" max="8196" width="13.42578125" style="35" customWidth="1"/>
    <col min="8197" max="8204" width="11.42578125" style="35" customWidth="1"/>
    <col min="8205" max="8205" width="9.5703125" style="35" bestFit="1" customWidth="1"/>
    <col min="8206" max="8209" width="0" style="35" hidden="1" customWidth="1"/>
    <col min="8210" max="8218" width="11.42578125" style="35" customWidth="1"/>
    <col min="8219" max="8450" width="11.42578125" style="35"/>
    <col min="8451" max="8451" width="3.5703125" style="35" customWidth="1"/>
    <col min="8452" max="8452" width="13.42578125" style="35" customWidth="1"/>
    <col min="8453" max="8460" width="11.42578125" style="35" customWidth="1"/>
    <col min="8461" max="8461" width="9.5703125" style="35" bestFit="1" customWidth="1"/>
    <col min="8462" max="8465" width="0" style="35" hidden="1" customWidth="1"/>
    <col min="8466" max="8474" width="11.42578125" style="35" customWidth="1"/>
    <col min="8475" max="8706" width="11.42578125" style="35"/>
    <col min="8707" max="8707" width="3.5703125" style="35" customWidth="1"/>
    <col min="8708" max="8708" width="13.42578125" style="35" customWidth="1"/>
    <col min="8709" max="8716" width="11.42578125" style="35" customWidth="1"/>
    <col min="8717" max="8717" width="9.5703125" style="35" bestFit="1" customWidth="1"/>
    <col min="8718" max="8721" width="0" style="35" hidden="1" customWidth="1"/>
    <col min="8722" max="8730" width="11.42578125" style="35" customWidth="1"/>
    <col min="8731" max="8962" width="11.42578125" style="35"/>
    <col min="8963" max="8963" width="3.5703125" style="35" customWidth="1"/>
    <col min="8964" max="8964" width="13.42578125" style="35" customWidth="1"/>
    <col min="8965" max="8972" width="11.42578125" style="35" customWidth="1"/>
    <col min="8973" max="8973" width="9.5703125" style="35" bestFit="1" customWidth="1"/>
    <col min="8974" max="8977" width="0" style="35" hidden="1" customWidth="1"/>
    <col min="8978" max="8986" width="11.42578125" style="35" customWidth="1"/>
    <col min="8987" max="9218" width="11.42578125" style="35"/>
    <col min="9219" max="9219" width="3.5703125" style="35" customWidth="1"/>
    <col min="9220" max="9220" width="13.42578125" style="35" customWidth="1"/>
    <col min="9221" max="9228" width="11.42578125" style="35" customWidth="1"/>
    <col min="9229" max="9229" width="9.5703125" style="35" bestFit="1" customWidth="1"/>
    <col min="9230" max="9233" width="0" style="35" hidden="1" customWidth="1"/>
    <col min="9234" max="9242" width="11.42578125" style="35" customWidth="1"/>
    <col min="9243" max="9474" width="11.42578125" style="35"/>
    <col min="9475" max="9475" width="3.5703125" style="35" customWidth="1"/>
    <col min="9476" max="9476" width="13.42578125" style="35" customWidth="1"/>
    <col min="9477" max="9484" width="11.42578125" style="35" customWidth="1"/>
    <col min="9485" max="9485" width="9.5703125" style="35" bestFit="1" customWidth="1"/>
    <col min="9486" max="9489" width="0" style="35" hidden="1" customWidth="1"/>
    <col min="9490" max="9498" width="11.42578125" style="35" customWidth="1"/>
    <col min="9499" max="9730" width="11.42578125" style="35"/>
    <col min="9731" max="9731" width="3.5703125" style="35" customWidth="1"/>
    <col min="9732" max="9732" width="13.42578125" style="35" customWidth="1"/>
    <col min="9733" max="9740" width="11.42578125" style="35" customWidth="1"/>
    <col min="9741" max="9741" width="9.5703125" style="35" bestFit="1" customWidth="1"/>
    <col min="9742" max="9745" width="0" style="35" hidden="1" customWidth="1"/>
    <col min="9746" max="9754" width="11.42578125" style="35" customWidth="1"/>
    <col min="9755" max="9986" width="11.42578125" style="35"/>
    <col min="9987" max="9987" width="3.5703125" style="35" customWidth="1"/>
    <col min="9988" max="9988" width="13.42578125" style="35" customWidth="1"/>
    <col min="9989" max="9996" width="11.42578125" style="35" customWidth="1"/>
    <col min="9997" max="9997" width="9.5703125" style="35" bestFit="1" customWidth="1"/>
    <col min="9998" max="10001" width="0" style="35" hidden="1" customWidth="1"/>
    <col min="10002" max="10010" width="11.42578125" style="35" customWidth="1"/>
    <col min="10011" max="10242" width="11.42578125" style="35"/>
    <col min="10243" max="10243" width="3.5703125" style="35" customWidth="1"/>
    <col min="10244" max="10244" width="13.42578125" style="35" customWidth="1"/>
    <col min="10245" max="10252" width="11.42578125" style="35" customWidth="1"/>
    <col min="10253" max="10253" width="9.5703125" style="35" bestFit="1" customWidth="1"/>
    <col min="10254" max="10257" width="0" style="35" hidden="1" customWidth="1"/>
    <col min="10258" max="10266" width="11.42578125" style="35" customWidth="1"/>
    <col min="10267" max="10498" width="11.42578125" style="35"/>
    <col min="10499" max="10499" width="3.5703125" style="35" customWidth="1"/>
    <col min="10500" max="10500" width="13.42578125" style="35" customWidth="1"/>
    <col min="10501" max="10508" width="11.42578125" style="35" customWidth="1"/>
    <col min="10509" max="10509" width="9.5703125" style="35" bestFit="1" customWidth="1"/>
    <col min="10510" max="10513" width="0" style="35" hidden="1" customWidth="1"/>
    <col min="10514" max="10522" width="11.42578125" style="35" customWidth="1"/>
    <col min="10523" max="10754" width="11.42578125" style="35"/>
    <col min="10755" max="10755" width="3.5703125" style="35" customWidth="1"/>
    <col min="10756" max="10756" width="13.42578125" style="35" customWidth="1"/>
    <col min="10757" max="10764" width="11.42578125" style="35" customWidth="1"/>
    <col min="10765" max="10765" width="9.5703125" style="35" bestFit="1" customWidth="1"/>
    <col min="10766" max="10769" width="0" style="35" hidden="1" customWidth="1"/>
    <col min="10770" max="10778" width="11.42578125" style="35" customWidth="1"/>
    <col min="10779" max="11010" width="11.42578125" style="35"/>
    <col min="11011" max="11011" width="3.5703125" style="35" customWidth="1"/>
    <col min="11012" max="11012" width="13.42578125" style="35" customWidth="1"/>
    <col min="11013" max="11020" width="11.42578125" style="35" customWidth="1"/>
    <col min="11021" max="11021" width="9.5703125" style="35" bestFit="1" customWidth="1"/>
    <col min="11022" max="11025" width="0" style="35" hidden="1" customWidth="1"/>
    <col min="11026" max="11034" width="11.42578125" style="35" customWidth="1"/>
    <col min="11035" max="11266" width="11.42578125" style="35"/>
    <col min="11267" max="11267" width="3.5703125" style="35" customWidth="1"/>
    <col min="11268" max="11268" width="13.42578125" style="35" customWidth="1"/>
    <col min="11269" max="11276" width="11.42578125" style="35" customWidth="1"/>
    <col min="11277" max="11277" width="9.5703125" style="35" bestFit="1" customWidth="1"/>
    <col min="11278" max="11281" width="0" style="35" hidden="1" customWidth="1"/>
    <col min="11282" max="11290" width="11.42578125" style="35" customWidth="1"/>
    <col min="11291" max="11522" width="11.42578125" style="35"/>
    <col min="11523" max="11523" width="3.5703125" style="35" customWidth="1"/>
    <col min="11524" max="11524" width="13.42578125" style="35" customWidth="1"/>
    <col min="11525" max="11532" width="11.42578125" style="35" customWidth="1"/>
    <col min="11533" max="11533" width="9.5703125" style="35" bestFit="1" customWidth="1"/>
    <col min="11534" max="11537" width="0" style="35" hidden="1" customWidth="1"/>
    <col min="11538" max="11546" width="11.42578125" style="35" customWidth="1"/>
    <col min="11547" max="11778" width="11.42578125" style="35"/>
    <col min="11779" max="11779" width="3.5703125" style="35" customWidth="1"/>
    <col min="11780" max="11780" width="13.42578125" style="35" customWidth="1"/>
    <col min="11781" max="11788" width="11.42578125" style="35" customWidth="1"/>
    <col min="11789" max="11789" width="9.5703125" style="35" bestFit="1" customWidth="1"/>
    <col min="11790" max="11793" width="0" style="35" hidden="1" customWidth="1"/>
    <col min="11794" max="11802" width="11.42578125" style="35" customWidth="1"/>
    <col min="11803" max="12034" width="11.42578125" style="35"/>
    <col min="12035" max="12035" width="3.5703125" style="35" customWidth="1"/>
    <col min="12036" max="12036" width="13.42578125" style="35" customWidth="1"/>
    <col min="12037" max="12044" width="11.42578125" style="35" customWidth="1"/>
    <col min="12045" max="12045" width="9.5703125" style="35" bestFit="1" customWidth="1"/>
    <col min="12046" max="12049" width="0" style="35" hidden="1" customWidth="1"/>
    <col min="12050" max="12058" width="11.42578125" style="35" customWidth="1"/>
    <col min="12059" max="12290" width="11.42578125" style="35"/>
    <col min="12291" max="12291" width="3.5703125" style="35" customWidth="1"/>
    <col min="12292" max="12292" width="13.42578125" style="35" customWidth="1"/>
    <col min="12293" max="12300" width="11.42578125" style="35" customWidth="1"/>
    <col min="12301" max="12301" width="9.5703125" style="35" bestFit="1" customWidth="1"/>
    <col min="12302" max="12305" width="0" style="35" hidden="1" customWidth="1"/>
    <col min="12306" max="12314" width="11.42578125" style="35" customWidth="1"/>
    <col min="12315" max="12546" width="11.42578125" style="35"/>
    <col min="12547" max="12547" width="3.5703125" style="35" customWidth="1"/>
    <col min="12548" max="12548" width="13.42578125" style="35" customWidth="1"/>
    <col min="12549" max="12556" width="11.42578125" style="35" customWidth="1"/>
    <col min="12557" max="12557" width="9.5703125" style="35" bestFit="1" customWidth="1"/>
    <col min="12558" max="12561" width="0" style="35" hidden="1" customWidth="1"/>
    <col min="12562" max="12570" width="11.42578125" style="35" customWidth="1"/>
    <col min="12571" max="12802" width="11.42578125" style="35"/>
    <col min="12803" max="12803" width="3.5703125" style="35" customWidth="1"/>
    <col min="12804" max="12804" width="13.42578125" style="35" customWidth="1"/>
    <col min="12805" max="12812" width="11.42578125" style="35" customWidth="1"/>
    <col min="12813" max="12813" width="9.5703125" style="35" bestFit="1" customWidth="1"/>
    <col min="12814" max="12817" width="0" style="35" hidden="1" customWidth="1"/>
    <col min="12818" max="12826" width="11.42578125" style="35" customWidth="1"/>
    <col min="12827" max="13058" width="11.42578125" style="35"/>
    <col min="13059" max="13059" width="3.5703125" style="35" customWidth="1"/>
    <col min="13060" max="13060" width="13.42578125" style="35" customWidth="1"/>
    <col min="13061" max="13068" width="11.42578125" style="35" customWidth="1"/>
    <col min="13069" max="13069" width="9.5703125" style="35" bestFit="1" customWidth="1"/>
    <col min="13070" max="13073" width="0" style="35" hidden="1" customWidth="1"/>
    <col min="13074" max="13082" width="11.42578125" style="35" customWidth="1"/>
    <col min="13083" max="13314" width="11.42578125" style="35"/>
    <col min="13315" max="13315" width="3.5703125" style="35" customWidth="1"/>
    <col min="13316" max="13316" width="13.42578125" style="35" customWidth="1"/>
    <col min="13317" max="13324" width="11.42578125" style="35" customWidth="1"/>
    <col min="13325" max="13325" width="9.5703125" style="35" bestFit="1" customWidth="1"/>
    <col min="13326" max="13329" width="0" style="35" hidden="1" customWidth="1"/>
    <col min="13330" max="13338" width="11.42578125" style="35" customWidth="1"/>
    <col min="13339" max="13570" width="11.42578125" style="35"/>
    <col min="13571" max="13571" width="3.5703125" style="35" customWidth="1"/>
    <col min="13572" max="13572" width="13.42578125" style="35" customWidth="1"/>
    <col min="13573" max="13580" width="11.42578125" style="35" customWidth="1"/>
    <col min="13581" max="13581" width="9.5703125" style="35" bestFit="1" customWidth="1"/>
    <col min="13582" max="13585" width="0" style="35" hidden="1" customWidth="1"/>
    <col min="13586" max="13594" width="11.42578125" style="35" customWidth="1"/>
    <col min="13595" max="13826" width="11.42578125" style="35"/>
    <col min="13827" max="13827" width="3.5703125" style="35" customWidth="1"/>
    <col min="13828" max="13828" width="13.42578125" style="35" customWidth="1"/>
    <col min="13829" max="13836" width="11.42578125" style="35" customWidth="1"/>
    <col min="13837" max="13837" width="9.5703125" style="35" bestFit="1" customWidth="1"/>
    <col min="13838" max="13841" width="0" style="35" hidden="1" customWidth="1"/>
    <col min="13842" max="13850" width="11.42578125" style="35" customWidth="1"/>
    <col min="13851" max="14082" width="11.42578125" style="35"/>
    <col min="14083" max="14083" width="3.5703125" style="35" customWidth="1"/>
    <col min="14084" max="14084" width="13.42578125" style="35" customWidth="1"/>
    <col min="14085" max="14092" width="11.42578125" style="35" customWidth="1"/>
    <col min="14093" max="14093" width="9.5703125" style="35" bestFit="1" customWidth="1"/>
    <col min="14094" max="14097" width="0" style="35" hidden="1" customWidth="1"/>
    <col min="14098" max="14106" width="11.42578125" style="35" customWidth="1"/>
    <col min="14107" max="14338" width="11.42578125" style="35"/>
    <col min="14339" max="14339" width="3.5703125" style="35" customWidth="1"/>
    <col min="14340" max="14340" width="13.42578125" style="35" customWidth="1"/>
    <col min="14341" max="14348" width="11.42578125" style="35" customWidth="1"/>
    <col min="14349" max="14349" width="9.5703125" style="35" bestFit="1" customWidth="1"/>
    <col min="14350" max="14353" width="0" style="35" hidden="1" customWidth="1"/>
    <col min="14354" max="14362" width="11.42578125" style="35" customWidth="1"/>
    <col min="14363" max="14594" width="11.42578125" style="35"/>
    <col min="14595" max="14595" width="3.5703125" style="35" customWidth="1"/>
    <col min="14596" max="14596" width="13.42578125" style="35" customWidth="1"/>
    <col min="14597" max="14604" width="11.42578125" style="35" customWidth="1"/>
    <col min="14605" max="14605" width="9.5703125" style="35" bestFit="1" customWidth="1"/>
    <col min="14606" max="14609" width="0" style="35" hidden="1" customWidth="1"/>
    <col min="14610" max="14618" width="11.42578125" style="35" customWidth="1"/>
    <col min="14619" max="14850" width="11.42578125" style="35"/>
    <col min="14851" max="14851" width="3.5703125" style="35" customWidth="1"/>
    <col min="14852" max="14852" width="13.42578125" style="35" customWidth="1"/>
    <col min="14853" max="14860" width="11.42578125" style="35" customWidth="1"/>
    <col min="14861" max="14861" width="9.5703125" style="35" bestFit="1" customWidth="1"/>
    <col min="14862" max="14865" width="0" style="35" hidden="1" customWidth="1"/>
    <col min="14866" max="14874" width="11.42578125" style="35" customWidth="1"/>
    <col min="14875" max="15106" width="11.42578125" style="35"/>
    <col min="15107" max="15107" width="3.5703125" style="35" customWidth="1"/>
    <col min="15108" max="15108" width="13.42578125" style="35" customWidth="1"/>
    <col min="15109" max="15116" width="11.42578125" style="35" customWidth="1"/>
    <col min="15117" max="15117" width="9.5703125" style="35" bestFit="1" customWidth="1"/>
    <col min="15118" max="15121" width="0" style="35" hidden="1" customWidth="1"/>
    <col min="15122" max="15130" width="11.42578125" style="35" customWidth="1"/>
    <col min="15131" max="15362" width="11.42578125" style="35"/>
    <col min="15363" max="15363" width="3.5703125" style="35" customWidth="1"/>
    <col min="15364" max="15364" width="13.42578125" style="35" customWidth="1"/>
    <col min="15365" max="15372" width="11.42578125" style="35" customWidth="1"/>
    <col min="15373" max="15373" width="9.5703125" style="35" bestFit="1" customWidth="1"/>
    <col min="15374" max="15377" width="0" style="35" hidden="1" customWidth="1"/>
    <col min="15378" max="15386" width="11.42578125" style="35" customWidth="1"/>
    <col min="15387" max="15618" width="11.42578125" style="35"/>
    <col min="15619" max="15619" width="3.5703125" style="35" customWidth="1"/>
    <col min="15620" max="15620" width="13.42578125" style="35" customWidth="1"/>
    <col min="15621" max="15628" width="11.42578125" style="35" customWidth="1"/>
    <col min="15629" max="15629" width="9.5703125" style="35" bestFit="1" customWidth="1"/>
    <col min="15630" max="15633" width="0" style="35" hidden="1" customWidth="1"/>
    <col min="15634" max="15642" width="11.42578125" style="35" customWidth="1"/>
    <col min="15643" max="15874" width="11.42578125" style="35"/>
    <col min="15875" max="15875" width="3.5703125" style="35" customWidth="1"/>
    <col min="15876" max="15876" width="13.42578125" style="35" customWidth="1"/>
    <col min="15877" max="15884" width="11.42578125" style="35" customWidth="1"/>
    <col min="15885" max="15885" width="9.5703125" style="35" bestFit="1" customWidth="1"/>
    <col min="15886" max="15889" width="0" style="35" hidden="1" customWidth="1"/>
    <col min="15890" max="15898" width="11.42578125" style="35" customWidth="1"/>
    <col min="15899" max="16130" width="11.42578125" style="35"/>
    <col min="16131" max="16131" width="3.5703125" style="35" customWidth="1"/>
    <col min="16132" max="16132" width="13.42578125" style="35" customWidth="1"/>
    <col min="16133" max="16140" width="11.42578125" style="35" customWidth="1"/>
    <col min="16141" max="16141" width="9.5703125" style="35" bestFit="1" customWidth="1"/>
    <col min="16142" max="16145" width="0" style="35" hidden="1" customWidth="1"/>
    <col min="16146" max="16154" width="11.42578125" style="35" customWidth="1"/>
    <col min="16155" max="16384" width="11.42578125" style="35"/>
  </cols>
  <sheetData>
    <row r="2" spans="2:45" s="59" customFormat="1" ht="24.75" customHeight="1">
      <c r="B2" s="104" t="s">
        <v>149</v>
      </c>
      <c r="C2" s="102" t="s">
        <v>150</v>
      </c>
      <c r="D2" s="102" t="s">
        <v>150</v>
      </c>
      <c r="E2" s="102" t="s">
        <v>150</v>
      </c>
      <c r="F2" s="102" t="s">
        <v>150</v>
      </c>
      <c r="G2" s="102" t="s">
        <v>150</v>
      </c>
      <c r="H2" s="102" t="s">
        <v>150</v>
      </c>
      <c r="I2" s="102" t="s">
        <v>150</v>
      </c>
      <c r="J2" s="102" t="s">
        <v>150</v>
      </c>
      <c r="K2" s="102" t="s">
        <v>150</v>
      </c>
      <c r="L2" s="102" t="s">
        <v>151</v>
      </c>
      <c r="M2" s="144"/>
      <c r="N2" s="102" t="s">
        <v>152</v>
      </c>
      <c r="O2" s="102" t="s">
        <v>152</v>
      </c>
      <c r="P2" s="102" t="s">
        <v>152</v>
      </c>
      <c r="Q2" s="102" t="s">
        <v>152</v>
      </c>
      <c r="R2" s="102" t="s">
        <v>152</v>
      </c>
      <c r="S2" s="102" t="s">
        <v>152</v>
      </c>
      <c r="T2" s="102" t="s">
        <v>152</v>
      </c>
      <c r="U2" s="102" t="s">
        <v>152</v>
      </c>
      <c r="V2" s="102" t="s">
        <v>152</v>
      </c>
      <c r="W2" s="102" t="s">
        <v>152</v>
      </c>
      <c r="X2" s="102" t="s">
        <v>152</v>
      </c>
      <c r="Y2" s="102" t="s">
        <v>152</v>
      </c>
      <c r="Z2" s="102" t="s">
        <v>152</v>
      </c>
      <c r="AA2" s="102" t="s">
        <v>152</v>
      </c>
      <c r="AB2" s="102" t="s">
        <v>152</v>
      </c>
      <c r="AC2" s="102" t="s">
        <v>152</v>
      </c>
      <c r="AD2" s="102" t="s">
        <v>152</v>
      </c>
      <c r="AE2" s="102" t="s">
        <v>152</v>
      </c>
      <c r="AF2" s="102" t="s">
        <v>152</v>
      </c>
      <c r="AG2" s="102" t="s">
        <v>152</v>
      </c>
      <c r="AH2" s="102" t="s">
        <v>152</v>
      </c>
      <c r="AI2" s="102" t="s">
        <v>152</v>
      </c>
      <c r="AJ2" s="102" t="s">
        <v>152</v>
      </c>
      <c r="AK2" s="102" t="s">
        <v>152</v>
      </c>
      <c r="AL2" s="102" t="s">
        <v>152</v>
      </c>
      <c r="AM2" s="102" t="s">
        <v>152</v>
      </c>
      <c r="AN2" s="102" t="s">
        <v>152</v>
      </c>
      <c r="AO2" s="102" t="s">
        <v>152</v>
      </c>
      <c r="AP2" s="102" t="s">
        <v>152</v>
      </c>
    </row>
    <row r="3" spans="2:45" s="59" customFormat="1" ht="13.5" customHeight="1">
      <c r="B3" s="58" t="s">
        <v>153</v>
      </c>
      <c r="C3" s="57">
        <v>43100</v>
      </c>
      <c r="D3" s="57">
        <v>43465</v>
      </c>
      <c r="E3" s="57">
        <v>43830</v>
      </c>
      <c r="F3" s="57">
        <v>44196</v>
      </c>
      <c r="G3" s="57">
        <v>44561</v>
      </c>
      <c r="H3" s="57">
        <v>44926</v>
      </c>
      <c r="I3" s="57">
        <v>45291</v>
      </c>
      <c r="J3" s="57">
        <v>45657</v>
      </c>
      <c r="K3" s="57">
        <v>46022</v>
      </c>
      <c r="L3" s="57">
        <f>AP3</f>
        <v>46112</v>
      </c>
      <c r="M3" s="145"/>
      <c r="N3" s="57">
        <v>43555</v>
      </c>
      <c r="O3" s="57">
        <v>43646</v>
      </c>
      <c r="P3" s="57">
        <v>43738</v>
      </c>
      <c r="Q3" s="57">
        <v>43830</v>
      </c>
      <c r="R3" s="57">
        <v>43921</v>
      </c>
      <c r="S3" s="57">
        <v>44012</v>
      </c>
      <c r="T3" s="57">
        <v>44104</v>
      </c>
      <c r="U3" s="57">
        <v>44196</v>
      </c>
      <c r="V3" s="57">
        <v>44286</v>
      </c>
      <c r="W3" s="57">
        <v>44377</v>
      </c>
      <c r="X3" s="57">
        <v>44469</v>
      </c>
      <c r="Y3" s="57">
        <v>44561</v>
      </c>
      <c r="Z3" s="57">
        <v>44651</v>
      </c>
      <c r="AA3" s="57">
        <v>44742</v>
      </c>
      <c r="AB3" s="57">
        <v>44834</v>
      </c>
      <c r="AC3" s="57">
        <v>44926</v>
      </c>
      <c r="AD3" s="57">
        <v>45016</v>
      </c>
      <c r="AE3" s="57">
        <v>45107</v>
      </c>
      <c r="AF3" s="57">
        <v>45199</v>
      </c>
      <c r="AG3" s="57">
        <v>45291</v>
      </c>
      <c r="AH3" s="57">
        <v>45382</v>
      </c>
      <c r="AI3" s="57">
        <v>45473</v>
      </c>
      <c r="AJ3" s="57">
        <v>45565</v>
      </c>
      <c r="AK3" s="57">
        <v>45657</v>
      </c>
      <c r="AL3" s="57">
        <v>45747</v>
      </c>
      <c r="AM3" s="57">
        <v>45838</v>
      </c>
      <c r="AN3" s="57">
        <v>45930</v>
      </c>
      <c r="AO3" s="57">
        <v>46022</v>
      </c>
      <c r="AP3" s="57">
        <v>46112</v>
      </c>
    </row>
    <row r="4" spans="2:45" s="39" customFormat="1" ht="13.5" customHeight="1">
      <c r="B4" s="65"/>
      <c r="C4" s="57" t="s">
        <v>154</v>
      </c>
      <c r="D4" s="57" t="s">
        <v>154</v>
      </c>
      <c r="E4" s="57" t="s">
        <v>154</v>
      </c>
      <c r="F4" s="57" t="s">
        <v>154</v>
      </c>
      <c r="G4" s="57" t="s">
        <v>154</v>
      </c>
      <c r="H4" s="57" t="s">
        <v>154</v>
      </c>
      <c r="I4" s="57" t="s">
        <v>154</v>
      </c>
      <c r="J4" s="57" t="s">
        <v>154</v>
      </c>
      <c r="K4" s="57" t="s">
        <v>154</v>
      </c>
      <c r="L4" s="57" t="s">
        <v>154</v>
      </c>
      <c r="M4" s="145"/>
      <c r="N4" s="57" t="s">
        <v>154</v>
      </c>
      <c r="O4" s="57" t="s">
        <v>154</v>
      </c>
      <c r="P4" s="57" t="s">
        <v>154</v>
      </c>
      <c r="Q4" s="57" t="s">
        <v>154</v>
      </c>
      <c r="R4" s="57" t="s">
        <v>154</v>
      </c>
      <c r="S4" s="57" t="s">
        <v>154</v>
      </c>
      <c r="T4" s="57" t="s">
        <v>154</v>
      </c>
      <c r="U4" s="57" t="s">
        <v>154</v>
      </c>
      <c r="V4" s="57" t="s">
        <v>154</v>
      </c>
      <c r="W4" s="57" t="s">
        <v>154</v>
      </c>
      <c r="X4" s="57" t="s">
        <v>154</v>
      </c>
      <c r="Y4" s="57" t="s">
        <v>154</v>
      </c>
      <c r="Z4" s="57" t="s">
        <v>154</v>
      </c>
      <c r="AA4" s="57" t="s">
        <v>154</v>
      </c>
      <c r="AB4" s="57" t="s">
        <v>154</v>
      </c>
      <c r="AC4" s="57" t="s">
        <v>154</v>
      </c>
      <c r="AD4" s="57" t="s">
        <v>154</v>
      </c>
      <c r="AE4" s="57" t="s">
        <v>154</v>
      </c>
      <c r="AF4" s="57" t="s">
        <v>154</v>
      </c>
      <c r="AG4" s="57" t="s">
        <v>154</v>
      </c>
      <c r="AH4" s="57" t="s">
        <v>154</v>
      </c>
      <c r="AI4" s="57" t="s">
        <v>154</v>
      </c>
      <c r="AJ4" s="57" t="s">
        <v>154</v>
      </c>
      <c r="AK4" s="57" t="s">
        <v>154</v>
      </c>
      <c r="AL4" s="57" t="s">
        <v>154</v>
      </c>
      <c r="AM4" s="57" t="s">
        <v>154</v>
      </c>
      <c r="AN4" s="57" t="s">
        <v>154</v>
      </c>
      <c r="AO4" s="57" t="s">
        <v>154</v>
      </c>
      <c r="AP4" s="57" t="s">
        <v>154</v>
      </c>
    </row>
    <row r="5" spans="2:45" s="99" customFormat="1" ht="13.5" customHeight="1">
      <c r="C5" s="101" t="s">
        <v>155</v>
      </c>
      <c r="D5" s="101" t="s">
        <v>155</v>
      </c>
      <c r="E5" s="101" t="s">
        <v>155</v>
      </c>
      <c r="F5" s="101" t="s">
        <v>155</v>
      </c>
      <c r="G5" s="101" t="s">
        <v>155</v>
      </c>
      <c r="H5" s="101" t="s">
        <v>155</v>
      </c>
      <c r="I5" s="101" t="s">
        <v>155</v>
      </c>
      <c r="J5" s="101" t="s">
        <v>155</v>
      </c>
      <c r="K5" s="101" t="s">
        <v>155</v>
      </c>
      <c r="L5" s="100" t="s">
        <v>151</v>
      </c>
      <c r="M5" s="100"/>
      <c r="N5" s="101" t="s">
        <v>156</v>
      </c>
      <c r="O5" s="101" t="s">
        <v>157</v>
      </c>
      <c r="P5" s="101" t="s">
        <v>158</v>
      </c>
      <c r="Q5" s="100" t="s">
        <v>159</v>
      </c>
      <c r="R5" s="101" t="s">
        <v>156</v>
      </c>
      <c r="S5" s="101" t="s">
        <v>157</v>
      </c>
      <c r="T5" s="101" t="s">
        <v>158</v>
      </c>
      <c r="U5" s="100" t="s">
        <v>159</v>
      </c>
      <c r="V5" s="101" t="s">
        <v>156</v>
      </c>
      <c r="W5" s="101" t="s">
        <v>157</v>
      </c>
      <c r="X5" s="101" t="s">
        <v>158</v>
      </c>
      <c r="Y5" s="100" t="s">
        <v>159</v>
      </c>
      <c r="Z5" s="101" t="s">
        <v>156</v>
      </c>
      <c r="AA5" s="101" t="s">
        <v>157</v>
      </c>
      <c r="AB5" s="101" t="s">
        <v>158</v>
      </c>
      <c r="AC5" s="100" t="s">
        <v>159</v>
      </c>
      <c r="AD5" s="101" t="s">
        <v>156</v>
      </c>
      <c r="AE5" s="101" t="s">
        <v>157</v>
      </c>
      <c r="AF5" s="101" t="s">
        <v>158</v>
      </c>
      <c r="AG5" s="100" t="s">
        <v>159</v>
      </c>
      <c r="AH5" s="101" t="s">
        <v>156</v>
      </c>
      <c r="AI5" s="101" t="s">
        <v>157</v>
      </c>
      <c r="AJ5" s="101" t="s">
        <v>158</v>
      </c>
      <c r="AK5" s="100" t="s">
        <v>159</v>
      </c>
      <c r="AL5" s="101" t="s">
        <v>156</v>
      </c>
      <c r="AM5" s="101" t="s">
        <v>157</v>
      </c>
      <c r="AN5" s="101" t="s">
        <v>158</v>
      </c>
      <c r="AO5" s="100" t="s">
        <v>159</v>
      </c>
      <c r="AP5" s="101" t="s">
        <v>156</v>
      </c>
    </row>
    <row r="6" spans="2:45" ht="13.5" customHeight="1">
      <c r="B6" s="61" t="s">
        <v>160</v>
      </c>
      <c r="C6" s="98"/>
      <c r="D6" s="98"/>
      <c r="E6" s="98"/>
      <c r="F6" s="98"/>
      <c r="G6" s="98"/>
      <c r="H6" s="98"/>
      <c r="I6" s="98"/>
      <c r="J6" s="98"/>
      <c r="K6" s="98"/>
      <c r="L6" s="98"/>
      <c r="N6" s="98"/>
      <c r="O6" s="98"/>
      <c r="P6" s="98"/>
      <c r="Q6" s="98"/>
      <c r="R6" s="97"/>
      <c r="S6" s="98"/>
      <c r="T6" s="98"/>
      <c r="U6" s="97"/>
      <c r="V6" s="97"/>
      <c r="W6" s="97"/>
      <c r="X6" s="98"/>
      <c r="Y6" s="97"/>
      <c r="Z6" s="97"/>
      <c r="AA6" s="97"/>
      <c r="AB6" s="97"/>
      <c r="AC6" s="97"/>
      <c r="AD6" s="97"/>
      <c r="AE6" s="97"/>
      <c r="AF6" s="130" t="s">
        <v>161</v>
      </c>
      <c r="AG6" s="97"/>
      <c r="AH6" s="97"/>
      <c r="AI6" s="97"/>
      <c r="AJ6" s="97"/>
      <c r="AK6" s="97"/>
      <c r="AL6" s="97"/>
      <c r="AM6" s="97"/>
      <c r="AN6" s="97"/>
      <c r="AO6" s="97"/>
      <c r="AP6" s="97"/>
    </row>
    <row r="7" spans="2:45" s="51" customFormat="1" ht="13.5" customHeight="1">
      <c r="B7" s="35" t="s">
        <v>162</v>
      </c>
      <c r="C7" s="78">
        <f>109.427282</f>
        <v>109.42728200000001</v>
      </c>
      <c r="D7" s="78">
        <v>132.66926599999999</v>
      </c>
      <c r="E7" s="78">
        <v>144.29240200000001</v>
      </c>
      <c r="F7" s="78">
        <v>149.535887</v>
      </c>
      <c r="G7" s="78">
        <v>160.698385</v>
      </c>
      <c r="H7" s="78">
        <v>178.02546100000001</v>
      </c>
      <c r="I7" s="78">
        <v>213.448296</v>
      </c>
      <c r="J7" s="78">
        <v>251.950504</v>
      </c>
      <c r="K7" s="78">
        <v>283.19337000000002</v>
      </c>
      <c r="L7" s="16">
        <f>SUM(AM7:AP7)</f>
        <v>292.90351399999997</v>
      </c>
      <c r="M7" s="16"/>
      <c r="N7" s="78">
        <v>36.290385000000001</v>
      </c>
      <c r="O7" s="78">
        <v>35.928051000000004</v>
      </c>
      <c r="P7" s="78">
        <v>35.825569000000002</v>
      </c>
      <c r="Q7" s="16">
        <f>E7-SUM(N7:P7)</f>
        <v>36.248397000000011</v>
      </c>
      <c r="R7" s="78">
        <v>37.695132999999998</v>
      </c>
      <c r="S7" s="78">
        <v>36.538805000000004</v>
      </c>
      <c r="T7" s="78">
        <v>37.457861000000001</v>
      </c>
      <c r="U7" s="16">
        <f>F7-SUM(R7:T7)</f>
        <v>37.844087999999999</v>
      </c>
      <c r="V7" s="78">
        <v>38.352404</v>
      </c>
      <c r="W7" s="78">
        <v>39.756847</v>
      </c>
      <c r="X7" s="78">
        <v>41.002130000000001</v>
      </c>
      <c r="Y7" s="16">
        <f>G7-SUM(V7:X7)</f>
        <v>41.587004000000007</v>
      </c>
      <c r="Z7" s="78">
        <v>41.988045</v>
      </c>
      <c r="AA7" s="78">
        <v>41.340864000000003</v>
      </c>
      <c r="AB7" s="78">
        <v>45.508043000000001</v>
      </c>
      <c r="AC7" s="16">
        <f>H7-SUM(Z7:AB7)</f>
        <v>49.18850900000001</v>
      </c>
      <c r="AD7" s="78">
        <v>49.610889</v>
      </c>
      <c r="AE7" s="78">
        <v>48.693742</v>
      </c>
      <c r="AF7" s="78">
        <v>51.613070999999998</v>
      </c>
      <c r="AG7" s="16">
        <f>I7-SUM(AD7:AF7)</f>
        <v>63.530594000000008</v>
      </c>
      <c r="AH7" s="78">
        <v>60.176392999999997</v>
      </c>
      <c r="AI7" s="78">
        <v>57.668018000000004</v>
      </c>
      <c r="AJ7" s="78">
        <v>58.377122</v>
      </c>
      <c r="AK7" s="16">
        <f>J7-SUM(AH7:AJ7)</f>
        <v>75.728970999999973</v>
      </c>
      <c r="AL7" s="78">
        <v>67.039010000000005</v>
      </c>
      <c r="AM7" s="78">
        <v>62.2</v>
      </c>
      <c r="AN7" s="78">
        <v>72.420924999999997</v>
      </c>
      <c r="AO7" s="16">
        <f>K7-SUM(AL7:AN7)</f>
        <v>81.533434999999997</v>
      </c>
      <c r="AP7" s="78">
        <v>76.749154000000004</v>
      </c>
    </row>
    <row r="8" spans="2:45" ht="13.5" customHeight="1">
      <c r="B8" s="81" t="s">
        <v>163</v>
      </c>
      <c r="C8" s="78">
        <v>0</v>
      </c>
      <c r="D8" s="78">
        <v>0</v>
      </c>
      <c r="E8" s="78">
        <v>7.2677000000000005E-2</v>
      </c>
      <c r="F8" s="78">
        <v>0.31944600000000001</v>
      </c>
      <c r="G8" s="78">
        <v>8.7972999999999996E-2</v>
      </c>
      <c r="H8" s="78">
        <v>0</v>
      </c>
      <c r="I8" s="78">
        <v>1.0193160000000001</v>
      </c>
      <c r="J8" s="78">
        <v>0.37661800000000001</v>
      </c>
      <c r="K8" s="78">
        <v>3.1437E-2</v>
      </c>
      <c r="L8" s="16">
        <f>SUM(AM8:AP8)</f>
        <v>6.7890000000003781E-3</v>
      </c>
      <c r="M8" s="16"/>
      <c r="N8" s="78">
        <v>0</v>
      </c>
      <c r="O8" s="78">
        <v>1.0681E-2</v>
      </c>
      <c r="P8" s="78">
        <v>0</v>
      </c>
      <c r="Q8" s="16">
        <f>E8-SUM(N8:P8)</f>
        <v>6.1996000000000009E-2</v>
      </c>
      <c r="R8" s="78">
        <v>1.7666999999999999E-2</v>
      </c>
      <c r="S8" s="78">
        <v>0.112015</v>
      </c>
      <c r="T8" s="78">
        <v>1.9768000000000001E-2</v>
      </c>
      <c r="U8" s="16">
        <f>F8-SUM(R8:T8)</f>
        <v>0.16999600000000001</v>
      </c>
      <c r="V8" s="78">
        <v>4.1387E-2</v>
      </c>
      <c r="W8" s="78">
        <v>3.9083E-2</v>
      </c>
      <c r="X8" s="78">
        <v>7.502E-3</v>
      </c>
      <c r="Y8" s="16">
        <f>G8-SUM(V8:X8)</f>
        <v>1.0000000000010001E-6</v>
      </c>
      <c r="Z8" s="78">
        <v>0</v>
      </c>
      <c r="AA8" s="78">
        <v>1.7563580000000001</v>
      </c>
      <c r="AB8" s="78">
        <v>0</v>
      </c>
      <c r="AC8" s="16">
        <f>H8-SUM(Z8:AB8)</f>
        <v>-1.7563580000000001</v>
      </c>
      <c r="AD8" s="78">
        <v>0.32761800000000002</v>
      </c>
      <c r="AE8" s="78">
        <v>3.2306900000000001</v>
      </c>
      <c r="AF8" s="78">
        <f>3.073078+0.330703+0.639933</f>
        <v>4.0437140000000005</v>
      </c>
      <c r="AG8" s="16">
        <f>I8-SUM(AD8:AF8)</f>
        <v>-6.5827060000000008</v>
      </c>
      <c r="AH8" s="78">
        <v>0.41326299999999999</v>
      </c>
      <c r="AI8" s="78">
        <f>3.309085+2.037764</f>
        <v>5.3468490000000006</v>
      </c>
      <c r="AJ8" s="78">
        <f>2.701432+2.611647</f>
        <v>5.3130790000000001</v>
      </c>
      <c r="AK8" s="16">
        <f t="shared" ref="AK8" si="0">J8-SUM(AH8:AJ8)</f>
        <v>-10.696573000000001</v>
      </c>
      <c r="AL8" s="78">
        <v>2.4648E-2</v>
      </c>
      <c r="AM8" s="78">
        <f>3.2+1.9</f>
        <v>5.0999999999999996</v>
      </c>
      <c r="AN8" s="78">
        <f>6789/10^6</f>
        <v>6.7889999999999999E-3</v>
      </c>
      <c r="AO8" s="16">
        <f>K8-SUM(AL8:AN8)</f>
        <v>-5.0999999999999996</v>
      </c>
      <c r="AP8" s="78">
        <v>0</v>
      </c>
    </row>
    <row r="9" spans="2:45" s="39" customFormat="1" ht="13.5" customHeight="1">
      <c r="B9" s="39" t="s">
        <v>164</v>
      </c>
      <c r="C9" s="68">
        <f>SUM(C7:C8)</f>
        <v>109.42728200000001</v>
      </c>
      <c r="D9" s="68">
        <f t="shared" ref="D9:F9" si="1">SUM(D7:D8)</f>
        <v>132.66926599999999</v>
      </c>
      <c r="E9" s="68">
        <f t="shared" si="1"/>
        <v>144.36507900000001</v>
      </c>
      <c r="F9" s="68">
        <f t="shared" si="1"/>
        <v>149.855333</v>
      </c>
      <c r="G9" s="68">
        <f t="shared" ref="G9:H9" si="2">SUM(G7:G8)</f>
        <v>160.78635800000001</v>
      </c>
      <c r="H9" s="68">
        <f t="shared" si="2"/>
        <v>178.02546100000001</v>
      </c>
      <c r="I9" s="68">
        <f t="shared" ref="I9:J9" si="3">SUM(I7:I8)</f>
        <v>214.467612</v>
      </c>
      <c r="J9" s="68">
        <f t="shared" si="3"/>
        <v>252.327122</v>
      </c>
      <c r="K9" s="68">
        <f t="shared" ref="K9" si="4">SUM(K7:K8)</f>
        <v>283.224807</v>
      </c>
      <c r="L9" s="68">
        <f>SUM(L7:L8)</f>
        <v>292.910303</v>
      </c>
      <c r="M9" s="68"/>
      <c r="N9" s="68">
        <f t="shared" ref="N9:W9" si="5">SUM(N7:N8)</f>
        <v>36.290385000000001</v>
      </c>
      <c r="O9" s="68">
        <f t="shared" si="5"/>
        <v>35.938732000000002</v>
      </c>
      <c r="P9" s="68">
        <f t="shared" si="5"/>
        <v>35.825569000000002</v>
      </c>
      <c r="Q9" s="68">
        <f t="shared" si="5"/>
        <v>36.310393000000012</v>
      </c>
      <c r="R9" s="68">
        <f t="shared" si="5"/>
        <v>37.712800000000001</v>
      </c>
      <c r="S9" s="68">
        <f t="shared" si="5"/>
        <v>36.650820000000003</v>
      </c>
      <c r="T9" s="68">
        <f t="shared" si="5"/>
        <v>37.477629</v>
      </c>
      <c r="U9" s="68">
        <f t="shared" si="5"/>
        <v>38.014083999999997</v>
      </c>
      <c r="V9" s="68">
        <f t="shared" si="5"/>
        <v>38.393791</v>
      </c>
      <c r="W9" s="68">
        <f t="shared" si="5"/>
        <v>39.795929999999998</v>
      </c>
      <c r="X9" s="68">
        <f t="shared" ref="X9:AB9" si="6">SUM(X7:X8)</f>
        <v>41.009632000000003</v>
      </c>
      <c r="Y9" s="68">
        <f t="shared" si="6"/>
        <v>41.587005000000005</v>
      </c>
      <c r="Z9" s="68">
        <f t="shared" si="6"/>
        <v>41.988045</v>
      </c>
      <c r="AA9" s="68">
        <f t="shared" si="6"/>
        <v>43.097222000000002</v>
      </c>
      <c r="AB9" s="68">
        <f t="shared" si="6"/>
        <v>45.508043000000001</v>
      </c>
      <c r="AC9" s="68">
        <f t="shared" ref="AC9:AD9" si="7">SUM(AC7:AC8)</f>
        <v>47.432151000000012</v>
      </c>
      <c r="AD9" s="68">
        <f t="shared" si="7"/>
        <v>49.938507000000001</v>
      </c>
      <c r="AE9" s="68">
        <f>SUM(AE7:AE8)</f>
        <v>51.924432000000003</v>
      </c>
      <c r="AF9" s="68">
        <f t="shared" ref="AF9:AH9" si="8">SUM(AF7:AF8)</f>
        <v>55.656784999999999</v>
      </c>
      <c r="AG9" s="68">
        <f t="shared" si="8"/>
        <v>56.947888000000006</v>
      </c>
      <c r="AH9" s="68">
        <f t="shared" si="8"/>
        <v>60.589655999999998</v>
      </c>
      <c r="AI9" s="68">
        <f>SUM(AI7:AI8)</f>
        <v>63.014867000000002</v>
      </c>
      <c r="AJ9" s="68">
        <f>SUM(AJ7:AJ8)</f>
        <v>63.690201000000002</v>
      </c>
      <c r="AK9" s="68">
        <f t="shared" ref="AK9:AL9" si="9">SUM(AK7:AK8)</f>
        <v>65.032397999999972</v>
      </c>
      <c r="AL9" s="68">
        <f t="shared" si="9"/>
        <v>67.063658000000004</v>
      </c>
      <c r="AM9" s="68">
        <f>SUM(AM7:AM8)</f>
        <v>67.3</v>
      </c>
      <c r="AN9" s="68">
        <f>SUM(AN7:AN8)</f>
        <v>72.427713999999995</v>
      </c>
      <c r="AO9" s="68">
        <f t="shared" ref="AO9:AP9" si="10">SUM(AO7:AO8)</f>
        <v>76.433435000000003</v>
      </c>
      <c r="AP9" s="68">
        <f t="shared" si="10"/>
        <v>76.749154000000004</v>
      </c>
      <c r="AQ9" s="127"/>
      <c r="AR9" s="127"/>
      <c r="AS9" s="127"/>
    </row>
    <row r="10" spans="2:45" s="39" customFormat="1" ht="13.5" customHeight="1">
      <c r="B10" s="56" t="s">
        <v>165</v>
      </c>
      <c r="C10" s="95"/>
      <c r="D10" s="95">
        <f t="shared" ref="D10:K10" si="11">(D7/C7)-1</f>
        <v>0.21239661239141427</v>
      </c>
      <c r="E10" s="95">
        <f t="shared" si="11"/>
        <v>8.7609861352515583E-2</v>
      </c>
      <c r="F10" s="95">
        <f t="shared" si="11"/>
        <v>3.6339300803932773E-2</v>
      </c>
      <c r="G10" s="95">
        <f t="shared" si="11"/>
        <v>7.4647619537643095E-2</v>
      </c>
      <c r="H10" s="95">
        <f t="shared" si="11"/>
        <v>0.10782358515924106</v>
      </c>
      <c r="I10" s="95">
        <f t="shared" si="11"/>
        <v>0.19897622958549732</v>
      </c>
      <c r="J10" s="95">
        <f t="shared" si="11"/>
        <v>0.1803818944518536</v>
      </c>
      <c r="K10" s="95">
        <f t="shared" si="11"/>
        <v>0.12400398294103043</v>
      </c>
      <c r="L10" s="95"/>
      <c r="M10" s="143"/>
      <c r="N10" s="95"/>
      <c r="O10" s="95"/>
      <c r="P10" s="95"/>
      <c r="Q10" s="95"/>
      <c r="R10" s="95">
        <f t="shared" ref="R10:AC10" si="12">(R7/N7)-1</f>
        <v>3.870854497685805E-2</v>
      </c>
      <c r="S10" s="95">
        <f t="shared" si="12"/>
        <v>1.6999363533524159E-2</v>
      </c>
      <c r="T10" s="95">
        <f t="shared" si="12"/>
        <v>4.5562207260406717E-2</v>
      </c>
      <c r="U10" s="95">
        <f t="shared" si="12"/>
        <v>4.4021008708329479E-2</v>
      </c>
      <c r="V10" s="95">
        <f t="shared" si="12"/>
        <v>1.7436495050966005E-2</v>
      </c>
      <c r="W10" s="95">
        <f t="shared" si="12"/>
        <v>8.807190054518732E-2</v>
      </c>
      <c r="X10" s="95">
        <f t="shared" si="12"/>
        <v>9.46201653105605E-2</v>
      </c>
      <c r="Y10" s="95">
        <f t="shared" si="12"/>
        <v>9.8903585680278683E-2</v>
      </c>
      <c r="Z10" s="95">
        <f t="shared" si="12"/>
        <v>9.4795648272791411E-2</v>
      </c>
      <c r="AA10" s="95">
        <f t="shared" si="12"/>
        <v>3.9842621322561111E-2</v>
      </c>
      <c r="AB10" s="124">
        <f t="shared" si="12"/>
        <v>0.10989460791427175</v>
      </c>
      <c r="AC10" s="95">
        <f t="shared" si="12"/>
        <v>0.18278558849779136</v>
      </c>
      <c r="AD10" s="95">
        <f>(AD7/Z7)-1</f>
        <v>0.18154796204491075</v>
      </c>
      <c r="AE10" s="95">
        <f>(AE7/AA7)-1</f>
        <v>0.17785980476847296</v>
      </c>
      <c r="AF10" s="124">
        <f t="shared" ref="AF10:AG10" si="13">(AF7/AB7)-1</f>
        <v>0.13415272548634971</v>
      </c>
      <c r="AG10" s="95">
        <f t="shared" si="13"/>
        <v>0.29157389178029347</v>
      </c>
      <c r="AH10" s="95">
        <f>(AH7/AD7)-1</f>
        <v>0.21296743946676711</v>
      </c>
      <c r="AI10" s="95">
        <f>(AI7/AE7)-1</f>
        <v>0.18430039736933757</v>
      </c>
      <c r="AJ10" s="95">
        <f>(AJ7/AF7)-1</f>
        <v>0.13105306212064005</v>
      </c>
      <c r="AK10" s="95">
        <f t="shared" ref="AK10" si="14">(AK7/AG7)-1</f>
        <v>0.19200791668971284</v>
      </c>
      <c r="AL10" s="95">
        <f>(AL7/AH7)-1</f>
        <v>0.11404168076341836</v>
      </c>
      <c r="AM10" s="95">
        <f>(AM7/AI7)-1</f>
        <v>7.858744165613607E-2</v>
      </c>
      <c r="AN10" s="95">
        <f>(AN7/AJ7)-1</f>
        <v>0.24057032136664769</v>
      </c>
      <c r="AO10" s="95">
        <f t="shared" ref="AO10" si="15">(AO7/AK7)-1</f>
        <v>7.6647865715751218E-2</v>
      </c>
      <c r="AP10" s="95">
        <f>(AP7/AL7)-1</f>
        <v>0.14484318906260696</v>
      </c>
      <c r="AQ10" s="127"/>
    </row>
    <row r="11" spans="2:45" ht="13.5" customHeight="1">
      <c r="B11" s="81" t="s">
        <v>166</v>
      </c>
      <c r="C11" s="78">
        <v>-4.1064030000000002</v>
      </c>
      <c r="D11" s="78">
        <v>-4.8486180000000001</v>
      </c>
      <c r="E11" s="78">
        <v>-7.2664900000000001</v>
      </c>
      <c r="F11" s="78">
        <v>-8.9255180000000003</v>
      </c>
      <c r="G11" s="78">
        <f>-8543961/10^6</f>
        <v>-8.5439609999999995</v>
      </c>
      <c r="H11" s="78">
        <f>-8940789/10^6</f>
        <v>-8.9407890000000005</v>
      </c>
      <c r="I11" s="78">
        <f>-13476324/10^6</f>
        <v>-13.476324</v>
      </c>
      <c r="J11" s="78">
        <v>-21.244160000000001</v>
      </c>
      <c r="K11" s="78">
        <v>-24.104475000000001</v>
      </c>
      <c r="L11" s="16">
        <f t="shared" ref="L11:L12" si="16">SUM(AM11:AP11)</f>
        <v>-25.829283</v>
      </c>
      <c r="M11" s="16"/>
      <c r="N11" s="78">
        <v>-1.338009</v>
      </c>
      <c r="O11" s="78">
        <v>-1.689009</v>
      </c>
      <c r="P11" s="78">
        <v>-1.708186</v>
      </c>
      <c r="Q11" s="16">
        <f>E11-SUM(N11:P11)</f>
        <v>-2.5312860000000006</v>
      </c>
      <c r="R11" s="78">
        <v>-2.2755239999999999</v>
      </c>
      <c r="S11" s="78">
        <v>-2.589607</v>
      </c>
      <c r="T11" s="78">
        <v>-2.0044409999999999</v>
      </c>
      <c r="U11" s="16">
        <f>F11-SUM(R11:T11)</f>
        <v>-2.0559460000000005</v>
      </c>
      <c r="V11" s="78">
        <v>-1.173883</v>
      </c>
      <c r="W11" s="78">
        <v>-2.2524639999999998</v>
      </c>
      <c r="X11" s="78">
        <v>-2.4737269999999998</v>
      </c>
      <c r="Y11" s="16">
        <f>G11-SUM(V11:X11)</f>
        <v>-2.6438869999999994</v>
      </c>
      <c r="Z11" s="78">
        <v>-1.6039490000000001</v>
      </c>
      <c r="AA11" s="78">
        <v>-2.4445049999999999</v>
      </c>
      <c r="AB11" s="78">
        <v>-2.3425539999999998</v>
      </c>
      <c r="AC11" s="16">
        <f>H11-SUM(Z11:AB11)</f>
        <v>-2.5497810000000012</v>
      </c>
      <c r="AD11" s="78">
        <v>-2.238569</v>
      </c>
      <c r="AE11" s="78">
        <v>-3.3907470000000002</v>
      </c>
      <c r="AF11" s="78">
        <v>-3.9245329999999998</v>
      </c>
      <c r="AG11" s="16">
        <f>I11-SUM(AD11:AF11)</f>
        <v>-3.9224750000000004</v>
      </c>
      <c r="AH11" s="78">
        <v>-3.786225</v>
      </c>
      <c r="AI11" s="78">
        <v>-5.0143139999999997</v>
      </c>
      <c r="AJ11" s="78">
        <v>-5.4126510000000003</v>
      </c>
      <c r="AK11" s="16">
        <f t="shared" ref="AK11:AK12" si="17">J11-SUM(AH11:AJ11)</f>
        <v>-7.0309699999999999</v>
      </c>
      <c r="AL11" s="78">
        <v>-4.445843</v>
      </c>
      <c r="AM11" s="78">
        <v>-5.6</v>
      </c>
      <c r="AN11" s="78">
        <v>-7.2268429999999997</v>
      </c>
      <c r="AO11" s="16">
        <f t="shared" ref="AO11:AO12" si="18">K11-SUM(AL11:AN11)</f>
        <v>-6.8317890000000006</v>
      </c>
      <c r="AP11" s="78">
        <v>-6.1706510000000003</v>
      </c>
      <c r="AQ11" s="128"/>
    </row>
    <row r="12" spans="2:45" ht="13.5" customHeight="1">
      <c r="B12" s="81" t="s">
        <v>167</v>
      </c>
      <c r="C12" s="78">
        <v>-0.88668800000000003</v>
      </c>
      <c r="D12" s="78">
        <v>-0.82808199999999998</v>
      </c>
      <c r="E12" s="78">
        <v>-0.87412800000000002</v>
      </c>
      <c r="F12" s="78">
        <v>-1.2291369999999999</v>
      </c>
      <c r="G12" s="78">
        <f>-2182796/10^6</f>
        <v>-2.1827960000000002</v>
      </c>
      <c r="H12" s="78">
        <f>-2482605/10^6</f>
        <v>-2.482605</v>
      </c>
      <c r="I12" s="78">
        <f>-4763398/10^6</f>
        <v>-4.7633979999999996</v>
      </c>
      <c r="J12" s="78">
        <v>-3.3482729999999998</v>
      </c>
      <c r="K12" s="78">
        <v>-4.1713230000000001</v>
      </c>
      <c r="L12" s="16">
        <f t="shared" si="16"/>
        <v>-4.670426</v>
      </c>
      <c r="M12" s="16"/>
      <c r="N12" s="78">
        <v>-0.222134</v>
      </c>
      <c r="O12" s="78">
        <v>-9.2850000000000002E-2</v>
      </c>
      <c r="P12" s="78">
        <v>-0.105084</v>
      </c>
      <c r="Q12" s="16">
        <f>E12-SUM(N12:P12)</f>
        <v>-0.45406000000000002</v>
      </c>
      <c r="R12" s="78">
        <v>-0.24216199999999999</v>
      </c>
      <c r="S12" s="78">
        <v>-0.28543400000000002</v>
      </c>
      <c r="T12" s="78">
        <v>-0.28729199999999999</v>
      </c>
      <c r="U12" s="16">
        <f>F12-SUM(R12:T12)</f>
        <v>-0.41424899999999998</v>
      </c>
      <c r="V12" s="78">
        <v>-0.27204</v>
      </c>
      <c r="W12" s="78">
        <v>-0.35819200000000001</v>
      </c>
      <c r="X12" s="78">
        <v>-0.35365200000000002</v>
      </c>
      <c r="Y12" s="16">
        <f>G12-SUM(V12:X12)</f>
        <v>-1.1989120000000002</v>
      </c>
      <c r="Z12" s="78">
        <v>-0.51483900000000005</v>
      </c>
      <c r="AA12" s="78">
        <v>-0.16977400000000001</v>
      </c>
      <c r="AB12" s="78">
        <v>-0.59154700000000005</v>
      </c>
      <c r="AC12" s="16">
        <f>H12-SUM(Z12:AB12)</f>
        <v>-1.206445</v>
      </c>
      <c r="AD12" s="78">
        <v>-0.66608900000000004</v>
      </c>
      <c r="AE12" s="78">
        <v>-0.97797599999999996</v>
      </c>
      <c r="AF12" s="78">
        <v>-1.400458</v>
      </c>
      <c r="AG12" s="16">
        <f>I12-SUM(AD12:AF12)</f>
        <v>-1.7188749999999997</v>
      </c>
      <c r="AH12" s="78">
        <v>-0.71702999999999995</v>
      </c>
      <c r="AI12" s="78">
        <v>-1.1781809999999999</v>
      </c>
      <c r="AJ12" s="78">
        <v>-1.067008</v>
      </c>
      <c r="AK12" s="16">
        <f t="shared" si="17"/>
        <v>-0.38605400000000012</v>
      </c>
      <c r="AL12" s="78">
        <v>-0.75869799999999998</v>
      </c>
      <c r="AM12" s="78">
        <v>-0.92</v>
      </c>
      <c r="AN12" s="78">
        <v>-1.0088630000000001</v>
      </c>
      <c r="AO12" s="16">
        <f t="shared" si="18"/>
        <v>-1.483762</v>
      </c>
      <c r="AP12" s="78">
        <v>-1.2578009999999999</v>
      </c>
      <c r="AQ12" s="128"/>
    </row>
    <row r="13" spans="2:45" s="39" customFormat="1" ht="13.5" customHeight="1">
      <c r="B13" s="39" t="s">
        <v>168</v>
      </c>
      <c r="C13" s="68">
        <f t="shared" ref="C13:E13" si="19">C9+C11+C12</f>
        <v>104.434191</v>
      </c>
      <c r="D13" s="68">
        <f t="shared" si="19"/>
        <v>126.992566</v>
      </c>
      <c r="E13" s="68">
        <f t="shared" si="19"/>
        <v>136.22446099999999</v>
      </c>
      <c r="F13" s="68">
        <f t="shared" ref="F13:L13" si="20">F9+F11+F12</f>
        <v>139.70067799999998</v>
      </c>
      <c r="G13" s="68">
        <f t="shared" si="20"/>
        <v>150.05960100000001</v>
      </c>
      <c r="H13" s="68">
        <f t="shared" si="20"/>
        <v>166.60206700000001</v>
      </c>
      <c r="I13" s="68">
        <f t="shared" si="20"/>
        <v>196.22789</v>
      </c>
      <c r="J13" s="68">
        <f t="shared" si="20"/>
        <v>227.734689</v>
      </c>
      <c r="K13" s="68">
        <f t="shared" ref="K13" si="21">K9+K11+K12</f>
        <v>254.94900900000002</v>
      </c>
      <c r="L13" s="68">
        <f t="shared" si="20"/>
        <v>262.410594</v>
      </c>
      <c r="M13" s="68"/>
      <c r="N13" s="68">
        <f t="shared" ref="N13:W13" si="22">N9+N11+N12</f>
        <v>34.730242000000004</v>
      </c>
      <c r="O13" s="68">
        <f t="shared" si="22"/>
        <v>34.156873000000004</v>
      </c>
      <c r="P13" s="68">
        <f t="shared" si="22"/>
        <v>34.012299000000006</v>
      </c>
      <c r="Q13" s="68">
        <f t="shared" si="22"/>
        <v>33.325047000000012</v>
      </c>
      <c r="R13" s="68">
        <f t="shared" si="22"/>
        <v>35.195114000000004</v>
      </c>
      <c r="S13" s="68">
        <f t="shared" si="22"/>
        <v>33.775779</v>
      </c>
      <c r="T13" s="68">
        <f t="shared" si="22"/>
        <v>35.185896</v>
      </c>
      <c r="U13" s="68">
        <f t="shared" si="22"/>
        <v>35.543889</v>
      </c>
      <c r="V13" s="68">
        <f t="shared" si="22"/>
        <v>36.947868000000007</v>
      </c>
      <c r="W13" s="68">
        <f t="shared" si="22"/>
        <v>37.185273999999993</v>
      </c>
      <c r="X13" s="68">
        <f t="shared" ref="X13:AA13" si="23">X9+X11+X12</f>
        <v>38.18225300000001</v>
      </c>
      <c r="Y13" s="68">
        <f t="shared" si="23"/>
        <v>37.744206000000005</v>
      </c>
      <c r="Z13" s="68">
        <f t="shared" si="23"/>
        <v>39.869256999999998</v>
      </c>
      <c r="AA13" s="68">
        <f t="shared" si="23"/>
        <v>40.482943000000006</v>
      </c>
      <c r="AB13" s="68">
        <f t="shared" ref="AB13:AC13" si="24">AB9+AB11+AB12</f>
        <v>42.573942000000002</v>
      </c>
      <c r="AC13" s="68">
        <f t="shared" si="24"/>
        <v>43.675925000000007</v>
      </c>
      <c r="AD13" s="68">
        <f t="shared" ref="AD13:AG13" si="25">AD9+AD11+AD12</f>
        <v>47.033849000000004</v>
      </c>
      <c r="AE13" s="68">
        <f t="shared" si="25"/>
        <v>47.555709000000007</v>
      </c>
      <c r="AF13" s="68">
        <f t="shared" si="25"/>
        <v>50.331794000000002</v>
      </c>
      <c r="AG13" s="68">
        <f t="shared" si="25"/>
        <v>51.30653800000001</v>
      </c>
      <c r="AH13" s="68">
        <f t="shared" ref="AH13:AK13" si="26">AH9+AH11+AH12</f>
        <v>56.086400999999995</v>
      </c>
      <c r="AI13" s="68">
        <f t="shared" si="26"/>
        <v>56.822372000000001</v>
      </c>
      <c r="AJ13" s="68">
        <f t="shared" si="26"/>
        <v>57.210542000000004</v>
      </c>
      <c r="AK13" s="68">
        <f t="shared" si="26"/>
        <v>57.615373999999974</v>
      </c>
      <c r="AL13" s="68">
        <f t="shared" ref="AL13:AO13" si="27">AL9+AL11+AL12</f>
        <v>61.859117000000005</v>
      </c>
      <c r="AM13" s="68">
        <f t="shared" si="27"/>
        <v>60.779999999999994</v>
      </c>
      <c r="AN13" s="68">
        <f t="shared" si="27"/>
        <v>64.192007999999987</v>
      </c>
      <c r="AO13" s="68">
        <f t="shared" si="27"/>
        <v>68.117884000000004</v>
      </c>
      <c r="AP13" s="68">
        <f t="shared" ref="AP13" si="28">AP9+AP11+AP12</f>
        <v>69.320701999999997</v>
      </c>
      <c r="AQ13" s="127"/>
    </row>
    <row r="14" spans="2:45" s="51" customFormat="1" ht="13.5" customHeight="1">
      <c r="B14" s="56" t="s">
        <v>169</v>
      </c>
      <c r="C14" s="95">
        <f t="shared" ref="C14:G14" si="29">C13/C7</f>
        <v>0.9543706934071523</v>
      </c>
      <c r="D14" s="95">
        <f t="shared" si="29"/>
        <v>0.95721164237088641</v>
      </c>
      <c r="E14" s="95">
        <f t="shared" si="29"/>
        <v>0.944086168861476</v>
      </c>
      <c r="F14" s="95">
        <f t="shared" si="29"/>
        <v>0.93422843708413605</v>
      </c>
      <c r="G14" s="95">
        <f t="shared" si="29"/>
        <v>0.93379657175770625</v>
      </c>
      <c r="H14" s="95">
        <f t="shared" ref="H14:I14" si="30">H13/H7</f>
        <v>0.93583280764541876</v>
      </c>
      <c r="I14" s="95">
        <f t="shared" si="30"/>
        <v>0.9193228227973298</v>
      </c>
      <c r="J14" s="95">
        <f t="shared" ref="J14:K14" si="31">J13/J7</f>
        <v>0.90388661814306193</v>
      </c>
      <c r="K14" s="95">
        <f t="shared" si="31"/>
        <v>0.90026475196082456</v>
      </c>
      <c r="L14" s="95">
        <f>L13/L7</f>
        <v>0.89589431829076671</v>
      </c>
      <c r="M14" s="143"/>
      <c r="N14" s="95">
        <f t="shared" ref="N14:U14" si="32">N13/N7</f>
        <v>0.95700946683260601</v>
      </c>
      <c r="O14" s="95">
        <f t="shared" si="32"/>
        <v>0.95070208512006404</v>
      </c>
      <c r="P14" s="95">
        <f t="shared" si="32"/>
        <v>0.94938614931698651</v>
      </c>
      <c r="Q14" s="95">
        <f t="shared" si="32"/>
        <v>0.9193522957718655</v>
      </c>
      <c r="R14" s="95">
        <f t="shared" si="32"/>
        <v>0.93367793661850207</v>
      </c>
      <c r="S14" s="95">
        <f t="shared" si="32"/>
        <v>0.92438105187074393</v>
      </c>
      <c r="T14" s="95">
        <f t="shared" si="32"/>
        <v>0.93934610948553621</v>
      </c>
      <c r="U14" s="95">
        <f t="shared" si="32"/>
        <v>0.93921906639684383</v>
      </c>
      <c r="V14" s="95">
        <f t="shared" ref="V14:Y14" si="33">V13/V7</f>
        <v>0.96337814964610846</v>
      </c>
      <c r="W14" s="95">
        <f t="shared" si="33"/>
        <v>0.93531748128819148</v>
      </c>
      <c r="X14" s="95">
        <f t="shared" si="33"/>
        <v>0.93122608508387272</v>
      </c>
      <c r="Y14" s="95">
        <f t="shared" si="33"/>
        <v>0.90759618076839577</v>
      </c>
      <c r="Z14" s="95">
        <f t="shared" ref="Z14:AA14" si="34">Z13/Z7</f>
        <v>0.94953830310508613</v>
      </c>
      <c r="AA14" s="95">
        <f t="shared" si="34"/>
        <v>0.97924762772253626</v>
      </c>
      <c r="AB14" s="95">
        <f t="shared" ref="AB14:AC14" si="35">AB13/AB7</f>
        <v>0.93552566081560573</v>
      </c>
      <c r="AC14" s="95">
        <f t="shared" si="35"/>
        <v>0.88792943490114729</v>
      </c>
      <c r="AD14" s="95">
        <f>AD13/AD7</f>
        <v>0.94805495221018921</v>
      </c>
      <c r="AE14" s="95">
        <f t="shared" ref="AE14:AG14" si="36">AE13/AE7</f>
        <v>0.97662876268576782</v>
      </c>
      <c r="AF14" s="95">
        <f t="shared" si="36"/>
        <v>0.97517533882066432</v>
      </c>
      <c r="AG14" s="95">
        <f t="shared" si="36"/>
        <v>0.80758788435064854</v>
      </c>
      <c r="AH14" s="95">
        <f>AH13/AH7</f>
        <v>0.93203328089139537</v>
      </c>
      <c r="AI14" s="95">
        <f t="shared" ref="AI14:AK14" si="37">AI13/AI7</f>
        <v>0.98533596212722274</v>
      </c>
      <c r="AJ14" s="95">
        <f t="shared" si="37"/>
        <v>0.98001648659555374</v>
      </c>
      <c r="AK14" s="95">
        <f t="shared" si="37"/>
        <v>0.76081020564771695</v>
      </c>
      <c r="AL14" s="95">
        <f>AL13/AL7</f>
        <v>0.9227331519364621</v>
      </c>
      <c r="AM14" s="95">
        <f t="shared" ref="AM14:AO14" si="38">AM13/AM7</f>
        <v>0.97717041800643067</v>
      </c>
      <c r="AN14" s="95">
        <f t="shared" si="38"/>
        <v>0.88637376559330039</v>
      </c>
      <c r="AO14" s="95">
        <f t="shared" si="38"/>
        <v>0.83545951424713072</v>
      </c>
      <c r="AP14" s="95">
        <f>AP13/AP7</f>
        <v>0.90321128490875602</v>
      </c>
      <c r="AQ14" s="129"/>
    </row>
    <row r="15" spans="2:45" s="51" customFormat="1" ht="13.5" customHeight="1">
      <c r="B15" s="39" t="s">
        <v>170</v>
      </c>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K15" s="68"/>
      <c r="AM15" s="68"/>
      <c r="AN15" s="68"/>
      <c r="AO15" s="68"/>
      <c r="AQ15" s="129"/>
    </row>
    <row r="16" spans="2:45" s="51" customFormat="1" ht="13.5" customHeight="1">
      <c r="B16" s="96" t="s">
        <v>171</v>
      </c>
      <c r="C16" s="78">
        <v>-13.911937999999999</v>
      </c>
      <c r="D16" s="78">
        <v>-16.094363999999999</v>
      </c>
      <c r="E16" s="78">
        <v>-17.630341999999999</v>
      </c>
      <c r="F16" s="78">
        <v>-17.184479</v>
      </c>
      <c r="G16" s="78">
        <f>-19799701/10^6</f>
        <v>-19.799700999999999</v>
      </c>
      <c r="H16" s="78">
        <f>-(16300021+6650487)/10^6</f>
        <v>-22.950507999999999</v>
      </c>
      <c r="I16" s="78">
        <f>-(22139991+8001831)/10^6</f>
        <v>-30.141822000000001</v>
      </c>
      <c r="J16" s="78">
        <f>-23.779729-8.982488</f>
        <v>-32.762217</v>
      </c>
      <c r="K16" s="78">
        <f>(-24137274-9630465)/1000000</f>
        <v>-33.767738999999999</v>
      </c>
      <c r="L16" s="16">
        <f t="shared" ref="L16:L17" si="39">SUM(AM16:AP16)</f>
        <v>-34.783624999999994</v>
      </c>
      <c r="M16" s="16"/>
      <c r="N16" s="78">
        <v>-4.3134629999999996</v>
      </c>
      <c r="O16" s="78">
        <v>-4.597505</v>
      </c>
      <c r="P16" s="78">
        <v>-4.4623340000000002</v>
      </c>
      <c r="Q16" s="16">
        <f>E16-SUM(N16:P16)</f>
        <v>-4.2570399999999982</v>
      </c>
      <c r="R16" s="78">
        <v>-4.6718900000000003</v>
      </c>
      <c r="S16" s="78">
        <v>-3.9625240000000002</v>
      </c>
      <c r="T16" s="78">
        <v>-4.0045640000000002</v>
      </c>
      <c r="U16" s="16">
        <f>F16-SUM(R16:T16)</f>
        <v>-4.5455009999999998</v>
      </c>
      <c r="V16" s="78">
        <v>-4.9331870000000002</v>
      </c>
      <c r="W16" s="78">
        <v>-4.9281920000000001</v>
      </c>
      <c r="X16" s="78">
        <v>-5.1444289999999997</v>
      </c>
      <c r="Y16" s="16">
        <f>G16-SUM(V16:X16)</f>
        <v>-4.7938930000000006</v>
      </c>
      <c r="Z16" s="78">
        <v>-6.1132010000000001</v>
      </c>
      <c r="AA16" s="78">
        <v>-5.7388250000000003</v>
      </c>
      <c r="AB16" s="78">
        <v>-5.5299930000000002</v>
      </c>
      <c r="AC16" s="16">
        <f>H16-SUM(Z16:AB16)</f>
        <v>-5.5684889999999996</v>
      </c>
      <c r="AD16" s="78">
        <f>-5.04415-2.792918</f>
        <v>-7.8370680000000004</v>
      </c>
      <c r="AE16" s="78">
        <v>-6.4378169999999999</v>
      </c>
      <c r="AF16" s="78">
        <v>-7.0544830000000003</v>
      </c>
      <c r="AG16" s="16">
        <f>I16-SUM(AD16:AF16)</f>
        <v>-8.8124539999999989</v>
      </c>
      <c r="AH16" s="78">
        <f>-6.082243-2.146913</f>
        <v>-8.2291559999999997</v>
      </c>
      <c r="AI16" s="78">
        <v>-9.0475049999999992</v>
      </c>
      <c r="AJ16" s="78">
        <v>-7.0059899999999997</v>
      </c>
      <c r="AK16" s="16">
        <f t="shared" ref="AK16:AK17" si="40">J16-SUM(AH16:AJ16)</f>
        <v>-8.4795660000000019</v>
      </c>
      <c r="AL16" s="78">
        <f>(-8924602+636653)/1000000</f>
        <v>-8.2879489999999993</v>
      </c>
      <c r="AM16" s="78">
        <v>-8.3000000000000007</v>
      </c>
      <c r="AN16" s="78">
        <v>-8.3264049999999994</v>
      </c>
      <c r="AO16" s="16">
        <f t="shared" ref="AO16:AO17" si="41">K16-SUM(AL16:AN16)</f>
        <v>-8.8533849999999958</v>
      </c>
      <c r="AP16" s="78">
        <f>(-9775131+471296)/1000000</f>
        <v>-9.3038349999999994</v>
      </c>
      <c r="AQ16" s="129"/>
    </row>
    <row r="17" spans="2:43" s="51" customFormat="1" ht="13.5" customHeight="1">
      <c r="B17" s="96" t="s">
        <v>172</v>
      </c>
      <c r="C17" s="78">
        <v>-0.35672700000000002</v>
      </c>
      <c r="D17" s="78">
        <v>-0.57317700000000005</v>
      </c>
      <c r="E17" s="78">
        <v>-1.4947779999999999</v>
      </c>
      <c r="F17" s="78">
        <v>-1.4774130000000001</v>
      </c>
      <c r="G17" s="78">
        <f>-1601216/10^6</f>
        <v>-1.601216</v>
      </c>
      <c r="H17" s="78">
        <f>-1463920/10^6</f>
        <v>-1.4639200000000001</v>
      </c>
      <c r="I17" s="78">
        <f>-1578073/10^6</f>
        <v>-1.5780730000000001</v>
      </c>
      <c r="J17" s="78">
        <v>-1.416026</v>
      </c>
      <c r="K17" s="78">
        <v>-1.724637</v>
      </c>
      <c r="L17" s="16">
        <f t="shared" si="39"/>
        <v>-1.55928</v>
      </c>
      <c r="M17" s="16"/>
      <c r="N17" s="78">
        <v>-0.33723599999999998</v>
      </c>
      <c r="O17" s="78">
        <v>-0.33723599999999998</v>
      </c>
      <c r="P17" s="78">
        <v>-0.40304699999999999</v>
      </c>
      <c r="Q17" s="16">
        <f>E17-SUM(N17:P17)</f>
        <v>-0.41725900000000005</v>
      </c>
      <c r="R17" s="78">
        <v>-0.492342</v>
      </c>
      <c r="S17" s="78">
        <v>-0.29975400000000002</v>
      </c>
      <c r="T17" s="78">
        <v>-0.32378899999999999</v>
      </c>
      <c r="U17" s="16">
        <f>F17-SUM(R17:T17)</f>
        <v>-0.36152800000000007</v>
      </c>
      <c r="V17" s="78">
        <v>-0.38829900000000001</v>
      </c>
      <c r="W17" s="78">
        <v>-0.39613900000000002</v>
      </c>
      <c r="X17" s="78">
        <v>-0.39072400000000002</v>
      </c>
      <c r="Y17" s="16">
        <f>G17-SUM(V17:X17)</f>
        <v>-0.42605399999999993</v>
      </c>
      <c r="Z17" s="78">
        <v>-0.34912300000000002</v>
      </c>
      <c r="AA17" s="78">
        <v>-0.33044899999999999</v>
      </c>
      <c r="AB17" s="78">
        <v>-0.40560099999999999</v>
      </c>
      <c r="AC17" s="16">
        <f>H17-SUM(Z17:AB17)</f>
        <v>-0.37874699999999994</v>
      </c>
      <c r="AD17" s="78">
        <v>-0.36887500000000001</v>
      </c>
      <c r="AE17" s="78">
        <v>-0.37611699999999998</v>
      </c>
      <c r="AF17" s="78">
        <v>-0.26596199999999998</v>
      </c>
      <c r="AG17" s="16">
        <f>I17-SUM(AD17:AF17)</f>
        <v>-0.56711900000000015</v>
      </c>
      <c r="AH17" s="78">
        <v>-0.32763900000000001</v>
      </c>
      <c r="AI17" s="78">
        <v>-0.14609900000000001</v>
      </c>
      <c r="AJ17" s="78">
        <v>-0.42561599999999999</v>
      </c>
      <c r="AK17" s="16">
        <f t="shared" si="40"/>
        <v>-0.51667200000000002</v>
      </c>
      <c r="AL17" s="78">
        <v>-0.63665300000000002</v>
      </c>
      <c r="AM17" s="78">
        <v>-0.1</v>
      </c>
      <c r="AN17" s="78">
        <v>0</v>
      </c>
      <c r="AO17" s="16">
        <f t="shared" si="41"/>
        <v>-0.98798399999999997</v>
      </c>
      <c r="AP17" s="78">
        <v>-0.47129599999999999</v>
      </c>
      <c r="AQ17" s="129"/>
    </row>
    <row r="18" spans="2:43" ht="13.5" customHeight="1">
      <c r="B18" s="39" t="s">
        <v>173</v>
      </c>
      <c r="C18" s="68">
        <f t="shared" ref="C18" si="42">C16+C17</f>
        <v>-14.268664999999999</v>
      </c>
      <c r="D18" s="68">
        <f t="shared" ref="D18:E18" si="43">D16+D17</f>
        <v>-16.667541</v>
      </c>
      <c r="E18" s="68">
        <f t="shared" si="43"/>
        <v>-19.125119999999999</v>
      </c>
      <c r="F18" s="68">
        <f t="shared" ref="F18:G18" si="44">F16+F17</f>
        <v>-18.661891999999998</v>
      </c>
      <c r="G18" s="68">
        <f t="shared" si="44"/>
        <v>-21.400917</v>
      </c>
      <c r="H18" s="68">
        <f t="shared" ref="H18:I18" si="45">H16+H17</f>
        <v>-24.414428000000001</v>
      </c>
      <c r="I18" s="68">
        <f t="shared" si="45"/>
        <v>-31.719895000000001</v>
      </c>
      <c r="J18" s="68">
        <f t="shared" ref="J18:K18" si="46">J16+J17</f>
        <v>-34.178243000000002</v>
      </c>
      <c r="K18" s="68">
        <f t="shared" si="46"/>
        <v>-35.492376</v>
      </c>
      <c r="L18" s="68">
        <f>L16+L17</f>
        <v>-36.342904999999995</v>
      </c>
      <c r="M18" s="68"/>
      <c r="N18" s="68">
        <f t="shared" ref="N18:U18" si="47">N16+N17</f>
        <v>-4.6506989999999995</v>
      </c>
      <c r="O18" s="68">
        <f t="shared" si="47"/>
        <v>-4.9347409999999998</v>
      </c>
      <c r="P18" s="68">
        <f t="shared" si="47"/>
        <v>-4.8653810000000002</v>
      </c>
      <c r="Q18" s="68">
        <f t="shared" si="47"/>
        <v>-4.6742989999999978</v>
      </c>
      <c r="R18" s="68">
        <f t="shared" si="47"/>
        <v>-5.1642320000000002</v>
      </c>
      <c r="S18" s="68">
        <f t="shared" si="47"/>
        <v>-4.2622780000000002</v>
      </c>
      <c r="T18" s="68">
        <f t="shared" si="47"/>
        <v>-4.3283529999999999</v>
      </c>
      <c r="U18" s="68">
        <f t="shared" si="47"/>
        <v>-4.9070289999999996</v>
      </c>
      <c r="V18" s="68">
        <f>V16+V17</f>
        <v>-5.3214860000000002</v>
      </c>
      <c r="W18" s="68">
        <f>W16+W17</f>
        <v>-5.3243309999999999</v>
      </c>
      <c r="X18" s="68">
        <f t="shared" ref="X18:Y18" si="48">X16+X17</f>
        <v>-5.5351529999999993</v>
      </c>
      <c r="Y18" s="68">
        <f t="shared" si="48"/>
        <v>-5.2199470000000003</v>
      </c>
      <c r="Z18" s="68">
        <f>Z16+Z17</f>
        <v>-6.4623239999999997</v>
      </c>
      <c r="AA18" s="68">
        <f>AA16+AA17</f>
        <v>-6.0692740000000001</v>
      </c>
      <c r="AB18" s="68">
        <f>AB16+AB17</f>
        <v>-5.935594</v>
      </c>
      <c r="AC18" s="68">
        <f t="shared" ref="AC18:AD18" si="49">AC16+AC17</f>
        <v>-5.9472359999999993</v>
      </c>
      <c r="AD18" s="68">
        <f t="shared" si="49"/>
        <v>-8.2059429999999995</v>
      </c>
      <c r="AE18" s="68">
        <f>AE16+AE17</f>
        <v>-6.8139339999999997</v>
      </c>
      <c r="AF18" s="68">
        <f>AF16+AF17</f>
        <v>-7.3204450000000003</v>
      </c>
      <c r="AG18" s="68">
        <f t="shared" ref="AG18:AH18" si="50">AG16+AG17</f>
        <v>-9.3795729999999988</v>
      </c>
      <c r="AH18" s="68">
        <f t="shared" si="50"/>
        <v>-8.5567949999999993</v>
      </c>
      <c r="AI18" s="68">
        <f>AI16+AI17</f>
        <v>-9.1936039999999988</v>
      </c>
      <c r="AJ18" s="68">
        <f>AJ16+AJ17</f>
        <v>-7.4316059999999995</v>
      </c>
      <c r="AK18" s="68">
        <f t="shared" ref="AK18:AL18" si="51">AK16+AK17</f>
        <v>-8.9962380000000017</v>
      </c>
      <c r="AL18" s="68">
        <f t="shared" si="51"/>
        <v>-8.9246020000000001</v>
      </c>
      <c r="AM18" s="68">
        <f>AM16+AM17</f>
        <v>-8.4</v>
      </c>
      <c r="AN18" s="68">
        <f>AN16+AN17</f>
        <v>-8.3264049999999994</v>
      </c>
      <c r="AO18" s="68">
        <f t="shared" ref="AO18:AP18" si="52">AO16+AO17</f>
        <v>-9.8413689999999967</v>
      </c>
      <c r="AP18" s="68">
        <f t="shared" si="52"/>
        <v>-9.775131</v>
      </c>
      <c r="AQ18" s="128"/>
    </row>
    <row r="19" spans="2:43" s="39" customFormat="1" ht="13.5" customHeight="1">
      <c r="B19" s="39" t="s">
        <v>174</v>
      </c>
      <c r="C19" s="68">
        <f t="shared" ref="C19:D19" si="53">C13+C18</f>
        <v>90.165526</v>
      </c>
      <c r="D19" s="68">
        <f t="shared" si="53"/>
        <v>110.325025</v>
      </c>
      <c r="E19" s="68">
        <f t="shared" ref="E19:F19" si="54">E13+E18</f>
        <v>117.099341</v>
      </c>
      <c r="F19" s="68">
        <f t="shared" si="54"/>
        <v>121.03878599999999</v>
      </c>
      <c r="G19" s="68">
        <f t="shared" ref="G19:H19" si="55">G13+G18</f>
        <v>128.65868400000002</v>
      </c>
      <c r="H19" s="68">
        <f t="shared" si="55"/>
        <v>142.18763899999999</v>
      </c>
      <c r="I19" s="68">
        <f t="shared" ref="I19:J19" si="56">I13+I18</f>
        <v>164.50799499999999</v>
      </c>
      <c r="J19" s="68">
        <f t="shared" si="56"/>
        <v>193.55644599999999</v>
      </c>
      <c r="K19" s="68">
        <f t="shared" ref="K19" si="57">K13+K18</f>
        <v>219.45663300000001</v>
      </c>
      <c r="L19" s="68">
        <f>L13+L18</f>
        <v>226.067689</v>
      </c>
      <c r="M19" s="68"/>
      <c r="N19" s="68">
        <f t="shared" ref="N19:U19" si="58">N13+N18</f>
        <v>30.079543000000005</v>
      </c>
      <c r="O19" s="68">
        <f t="shared" si="58"/>
        <v>29.222132000000006</v>
      </c>
      <c r="P19" s="68">
        <f t="shared" si="58"/>
        <v>29.146918000000007</v>
      </c>
      <c r="Q19" s="68">
        <f t="shared" si="58"/>
        <v>28.650748000000014</v>
      </c>
      <c r="R19" s="68">
        <f t="shared" si="58"/>
        <v>30.030882000000005</v>
      </c>
      <c r="S19" s="68">
        <f t="shared" si="58"/>
        <v>29.513500999999998</v>
      </c>
      <c r="T19" s="68">
        <f t="shared" si="58"/>
        <v>30.857543</v>
      </c>
      <c r="U19" s="68">
        <f t="shared" si="58"/>
        <v>30.636859999999999</v>
      </c>
      <c r="V19" s="68">
        <f t="shared" ref="V19:Y19" si="59">V13+V18</f>
        <v>31.626382000000007</v>
      </c>
      <c r="W19" s="68">
        <f t="shared" si="59"/>
        <v>31.860942999999992</v>
      </c>
      <c r="X19" s="68">
        <f t="shared" si="59"/>
        <v>32.647100000000009</v>
      </c>
      <c r="Y19" s="68">
        <f t="shared" si="59"/>
        <v>32.524259000000008</v>
      </c>
      <c r="Z19" s="68">
        <f t="shared" ref="Z19:AA19" si="60">Z13+Z18</f>
        <v>33.406932999999995</v>
      </c>
      <c r="AA19" s="68">
        <f t="shared" si="60"/>
        <v>34.413669000000006</v>
      </c>
      <c r="AB19" s="68">
        <f t="shared" ref="AB19:AC19" si="61">AB13+AB18</f>
        <v>36.638348000000001</v>
      </c>
      <c r="AC19" s="68">
        <f t="shared" si="61"/>
        <v>37.72868900000001</v>
      </c>
      <c r="AD19" s="68">
        <f t="shared" ref="AD19" si="62">AD13+AD18</f>
        <v>38.827906000000006</v>
      </c>
      <c r="AE19" s="68">
        <f>AE13+AE18</f>
        <v>40.741775000000004</v>
      </c>
      <c r="AF19" s="68">
        <f t="shared" ref="AF19:AH19" si="63">AF13+AF18</f>
        <v>43.011349000000003</v>
      </c>
      <c r="AG19" s="68">
        <f t="shared" si="63"/>
        <v>41.92696500000001</v>
      </c>
      <c r="AH19" s="68">
        <f t="shared" si="63"/>
        <v>47.529605999999994</v>
      </c>
      <c r="AI19" s="68">
        <f>AI13+AI18</f>
        <v>47.628768000000001</v>
      </c>
      <c r="AJ19" s="68">
        <f>AJ13+AJ18</f>
        <v>49.778936000000002</v>
      </c>
      <c r="AK19" s="68">
        <f t="shared" ref="AK19:AL19" si="64">AK13+AK18</f>
        <v>48.619135999999969</v>
      </c>
      <c r="AL19" s="68">
        <f t="shared" si="64"/>
        <v>52.934515000000005</v>
      </c>
      <c r="AM19" s="68">
        <f>AM13+AM18</f>
        <v>52.379999999999995</v>
      </c>
      <c r="AN19" s="68">
        <f>AN13+AN18</f>
        <v>55.865602999999986</v>
      </c>
      <c r="AO19" s="68">
        <f t="shared" ref="AO19:AP19" si="65">AO13+AO18</f>
        <v>58.276515000000003</v>
      </c>
      <c r="AP19" s="68">
        <f t="shared" si="65"/>
        <v>59.545570999999995</v>
      </c>
      <c r="AQ19" s="127"/>
    </row>
    <row r="20" spans="2:43" s="51" customFormat="1" ht="13.5" customHeight="1">
      <c r="B20" s="56" t="s">
        <v>175</v>
      </c>
      <c r="C20" s="95">
        <f t="shared" ref="C20:G20" si="66">+C19/C7</f>
        <v>0.82397665693643007</v>
      </c>
      <c r="D20" s="95">
        <f t="shared" si="66"/>
        <v>0.83157937272374749</v>
      </c>
      <c r="E20" s="95">
        <f t="shared" si="66"/>
        <v>0.81154197571678088</v>
      </c>
      <c r="F20" s="95">
        <f t="shared" si="66"/>
        <v>0.80942968559781225</v>
      </c>
      <c r="G20" s="95">
        <f t="shared" si="66"/>
        <v>0.80062213444148811</v>
      </c>
      <c r="H20" s="95">
        <f t="shared" ref="H20:I20" si="67">+H19/H7</f>
        <v>0.79869271620647553</v>
      </c>
      <c r="I20" s="95">
        <f t="shared" si="67"/>
        <v>0.77071589739934021</v>
      </c>
      <c r="J20" s="95">
        <f t="shared" ref="J20:K20" si="68">+J19/J7</f>
        <v>0.76823202544575975</v>
      </c>
      <c r="K20" s="95">
        <f t="shared" si="68"/>
        <v>0.77493563143798172</v>
      </c>
      <c r="L20" s="95">
        <f>+L19/L7</f>
        <v>0.77181624048388853</v>
      </c>
      <c r="M20" s="143"/>
      <c r="N20" s="95">
        <f t="shared" ref="N20:U20" si="69">+N19/N7</f>
        <v>0.82885709258802309</v>
      </c>
      <c r="O20" s="95">
        <f t="shared" si="69"/>
        <v>0.8133514395200564</v>
      </c>
      <c r="P20" s="95">
        <f t="shared" si="69"/>
        <v>0.81357864825538451</v>
      </c>
      <c r="Q20" s="95">
        <f t="shared" si="69"/>
        <v>0.79040041412038176</v>
      </c>
      <c r="R20" s="95">
        <f t="shared" si="69"/>
        <v>0.79667796900995169</v>
      </c>
      <c r="S20" s="95">
        <f t="shared" si="69"/>
        <v>0.80773032944016632</v>
      </c>
      <c r="T20" s="95">
        <f t="shared" si="69"/>
        <v>0.82379351559876846</v>
      </c>
      <c r="U20" s="95">
        <f t="shared" si="69"/>
        <v>0.80955471829576131</v>
      </c>
      <c r="V20" s="95">
        <f t="shared" ref="V20:Y20" si="70">+V19/V7</f>
        <v>0.8246258044215431</v>
      </c>
      <c r="W20" s="95">
        <f t="shared" si="70"/>
        <v>0.80139511566397581</v>
      </c>
      <c r="X20" s="95">
        <f t="shared" si="70"/>
        <v>0.79622936662070987</v>
      </c>
      <c r="Y20" s="95">
        <f t="shared" si="70"/>
        <v>0.78207747304903241</v>
      </c>
      <c r="Z20" s="95">
        <f t="shared" ref="Z20:AA20" si="71">+Z19/Z7</f>
        <v>0.7956296369597583</v>
      </c>
      <c r="AA20" s="95">
        <f t="shared" si="71"/>
        <v>0.83243710145970828</v>
      </c>
      <c r="AB20" s="95">
        <f t="shared" ref="AB20:AC20" si="72">+AB19/AB7</f>
        <v>0.80509610136388421</v>
      </c>
      <c r="AC20" s="95">
        <f t="shared" si="72"/>
        <v>0.76702241574348196</v>
      </c>
      <c r="AD20" s="95">
        <f t="shared" ref="AD20:AG20" si="73">+AD19/AD7</f>
        <v>0.78264886565527991</v>
      </c>
      <c r="AE20" s="95">
        <f t="shared" si="73"/>
        <v>0.83669427171976229</v>
      </c>
      <c r="AF20" s="95">
        <f t="shared" si="73"/>
        <v>0.83334217799208277</v>
      </c>
      <c r="AG20" s="95">
        <f t="shared" si="73"/>
        <v>0.65994920494525844</v>
      </c>
      <c r="AH20" s="95">
        <f t="shared" ref="AH20:AK20" si="74">+AH19/AH7</f>
        <v>0.78983806822718661</v>
      </c>
      <c r="AI20" s="95">
        <f t="shared" si="74"/>
        <v>0.8259130390089009</v>
      </c>
      <c r="AJ20" s="95">
        <f t="shared" si="74"/>
        <v>0.85271308852807104</v>
      </c>
      <c r="AK20" s="95">
        <f t="shared" si="74"/>
        <v>0.64201500902474939</v>
      </c>
      <c r="AL20" s="95">
        <f t="shared" ref="AL20:AO20" si="75">+AL19/AL7</f>
        <v>0.78960764784563497</v>
      </c>
      <c r="AM20" s="95">
        <f t="shared" si="75"/>
        <v>0.84212218649517678</v>
      </c>
      <c r="AN20" s="95">
        <f t="shared" si="75"/>
        <v>0.77140140090726528</v>
      </c>
      <c r="AO20" s="95">
        <f t="shared" si="75"/>
        <v>0.71475603842767088</v>
      </c>
      <c r="AP20" s="95">
        <f t="shared" ref="AP20" si="76">+AP19/AP7</f>
        <v>0.77584661063495231</v>
      </c>
    </row>
    <row r="21" spans="2:43" s="51" customFormat="1" ht="13.5" customHeight="1">
      <c r="B21" s="39" t="s">
        <v>176</v>
      </c>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K21" s="68"/>
      <c r="AM21" s="68"/>
      <c r="AN21" s="68"/>
      <c r="AO21" s="68"/>
    </row>
    <row r="22" spans="2:43" ht="13.5" customHeight="1">
      <c r="B22" s="96" t="s">
        <v>177</v>
      </c>
      <c r="C22" s="78">
        <v>5.5170999999999998E-2</v>
      </c>
      <c r="D22" s="78">
        <v>0.43442700000000001</v>
      </c>
      <c r="E22" s="78">
        <v>7.0393999999999998E-2</v>
      </c>
      <c r="F22" s="78">
        <v>0.31195899999999999</v>
      </c>
      <c r="G22" s="78">
        <f>76871/10^6</f>
        <v>7.6870999999999995E-2</v>
      </c>
      <c r="H22" s="78">
        <f>2640687/10^6</f>
        <v>2.6406869999999998</v>
      </c>
      <c r="I22" s="78">
        <f>9414027/10^6</f>
        <v>9.4140270000000008</v>
      </c>
      <c r="J22" s="78">
        <v>15.185565</v>
      </c>
      <c r="K22" s="78">
        <v>5.2726600000000001</v>
      </c>
      <c r="L22" s="16">
        <f t="shared" ref="L22:L29" si="77">SUM(AM22:AP22)</f>
        <v>6.3363890000000005</v>
      </c>
      <c r="M22" s="16"/>
      <c r="N22" s="78">
        <v>1.4307E-2</v>
      </c>
      <c r="O22" s="78">
        <v>1.6532999999999999E-2</v>
      </c>
      <c r="P22" s="78">
        <v>2.2072999999999999E-2</v>
      </c>
      <c r="Q22" s="16">
        <f t="shared" ref="Q22:Q29" si="78">E22-SUM(N22:P22)</f>
        <v>1.7480999999999997E-2</v>
      </c>
      <c r="R22" s="78">
        <v>9.9670000000000002E-3</v>
      </c>
      <c r="S22" s="78">
        <v>0.20494499999999999</v>
      </c>
      <c r="T22" s="78">
        <v>8.1745999999999999E-2</v>
      </c>
      <c r="U22" s="16">
        <f t="shared" ref="U22:U29" si="79">F22-SUM(R22:T22)</f>
        <v>1.5301000000000009E-2</v>
      </c>
      <c r="V22" s="78">
        <v>1.6572E-2</v>
      </c>
      <c r="W22" s="78">
        <v>1.2215E-2</v>
      </c>
      <c r="X22" s="78">
        <v>2.4167000000000001E-2</v>
      </c>
      <c r="Y22" s="16">
        <f t="shared" ref="Y22:Y29" si="80">G22-SUM(V22:X22)</f>
        <v>2.3916999999999994E-2</v>
      </c>
      <c r="Z22" s="78">
        <v>3.7774000000000002E-2</v>
      </c>
      <c r="AA22" s="78">
        <v>0.132774</v>
      </c>
      <c r="AB22" s="78">
        <v>1.3750389999999999</v>
      </c>
      <c r="AC22" s="16">
        <f t="shared" ref="AC22:AC29" si="81">H22-SUM(Z22:AB22)</f>
        <v>1.0951</v>
      </c>
      <c r="AD22" s="78">
        <v>0.56683600000000001</v>
      </c>
      <c r="AE22" s="78">
        <v>0.53779999999999994</v>
      </c>
      <c r="AF22" s="78">
        <v>4.4232630000000004</v>
      </c>
      <c r="AG22" s="16">
        <f t="shared" ref="AG22:AG29" si="82">I22-SUM(AD22:AF22)</f>
        <v>3.8861280000000002</v>
      </c>
      <c r="AH22" s="78">
        <v>5.0683639999999999</v>
      </c>
      <c r="AI22" s="78">
        <v>4.0619899999999998</v>
      </c>
      <c r="AJ22" s="78">
        <v>4.0101209999999998</v>
      </c>
      <c r="AK22" s="16">
        <f t="shared" ref="AK22:AK27" si="83">J22-SUM(AH22:AJ22)</f>
        <v>2.0450900000000001</v>
      </c>
      <c r="AL22" s="78">
        <v>1.0254449999999999</v>
      </c>
      <c r="AM22" s="78">
        <v>0.4</v>
      </c>
      <c r="AN22" s="78">
        <v>0.65174600000000005</v>
      </c>
      <c r="AO22" s="16">
        <f t="shared" ref="AO22:AO29" si="84">K22-SUM(AL22:AN22)</f>
        <v>3.1954690000000001</v>
      </c>
      <c r="AP22" s="78">
        <v>2.0891739999999999</v>
      </c>
    </row>
    <row r="23" spans="2:43" ht="13.5" customHeight="1">
      <c r="B23" s="96" t="s">
        <v>178</v>
      </c>
      <c r="C23" s="78">
        <v>0.44919300000000001</v>
      </c>
      <c r="D23" s="78">
        <v>0.47624</v>
      </c>
      <c r="E23" s="78">
        <v>1.051904</v>
      </c>
      <c r="F23" s="78">
        <v>7.8519999999999996E-3</v>
      </c>
      <c r="G23" s="78">
        <f>27795/10^6</f>
        <v>2.7795E-2</v>
      </c>
      <c r="H23" s="78">
        <f>956862/10^6</f>
        <v>0.95686199999999999</v>
      </c>
      <c r="I23" s="78">
        <f>(5138158-3037113)/10^6</f>
        <v>2.1010450000000001</v>
      </c>
      <c r="J23" s="78">
        <f>4.307956-5.152385</f>
        <v>-0.84442899999999987</v>
      </c>
      <c r="K23" s="78">
        <f>(6818185-3523537)/1000000</f>
        <v>3.294648</v>
      </c>
      <c r="L23" s="16">
        <f t="shared" si="77"/>
        <v>4.2961069999999992</v>
      </c>
      <c r="M23" s="146"/>
      <c r="N23" s="78">
        <v>-0.20743800000000001</v>
      </c>
      <c r="O23" s="78">
        <v>0</v>
      </c>
      <c r="P23" s="78">
        <v>0.44576100000000002</v>
      </c>
      <c r="Q23" s="16">
        <f t="shared" si="78"/>
        <v>0.81358099999999989</v>
      </c>
      <c r="R23" s="78">
        <v>7.9917000000000002E-2</v>
      </c>
      <c r="S23" s="78">
        <v>9.8649000000000001E-2</v>
      </c>
      <c r="T23" s="78">
        <v>-0.20236399999999999</v>
      </c>
      <c r="U23" s="16">
        <f t="shared" si="79"/>
        <v>3.1649999999999984E-2</v>
      </c>
      <c r="V23" s="78">
        <v>9.3629000000000004E-2</v>
      </c>
      <c r="W23" s="78">
        <v>-1.4121999999999999E-2</v>
      </c>
      <c r="X23" s="78">
        <v>0.11632199999999999</v>
      </c>
      <c r="Y23" s="16">
        <f t="shared" si="80"/>
        <v>-0.16803400000000002</v>
      </c>
      <c r="Z23" s="78">
        <v>2.5694999999999999E-2</v>
      </c>
      <c r="AA23" s="78">
        <v>0.35490899999999997</v>
      </c>
      <c r="AB23" s="78">
        <v>0.25756299999999999</v>
      </c>
      <c r="AC23" s="16">
        <f t="shared" si="81"/>
        <v>0.31869500000000006</v>
      </c>
      <c r="AD23" s="78">
        <f>0.256351-0.330286</f>
        <v>-7.3935000000000028E-2</v>
      </c>
      <c r="AE23" s="78">
        <v>0.80851300000000004</v>
      </c>
      <c r="AF23" s="78">
        <f>1.707806+0.222955</f>
        <v>1.9307609999999999</v>
      </c>
      <c r="AG23" s="16">
        <f t="shared" si="82"/>
        <v>-0.56429399999999985</v>
      </c>
      <c r="AH23" s="78">
        <f>0.895669-1.110553</f>
        <v>-0.21488399999999985</v>
      </c>
      <c r="AI23" s="78">
        <f>1.140107-2.305118</f>
        <v>-1.1650109999999998</v>
      </c>
      <c r="AJ23" s="78">
        <f>0.358488+0.114849</f>
        <v>0.47333700000000001</v>
      </c>
      <c r="AK23" s="16">
        <f t="shared" si="83"/>
        <v>6.2128999999999768E-2</v>
      </c>
      <c r="AL23" s="78">
        <f>(1563173-518562)/1000000</f>
        <v>1.044611</v>
      </c>
      <c r="AM23" s="78">
        <v>0</v>
      </c>
      <c r="AN23" s="78">
        <f>(1196412-623458)/1000000</f>
        <v>0.57295399999999996</v>
      </c>
      <c r="AO23" s="16">
        <f t="shared" si="84"/>
        <v>1.6770830000000001</v>
      </c>
      <c r="AP23" s="78">
        <f>3.636548-1.590478</f>
        <v>2.0460699999999998</v>
      </c>
    </row>
    <row r="24" spans="2:43" ht="13.5" customHeight="1">
      <c r="B24" s="96" t="s">
        <v>179</v>
      </c>
      <c r="C24" s="78">
        <v>-0.39555899999999999</v>
      </c>
      <c r="D24" s="78">
        <v>-0.13906199999999999</v>
      </c>
      <c r="E24" s="78">
        <v>0</v>
      </c>
      <c r="F24" s="78">
        <v>0</v>
      </c>
      <c r="G24" s="78">
        <v>0</v>
      </c>
      <c r="H24" s="78">
        <v>0</v>
      </c>
      <c r="I24" s="78">
        <v>0</v>
      </c>
      <c r="J24" s="78">
        <v>0</v>
      </c>
      <c r="K24" s="78">
        <v>0</v>
      </c>
      <c r="L24" s="16">
        <f t="shared" si="77"/>
        <v>0</v>
      </c>
      <c r="M24" s="146"/>
      <c r="N24" s="78">
        <v>0</v>
      </c>
      <c r="O24" s="78">
        <v>0</v>
      </c>
      <c r="P24" s="78">
        <v>0</v>
      </c>
      <c r="Q24" s="16">
        <f t="shared" si="78"/>
        <v>0</v>
      </c>
      <c r="R24" s="78">
        <v>0</v>
      </c>
      <c r="S24" s="78">
        <v>0</v>
      </c>
      <c r="T24" s="78">
        <v>0</v>
      </c>
      <c r="U24" s="16">
        <f t="shared" si="79"/>
        <v>0</v>
      </c>
      <c r="V24" s="78">
        <v>0</v>
      </c>
      <c r="W24" s="78">
        <v>0</v>
      </c>
      <c r="X24" s="78">
        <v>0</v>
      </c>
      <c r="Y24" s="16">
        <f t="shared" si="80"/>
        <v>0</v>
      </c>
      <c r="Z24" s="78">
        <v>-10.40765</v>
      </c>
      <c r="AA24" s="78">
        <v>0</v>
      </c>
      <c r="AB24" s="78">
        <v>0</v>
      </c>
      <c r="AC24" s="16">
        <f t="shared" si="81"/>
        <v>10.40765</v>
      </c>
      <c r="AD24" s="78">
        <v>0</v>
      </c>
      <c r="AE24" s="78">
        <v>0</v>
      </c>
      <c r="AF24" s="78">
        <v>0</v>
      </c>
      <c r="AG24" s="16">
        <f t="shared" si="82"/>
        <v>0</v>
      </c>
      <c r="AH24" s="78">
        <v>0</v>
      </c>
      <c r="AI24" s="78">
        <v>0</v>
      </c>
      <c r="AJ24" s="78">
        <v>0</v>
      </c>
      <c r="AK24" s="16">
        <f t="shared" si="83"/>
        <v>0</v>
      </c>
      <c r="AL24" s="78">
        <v>0</v>
      </c>
      <c r="AM24" s="78">
        <v>0</v>
      </c>
      <c r="AN24" s="78">
        <v>0</v>
      </c>
      <c r="AO24" s="16">
        <f t="shared" si="84"/>
        <v>0</v>
      </c>
      <c r="AP24" s="78">
        <v>0</v>
      </c>
    </row>
    <row r="25" spans="2:43" ht="13.5" customHeight="1">
      <c r="B25" s="96" t="s">
        <v>180</v>
      </c>
      <c r="C25" s="78">
        <v>-19.668274</v>
      </c>
      <c r="D25" s="78">
        <v>-35.156824999999998</v>
      </c>
      <c r="E25" s="78">
        <v>-39.161931000000003</v>
      </c>
      <c r="F25" s="78">
        <v>-39.052739000000003</v>
      </c>
      <c r="G25" s="78">
        <f>-50263493/10^6</f>
        <v>-50.263492999999997</v>
      </c>
      <c r="H25" s="78">
        <f>-46396156/10^6</f>
        <v>-46.396155999999998</v>
      </c>
      <c r="I25" s="78">
        <f>-46306975/10^6</f>
        <v>-46.306975000000001</v>
      </c>
      <c r="J25" s="78">
        <v>-44.261389999999999</v>
      </c>
      <c r="K25" s="78">
        <v>-56.226951999999997</v>
      </c>
      <c r="L25" s="16">
        <f t="shared" si="77"/>
        <v>-64.896664999999999</v>
      </c>
      <c r="M25" s="16"/>
      <c r="N25" s="78">
        <v>-9.1811720000000001</v>
      </c>
      <c r="O25" s="78">
        <v>-11.210785</v>
      </c>
      <c r="P25" s="78">
        <v>-9.1022839999999992</v>
      </c>
      <c r="Q25" s="16">
        <f t="shared" si="78"/>
        <v>-9.6676900000000074</v>
      </c>
      <c r="R25" s="78">
        <v>-9.2956269999999996</v>
      </c>
      <c r="S25" s="78">
        <v>-10.191399000000001</v>
      </c>
      <c r="T25" s="78">
        <v>-9.9338909999999991</v>
      </c>
      <c r="U25" s="16">
        <f t="shared" si="79"/>
        <v>-9.6318220000000032</v>
      </c>
      <c r="V25" s="78">
        <v>-11.045968999999999</v>
      </c>
      <c r="W25" s="78">
        <v>-16.440225999999999</v>
      </c>
      <c r="X25" s="78">
        <v>-11.651279000000001</v>
      </c>
      <c r="Y25" s="16">
        <f t="shared" si="80"/>
        <v>-11.126018999999999</v>
      </c>
      <c r="Z25" s="78">
        <v>0</v>
      </c>
      <c r="AA25" s="78">
        <v>-11.927469</v>
      </c>
      <c r="AB25" s="78">
        <v>-11.783272</v>
      </c>
      <c r="AC25" s="16">
        <f t="shared" si="81"/>
        <v>-22.685414999999999</v>
      </c>
      <c r="AD25" s="78">
        <v>-11.580977000000001</v>
      </c>
      <c r="AE25" s="78">
        <v>-11.771653000000001</v>
      </c>
      <c r="AF25" s="78">
        <v>-11.395892</v>
      </c>
      <c r="AG25" s="16">
        <f t="shared" si="82"/>
        <v>-11.558453</v>
      </c>
      <c r="AH25" s="78">
        <v>-10.212524999999999</v>
      </c>
      <c r="AI25" s="78">
        <v>-12.251664</v>
      </c>
      <c r="AJ25" s="78">
        <v>-11.22982</v>
      </c>
      <c r="AK25" s="16">
        <f t="shared" si="83"/>
        <v>-10.567381000000005</v>
      </c>
      <c r="AL25" s="78">
        <v>-10.285252</v>
      </c>
      <c r="AM25" s="78">
        <v>-11.9</v>
      </c>
      <c r="AN25" s="78">
        <v>-12.289994</v>
      </c>
      <c r="AO25" s="16">
        <f t="shared" si="84"/>
        <v>-21.751705999999999</v>
      </c>
      <c r="AP25" s="78">
        <v>-18.954965000000001</v>
      </c>
    </row>
    <row r="26" spans="2:43" ht="13.5" customHeight="1">
      <c r="B26" s="96" t="s">
        <v>181</v>
      </c>
      <c r="C26" s="78">
        <v>2.8972560000000001</v>
      </c>
      <c r="D26" s="78">
        <v>-0.71900699999999995</v>
      </c>
      <c r="E26" s="78">
        <v>2.15693</v>
      </c>
      <c r="F26" s="78">
        <v>-0.171566</v>
      </c>
      <c r="G26" s="78">
        <f>-1109567/10^6</f>
        <v>-1.109567</v>
      </c>
      <c r="H26" s="78">
        <f>1939848/10^6</f>
        <v>1.939848</v>
      </c>
      <c r="I26" s="78">
        <f>8906782/10^6</f>
        <v>8.9067819999999998</v>
      </c>
      <c r="J26" s="78">
        <v>-10.837866999999999</v>
      </c>
      <c r="K26" s="78">
        <v>10.097353</v>
      </c>
      <c r="L26" s="16">
        <f t="shared" si="77"/>
        <v>9.94163</v>
      </c>
      <c r="M26" s="16"/>
      <c r="N26" s="78">
        <v>1.2402770000000001</v>
      </c>
      <c r="O26" s="78">
        <v>0.69078700000000004</v>
      </c>
      <c r="P26" s="78">
        <v>-1.4687170000000001</v>
      </c>
      <c r="Q26" s="16">
        <f t="shared" si="78"/>
        <v>1.694583</v>
      </c>
      <c r="R26" s="78">
        <v>-9.1045079999999992</v>
      </c>
      <c r="S26" s="78">
        <v>1.7347900000000001</v>
      </c>
      <c r="T26" s="78">
        <v>7.6662049999999997</v>
      </c>
      <c r="U26" s="16">
        <f t="shared" si="79"/>
        <v>-0.46805300000000083</v>
      </c>
      <c r="V26" s="78">
        <v>0.50014599999999998</v>
      </c>
      <c r="W26" s="78">
        <v>-0.25452399999999997</v>
      </c>
      <c r="X26" s="78">
        <v>-0.47689399999999998</v>
      </c>
      <c r="Y26" s="16">
        <f t="shared" si="80"/>
        <v>-0.87829500000000005</v>
      </c>
      <c r="Z26" s="78">
        <v>-0.80045500000000003</v>
      </c>
      <c r="AA26" s="78">
        <v>1.2524949999999999</v>
      </c>
      <c r="AB26" s="78">
        <v>-0.75454299999999996</v>
      </c>
      <c r="AC26" s="16">
        <f t="shared" si="81"/>
        <v>2.2423510000000002</v>
      </c>
      <c r="AD26" s="78">
        <v>4.6024890000000003</v>
      </c>
      <c r="AE26" s="78">
        <v>3.7407599999999999</v>
      </c>
      <c r="AF26" s="78">
        <v>-2.149238</v>
      </c>
      <c r="AG26" s="16">
        <f t="shared" si="82"/>
        <v>2.712771</v>
      </c>
      <c r="AH26" s="78">
        <v>0.85408200000000001</v>
      </c>
      <c r="AI26" s="78">
        <v>-6.5234909999999999</v>
      </c>
      <c r="AJ26" s="78">
        <v>-4.3052960000000002</v>
      </c>
      <c r="AK26" s="16">
        <f t="shared" si="83"/>
        <v>-0.8631619999999991</v>
      </c>
      <c r="AL26" s="78">
        <v>-9.6270999999999995E-2</v>
      </c>
      <c r="AM26" s="78">
        <v>6.3</v>
      </c>
      <c r="AN26" s="78">
        <v>2.4294859999999998</v>
      </c>
      <c r="AO26" s="16">
        <f t="shared" si="84"/>
        <v>1.4641380000000002</v>
      </c>
      <c r="AP26" s="78">
        <v>-0.251994</v>
      </c>
    </row>
    <row r="27" spans="2:43" s="51" customFormat="1" ht="13.5" customHeight="1">
      <c r="B27" s="96" t="s">
        <v>182</v>
      </c>
      <c r="C27" s="78">
        <v>0</v>
      </c>
      <c r="D27" s="78">
        <v>0</v>
      </c>
      <c r="E27" s="78">
        <v>17.920717</v>
      </c>
      <c r="F27" s="78">
        <v>0</v>
      </c>
      <c r="G27" s="78">
        <f>13992675/10^6</f>
        <v>13.992675</v>
      </c>
      <c r="H27" s="78">
        <f>5027826/10^6</f>
        <v>5.0278260000000001</v>
      </c>
      <c r="I27" s="78">
        <f>-461600/10^6</f>
        <v>-0.46160000000000001</v>
      </c>
      <c r="J27" s="78">
        <v>2.6172330000000001</v>
      </c>
      <c r="K27" s="78">
        <v>-9.9450000000000007E-3</v>
      </c>
      <c r="L27" s="16">
        <f t="shared" si="77"/>
        <v>-9.9450000000000007E-3</v>
      </c>
      <c r="M27" s="16"/>
      <c r="N27" s="78">
        <v>0</v>
      </c>
      <c r="O27" s="78">
        <v>16.017448000000002</v>
      </c>
      <c r="P27" s="78">
        <v>0</v>
      </c>
      <c r="Q27" s="16">
        <f t="shared" si="78"/>
        <v>1.9032689999999981</v>
      </c>
      <c r="R27" s="78">
        <v>0</v>
      </c>
      <c r="S27" s="78">
        <v>0</v>
      </c>
      <c r="T27" s="78">
        <v>0</v>
      </c>
      <c r="U27" s="16">
        <f t="shared" si="79"/>
        <v>0</v>
      </c>
      <c r="V27" s="78">
        <v>4.2995979999999996</v>
      </c>
      <c r="W27" s="78">
        <v>4.25929</v>
      </c>
      <c r="X27" s="78">
        <v>0</v>
      </c>
      <c r="Y27" s="16">
        <f t="shared" si="80"/>
        <v>5.4337870000000006</v>
      </c>
      <c r="Z27" s="78">
        <v>0.56775399999999998</v>
      </c>
      <c r="AA27" s="78">
        <v>4.4600720000000003</v>
      </c>
      <c r="AB27" s="78">
        <v>0</v>
      </c>
      <c r="AC27" s="16">
        <f t="shared" si="81"/>
        <v>0</v>
      </c>
      <c r="AD27" s="78">
        <v>0</v>
      </c>
      <c r="AE27" s="78">
        <v>0</v>
      </c>
      <c r="AF27" s="78">
        <v>0</v>
      </c>
      <c r="AG27" s="16">
        <f t="shared" si="82"/>
        <v>-0.46160000000000001</v>
      </c>
      <c r="AH27" s="78">
        <v>0.25</v>
      </c>
      <c r="AI27" s="78">
        <v>0</v>
      </c>
      <c r="AJ27" s="78">
        <v>0</v>
      </c>
      <c r="AK27" s="16">
        <f t="shared" si="83"/>
        <v>2.3672330000000001</v>
      </c>
      <c r="AL27" s="78">
        <v>0</v>
      </c>
      <c r="AM27" s="78">
        <v>-0.4</v>
      </c>
      <c r="AN27" s="78">
        <v>0.4</v>
      </c>
      <c r="AO27" s="16">
        <f t="shared" si="84"/>
        <v>-9.9450000000000007E-3</v>
      </c>
      <c r="AP27" s="78">
        <v>0</v>
      </c>
    </row>
    <row r="28" spans="2:43" s="51" customFormat="1" ht="13.5" customHeight="1">
      <c r="B28" s="96" t="s">
        <v>183</v>
      </c>
      <c r="C28" s="137"/>
      <c r="D28" s="137"/>
      <c r="E28" s="137"/>
      <c r="F28" s="137"/>
      <c r="G28" s="137"/>
      <c r="H28" s="137"/>
      <c r="I28" s="137"/>
      <c r="J28" s="137"/>
      <c r="K28" s="78">
        <v>1.1538E-2</v>
      </c>
      <c r="L28" s="16">
        <f t="shared" si="77"/>
        <v>4.9230000000000003E-2</v>
      </c>
      <c r="M28" s="16"/>
      <c r="N28" s="137"/>
      <c r="O28" s="137"/>
      <c r="P28" s="137"/>
      <c r="Q28" s="154"/>
      <c r="R28" s="137"/>
      <c r="S28" s="137"/>
      <c r="T28" s="137"/>
      <c r="U28" s="154"/>
      <c r="V28" s="137"/>
      <c r="W28" s="137"/>
      <c r="X28" s="137"/>
      <c r="Y28" s="154"/>
      <c r="Z28" s="137"/>
      <c r="AA28" s="137"/>
      <c r="AB28" s="137"/>
      <c r="AC28" s="154"/>
      <c r="AD28" s="137"/>
      <c r="AE28" s="137"/>
      <c r="AF28" s="137"/>
      <c r="AG28" s="154"/>
      <c r="AH28" s="137"/>
      <c r="AI28" s="137"/>
      <c r="AJ28" s="137"/>
      <c r="AK28" s="154"/>
      <c r="AL28" s="137"/>
      <c r="AM28" s="137"/>
      <c r="AN28" s="78">
        <v>-8.711E-3</v>
      </c>
      <c r="AO28" s="16">
        <f t="shared" si="84"/>
        <v>2.0249E-2</v>
      </c>
      <c r="AP28" s="78">
        <v>3.7692000000000003E-2</v>
      </c>
    </row>
    <row r="29" spans="2:43" ht="13.5" customHeight="1">
      <c r="B29" s="96" t="s">
        <v>184</v>
      </c>
      <c r="C29" s="78">
        <v>84.058104999999998</v>
      </c>
      <c r="D29" s="78">
        <v>52.822802000000003</v>
      </c>
      <c r="E29" s="78">
        <v>86.062111999999999</v>
      </c>
      <c r="F29" s="78">
        <v>45.370263999999999</v>
      </c>
      <c r="G29" s="78">
        <f>164649959/10^6</f>
        <v>164.649959</v>
      </c>
      <c r="H29" s="78">
        <f>185491518/10^6</f>
        <v>185.49151800000001</v>
      </c>
      <c r="I29" s="78">
        <f>243459821/10^6</f>
        <v>243.45982100000001</v>
      </c>
      <c r="J29" s="78">
        <v>270.74766099999999</v>
      </c>
      <c r="K29" s="78">
        <v>52.075063999999998</v>
      </c>
      <c r="L29" s="16">
        <f t="shared" si="77"/>
        <v>121.548948</v>
      </c>
      <c r="M29" s="16"/>
      <c r="N29" s="78">
        <v>11.954926</v>
      </c>
      <c r="O29" s="78">
        <v>32.442363</v>
      </c>
      <c r="P29" s="78">
        <v>13.944262999999999</v>
      </c>
      <c r="Q29" s="16">
        <f t="shared" si="78"/>
        <v>27.720559999999999</v>
      </c>
      <c r="R29" s="78">
        <v>13.899686000000001</v>
      </c>
      <c r="S29" s="78">
        <v>14.282624999999999</v>
      </c>
      <c r="T29" s="78">
        <v>4.2157270000000002</v>
      </c>
      <c r="U29" s="16">
        <f t="shared" si="79"/>
        <v>12.972225999999999</v>
      </c>
      <c r="V29" s="78">
        <v>-3.7169289999999999</v>
      </c>
      <c r="W29" s="78">
        <v>90.996712000000002</v>
      </c>
      <c r="X29" s="78">
        <v>26.610776999999999</v>
      </c>
      <c r="Y29" s="16">
        <f t="shared" si="80"/>
        <v>50.759398999999988</v>
      </c>
      <c r="Z29" s="78">
        <v>38.195914999999999</v>
      </c>
      <c r="AA29" s="78">
        <v>38.599305999999999</v>
      </c>
      <c r="AB29" s="78">
        <v>62.985726</v>
      </c>
      <c r="AC29" s="16">
        <f t="shared" si="81"/>
        <v>45.710571000000016</v>
      </c>
      <c r="AD29" s="78">
        <v>10.759461999999999</v>
      </c>
      <c r="AE29" s="78">
        <v>73.628123000000002</v>
      </c>
      <c r="AF29" s="78">
        <v>95.162183999999996</v>
      </c>
      <c r="AG29" s="16">
        <f t="shared" si="82"/>
        <v>63.910052000000007</v>
      </c>
      <c r="AH29" s="78">
        <v>107.326025</v>
      </c>
      <c r="AI29" s="78">
        <v>100.0795</v>
      </c>
      <c r="AJ29" s="78">
        <v>23.969004000000002</v>
      </c>
      <c r="AK29" s="16">
        <f>J29-SUM(AH29:AJ29)</f>
        <v>39.37313199999997</v>
      </c>
      <c r="AL29" s="78">
        <v>-16.038205999999999</v>
      </c>
      <c r="AM29" s="78">
        <v>7.8</v>
      </c>
      <c r="AN29" s="78">
        <v>4.7922729999999998</v>
      </c>
      <c r="AO29" s="16">
        <f t="shared" si="84"/>
        <v>55.520996999999994</v>
      </c>
      <c r="AP29" s="78">
        <v>53.435678000000003</v>
      </c>
    </row>
    <row r="30" spans="2:43" s="39" customFormat="1" ht="13.5" customHeight="1">
      <c r="B30" s="39" t="s">
        <v>185</v>
      </c>
      <c r="C30" s="68">
        <f t="shared" ref="C30:L30" si="85">C19+SUM(C22:C29)</f>
        <v>157.561418</v>
      </c>
      <c r="D30" s="68">
        <f t="shared" si="85"/>
        <v>128.0436</v>
      </c>
      <c r="E30" s="68">
        <f t="shared" si="85"/>
        <v>185.199467</v>
      </c>
      <c r="F30" s="68">
        <f t="shared" si="85"/>
        <v>127.50455599999998</v>
      </c>
      <c r="G30" s="68">
        <f t="shared" si="85"/>
        <v>256.03292400000004</v>
      </c>
      <c r="H30" s="68">
        <f t="shared" si="85"/>
        <v>291.84822400000002</v>
      </c>
      <c r="I30" s="68">
        <f t="shared" si="85"/>
        <v>381.62109499999997</v>
      </c>
      <c r="J30" s="68">
        <f t="shared" si="85"/>
        <v>426.16321899999997</v>
      </c>
      <c r="K30" s="68">
        <f t="shared" ref="K30" si="86">K19+SUM(K22:K29)</f>
        <v>233.97099900000001</v>
      </c>
      <c r="L30" s="68">
        <f t="shared" si="85"/>
        <v>303.33338300000003</v>
      </c>
      <c r="M30" s="68"/>
      <c r="N30" s="68">
        <f t="shared" ref="N30:AN30" si="87">N19+SUM(N22:N29)</f>
        <v>33.90044300000001</v>
      </c>
      <c r="O30" s="68">
        <f t="shared" si="87"/>
        <v>67.178478000000013</v>
      </c>
      <c r="P30" s="68">
        <f t="shared" si="87"/>
        <v>32.988014000000007</v>
      </c>
      <c r="Q30" s="68">
        <f t="shared" si="87"/>
        <v>51.132532000000005</v>
      </c>
      <c r="R30" s="68">
        <f t="shared" si="87"/>
        <v>25.620317000000007</v>
      </c>
      <c r="S30" s="68">
        <f t="shared" si="87"/>
        <v>35.643110999999998</v>
      </c>
      <c r="T30" s="68">
        <f t="shared" si="87"/>
        <v>32.684966000000003</v>
      </c>
      <c r="U30" s="68">
        <f t="shared" si="87"/>
        <v>33.556161999999993</v>
      </c>
      <c r="V30" s="68">
        <f t="shared" si="87"/>
        <v>21.773429000000007</v>
      </c>
      <c r="W30" s="68">
        <f t="shared" si="87"/>
        <v>110.420288</v>
      </c>
      <c r="X30" s="68">
        <f t="shared" si="87"/>
        <v>47.270193000000006</v>
      </c>
      <c r="Y30" s="68">
        <f t="shared" si="87"/>
        <v>76.569013999999996</v>
      </c>
      <c r="Z30" s="68">
        <f t="shared" si="87"/>
        <v>61.025965999999997</v>
      </c>
      <c r="AA30" s="68">
        <f t="shared" si="87"/>
        <v>67.285756000000006</v>
      </c>
      <c r="AB30" s="68">
        <f t="shared" si="87"/>
        <v>88.718861000000004</v>
      </c>
      <c r="AC30" s="68">
        <f t="shared" si="87"/>
        <v>74.817641000000037</v>
      </c>
      <c r="AD30" s="68">
        <f t="shared" si="87"/>
        <v>43.101781000000003</v>
      </c>
      <c r="AE30" s="68">
        <f t="shared" si="87"/>
        <v>107.68531800000001</v>
      </c>
      <c r="AF30" s="68">
        <f t="shared" si="87"/>
        <v>130.982427</v>
      </c>
      <c r="AG30" s="68">
        <f t="shared" si="87"/>
        <v>99.851569000000012</v>
      </c>
      <c r="AH30" s="68">
        <f t="shared" si="87"/>
        <v>150.60066799999998</v>
      </c>
      <c r="AI30" s="68">
        <f t="shared" si="87"/>
        <v>131.83009200000001</v>
      </c>
      <c r="AJ30" s="68">
        <f t="shared" si="87"/>
        <v>62.696282000000004</v>
      </c>
      <c r="AK30" s="68">
        <f t="shared" si="87"/>
        <v>81.036176999999938</v>
      </c>
      <c r="AL30" s="68">
        <f t="shared" si="87"/>
        <v>28.584842000000009</v>
      </c>
      <c r="AM30" s="68">
        <f t="shared" si="87"/>
        <v>54.58</v>
      </c>
      <c r="AN30" s="68">
        <f t="shared" si="87"/>
        <v>52.413356999999984</v>
      </c>
      <c r="AO30" s="68">
        <f t="shared" ref="AO30:AP30" si="88">AO19+SUM(AO22:AO29)</f>
        <v>98.392799999999994</v>
      </c>
      <c r="AP30" s="68">
        <f t="shared" si="88"/>
        <v>97.947226000000001</v>
      </c>
    </row>
    <row r="31" spans="2:43" ht="13.5" customHeight="1">
      <c r="B31" s="96" t="s">
        <v>186</v>
      </c>
      <c r="C31" s="78">
        <v>-31.531237000000001</v>
      </c>
      <c r="D31" s="78">
        <v>-21.892030999999999</v>
      </c>
      <c r="E31" s="78">
        <v>-37.670743999999999</v>
      </c>
      <c r="F31" s="78">
        <v>-26.150480000000002</v>
      </c>
      <c r="G31" s="78">
        <f>-50262466/10^6</f>
        <v>-50.262466000000003</v>
      </c>
      <c r="H31" s="78">
        <f>-41981391/10^6</f>
        <v>-41.981391000000002</v>
      </c>
      <c r="I31" s="78">
        <f>-91953099/10^6</f>
        <v>-91.953098999999995</v>
      </c>
      <c r="J31" s="78">
        <v>-31.892785</v>
      </c>
      <c r="K31" s="78">
        <v>-56.138103000000001</v>
      </c>
      <c r="L31" s="16">
        <f>SUM(AM31:AP31)</f>
        <v>-39.439241000000003</v>
      </c>
      <c r="M31" s="16"/>
      <c r="N31" s="78">
        <v>-11.167037000000001</v>
      </c>
      <c r="O31" s="78">
        <v>-12.273515</v>
      </c>
      <c r="P31" s="78">
        <v>-6.3975099999999996</v>
      </c>
      <c r="Q31" s="16">
        <f>E31-SUM(N31:P31)</f>
        <v>-7.8326819999999984</v>
      </c>
      <c r="R31" s="78">
        <v>-1.8517779999999999</v>
      </c>
      <c r="S31" s="78">
        <v>-3.2136100000000001</v>
      </c>
      <c r="T31" s="78">
        <v>-6.63117</v>
      </c>
      <c r="U31" s="16">
        <f>F31-SUM(R31:T31)</f>
        <v>-14.453922000000002</v>
      </c>
      <c r="V31" s="78">
        <v>-5.5218439999999998</v>
      </c>
      <c r="W31" s="78">
        <v>-13.492846</v>
      </c>
      <c r="X31" s="78">
        <v>-6.6717839999999997</v>
      </c>
      <c r="Y31" s="16">
        <f>G31-SUM(V31:X31)</f>
        <v>-24.575992000000003</v>
      </c>
      <c r="Z31" s="78">
        <v>-9.1369799999999994</v>
      </c>
      <c r="AA31" s="78">
        <v>-12.346817</v>
      </c>
      <c r="AB31" s="78">
        <v>-6.5342779999999996</v>
      </c>
      <c r="AC31" s="16">
        <f>H31-SUM(Z31:AB31)</f>
        <v>-13.963316000000003</v>
      </c>
      <c r="AD31" s="78">
        <v>-20.749621000000001</v>
      </c>
      <c r="AE31" s="78">
        <v>-21.475691000000001</v>
      </c>
      <c r="AF31" s="78">
        <v>-31.570509999999999</v>
      </c>
      <c r="AG31" s="16">
        <f>I31-SUM(AD31:AF31)</f>
        <v>-18.157276999999993</v>
      </c>
      <c r="AH31" s="78">
        <v>-25.733091000000002</v>
      </c>
      <c r="AI31" s="78">
        <v>-22.526022999999999</v>
      </c>
      <c r="AJ31" s="78">
        <v>-10.712706000000001</v>
      </c>
      <c r="AK31" s="16">
        <f t="shared" ref="AK31:AK32" si="89">J31-SUM(AH31:AJ31)</f>
        <v>27.079034999999994</v>
      </c>
      <c r="AL31" s="78">
        <v>-13.663554</v>
      </c>
      <c r="AM31" s="78">
        <v>-26.8</v>
      </c>
      <c r="AN31" s="78">
        <v>-27.446315999999999</v>
      </c>
      <c r="AO31" s="16">
        <f t="shared" ref="AO31:AO32" si="90">K31-SUM(AL31:AN31)</f>
        <v>11.771766999999997</v>
      </c>
      <c r="AP31" s="78">
        <v>3.0353080000000001</v>
      </c>
    </row>
    <row r="32" spans="2:43" ht="13.5" customHeight="1">
      <c r="B32" s="96" t="s">
        <v>187</v>
      </c>
      <c r="C32" s="78">
        <v>0</v>
      </c>
      <c r="D32" s="78">
        <v>-13.091239</v>
      </c>
      <c r="E32" s="78">
        <v>-12.918013999999999</v>
      </c>
      <c r="F32" s="78">
        <v>-34.397993999999997</v>
      </c>
      <c r="G32" s="78">
        <f>-31828085/10^6</f>
        <v>-31.828085000000002</v>
      </c>
      <c r="H32" s="78">
        <f>-6242079/10^6</f>
        <v>-6.2420790000000004</v>
      </c>
      <c r="I32" s="78">
        <f>26969516/10^6</f>
        <v>26.969515999999999</v>
      </c>
      <c r="J32" s="78">
        <v>-170.92408800000001</v>
      </c>
      <c r="K32" s="78">
        <v>64.069427000000005</v>
      </c>
      <c r="L32" s="16">
        <f>SUM(AM32:AP32)</f>
        <v>64.069427000000005</v>
      </c>
      <c r="M32" s="16"/>
      <c r="N32" s="78">
        <v>-0.79758600000000002</v>
      </c>
      <c r="O32" s="78">
        <v>-5.5712510000000002</v>
      </c>
      <c r="P32" s="78">
        <v>-14.178535</v>
      </c>
      <c r="Q32" s="16">
        <f>E32-SUM(N32:P32)</f>
        <v>7.6293579999999999</v>
      </c>
      <c r="R32" s="78">
        <v>-48.187277999999999</v>
      </c>
      <c r="S32" s="78">
        <v>-13.361459999999999</v>
      </c>
      <c r="T32" s="78">
        <v>10.588101</v>
      </c>
      <c r="U32" s="16">
        <f>F32-SUM(R32:T32)</f>
        <v>16.562643000000001</v>
      </c>
      <c r="V32" s="78">
        <v>-1.939495</v>
      </c>
      <c r="W32" s="78">
        <v>11.477473</v>
      </c>
      <c r="X32" s="78">
        <v>-35.832670999999998</v>
      </c>
      <c r="Y32" s="16">
        <f>G32-SUM(V32:X32)</f>
        <v>-5.5333920000000028</v>
      </c>
      <c r="Z32" s="78">
        <v>-2.5022250000000001</v>
      </c>
      <c r="AA32" s="78">
        <v>-1.3406629999999999</v>
      </c>
      <c r="AB32" s="78">
        <v>-20.210106</v>
      </c>
      <c r="AC32" s="16">
        <f>H32-SUM(Z32:AB32)</f>
        <v>17.810914999999998</v>
      </c>
      <c r="AD32" s="78">
        <v>32.974505000000001</v>
      </c>
      <c r="AE32" s="78">
        <v>9.4985999999999997</v>
      </c>
      <c r="AF32" s="78">
        <v>-23.193788999999999</v>
      </c>
      <c r="AG32" s="16">
        <f>I32-SUM(AD32:AF32)</f>
        <v>7.6901999999999937</v>
      </c>
      <c r="AH32" s="78">
        <v>0</v>
      </c>
      <c r="AI32" s="78">
        <v>0</v>
      </c>
      <c r="AJ32" s="78">
        <v>0</v>
      </c>
      <c r="AK32" s="16">
        <f t="shared" si="89"/>
        <v>-170.92408800000001</v>
      </c>
      <c r="AL32" s="78">
        <v>0</v>
      </c>
      <c r="AM32" s="78">
        <v>0</v>
      </c>
      <c r="AN32" s="78">
        <v>0</v>
      </c>
      <c r="AO32" s="16">
        <f t="shared" si="90"/>
        <v>64.069427000000005</v>
      </c>
      <c r="AP32" s="78">
        <v>0</v>
      </c>
    </row>
    <row r="33" spans="2:42" s="39" customFormat="1" ht="13.5" customHeight="1">
      <c r="B33" s="39" t="s">
        <v>188</v>
      </c>
      <c r="C33" s="68">
        <f t="shared" ref="C33:E33" si="91">+C30+C31+C32</f>
        <v>126.030181</v>
      </c>
      <c r="D33" s="68">
        <f t="shared" si="91"/>
        <v>93.060329999999993</v>
      </c>
      <c r="E33" s="68">
        <f t="shared" si="91"/>
        <v>134.61070900000001</v>
      </c>
      <c r="F33" s="68">
        <f t="shared" ref="F33:L33" si="92">+F30+F31+F32</f>
        <v>66.956081999999981</v>
      </c>
      <c r="G33" s="68">
        <f t="shared" si="92"/>
        <v>173.94237300000003</v>
      </c>
      <c r="H33" s="68">
        <f t="shared" si="92"/>
        <v>243.62475400000002</v>
      </c>
      <c r="I33" s="68">
        <f t="shared" si="92"/>
        <v>316.63751199999996</v>
      </c>
      <c r="J33" s="68">
        <f t="shared" si="92"/>
        <v>223.34634599999995</v>
      </c>
      <c r="K33" s="68">
        <f t="shared" ref="K33" si="93">+K30+K31+K32</f>
        <v>241.90232300000002</v>
      </c>
      <c r="L33" s="68">
        <f t="shared" si="92"/>
        <v>327.96356900000006</v>
      </c>
      <c r="M33" s="68"/>
      <c r="N33" s="68">
        <f t="shared" ref="N33:W33" si="94">+N30+N31+N32</f>
        <v>21.93582000000001</v>
      </c>
      <c r="O33" s="68">
        <f t="shared" si="94"/>
        <v>49.333712000000006</v>
      </c>
      <c r="P33" s="68">
        <f t="shared" si="94"/>
        <v>12.411969000000006</v>
      </c>
      <c r="Q33" s="68">
        <f t="shared" si="94"/>
        <v>50.929208000000003</v>
      </c>
      <c r="R33" s="68">
        <f t="shared" si="94"/>
        <v>-24.418738999999992</v>
      </c>
      <c r="S33" s="68">
        <f t="shared" si="94"/>
        <v>19.068040999999994</v>
      </c>
      <c r="T33" s="68">
        <f t="shared" si="94"/>
        <v>36.641897</v>
      </c>
      <c r="U33" s="68">
        <f t="shared" si="94"/>
        <v>35.664882999999989</v>
      </c>
      <c r="V33" s="68">
        <f t="shared" si="94"/>
        <v>14.312090000000005</v>
      </c>
      <c r="W33" s="68">
        <f t="shared" si="94"/>
        <v>108.404915</v>
      </c>
      <c r="X33" s="68">
        <f t="shared" ref="X33:AA33" si="95">+X30+X31+X32</f>
        <v>4.765738000000006</v>
      </c>
      <c r="Y33" s="68">
        <f t="shared" si="95"/>
        <v>46.45962999999999</v>
      </c>
      <c r="Z33" s="68">
        <f t="shared" si="95"/>
        <v>49.386760999999993</v>
      </c>
      <c r="AA33" s="68">
        <f t="shared" si="95"/>
        <v>53.598276000000006</v>
      </c>
      <c r="AB33" s="68">
        <f t="shared" ref="AB33:AC33" si="96">+AB30+AB31+AB32</f>
        <v>61.974477000000007</v>
      </c>
      <c r="AC33" s="68">
        <f t="shared" si="96"/>
        <v>78.665240000000026</v>
      </c>
      <c r="AD33" s="68">
        <f t="shared" ref="AD33" si="97">+AD30+AD31+AD32</f>
        <v>55.326665000000006</v>
      </c>
      <c r="AE33" s="68">
        <f>+AE30+AE31+AE32</f>
        <v>95.708227000000008</v>
      </c>
      <c r="AF33" s="68">
        <f t="shared" ref="AF33:AH33" si="98">+AF30+AF31+AF32</f>
        <v>76.218128000000007</v>
      </c>
      <c r="AG33" s="68">
        <f t="shared" si="98"/>
        <v>89.384492000000009</v>
      </c>
      <c r="AH33" s="68">
        <f t="shared" si="98"/>
        <v>124.86757699999998</v>
      </c>
      <c r="AI33" s="68">
        <f>+AI30+AI31+AI32</f>
        <v>109.30406900000001</v>
      </c>
      <c r="AJ33" s="153">
        <f>+AJ30+AJ31+AJ32</f>
        <v>51.983575999999999</v>
      </c>
      <c r="AK33" s="68">
        <f t="shared" ref="AK33:AL33" si="99">+AK30+AK31+AK32</f>
        <v>-62.808876000000083</v>
      </c>
      <c r="AL33" s="68">
        <f t="shared" si="99"/>
        <v>14.921288000000009</v>
      </c>
      <c r="AM33" s="68">
        <f>+AM30+AM31+AM32</f>
        <v>27.779999999999998</v>
      </c>
      <c r="AN33" s="155">
        <f>+AN30+AN31+AN32</f>
        <v>24.967040999999984</v>
      </c>
      <c r="AO33" s="68">
        <f t="shared" ref="AO33:AP33" si="100">+AO30+AO31+AO32</f>
        <v>174.233994</v>
      </c>
      <c r="AP33" s="68">
        <f t="shared" si="100"/>
        <v>100.982534</v>
      </c>
    </row>
    <row r="34" spans="2:42" s="51" customFormat="1" ht="13.5" customHeight="1">
      <c r="B34" s="56" t="s">
        <v>175</v>
      </c>
      <c r="C34" s="95">
        <f t="shared" ref="C34:L34" si="101">+C33/C7</f>
        <v>1.1517254079288928</v>
      </c>
      <c r="D34" s="95">
        <f t="shared" si="101"/>
        <v>0.70144603046194587</v>
      </c>
      <c r="E34" s="95">
        <f t="shared" si="101"/>
        <v>0.93290226743886351</v>
      </c>
      <c r="F34" s="95">
        <f t="shared" si="101"/>
        <v>0.44775928603680254</v>
      </c>
      <c r="G34" s="95">
        <f t="shared" si="101"/>
        <v>1.0824151904202399</v>
      </c>
      <c r="H34" s="95">
        <f t="shared" si="101"/>
        <v>1.3684826464232553</v>
      </c>
      <c r="I34" s="95">
        <f t="shared" si="101"/>
        <v>1.4834389308031766</v>
      </c>
      <c r="J34" s="95">
        <f t="shared" si="101"/>
        <v>0.8864691376049002</v>
      </c>
      <c r="K34" s="95">
        <f t="shared" ref="K34" si="102">+K33/K7</f>
        <v>0.85419486692078983</v>
      </c>
      <c r="L34" s="95">
        <f t="shared" si="101"/>
        <v>1.1196983078871499</v>
      </c>
      <c r="M34" s="68"/>
      <c r="N34" s="95">
        <f t="shared" ref="N34:AN34" si="103">+N33/N7</f>
        <v>0.60445266700807965</v>
      </c>
      <c r="O34" s="95">
        <f t="shared" si="103"/>
        <v>1.3731251940162299</v>
      </c>
      <c r="P34" s="95">
        <f t="shared" si="103"/>
        <v>0.34645559990966246</v>
      </c>
      <c r="Q34" s="95">
        <f t="shared" si="103"/>
        <v>1.4050057992909311</v>
      </c>
      <c r="R34" s="95">
        <f t="shared" si="103"/>
        <v>-0.64779553901560694</v>
      </c>
      <c r="S34" s="95">
        <f t="shared" si="103"/>
        <v>0.52185726927851062</v>
      </c>
      <c r="T34" s="95">
        <f t="shared" si="103"/>
        <v>0.97821648171527997</v>
      </c>
      <c r="U34" s="95">
        <f t="shared" si="103"/>
        <v>0.94241623685052178</v>
      </c>
      <c r="V34" s="95">
        <f t="shared" si="103"/>
        <v>0.37317321751199756</v>
      </c>
      <c r="W34" s="95">
        <f t="shared" si="103"/>
        <v>2.7266979949390855</v>
      </c>
      <c r="X34" s="95">
        <f t="shared" si="103"/>
        <v>0.11623147382831102</v>
      </c>
      <c r="Y34" s="95">
        <f t="shared" si="103"/>
        <v>1.1171670361250352</v>
      </c>
      <c r="Z34" s="95">
        <f t="shared" si="103"/>
        <v>1.1762100616973235</v>
      </c>
      <c r="AA34" s="95">
        <f t="shared" si="103"/>
        <v>1.2964962706149539</v>
      </c>
      <c r="AB34" s="95">
        <f t="shared" si="103"/>
        <v>1.3618356869356041</v>
      </c>
      <c r="AC34" s="95">
        <f t="shared" si="103"/>
        <v>1.5992605102138795</v>
      </c>
      <c r="AD34" s="95">
        <f t="shared" si="103"/>
        <v>1.115212126112072</v>
      </c>
      <c r="AE34" s="95">
        <f t="shared" si="103"/>
        <v>1.9655139052570658</v>
      </c>
      <c r="AF34" s="95">
        <f t="shared" si="103"/>
        <v>1.4767214297324027</v>
      </c>
      <c r="AG34" s="95">
        <f t="shared" si="103"/>
        <v>1.4069519324815378</v>
      </c>
      <c r="AH34" s="95">
        <f t="shared" si="103"/>
        <v>2.075025949129254</v>
      </c>
      <c r="AI34" s="95">
        <f t="shared" si="103"/>
        <v>1.8954018672880348</v>
      </c>
      <c r="AJ34" s="95">
        <f t="shared" si="103"/>
        <v>0.89047856795681024</v>
      </c>
      <c r="AK34" s="95">
        <f t="shared" si="103"/>
        <v>-0.82939032672185797</v>
      </c>
      <c r="AL34" s="95">
        <f t="shared" si="103"/>
        <v>0.22257619854469821</v>
      </c>
      <c r="AM34" s="95">
        <f t="shared" si="103"/>
        <v>0.44662379421221859</v>
      </c>
      <c r="AN34" s="95">
        <f t="shared" si="103"/>
        <v>0.34474899347115473</v>
      </c>
      <c r="AO34" s="95">
        <f t="shared" ref="AO34:AP34" si="104">+AO33/AO7</f>
        <v>2.1369637376372035</v>
      </c>
      <c r="AP34" s="95">
        <f t="shared" si="104"/>
        <v>1.3157478452466069</v>
      </c>
    </row>
    <row r="35" spans="2:42" s="39" customFormat="1" ht="13.5" customHeight="1">
      <c r="B35" s="81"/>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row>
    <row r="36" spans="2:42" s="39" customFormat="1" ht="13.5" customHeight="1">
      <c r="B36" s="193" t="s">
        <v>189</v>
      </c>
      <c r="C36" s="166"/>
      <c r="D36" s="166"/>
      <c r="E36" s="166"/>
      <c r="F36" s="166"/>
      <c r="G36" s="166"/>
      <c r="H36" s="166"/>
      <c r="I36" s="166"/>
      <c r="J36" s="166"/>
      <c r="K36" s="166"/>
      <c r="L36" s="167"/>
      <c r="M36" s="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row>
    <row r="37" spans="2:42" s="51" customFormat="1" ht="13.5" customHeight="1">
      <c r="B37" s="195" t="str">
        <f>B11</f>
        <v>COR - Related to Properties that generated rental income</v>
      </c>
      <c r="C37" s="93">
        <f>-C11/C9</f>
        <v>3.7526318162594954E-2</v>
      </c>
      <c r="D37" s="93">
        <f t="shared" ref="D37:AP37" si="105">-D11/D9</f>
        <v>3.6546655801954916E-2</v>
      </c>
      <c r="E37" s="93">
        <f t="shared" si="105"/>
        <v>5.0334125470883437E-2</v>
      </c>
      <c r="F37" s="93">
        <f t="shared" si="105"/>
        <v>5.9560896641562965E-2</v>
      </c>
      <c r="G37" s="93">
        <f t="shared" si="105"/>
        <v>5.3138594009325087E-2</v>
      </c>
      <c r="H37" s="93">
        <f t="shared" si="105"/>
        <v>5.0221967968952487E-2</v>
      </c>
      <c r="I37" s="93">
        <f t="shared" si="105"/>
        <v>6.2836173137415269E-2</v>
      </c>
      <c r="J37" s="93">
        <f t="shared" si="105"/>
        <v>8.4192931111067806E-2</v>
      </c>
      <c r="K37" s="93">
        <f t="shared" si="105"/>
        <v>8.5107216614680223E-2</v>
      </c>
      <c r="L37" s="93">
        <f t="shared" si="105"/>
        <v>8.8181544778231993E-2</v>
      </c>
      <c r="M37" s="68"/>
      <c r="N37" s="93">
        <f t="shared" si="105"/>
        <v>3.6869517917762516E-2</v>
      </c>
      <c r="O37" s="93">
        <f t="shared" si="105"/>
        <v>4.6996900168876296E-2</v>
      </c>
      <c r="P37" s="93">
        <f t="shared" si="105"/>
        <v>4.7680638373112788E-2</v>
      </c>
      <c r="Q37" s="93">
        <f t="shared" si="105"/>
        <v>6.9712437428038843E-2</v>
      </c>
      <c r="R37" s="93">
        <f t="shared" si="105"/>
        <v>6.033824059735686E-2</v>
      </c>
      <c r="S37" s="93">
        <f t="shared" si="105"/>
        <v>7.0656181771649298E-2</v>
      </c>
      <c r="T37" s="93">
        <f t="shared" si="105"/>
        <v>5.3483666215917762E-2</v>
      </c>
      <c r="U37" s="93">
        <f t="shared" si="105"/>
        <v>5.4083796942207017E-2</v>
      </c>
      <c r="V37" s="93">
        <f t="shared" si="105"/>
        <v>3.0574813516070866E-2</v>
      </c>
      <c r="W37" s="93">
        <f t="shared" si="105"/>
        <v>5.6600360891176558E-2</v>
      </c>
      <c r="X37" s="93">
        <f t="shared" si="105"/>
        <v>6.032063394277714E-2</v>
      </c>
      <c r="Y37" s="93">
        <f t="shared" si="105"/>
        <v>6.357483545641239E-2</v>
      </c>
      <c r="Z37" s="93">
        <f t="shared" si="105"/>
        <v>3.8200135300417062E-2</v>
      </c>
      <c r="AA37" s="93">
        <f t="shared" si="105"/>
        <v>5.6720709283767753E-2</v>
      </c>
      <c r="AB37" s="93">
        <f t="shared" si="105"/>
        <v>5.1475603993781927E-2</v>
      </c>
      <c r="AC37" s="93">
        <f t="shared" si="105"/>
        <v>5.3756385621221363E-2</v>
      </c>
      <c r="AD37" s="93">
        <f t="shared" si="105"/>
        <v>4.4826510331996909E-2</v>
      </c>
      <c r="AE37" s="93">
        <f t="shared" si="105"/>
        <v>6.5301571329658456E-2</v>
      </c>
      <c r="AF37" s="93">
        <f t="shared" si="105"/>
        <v>7.0513109946972324E-2</v>
      </c>
      <c r="AG37" s="93">
        <f t="shared" si="105"/>
        <v>6.8878322581515231E-2</v>
      </c>
      <c r="AH37" s="93">
        <f t="shared" si="105"/>
        <v>6.2489626942262226E-2</v>
      </c>
      <c r="AI37" s="93">
        <f t="shared" si="105"/>
        <v>7.9573507629556686E-2</v>
      </c>
      <c r="AJ37" s="93">
        <f t="shared" si="105"/>
        <v>8.4984046446956577E-2</v>
      </c>
      <c r="AK37" s="93">
        <f t="shared" si="105"/>
        <v>0.10811488144724424</v>
      </c>
      <c r="AL37" s="93">
        <f t="shared" si="105"/>
        <v>6.6292879520529577E-2</v>
      </c>
      <c r="AM37" s="93">
        <f t="shared" si="105"/>
        <v>8.3209509658246653E-2</v>
      </c>
      <c r="AN37" s="93">
        <f t="shared" si="105"/>
        <v>9.9780078658840463E-2</v>
      </c>
      <c r="AO37" s="93">
        <f t="shared" si="105"/>
        <v>8.9382205575348012E-2</v>
      </c>
      <c r="AP37" s="93">
        <f t="shared" si="105"/>
        <v>8.040024779947412E-2</v>
      </c>
    </row>
    <row r="38" spans="2:42" s="51" customFormat="1" ht="13.5" customHeight="1">
      <c r="B38" s="195" t="str">
        <f>B12</f>
        <v>COR - Related to Properties that did not generate rental income</v>
      </c>
      <c r="C38" s="93">
        <f t="shared" ref="C38:L38" si="106">-C12/C9</f>
        <v>8.1029884302527035E-3</v>
      </c>
      <c r="D38" s="93">
        <f t="shared" si="106"/>
        <v>6.2417018271586728E-3</v>
      </c>
      <c r="E38" s="93">
        <f t="shared" si="106"/>
        <v>6.0549823132781296E-3</v>
      </c>
      <c r="F38" s="93">
        <f t="shared" si="106"/>
        <v>8.2021572098471794E-3</v>
      </c>
      <c r="G38" s="93">
        <f t="shared" si="106"/>
        <v>1.3575753734032586E-2</v>
      </c>
      <c r="H38" s="93">
        <f t="shared" si="106"/>
        <v>1.3945224385628749E-2</v>
      </c>
      <c r="I38" s="93">
        <f t="shared" si="106"/>
        <v>2.2210337288597216E-2</v>
      </c>
      <c r="J38" s="93">
        <f t="shared" si="106"/>
        <v>1.3269572345060869E-2</v>
      </c>
      <c r="K38" s="93">
        <f t="shared" ref="K38" si="107">-K12/K9</f>
        <v>1.4727957780901586E-2</v>
      </c>
      <c r="L38" s="93">
        <f t="shared" si="106"/>
        <v>1.5944901740107108E-2</v>
      </c>
      <c r="M38" s="68"/>
      <c r="N38" s="93">
        <f t="shared" ref="N38:AN38" si="108">-N12/N9</f>
        <v>6.1210152496315486E-3</v>
      </c>
      <c r="O38" s="93">
        <f t="shared" si="108"/>
        <v>2.5835636048595146E-3</v>
      </c>
      <c r="P38" s="93">
        <f t="shared" si="108"/>
        <v>2.9332123099007862E-3</v>
      </c>
      <c r="Q38" s="93">
        <f t="shared" si="108"/>
        <v>1.2504959668158917E-2</v>
      </c>
      <c r="R38" s="93">
        <f t="shared" si="108"/>
        <v>6.4212150781697459E-3</v>
      </c>
      <c r="S38" s="93">
        <f t="shared" si="108"/>
        <v>7.7879294378679657E-3</v>
      </c>
      <c r="T38" s="93">
        <f t="shared" si="108"/>
        <v>7.6656930458434283E-3</v>
      </c>
      <c r="U38" s="93">
        <f t="shared" si="108"/>
        <v>1.0897250608485003E-2</v>
      </c>
      <c r="V38" s="93">
        <f t="shared" si="108"/>
        <v>7.0855206770282205E-3</v>
      </c>
      <c r="W38" s="93">
        <f t="shared" si="108"/>
        <v>9.0007194203025297E-3</v>
      </c>
      <c r="X38" s="93">
        <f t="shared" si="108"/>
        <v>8.6236326139186026E-3</v>
      </c>
      <c r="Y38" s="93">
        <f t="shared" si="108"/>
        <v>2.8829005599225049E-2</v>
      </c>
      <c r="Z38" s="93">
        <f t="shared" si="108"/>
        <v>1.226156159449672E-2</v>
      </c>
      <c r="AA38" s="93">
        <f t="shared" si="108"/>
        <v>3.9393258340409965E-3</v>
      </c>
      <c r="AB38" s="93">
        <f t="shared" si="108"/>
        <v>1.299873519061235E-2</v>
      </c>
      <c r="AC38" s="93">
        <f t="shared" si="108"/>
        <v>2.5435173707386783E-2</v>
      </c>
      <c r="AD38" s="93">
        <f t="shared" si="108"/>
        <v>1.3338184099096114E-2</v>
      </c>
      <c r="AE38" s="93">
        <f t="shared" si="108"/>
        <v>1.883460179208123E-2</v>
      </c>
      <c r="AF38" s="93">
        <f t="shared" si="108"/>
        <v>2.5162394845480204E-2</v>
      </c>
      <c r="AG38" s="93">
        <f t="shared" si="108"/>
        <v>3.0183296701011976E-2</v>
      </c>
      <c r="AH38" s="93">
        <f t="shared" si="108"/>
        <v>1.1834198233441034E-2</v>
      </c>
      <c r="AI38" s="93">
        <f t="shared" si="108"/>
        <v>1.8696873548903942E-2</v>
      </c>
      <c r="AJ38" s="93">
        <f t="shared" si="108"/>
        <v>1.6753095189635213E-2</v>
      </c>
      <c r="AK38" s="93">
        <f t="shared" si="108"/>
        <v>5.936333456441208E-3</v>
      </c>
      <c r="AL38" s="93">
        <f t="shared" si="108"/>
        <v>1.1313101948599344E-2</v>
      </c>
      <c r="AM38" s="93">
        <f t="shared" si="108"/>
        <v>1.3670133729569095E-2</v>
      </c>
      <c r="AN38" s="93">
        <f t="shared" si="108"/>
        <v>1.3929239848713162E-2</v>
      </c>
      <c r="AO38" s="93">
        <f t="shared" ref="AO38:AP38" si="109">-AO12/AO9</f>
        <v>1.941247308851159E-2</v>
      </c>
      <c r="AP38" s="93">
        <f t="shared" si="109"/>
        <v>1.6388467291769755E-2</v>
      </c>
    </row>
    <row r="39" spans="2:42" s="51" customFormat="1" ht="13.5" customHeight="1">
      <c r="B39" s="195" t="str">
        <f>B16</f>
        <v>Administration Expenses</v>
      </c>
      <c r="C39" s="93">
        <f t="shared" ref="C39:L39" si="110">-C16/C9</f>
        <v>0.12713409074713194</v>
      </c>
      <c r="D39" s="93">
        <f t="shared" si="110"/>
        <v>0.12131192464726533</v>
      </c>
      <c r="E39" s="93">
        <f t="shared" si="110"/>
        <v>0.12212331487727719</v>
      </c>
      <c r="F39" s="93">
        <f t="shared" si="110"/>
        <v>0.11467379008793767</v>
      </c>
      <c r="G39" s="93">
        <f t="shared" si="110"/>
        <v>0.12314291614217668</v>
      </c>
      <c r="H39" s="93">
        <f t="shared" si="110"/>
        <v>0.12891699800176334</v>
      </c>
      <c r="I39" s="93">
        <f t="shared" si="110"/>
        <v>0.14054253562537919</v>
      </c>
      <c r="J39" s="93">
        <f t="shared" si="110"/>
        <v>0.12984025157628518</v>
      </c>
      <c r="K39" s="93">
        <f t="shared" ref="K39" si="111">-K16/K9</f>
        <v>0.11922592289029259</v>
      </c>
      <c r="L39" s="93">
        <f t="shared" si="110"/>
        <v>0.1187517975426081</v>
      </c>
      <c r="M39" s="68"/>
      <c r="N39" s="93">
        <f t="shared" ref="N39:AN39" si="112">-N16/N9</f>
        <v>0.1188596648947097</v>
      </c>
      <c r="O39" s="93">
        <f t="shared" si="112"/>
        <v>0.12792618838082545</v>
      </c>
      <c r="P39" s="93">
        <f t="shared" si="112"/>
        <v>0.12455724010971048</v>
      </c>
      <c r="Q39" s="93">
        <f t="shared" si="112"/>
        <v>0.11724026231277632</v>
      </c>
      <c r="R39" s="93">
        <f t="shared" si="112"/>
        <v>0.12388075136293249</v>
      </c>
      <c r="S39" s="93">
        <f t="shared" si="112"/>
        <v>0.10811556194377096</v>
      </c>
      <c r="T39" s="93">
        <f t="shared" si="112"/>
        <v>0.10685211703227011</v>
      </c>
      <c r="U39" s="93">
        <f t="shared" si="112"/>
        <v>0.11957412942003286</v>
      </c>
      <c r="V39" s="93">
        <f t="shared" si="112"/>
        <v>0.12848918722300698</v>
      </c>
      <c r="W39" s="93">
        <f t="shared" si="112"/>
        <v>0.12383658328879361</v>
      </c>
      <c r="X39" s="93">
        <f t="shared" si="112"/>
        <v>0.12544440779180852</v>
      </c>
      <c r="Y39" s="93">
        <f t="shared" si="112"/>
        <v>0.11527382171425905</v>
      </c>
      <c r="Z39" s="93">
        <f t="shared" si="112"/>
        <v>0.14559384701050027</v>
      </c>
      <c r="AA39" s="93">
        <f t="shared" si="112"/>
        <v>0.13315997490511106</v>
      </c>
      <c r="AB39" s="93">
        <f t="shared" si="112"/>
        <v>0.12151682725622809</v>
      </c>
      <c r="AC39" s="93">
        <f t="shared" si="112"/>
        <v>0.11739904015738181</v>
      </c>
      <c r="AD39" s="93">
        <f t="shared" si="112"/>
        <v>0.15693436730096877</v>
      </c>
      <c r="AE39" s="93">
        <f t="shared" si="112"/>
        <v>0.12398435095062763</v>
      </c>
      <c r="AF39" s="93">
        <f t="shared" si="112"/>
        <v>0.12674973949717003</v>
      </c>
      <c r="AG39" s="93">
        <f t="shared" si="112"/>
        <v>0.15474593192990754</v>
      </c>
      <c r="AH39" s="93">
        <f t="shared" si="112"/>
        <v>0.13581783662874733</v>
      </c>
      <c r="AI39" s="93">
        <f t="shared" si="112"/>
        <v>0.14357730851038691</v>
      </c>
      <c r="AJ39" s="93">
        <f t="shared" si="112"/>
        <v>0.11000106594105426</v>
      </c>
      <c r="AK39" s="93">
        <f t="shared" si="112"/>
        <v>0.1303898712146522</v>
      </c>
      <c r="AL39" s="93">
        <f t="shared" si="112"/>
        <v>0.12358331244024892</v>
      </c>
      <c r="AM39" s="93">
        <f t="shared" si="112"/>
        <v>0.12332838038632989</v>
      </c>
      <c r="AN39" s="93">
        <f t="shared" si="112"/>
        <v>0.11496158777011795</v>
      </c>
      <c r="AO39" s="93">
        <f t="shared" ref="AO39:AP39" si="113">-AO16/AO9</f>
        <v>0.11583131125795923</v>
      </c>
      <c r="AP39" s="93">
        <f t="shared" si="113"/>
        <v>0.12122394209061899</v>
      </c>
    </row>
    <row r="40" spans="2:42" s="51" customFormat="1" ht="13.5" customHeight="1">
      <c r="B40" s="195" t="str">
        <f>B17</f>
        <v>Depreciation</v>
      </c>
      <c r="C40" s="93">
        <f t="shared" ref="C40:L40" si="114">-C17/C9</f>
        <v>3.2599457235902105E-3</v>
      </c>
      <c r="D40" s="93">
        <f t="shared" si="114"/>
        <v>4.3203449998735956E-3</v>
      </c>
      <c r="E40" s="93">
        <f t="shared" si="114"/>
        <v>1.0354152197707037E-2</v>
      </c>
      <c r="F40" s="93">
        <f t="shared" si="114"/>
        <v>9.8589284106425507E-3</v>
      </c>
      <c r="G40" s="93">
        <f t="shared" si="114"/>
        <v>9.9586558207879795E-3</v>
      </c>
      <c r="H40" s="93">
        <f t="shared" si="114"/>
        <v>8.2230934371797532E-3</v>
      </c>
      <c r="I40" s="93">
        <f t="shared" si="114"/>
        <v>7.3580947038287539E-3</v>
      </c>
      <c r="J40" s="93">
        <f t="shared" si="114"/>
        <v>5.6118660125644357E-3</v>
      </c>
      <c r="K40" s="93">
        <f t="shared" ref="K40" si="115">-K17/K9</f>
        <v>6.0892865221371653E-3</v>
      </c>
      <c r="L40" s="93">
        <f t="shared" si="114"/>
        <v>5.3234044143541104E-3</v>
      </c>
      <c r="M40" s="68"/>
      <c r="N40" s="93">
        <f t="shared" ref="N40:AN40" si="116">-N17/N9</f>
        <v>9.2927093498732516E-3</v>
      </c>
      <c r="O40" s="93">
        <f t="shared" si="116"/>
        <v>9.3836365734884571E-3</v>
      </c>
      <c r="P40" s="93">
        <f t="shared" si="116"/>
        <v>1.125026095189165E-2</v>
      </c>
      <c r="Q40" s="93">
        <f t="shared" si="116"/>
        <v>1.1491448192257239E-2</v>
      </c>
      <c r="R40" s="93">
        <f t="shared" si="116"/>
        <v>1.3055037016609745E-2</v>
      </c>
      <c r="S40" s="93">
        <f t="shared" si="116"/>
        <v>8.1786437520361063E-3</v>
      </c>
      <c r="T40" s="93">
        <f t="shared" si="116"/>
        <v>8.6395273297571722E-3</v>
      </c>
      <c r="U40" s="93">
        <f t="shared" si="116"/>
        <v>9.5103698934321315E-3</v>
      </c>
      <c r="V40" s="93">
        <f t="shared" si="116"/>
        <v>1.0113588418502356E-2</v>
      </c>
      <c r="W40" s="93">
        <f t="shared" si="116"/>
        <v>9.9542591415755343E-3</v>
      </c>
      <c r="X40" s="93">
        <f t="shared" si="116"/>
        <v>9.527615366068146E-3</v>
      </c>
      <c r="Y40" s="93">
        <f t="shared" si="116"/>
        <v>1.0244882986884963E-2</v>
      </c>
      <c r="Z40" s="93">
        <f t="shared" si="116"/>
        <v>8.3148191348275443E-3</v>
      </c>
      <c r="AA40" s="93">
        <f t="shared" si="116"/>
        <v>7.6675243708283561E-3</v>
      </c>
      <c r="AB40" s="93">
        <f t="shared" si="116"/>
        <v>8.9127321954934422E-3</v>
      </c>
      <c r="AC40" s="93">
        <f t="shared" si="116"/>
        <v>7.9850268650055491E-3</v>
      </c>
      <c r="AD40" s="93">
        <f t="shared" si="116"/>
        <v>7.3865844647698414E-3</v>
      </c>
      <c r="AE40" s="93">
        <f t="shared" si="116"/>
        <v>7.2435457743668715E-3</v>
      </c>
      <c r="AF40" s="93">
        <f t="shared" si="116"/>
        <v>4.7786087536317448E-3</v>
      </c>
      <c r="AG40" s="93">
        <f t="shared" si="116"/>
        <v>9.9585607108028332E-3</v>
      </c>
      <c r="AH40" s="93">
        <f t="shared" si="116"/>
        <v>5.4075071824141079E-3</v>
      </c>
      <c r="AI40" s="93">
        <f t="shared" si="116"/>
        <v>2.31848462046266E-3</v>
      </c>
      <c r="AJ40" s="93">
        <f t="shared" si="116"/>
        <v>6.6825978457816454E-3</v>
      </c>
      <c r="AK40" s="93">
        <f t="shared" si="116"/>
        <v>7.9448400472638299E-3</v>
      </c>
      <c r="AL40" s="93">
        <f t="shared" si="116"/>
        <v>9.4932638479099957E-3</v>
      </c>
      <c r="AM40" s="93">
        <f t="shared" si="116"/>
        <v>1.485884101040119E-3</v>
      </c>
      <c r="AN40" s="93">
        <f t="shared" si="116"/>
        <v>0</v>
      </c>
      <c r="AO40" s="93">
        <f t="shared" ref="AO40:AP40" si="117">-AO17/AO9</f>
        <v>1.2926070900777912E-2</v>
      </c>
      <c r="AP40" s="93">
        <f t="shared" si="117"/>
        <v>6.140732183184716E-3</v>
      </c>
    </row>
    <row r="41" spans="2:42" s="51" customFormat="1" ht="13.5" customHeight="1">
      <c r="B41" s="195" t="str">
        <f t="shared" ref="B41:B46" si="118">B22</f>
        <v>Interest income</v>
      </c>
      <c r="C41" s="93">
        <f>C22/C9</f>
        <v>5.041795701368146E-4</v>
      </c>
      <c r="D41" s="93">
        <f t="shared" ref="D41:AP41" si="119">D22/D9</f>
        <v>3.2745112195012825E-3</v>
      </c>
      <c r="E41" s="93">
        <f t="shared" si="119"/>
        <v>4.8761099628532738E-4</v>
      </c>
      <c r="F41" s="93">
        <f t="shared" si="119"/>
        <v>2.0817343884585006E-3</v>
      </c>
      <c r="G41" s="93">
        <f t="shared" si="119"/>
        <v>4.7809404327697996E-4</v>
      </c>
      <c r="H41" s="93">
        <f t="shared" si="119"/>
        <v>1.4833198494006427E-2</v>
      </c>
      <c r="I41" s="93">
        <f t="shared" si="119"/>
        <v>4.389486557998324E-2</v>
      </c>
      <c r="J41" s="93">
        <f t="shared" si="119"/>
        <v>6.0182056053411495E-2</v>
      </c>
      <c r="K41" s="93">
        <f t="shared" si="119"/>
        <v>1.861651899722188E-2</v>
      </c>
      <c r="L41" s="93">
        <f t="shared" si="119"/>
        <v>2.1632523455482548E-2</v>
      </c>
      <c r="M41" s="68"/>
      <c r="N41" s="93">
        <f t="shared" si="119"/>
        <v>3.9423665524628633E-4</v>
      </c>
      <c r="O41" s="93">
        <f t="shared" si="119"/>
        <v>4.6003292492345025E-4</v>
      </c>
      <c r="P41" s="93">
        <f t="shared" si="119"/>
        <v>6.1612419889269584E-4</v>
      </c>
      <c r="Q41" s="93">
        <f t="shared" si="119"/>
        <v>4.8143240972357392E-4</v>
      </c>
      <c r="R41" s="93">
        <f t="shared" si="119"/>
        <v>2.6428692645467851E-4</v>
      </c>
      <c r="S41" s="93">
        <f t="shared" si="119"/>
        <v>5.5918257763400651E-3</v>
      </c>
      <c r="T41" s="93">
        <f t="shared" si="119"/>
        <v>2.1811945467521436E-3</v>
      </c>
      <c r="U41" s="93">
        <f t="shared" si="119"/>
        <v>4.0250871229726359E-4</v>
      </c>
      <c r="V41" s="93">
        <f t="shared" si="119"/>
        <v>4.3163229179426436E-4</v>
      </c>
      <c r="W41" s="93">
        <f t="shared" si="119"/>
        <v>3.0694093591982901E-4</v>
      </c>
      <c r="X41" s="93">
        <f t="shared" si="119"/>
        <v>5.8930058187305848E-4</v>
      </c>
      <c r="Y41" s="93">
        <f t="shared" si="119"/>
        <v>5.7510753659706902E-4</v>
      </c>
      <c r="Z41" s="93">
        <f t="shared" si="119"/>
        <v>8.9963702763488993E-4</v>
      </c>
      <c r="AA41" s="93">
        <f t="shared" si="119"/>
        <v>3.0808018205906633E-3</v>
      </c>
      <c r="AB41" s="93">
        <f t="shared" si="119"/>
        <v>3.0215296227965677E-2</v>
      </c>
      <c r="AC41" s="93">
        <f t="shared" si="119"/>
        <v>2.3087715334689327E-2</v>
      </c>
      <c r="AD41" s="93">
        <f t="shared" si="119"/>
        <v>1.1350679746993638E-2</v>
      </c>
      <c r="AE41" s="93">
        <f t="shared" si="119"/>
        <v>1.0357359325567585E-2</v>
      </c>
      <c r="AF41" s="93">
        <f t="shared" si="119"/>
        <v>7.9473922182174209E-2</v>
      </c>
      <c r="AG41" s="93">
        <f t="shared" si="119"/>
        <v>6.8240072397417084E-2</v>
      </c>
      <c r="AH41" s="93">
        <f t="shared" si="119"/>
        <v>8.3650648222858365E-2</v>
      </c>
      <c r="AI41" s="93">
        <f t="shared" si="119"/>
        <v>6.4460820015695655E-2</v>
      </c>
      <c r="AJ41" s="93">
        <f t="shared" si="119"/>
        <v>6.2962919523522926E-2</v>
      </c>
      <c r="AK41" s="93">
        <f t="shared" si="119"/>
        <v>3.1447248800513257E-2</v>
      </c>
      <c r="AL41" s="93">
        <f t="shared" si="119"/>
        <v>1.5290621337714682E-2</v>
      </c>
      <c r="AM41" s="93">
        <f t="shared" si="119"/>
        <v>5.9435364041604761E-3</v>
      </c>
      <c r="AN41" s="93">
        <f t="shared" si="119"/>
        <v>8.9985720107084981E-3</v>
      </c>
      <c r="AO41" s="93">
        <f t="shared" si="119"/>
        <v>4.180721434278075E-2</v>
      </c>
      <c r="AP41" s="93">
        <f t="shared" si="119"/>
        <v>2.7220808192882487E-2</v>
      </c>
    </row>
    <row r="42" spans="2:42" s="51" customFormat="1" ht="13.5" customHeight="1">
      <c r="B42" s="195" t="str">
        <f t="shared" si="118"/>
        <v>Other income - net</v>
      </c>
      <c r="C42" s="93">
        <f>C23/C9</f>
        <v>4.1049452366001375E-3</v>
      </c>
      <c r="D42" s="93">
        <f t="shared" ref="D42:AP42" si="120">D23/D9</f>
        <v>3.5896784112757511E-3</v>
      </c>
      <c r="E42" s="93">
        <f t="shared" si="120"/>
        <v>7.2864158513015458E-3</v>
      </c>
      <c r="F42" s="93">
        <f t="shared" si="120"/>
        <v>5.2397200972487241E-5</v>
      </c>
      <c r="G42" s="93">
        <f t="shared" si="120"/>
        <v>1.7286914353766255E-4</v>
      </c>
      <c r="H42" s="93">
        <f t="shared" si="120"/>
        <v>5.3748603970754493E-3</v>
      </c>
      <c r="I42" s="93">
        <f t="shared" si="120"/>
        <v>9.7965607972545533E-3</v>
      </c>
      <c r="J42" s="93">
        <f t="shared" si="120"/>
        <v>-3.3465645441000192E-3</v>
      </c>
      <c r="K42" s="93">
        <f t="shared" si="120"/>
        <v>1.1632625104057357E-2</v>
      </c>
      <c r="L42" s="93">
        <f t="shared" si="120"/>
        <v>1.46669712741378E-2</v>
      </c>
      <c r="M42" s="68"/>
      <c r="N42" s="93">
        <f t="shared" si="120"/>
        <v>-5.7160595017109904E-3</v>
      </c>
      <c r="O42" s="93">
        <f t="shared" si="120"/>
        <v>0</v>
      </c>
      <c r="P42" s="93">
        <f t="shared" si="120"/>
        <v>1.2442537898002402E-2</v>
      </c>
      <c r="Q42" s="93">
        <f t="shared" si="120"/>
        <v>2.2406284613884504E-2</v>
      </c>
      <c r="R42" s="93">
        <f t="shared" si="120"/>
        <v>2.1190948431301839E-3</v>
      </c>
      <c r="S42" s="93">
        <f t="shared" si="120"/>
        <v>2.6915905292159903E-3</v>
      </c>
      <c r="T42" s="93">
        <f t="shared" si="120"/>
        <v>-5.3995945154374624E-3</v>
      </c>
      <c r="U42" s="93">
        <f t="shared" si="120"/>
        <v>8.325861541211932E-4</v>
      </c>
      <c r="V42" s="93">
        <f t="shared" si="120"/>
        <v>2.438649520178927E-3</v>
      </c>
      <c r="W42" s="93">
        <f t="shared" si="120"/>
        <v>-3.5486040909208554E-4</v>
      </c>
      <c r="X42" s="93">
        <f t="shared" si="120"/>
        <v>2.8364555917009932E-3</v>
      </c>
      <c r="Y42" s="93">
        <f t="shared" si="120"/>
        <v>-4.0405410295836401E-3</v>
      </c>
      <c r="Z42" s="93">
        <f t="shared" si="120"/>
        <v>6.1195990430133144E-4</v>
      </c>
      <c r="AA42" s="93">
        <f t="shared" si="120"/>
        <v>8.2350783537741695E-3</v>
      </c>
      <c r="AB42" s="93">
        <f t="shared" si="120"/>
        <v>5.6597248095243292E-3</v>
      </c>
      <c r="AC42" s="93">
        <f t="shared" si="120"/>
        <v>6.7189657917896238E-3</v>
      </c>
      <c r="AD42" s="93">
        <f t="shared" si="120"/>
        <v>-1.4805208333521069E-3</v>
      </c>
      <c r="AE42" s="93">
        <f t="shared" si="120"/>
        <v>1.5570955114155124E-2</v>
      </c>
      <c r="AF42" s="93">
        <f t="shared" si="120"/>
        <v>3.4690487422153471E-2</v>
      </c>
      <c r="AG42" s="93">
        <f t="shared" si="120"/>
        <v>-9.9089539545347098E-3</v>
      </c>
      <c r="AH42" s="93">
        <f t="shared" si="120"/>
        <v>-3.5465459648755865E-3</v>
      </c>
      <c r="AI42" s="93">
        <f t="shared" si="120"/>
        <v>-1.8487875250137398E-2</v>
      </c>
      <c r="AJ42" s="93">
        <f t="shared" si="120"/>
        <v>7.4318653822430239E-3</v>
      </c>
      <c r="AK42" s="93">
        <f t="shared" si="120"/>
        <v>9.5535459110703241E-4</v>
      </c>
      <c r="AL42" s="93">
        <f t="shared" si="120"/>
        <v>1.557640950632308E-2</v>
      </c>
      <c r="AM42" s="93">
        <f t="shared" si="120"/>
        <v>0</v>
      </c>
      <c r="AN42" s="93">
        <f t="shared" si="120"/>
        <v>7.9107011440399735E-3</v>
      </c>
      <c r="AO42" s="93">
        <f t="shared" si="120"/>
        <v>2.1941745781803475E-2</v>
      </c>
      <c r="AP42" s="93">
        <f t="shared" si="120"/>
        <v>2.6659186367057542E-2</v>
      </c>
    </row>
    <row r="43" spans="2:42" s="51" customFormat="1" ht="13.5" customHeight="1">
      <c r="B43" s="195" t="str">
        <f t="shared" si="118"/>
        <v>Transaction costs on debt issuance</v>
      </c>
      <c r="C43" s="93">
        <f t="shared" ref="C43:L43" si="121">-C24/C9</f>
        <v>3.6148115238757365E-3</v>
      </c>
      <c r="D43" s="93">
        <f t="shared" si="121"/>
        <v>1.0481854930892585E-3</v>
      </c>
      <c r="E43" s="93">
        <f t="shared" si="121"/>
        <v>0</v>
      </c>
      <c r="F43" s="93">
        <f t="shared" si="121"/>
        <v>0</v>
      </c>
      <c r="G43" s="93">
        <f t="shared" si="121"/>
        <v>0</v>
      </c>
      <c r="H43" s="93">
        <f t="shared" si="121"/>
        <v>0</v>
      </c>
      <c r="I43" s="93">
        <f t="shared" si="121"/>
        <v>0</v>
      </c>
      <c r="J43" s="93">
        <f t="shared" si="121"/>
        <v>0</v>
      </c>
      <c r="K43" s="93">
        <f t="shared" ref="K43" si="122">-K24/K9</f>
        <v>0</v>
      </c>
      <c r="L43" s="93">
        <f t="shared" si="121"/>
        <v>0</v>
      </c>
      <c r="M43" s="68"/>
      <c r="N43" s="93">
        <f t="shared" ref="N43:AN43" si="123">-N24/N9</f>
        <v>0</v>
      </c>
      <c r="O43" s="93">
        <f t="shared" si="123"/>
        <v>0</v>
      </c>
      <c r="P43" s="93">
        <f t="shared" si="123"/>
        <v>0</v>
      </c>
      <c r="Q43" s="93">
        <f t="shared" si="123"/>
        <v>0</v>
      </c>
      <c r="R43" s="93">
        <f t="shared" si="123"/>
        <v>0</v>
      </c>
      <c r="S43" s="93">
        <f t="shared" si="123"/>
        <v>0</v>
      </c>
      <c r="T43" s="93">
        <f t="shared" si="123"/>
        <v>0</v>
      </c>
      <c r="U43" s="93">
        <f t="shared" si="123"/>
        <v>0</v>
      </c>
      <c r="V43" s="93">
        <f t="shared" si="123"/>
        <v>0</v>
      </c>
      <c r="W43" s="93">
        <f t="shared" si="123"/>
        <v>0</v>
      </c>
      <c r="X43" s="93">
        <f t="shared" si="123"/>
        <v>0</v>
      </c>
      <c r="Y43" s="93">
        <f t="shared" si="123"/>
        <v>0</v>
      </c>
      <c r="Z43" s="93">
        <f t="shared" si="123"/>
        <v>0.24787174539800555</v>
      </c>
      <c r="AA43" s="93">
        <f t="shared" si="123"/>
        <v>0</v>
      </c>
      <c r="AB43" s="93">
        <f t="shared" si="123"/>
        <v>0</v>
      </c>
      <c r="AC43" s="93">
        <f t="shared" si="123"/>
        <v>-0.21942184321347766</v>
      </c>
      <c r="AD43" s="93">
        <f t="shared" si="123"/>
        <v>0</v>
      </c>
      <c r="AE43" s="93">
        <f t="shared" si="123"/>
        <v>0</v>
      </c>
      <c r="AF43" s="93">
        <f t="shared" si="123"/>
        <v>0</v>
      </c>
      <c r="AG43" s="93">
        <f t="shared" si="123"/>
        <v>0</v>
      </c>
      <c r="AH43" s="93">
        <f t="shared" si="123"/>
        <v>0</v>
      </c>
      <c r="AI43" s="93">
        <f t="shared" si="123"/>
        <v>0</v>
      </c>
      <c r="AJ43" s="93">
        <f t="shared" si="123"/>
        <v>0</v>
      </c>
      <c r="AK43" s="93">
        <f t="shared" si="123"/>
        <v>0</v>
      </c>
      <c r="AL43" s="93">
        <f t="shared" si="123"/>
        <v>0</v>
      </c>
      <c r="AM43" s="93">
        <f t="shared" si="123"/>
        <v>0</v>
      </c>
      <c r="AN43" s="93">
        <f t="shared" si="123"/>
        <v>0</v>
      </c>
      <c r="AO43" s="93">
        <f t="shared" ref="AO43:AP43" si="124">-AO24/AO9</f>
        <v>0</v>
      </c>
      <c r="AP43" s="93">
        <f t="shared" si="124"/>
        <v>0</v>
      </c>
    </row>
    <row r="44" spans="2:42" s="51" customFormat="1" ht="13.5" customHeight="1">
      <c r="B44" s="195" t="s">
        <v>190</v>
      </c>
      <c r="C44" s="93">
        <f>-C25/C116</f>
        <v>3.3794582580854639E-2</v>
      </c>
      <c r="D44" s="93">
        <f t="shared" ref="D44:L44" si="125">-D25/D116</f>
        <v>5.0238574614240292E-2</v>
      </c>
      <c r="E44" s="93">
        <f t="shared" si="125"/>
        <v>5.4815816090908125E-2</v>
      </c>
      <c r="F44" s="93">
        <f t="shared" si="125"/>
        <v>4.6504584735134871E-2</v>
      </c>
      <c r="G44" s="93">
        <f t="shared" si="125"/>
        <v>5.3842211651952618E-2</v>
      </c>
      <c r="H44" s="93">
        <f t="shared" si="125"/>
        <v>4.9861554693910411E-2</v>
      </c>
      <c r="I44" s="93">
        <f t="shared" si="125"/>
        <v>5.0598388577638875E-2</v>
      </c>
      <c r="J44" s="93">
        <f t="shared" si="125"/>
        <v>5.2253532590896684E-2</v>
      </c>
      <c r="K44" s="93">
        <f t="shared" si="125"/>
        <v>4.4092605535602639E-2</v>
      </c>
      <c r="L44" s="93">
        <f t="shared" si="125"/>
        <v>5.5199048671972645E-2</v>
      </c>
      <c r="M44" s="68"/>
      <c r="N44" s="93"/>
      <c r="O44" s="93"/>
      <c r="P44" s="93"/>
      <c r="Q44" s="93">
        <f>-SUM(N25:Q25)/Q116</f>
        <v>5.4815816090908125E-2</v>
      </c>
      <c r="R44" s="93">
        <f t="shared" ref="R44:AP44" si="126">-SUM(O25:R25)/R116</f>
        <v>4.9125064324203105E-2</v>
      </c>
      <c r="S44" s="93">
        <f t="shared" si="126"/>
        <v>4.556511464980597E-2</v>
      </c>
      <c r="T44" s="93">
        <f t="shared" si="126"/>
        <v>4.6551763855420203E-2</v>
      </c>
      <c r="U44" s="93">
        <f t="shared" si="126"/>
        <v>4.6504584735134871E-2</v>
      </c>
      <c r="V44" s="93">
        <f t="shared" si="126"/>
        <v>4.8586516457900499E-2</v>
      </c>
      <c r="W44" s="93">
        <f t="shared" si="126"/>
        <v>5.0353481014906928E-2</v>
      </c>
      <c r="X44" s="93">
        <f t="shared" si="126"/>
        <v>5.2199537391966928E-2</v>
      </c>
      <c r="Y44" s="93">
        <f t="shared" si="126"/>
        <v>5.3842211651952618E-2</v>
      </c>
      <c r="Z44" s="93">
        <f t="shared" si="126"/>
        <v>4.202636600619359E-2</v>
      </c>
      <c r="AA44" s="93">
        <f t="shared" si="126"/>
        <v>3.7204518428351985E-2</v>
      </c>
      <c r="AB44" s="93">
        <f t="shared" si="126"/>
        <v>3.7400132064805268E-2</v>
      </c>
      <c r="AC44" s="93">
        <f t="shared" si="126"/>
        <v>4.9861554693910411E-2</v>
      </c>
      <c r="AD44" s="93">
        <f t="shared" si="126"/>
        <v>6.236207523691701E-2</v>
      </c>
      <c r="AE44" s="93">
        <f t="shared" si="126"/>
        <v>6.2247378169091407E-2</v>
      </c>
      <c r="AF44" s="93">
        <f t="shared" si="126"/>
        <v>6.1880428586253554E-2</v>
      </c>
      <c r="AG44" s="93">
        <f t="shared" si="126"/>
        <v>5.0598388577638875E-2</v>
      </c>
      <c r="AH44" s="93">
        <f t="shared" si="126"/>
        <v>4.9144710613938977E-2</v>
      </c>
      <c r="AI44" s="93">
        <f t="shared" si="126"/>
        <v>4.971248792610844E-2</v>
      </c>
      <c r="AJ44" s="93">
        <f t="shared" si="126"/>
        <v>5.3373552069941252E-2</v>
      </c>
      <c r="AK44" s="93">
        <f t="shared" si="126"/>
        <v>5.2253532590896684E-2</v>
      </c>
      <c r="AL44" s="93">
        <f t="shared" si="126"/>
        <v>5.5334592830414815E-2</v>
      </c>
      <c r="AM44" s="93">
        <f t="shared" si="126"/>
        <v>4.8847682141270547E-2</v>
      </c>
      <c r="AN44" s="93">
        <f t="shared" si="126"/>
        <v>3.1166398581386062E-2</v>
      </c>
      <c r="AO44" s="93">
        <f t="shared" si="126"/>
        <v>4.4092605535602639E-2</v>
      </c>
      <c r="AP44" s="93">
        <f t="shared" si="126"/>
        <v>5.5199048671972645E-2</v>
      </c>
    </row>
    <row r="45" spans="2:42" s="51" customFormat="1" ht="13.5" customHeight="1">
      <c r="B45" s="195" t="str">
        <f t="shared" si="118"/>
        <v>Exchange gain (loss)- net</v>
      </c>
      <c r="C45" s="93">
        <f>C26/C9</f>
        <v>2.6476541745777803E-2</v>
      </c>
      <c r="D45" s="93">
        <f t="shared" ref="D45:AP45" si="127">D26/D9</f>
        <v>-5.4195445688227442E-3</v>
      </c>
      <c r="E45" s="93">
        <f t="shared" si="127"/>
        <v>1.4940801577090537E-2</v>
      </c>
      <c r="F45" s="93">
        <f t="shared" si="127"/>
        <v>-1.1448775066283427E-3</v>
      </c>
      <c r="G45" s="93">
        <f t="shared" si="127"/>
        <v>-6.900877747352172E-3</v>
      </c>
      <c r="H45" s="93">
        <f t="shared" si="127"/>
        <v>1.0896463849067072E-2</v>
      </c>
      <c r="I45" s="93">
        <f t="shared" si="127"/>
        <v>4.1529729906257362E-2</v>
      </c>
      <c r="J45" s="93">
        <f t="shared" si="127"/>
        <v>-4.2951653052976206E-2</v>
      </c>
      <c r="K45" s="93">
        <f t="shared" si="127"/>
        <v>3.5651372162467394E-2</v>
      </c>
      <c r="L45" s="93">
        <f t="shared" si="127"/>
        <v>3.3940868239107316E-2</v>
      </c>
      <c r="M45" s="68"/>
      <c r="N45" s="93">
        <f t="shared" si="127"/>
        <v>3.4176462994261428E-2</v>
      </c>
      <c r="O45" s="93">
        <f t="shared" si="127"/>
        <v>1.9221240192892727E-2</v>
      </c>
      <c r="P45" s="93">
        <f t="shared" si="127"/>
        <v>-4.0996334210351273E-2</v>
      </c>
      <c r="Q45" s="93">
        <f t="shared" si="127"/>
        <v>4.6669365434849452E-2</v>
      </c>
      <c r="R45" s="93">
        <f t="shared" si="127"/>
        <v>-0.24141691945440272</v>
      </c>
      <c r="S45" s="93">
        <f t="shared" si="127"/>
        <v>4.7332910968976953E-2</v>
      </c>
      <c r="T45" s="93">
        <f t="shared" si="127"/>
        <v>0.20455416216431407</v>
      </c>
      <c r="U45" s="93">
        <f t="shared" si="127"/>
        <v>-1.2312620764451429E-2</v>
      </c>
      <c r="V45" s="93">
        <f t="shared" si="127"/>
        <v>1.3026741745820306E-2</v>
      </c>
      <c r="W45" s="93">
        <f t="shared" si="127"/>
        <v>-6.3957294125303763E-3</v>
      </c>
      <c r="X45" s="93">
        <f t="shared" si="127"/>
        <v>-1.1628829051672541E-2</v>
      </c>
      <c r="Y45" s="93">
        <f t="shared" si="127"/>
        <v>-2.1119457869110795E-2</v>
      </c>
      <c r="Z45" s="93">
        <f t="shared" si="127"/>
        <v>-1.906387877787594E-2</v>
      </c>
      <c r="AA45" s="93">
        <f t="shared" si="127"/>
        <v>2.9062082006120947E-2</v>
      </c>
      <c r="AB45" s="93">
        <f t="shared" si="127"/>
        <v>-1.6580431727200397E-2</v>
      </c>
      <c r="AC45" s="93">
        <f t="shared" si="127"/>
        <v>4.7274916965077123E-2</v>
      </c>
      <c r="AD45" s="93">
        <f t="shared" si="127"/>
        <v>9.2163127744287587E-2</v>
      </c>
      <c r="AE45" s="93">
        <f t="shared" si="127"/>
        <v>7.2042386520472665E-2</v>
      </c>
      <c r="AF45" s="93">
        <f t="shared" si="127"/>
        <v>-3.8615920772283201E-2</v>
      </c>
      <c r="AG45" s="93">
        <f t="shared" si="127"/>
        <v>4.7636024710872506E-2</v>
      </c>
      <c r="AH45" s="93">
        <f t="shared" si="127"/>
        <v>1.4096168494503418E-2</v>
      </c>
      <c r="AI45" s="93">
        <f t="shared" si="127"/>
        <v>-0.10352304639474998</v>
      </c>
      <c r="AJ45" s="93">
        <f t="shared" si="127"/>
        <v>-6.7597462912701439E-2</v>
      </c>
      <c r="AK45" s="93">
        <f t="shared" si="127"/>
        <v>-1.3272799812794838E-2</v>
      </c>
      <c r="AL45" s="93">
        <f t="shared" si="127"/>
        <v>-1.4355166847594264E-3</v>
      </c>
      <c r="AM45" s="93">
        <f t="shared" si="127"/>
        <v>9.3610698365527489E-2</v>
      </c>
      <c r="AN45" s="93">
        <f t="shared" si="127"/>
        <v>3.354359630900404E-2</v>
      </c>
      <c r="AO45" s="93">
        <f t="shared" si="127"/>
        <v>1.9155726809870578E-2</v>
      </c>
      <c r="AP45" s="93">
        <f t="shared" si="127"/>
        <v>-3.2833456379206469E-3</v>
      </c>
    </row>
    <row r="46" spans="2:42" s="51" customFormat="1" ht="13.5" customHeight="1">
      <c r="B46" s="195" t="str">
        <f t="shared" si="118"/>
        <v>Gain on sale of investment property</v>
      </c>
      <c r="C46" s="93">
        <f>C27/C9</f>
        <v>0</v>
      </c>
      <c r="D46" s="93">
        <f t="shared" ref="D46:AP46" si="128">D27/D9</f>
        <v>0</v>
      </c>
      <c r="E46" s="93">
        <f t="shared" si="128"/>
        <v>0.12413470850523345</v>
      </c>
      <c r="F46" s="93">
        <f t="shared" si="128"/>
        <v>0</v>
      </c>
      <c r="G46" s="93">
        <f t="shared" si="128"/>
        <v>8.7026506315915186E-2</v>
      </c>
      <c r="H46" s="93">
        <f t="shared" si="128"/>
        <v>2.8242173741653727E-2</v>
      </c>
      <c r="I46" s="93">
        <f t="shared" si="128"/>
        <v>-2.1523063351868718E-3</v>
      </c>
      <c r="J46" s="93">
        <f t="shared" si="128"/>
        <v>1.0372380817627683E-2</v>
      </c>
      <c r="K46" s="93">
        <f t="shared" si="128"/>
        <v>-3.5113449649203932E-5</v>
      </c>
      <c r="L46" s="93">
        <f t="shared" si="128"/>
        <v>-3.395237346772333E-5</v>
      </c>
      <c r="M46" s="68"/>
      <c r="N46" s="93">
        <f t="shared" si="128"/>
        <v>0</v>
      </c>
      <c r="O46" s="93">
        <f t="shared" si="128"/>
        <v>0.44568762192277683</v>
      </c>
      <c r="P46" s="93">
        <f t="shared" si="128"/>
        <v>0</v>
      </c>
      <c r="Q46" s="93">
        <f t="shared" si="128"/>
        <v>5.2416645559303018E-2</v>
      </c>
      <c r="R46" s="93">
        <f t="shared" si="128"/>
        <v>0</v>
      </c>
      <c r="S46" s="93">
        <f t="shared" si="128"/>
        <v>0</v>
      </c>
      <c r="T46" s="93">
        <f t="shared" si="128"/>
        <v>0</v>
      </c>
      <c r="U46" s="93">
        <f t="shared" si="128"/>
        <v>0</v>
      </c>
      <c r="V46" s="93">
        <f t="shared" si="128"/>
        <v>0.11198680536652397</v>
      </c>
      <c r="W46" s="93">
        <f t="shared" si="128"/>
        <v>0.10702828153532284</v>
      </c>
      <c r="X46" s="93">
        <f t="shared" si="128"/>
        <v>0</v>
      </c>
      <c r="Y46" s="93">
        <f t="shared" si="128"/>
        <v>0.13066069557064761</v>
      </c>
      <c r="Z46" s="93">
        <f t="shared" si="128"/>
        <v>1.3521801265098197E-2</v>
      </c>
      <c r="AA46" s="93">
        <f t="shared" si="128"/>
        <v>0.10348861928966094</v>
      </c>
      <c r="AB46" s="93">
        <f t="shared" si="128"/>
        <v>0</v>
      </c>
      <c r="AC46" s="93">
        <f t="shared" si="128"/>
        <v>0</v>
      </c>
      <c r="AD46" s="93">
        <f t="shared" si="128"/>
        <v>0</v>
      </c>
      <c r="AE46" s="93">
        <f t="shared" si="128"/>
        <v>0</v>
      </c>
      <c r="AF46" s="93">
        <f t="shared" si="128"/>
        <v>0</v>
      </c>
      <c r="AG46" s="93">
        <f t="shared" si="128"/>
        <v>-8.1056561746416303E-3</v>
      </c>
      <c r="AH46" s="93">
        <f t="shared" si="128"/>
        <v>4.1261168408020009E-3</v>
      </c>
      <c r="AI46" s="93">
        <f t="shared" si="128"/>
        <v>0</v>
      </c>
      <c r="AJ46" s="93">
        <f t="shared" si="128"/>
        <v>0</v>
      </c>
      <c r="AK46" s="93">
        <f t="shared" si="128"/>
        <v>3.6400825939095792E-2</v>
      </c>
      <c r="AL46" s="93">
        <f t="shared" si="128"/>
        <v>0</v>
      </c>
      <c r="AM46" s="93">
        <f t="shared" si="128"/>
        <v>-5.9435364041604761E-3</v>
      </c>
      <c r="AN46" s="93">
        <f t="shared" si="128"/>
        <v>5.5227478255077895E-3</v>
      </c>
      <c r="AO46" s="93">
        <f t="shared" si="128"/>
        <v>-1.3011321550575347E-4</v>
      </c>
      <c r="AP46" s="93">
        <f t="shared" si="128"/>
        <v>0</v>
      </c>
    </row>
    <row r="47" spans="2:42" s="51" customFormat="1" ht="13.5" customHeight="1">
      <c r="B47" s="195" t="str">
        <f t="shared" ref="B47" si="129">B29</f>
        <v>Gain on revaluation of investment property</v>
      </c>
      <c r="C47" s="93">
        <f>C29/C9</f>
        <v>0.76816405802713805</v>
      </c>
      <c r="D47" s="93">
        <f t="shared" ref="D47:AP47" si="130">D29/D9</f>
        <v>0.39815402310283382</v>
      </c>
      <c r="E47" s="93">
        <f t="shared" si="130"/>
        <v>0.59614217369007916</v>
      </c>
      <c r="F47" s="93">
        <f t="shared" si="130"/>
        <v>0.30276042294737682</v>
      </c>
      <c r="G47" s="93">
        <f t="shared" si="130"/>
        <v>1.0240294080173145</v>
      </c>
      <c r="H47" s="93">
        <f t="shared" si="130"/>
        <v>1.0419381416459301</v>
      </c>
      <c r="I47" s="93">
        <f t="shared" si="130"/>
        <v>1.135182225090472</v>
      </c>
      <c r="J47" s="93">
        <f t="shared" si="130"/>
        <v>1.0730026120616554</v>
      </c>
      <c r="K47" s="93">
        <f t="shared" si="130"/>
        <v>0.18386477000935866</v>
      </c>
      <c r="L47" s="93">
        <f t="shared" si="130"/>
        <v>0.41496986195121993</v>
      </c>
      <c r="M47" s="68"/>
      <c r="N47" s="93">
        <f t="shared" si="130"/>
        <v>0.32942406094617072</v>
      </c>
      <c r="O47" s="93">
        <f t="shared" si="130"/>
        <v>0.90271306733915924</v>
      </c>
      <c r="P47" s="93">
        <f t="shared" si="130"/>
        <v>0.38922656050487292</v>
      </c>
      <c r="Q47" s="93">
        <f t="shared" si="130"/>
        <v>0.76343321318499613</v>
      </c>
      <c r="R47" s="93">
        <f t="shared" si="130"/>
        <v>0.36856679960119643</v>
      </c>
      <c r="S47" s="93">
        <f t="shared" si="130"/>
        <v>0.3896945552650663</v>
      </c>
      <c r="T47" s="93">
        <f t="shared" si="130"/>
        <v>0.1124864916081004</v>
      </c>
      <c r="U47" s="93">
        <f t="shared" si="130"/>
        <v>0.34124789117633347</v>
      </c>
      <c r="V47" s="93">
        <f t="shared" si="130"/>
        <v>-9.6810679622650442E-2</v>
      </c>
      <c r="W47" s="93">
        <f t="shared" si="130"/>
        <v>2.2865833767422949</v>
      </c>
      <c r="X47" s="93">
        <f t="shared" si="130"/>
        <v>0.64889089958183477</v>
      </c>
      <c r="Y47" s="93">
        <f t="shared" si="130"/>
        <v>1.2205591386059174</v>
      </c>
      <c r="Z47" s="93">
        <f t="shared" si="130"/>
        <v>0.90968548309405683</v>
      </c>
      <c r="AA47" s="93">
        <f t="shared" si="130"/>
        <v>0.8956332730680413</v>
      </c>
      <c r="AB47" s="93">
        <f t="shared" si="130"/>
        <v>1.3840570116363826</v>
      </c>
      <c r="AC47" s="93">
        <f t="shared" si="130"/>
        <v>0.96370436584248531</v>
      </c>
      <c r="AD47" s="93">
        <f t="shared" si="130"/>
        <v>0.21545421852519536</v>
      </c>
      <c r="AE47" s="93">
        <f t="shared" si="130"/>
        <v>1.4179861033434125</v>
      </c>
      <c r="AF47" s="93">
        <f t="shared" si="130"/>
        <v>1.7098038271524307</v>
      </c>
      <c r="AG47" s="93">
        <f t="shared" si="130"/>
        <v>1.1222549991669577</v>
      </c>
      <c r="AH47" s="93">
        <f t="shared" si="130"/>
        <v>1.7713588768353463</v>
      </c>
      <c r="AI47" s="93">
        <f t="shared" si="130"/>
        <v>1.5881887047385181</v>
      </c>
      <c r="AJ47" s="93">
        <f t="shared" si="130"/>
        <v>0.37633738979721543</v>
      </c>
      <c r="AK47" s="93">
        <f t="shared" si="130"/>
        <v>0.6054387230192555</v>
      </c>
      <c r="AL47" s="93">
        <f t="shared" si="130"/>
        <v>-0.23914898886070304</v>
      </c>
      <c r="AM47" s="93">
        <f t="shared" si="130"/>
        <v>0.11589895988112928</v>
      </c>
      <c r="AN47" s="93">
        <f t="shared" si="130"/>
        <v>6.616628822497421E-2</v>
      </c>
      <c r="AO47" s="93">
        <f t="shared" si="130"/>
        <v>0.72639672677277933</v>
      </c>
      <c r="AP47" s="93">
        <f t="shared" si="130"/>
        <v>0.69623800674076486</v>
      </c>
    </row>
    <row r="48" spans="2:42" s="51" customFormat="1" ht="13.5" customHeight="1">
      <c r="B48" s="195" t="str">
        <f>B31</f>
        <v>Current income tax expense</v>
      </c>
      <c r="C48" s="93">
        <f t="shared" ref="C48:L48" si="131">-C31/C9</f>
        <v>0.28814785877620536</v>
      </c>
      <c r="D48" s="93">
        <f t="shared" si="131"/>
        <v>0.1650120759694261</v>
      </c>
      <c r="E48" s="93">
        <f t="shared" si="131"/>
        <v>0.26094083320523792</v>
      </c>
      <c r="F48" s="93">
        <f t="shared" si="131"/>
        <v>0.17450483393874278</v>
      </c>
      <c r="G48" s="93">
        <f t="shared" si="131"/>
        <v>0.3126040456740739</v>
      </c>
      <c r="H48" s="93">
        <f t="shared" si="131"/>
        <v>0.23581678016269819</v>
      </c>
      <c r="I48" s="93">
        <f t="shared" si="131"/>
        <v>0.42875051455321839</v>
      </c>
      <c r="J48" s="93">
        <f t="shared" si="131"/>
        <v>0.12639459740677422</v>
      </c>
      <c r="K48" s="93">
        <f t="shared" ref="K48" si="132">-K31/K9</f>
        <v>0.19821040252310951</v>
      </c>
      <c r="L48" s="93">
        <f t="shared" si="131"/>
        <v>0.13464613772906445</v>
      </c>
      <c r="M48" s="68"/>
      <c r="N48" s="93">
        <f t="shared" ref="N48:AN48" si="133">-N31/N9</f>
        <v>0.30771337917743224</v>
      </c>
      <c r="O48" s="93">
        <f t="shared" si="133"/>
        <v>0.34151218802043432</v>
      </c>
      <c r="P48" s="93">
        <f t="shared" si="133"/>
        <v>0.1785738560077022</v>
      </c>
      <c r="Q48" s="93">
        <f t="shared" si="133"/>
        <v>0.21571460270341872</v>
      </c>
      <c r="R48" s="93">
        <f t="shared" si="133"/>
        <v>4.9102108567913277E-2</v>
      </c>
      <c r="S48" s="93">
        <f t="shared" si="133"/>
        <v>8.7681803572198375E-2</v>
      </c>
      <c r="T48" s="93">
        <f t="shared" si="133"/>
        <v>0.1769367533896021</v>
      </c>
      <c r="U48" s="93">
        <f t="shared" si="133"/>
        <v>0.38022544486406679</v>
      </c>
      <c r="V48" s="93">
        <f t="shared" si="133"/>
        <v>0.14382127568491476</v>
      </c>
      <c r="W48" s="93">
        <f t="shared" si="133"/>
        <v>0.33905090294409507</v>
      </c>
      <c r="X48" s="93">
        <f t="shared" si="133"/>
        <v>0.162688219196895</v>
      </c>
      <c r="Y48" s="93">
        <f t="shared" si="133"/>
        <v>0.59095364044609611</v>
      </c>
      <c r="Z48" s="93">
        <f t="shared" si="133"/>
        <v>0.21760908372847557</v>
      </c>
      <c r="AA48" s="93">
        <f t="shared" si="133"/>
        <v>0.28648753741018385</v>
      </c>
      <c r="AB48" s="93">
        <f t="shared" si="133"/>
        <v>0.14358512406257504</v>
      </c>
      <c r="AC48" s="93">
        <f t="shared" si="133"/>
        <v>0.29438504696951229</v>
      </c>
      <c r="AD48" s="93">
        <f t="shared" si="133"/>
        <v>0.41550343104971083</v>
      </c>
      <c r="AE48" s="93">
        <f t="shared" si="133"/>
        <v>0.41359510682755279</v>
      </c>
      <c r="AF48" s="93">
        <f t="shared" si="133"/>
        <v>0.56723560299072251</v>
      </c>
      <c r="AG48" s="93">
        <f t="shared" si="133"/>
        <v>0.31884021756873565</v>
      </c>
      <c r="AH48" s="93">
        <f t="shared" si="133"/>
        <v>0.42471096056396163</v>
      </c>
      <c r="AI48" s="93">
        <f t="shared" si="133"/>
        <v>0.35747156302019961</v>
      </c>
      <c r="AJ48" s="93">
        <f t="shared" si="133"/>
        <v>0.16820022282548613</v>
      </c>
      <c r="AK48" s="93">
        <f t="shared" si="133"/>
        <v>-0.41639299538054869</v>
      </c>
      <c r="AL48" s="93">
        <f t="shared" si="133"/>
        <v>0.20374006440269032</v>
      </c>
      <c r="AM48" s="93">
        <f t="shared" si="133"/>
        <v>0.39821693907875189</v>
      </c>
      <c r="AN48" s="93">
        <f t="shared" si="133"/>
        <v>0.37894770501799907</v>
      </c>
      <c r="AO48" s="93">
        <f t="shared" ref="AO48:AP48" si="134">-AO31/AO9</f>
        <v>-0.15401331890945366</v>
      </c>
      <c r="AP48" s="93">
        <f t="shared" si="134"/>
        <v>-3.9548422905091564E-2</v>
      </c>
    </row>
    <row r="49" spans="2:42" s="51" customFormat="1" ht="13.5" customHeight="1">
      <c r="B49" s="195" t="str">
        <f>B32</f>
        <v>Deferred income tax</v>
      </c>
      <c r="C49" s="93">
        <f t="shared" ref="C49:L49" si="135">-C32/C9</f>
        <v>0</v>
      </c>
      <c r="D49" s="93">
        <f t="shared" si="135"/>
        <v>9.8675747554071797E-2</v>
      </c>
      <c r="E49" s="93">
        <f t="shared" si="135"/>
        <v>8.9481570539645519E-2</v>
      </c>
      <c r="F49" s="93">
        <f t="shared" si="135"/>
        <v>0.22954134038059223</v>
      </c>
      <c r="G49" s="93">
        <f t="shared" si="135"/>
        <v>0.19795264595768752</v>
      </c>
      <c r="H49" s="93">
        <f t="shared" si="135"/>
        <v>3.5062844184967454E-2</v>
      </c>
      <c r="I49" s="93">
        <f t="shared" si="135"/>
        <v>-0.12575099684515534</v>
      </c>
      <c r="J49" s="93">
        <f t="shared" si="135"/>
        <v>0.67739086724097786</v>
      </c>
      <c r="K49" s="93">
        <f t="shared" ref="K49" si="136">-K32/K9</f>
        <v>-0.22621403710586696</v>
      </c>
      <c r="L49" s="93">
        <f t="shared" si="135"/>
        <v>-0.21873394805098406</v>
      </c>
      <c r="M49" s="68"/>
      <c r="N49" s="93">
        <f t="shared" ref="N49:AN49" si="137">-N32/N9</f>
        <v>2.1977887531366778E-2</v>
      </c>
      <c r="O49" s="93">
        <f t="shared" si="137"/>
        <v>0.1550208003999696</v>
      </c>
      <c r="P49" s="93">
        <f t="shared" si="137"/>
        <v>0.39576580067716438</v>
      </c>
      <c r="Q49" s="93">
        <f t="shared" si="137"/>
        <v>-0.21011499379805659</v>
      </c>
      <c r="R49" s="93">
        <f t="shared" si="137"/>
        <v>1.2777433126153455</v>
      </c>
      <c r="S49" s="93">
        <f t="shared" si="137"/>
        <v>0.36456101118610712</v>
      </c>
      <c r="T49" s="93">
        <f t="shared" si="137"/>
        <v>-0.28251789887775453</v>
      </c>
      <c r="U49" s="93">
        <f t="shared" si="137"/>
        <v>-0.43569754304746638</v>
      </c>
      <c r="V49" s="93">
        <f t="shared" si="137"/>
        <v>5.0515850336321305E-2</v>
      </c>
      <c r="W49" s="93">
        <f t="shared" si="137"/>
        <v>-0.28840821159349711</v>
      </c>
      <c r="X49" s="93">
        <f t="shared" si="137"/>
        <v>0.87376231515561986</v>
      </c>
      <c r="Y49" s="93">
        <f t="shared" si="137"/>
        <v>0.13305579471279555</v>
      </c>
      <c r="Z49" s="93">
        <f t="shared" si="137"/>
        <v>5.9593748649169068E-2</v>
      </c>
      <c r="AA49" s="93">
        <f t="shared" si="137"/>
        <v>3.1107875120117947E-2</v>
      </c>
      <c r="AB49" s="93">
        <f t="shared" si="137"/>
        <v>0.44409965069251606</v>
      </c>
      <c r="AC49" s="93">
        <f t="shared" si="137"/>
        <v>-0.37550300006423898</v>
      </c>
      <c r="AD49" s="93">
        <f t="shared" si="137"/>
        <v>-0.66030217923815782</v>
      </c>
      <c r="AE49" s="93">
        <f t="shared" si="137"/>
        <v>-0.18293122590151778</v>
      </c>
      <c r="AF49" s="93">
        <f t="shared" si="137"/>
        <v>0.41672886782806445</v>
      </c>
      <c r="AG49" s="93">
        <f t="shared" si="137"/>
        <v>-0.13503924851436094</v>
      </c>
      <c r="AH49" s="93">
        <f t="shared" si="137"/>
        <v>0</v>
      </c>
      <c r="AI49" s="93">
        <f t="shared" si="137"/>
        <v>0</v>
      </c>
      <c r="AJ49" s="93">
        <f t="shared" si="137"/>
        <v>0</v>
      </c>
      <c r="AK49" s="93">
        <f t="shared" si="137"/>
        <v>2.6282913325754969</v>
      </c>
      <c r="AL49" s="93">
        <f t="shared" si="137"/>
        <v>0</v>
      </c>
      <c r="AM49" s="93">
        <f t="shared" si="137"/>
        <v>0</v>
      </c>
      <c r="AN49" s="93">
        <f t="shared" si="137"/>
        <v>0</v>
      </c>
      <c r="AO49" s="93">
        <f t="shared" ref="AO49:AP49" si="138">-AO32/AO9</f>
        <v>-0.83823822650388535</v>
      </c>
      <c r="AP49" s="93">
        <f t="shared" si="138"/>
        <v>0</v>
      </c>
    </row>
    <row r="50" spans="2:42" s="51" customFormat="1" ht="13.5" customHeight="1">
      <c r="B50" s="196" t="s">
        <v>191</v>
      </c>
      <c r="C50" s="93">
        <f t="shared" ref="C50:F50" si="139">(-C31-C32)/C30</f>
        <v>0.20012029213903115</v>
      </c>
      <c r="D50" s="93">
        <f t="shared" si="139"/>
        <v>0.27321373344704458</v>
      </c>
      <c r="E50" s="93">
        <f t="shared" si="139"/>
        <v>0.27315822674586854</v>
      </c>
      <c r="F50" s="93">
        <f t="shared" si="139"/>
        <v>0.47487302336082804</v>
      </c>
      <c r="G50" s="93">
        <f t="shared" ref="G50:H50" si="140">(-G31-G32)/G30</f>
        <v>0.32062497946553153</v>
      </c>
      <c r="H50" s="93">
        <f t="shared" si="140"/>
        <v>0.16523475572015131</v>
      </c>
      <c r="I50" s="93">
        <f t="shared" ref="I50:J50" si="141">(-I31-I32)/I30</f>
        <v>0.17028299496913293</v>
      </c>
      <c r="J50" s="93">
        <f t="shared" si="141"/>
        <v>0.47591360295220603</v>
      </c>
      <c r="K50" s="93">
        <f t="shared" ref="K50" si="142">(-K31-K32)/K30</f>
        <v>-3.38987482803371E-2</v>
      </c>
      <c r="L50" s="93">
        <f>(-L31-L32)/L30</f>
        <v>-8.1198402089492402E-2</v>
      </c>
      <c r="M50" s="147"/>
      <c r="N50" s="93">
        <f t="shared" ref="N50:W50" si="143">(-N31-N32)/N30</f>
        <v>0.35293411947448589</v>
      </c>
      <c r="O50" s="93">
        <f t="shared" si="143"/>
        <v>0.26563218654641141</v>
      </c>
      <c r="P50" s="93">
        <f t="shared" si="143"/>
        <v>0.62374306619367859</v>
      </c>
      <c r="Q50" s="93">
        <f t="shared" si="143"/>
        <v>3.9764117294249866E-3</v>
      </c>
      <c r="R50" s="93">
        <f t="shared" si="143"/>
        <v>1.9531005802933659</v>
      </c>
      <c r="S50" s="93">
        <f t="shared" si="143"/>
        <v>0.46502871199991497</v>
      </c>
      <c r="T50" s="93">
        <f t="shared" si="143"/>
        <v>-0.12106272345518118</v>
      </c>
      <c r="U50" s="93">
        <f t="shared" si="143"/>
        <v>-6.2841543082310769E-2</v>
      </c>
      <c r="V50" s="93">
        <f t="shared" si="143"/>
        <v>0.34268093463826932</v>
      </c>
      <c r="W50" s="93">
        <f t="shared" si="143"/>
        <v>1.8251836111856549E-2</v>
      </c>
      <c r="X50" s="93">
        <f t="shared" ref="X50:AA50" si="144">(-X31-X32)/X30</f>
        <v>0.89918090666564432</v>
      </c>
      <c r="Y50" s="93">
        <f t="shared" si="144"/>
        <v>0.3932319671766964</v>
      </c>
      <c r="Z50" s="93">
        <f t="shared" si="144"/>
        <v>0.19072545283429027</v>
      </c>
      <c r="AA50" s="93">
        <f t="shared" si="144"/>
        <v>0.20342314352535473</v>
      </c>
      <c r="AB50" s="93">
        <f t="shared" ref="AB50:AC50" si="145">(-AB31-AB32)/AB30</f>
        <v>0.30145093950202989</v>
      </c>
      <c r="AC50" s="93">
        <f t="shared" si="145"/>
        <v>-5.1426360796379474E-2</v>
      </c>
      <c r="AD50" s="93">
        <f t="shared" ref="AD50:AG50" si="146">(-AD31-AD32)/AD30</f>
        <v>-0.28362827976876404</v>
      </c>
      <c r="AE50" s="93">
        <f t="shared" si="146"/>
        <v>0.11122306385351437</v>
      </c>
      <c r="AF50" s="93">
        <f t="shared" si="146"/>
        <v>0.41810417056938481</v>
      </c>
      <c r="AG50" s="93">
        <f t="shared" si="146"/>
        <v>0.10482636482156829</v>
      </c>
      <c r="AH50" s="93">
        <f t="shared" ref="AH50:AI50" si="147">(-AH31-AH32)/AH30</f>
        <v>0.17086970025923129</v>
      </c>
      <c r="AI50" s="93">
        <f t="shared" si="147"/>
        <v>0.17087163225221746</v>
      </c>
      <c r="AJ50" s="93">
        <f t="shared" ref="AJ50:AM50" si="148">(-AJ31-AJ32)/AJ30</f>
        <v>0.17086668711870348</v>
      </c>
      <c r="AK50" s="93">
        <f t="shared" si="148"/>
        <v>1.7750720520786676</v>
      </c>
      <c r="AL50" s="93">
        <f t="shared" si="148"/>
        <v>0.47799998334781751</v>
      </c>
      <c r="AM50" s="93">
        <f t="shared" si="148"/>
        <v>0.49102235251007698</v>
      </c>
      <c r="AN50" s="93">
        <f t="shared" ref="AN50:AP50" si="149">(-AN31-AN32)/AN30</f>
        <v>0.52365117540553652</v>
      </c>
      <c r="AO50" s="93">
        <f t="shared" si="149"/>
        <v>-0.77080024148108406</v>
      </c>
      <c r="AP50" s="93">
        <f t="shared" si="149"/>
        <v>-3.0989218622689736E-2</v>
      </c>
    </row>
    <row r="51" spans="2:42" s="51" customFormat="1" ht="13.5" customHeight="1">
      <c r="B51" s="81"/>
      <c r="C51" s="194"/>
      <c r="D51" s="194"/>
      <c r="E51" s="194"/>
      <c r="F51" s="194"/>
      <c r="G51" s="194"/>
      <c r="H51" s="194"/>
      <c r="I51" s="194"/>
      <c r="J51" s="194"/>
      <c r="K51" s="194"/>
      <c r="L51" s="194"/>
      <c r="M51" s="147"/>
      <c r="N51" s="194"/>
      <c r="O51" s="194"/>
      <c r="P51" s="194"/>
      <c r="Q51" s="194"/>
      <c r="R51" s="194"/>
      <c r="S51" s="194"/>
      <c r="T51" s="194"/>
      <c r="U51" s="194"/>
      <c r="V51" s="194"/>
      <c r="W51" s="194"/>
      <c r="X51" s="194"/>
      <c r="Y51" s="194"/>
      <c r="Z51" s="194"/>
      <c r="AA51" s="194"/>
      <c r="AB51" s="194"/>
      <c r="AC51" s="194"/>
      <c r="AD51" s="194"/>
      <c r="AE51" s="194"/>
      <c r="AF51" s="194"/>
      <c r="AG51" s="194"/>
      <c r="AH51" s="194"/>
      <c r="AI51" s="194"/>
      <c r="AJ51" s="194"/>
      <c r="AK51" s="194"/>
      <c r="AL51" s="194"/>
      <c r="AM51" s="194"/>
      <c r="AN51" s="194"/>
      <c r="AO51" s="194"/>
      <c r="AP51" s="194"/>
    </row>
    <row r="52" spans="2:42" ht="13.5" customHeight="1">
      <c r="B52" s="53" t="s">
        <v>192</v>
      </c>
      <c r="C52" s="197">
        <f t="shared" ref="C52:L52" si="150">C72/C9</f>
        <v>-6.9877226777870602E-2</v>
      </c>
      <c r="D52" s="197">
        <f t="shared" si="150"/>
        <v>-0.10072794855139999</v>
      </c>
      <c r="E52" s="197">
        <f t="shared" si="150"/>
        <v>-2.1570348047951406E-2</v>
      </c>
      <c r="F52" s="197">
        <f t="shared" si="150"/>
        <v>-1.7305443510642362E-2</v>
      </c>
      <c r="G52" s="197">
        <f t="shared" si="150"/>
        <v>2.1445333067373774E-2</v>
      </c>
      <c r="H52" s="197">
        <f t="shared" si="150"/>
        <v>-0.21576365416629925</v>
      </c>
      <c r="I52" s="197">
        <f t="shared" si="150"/>
        <v>-1.1675702343344966E-3</v>
      </c>
      <c r="J52" s="197">
        <f t="shared" si="150"/>
        <v>-1.3165041370384281E-2</v>
      </c>
      <c r="K52" s="197">
        <f t="shared" ref="K52" si="151">K72/K9</f>
        <v>3.7429454405100877E-3</v>
      </c>
      <c r="L52" s="197">
        <f t="shared" si="150"/>
        <v>-1.9518838843985635E-2</v>
      </c>
      <c r="M52" s="147"/>
      <c r="N52" s="197">
        <f t="shared" ref="N52:AN52" si="152">N72/N9</f>
        <v>-0.12238991126713041</v>
      </c>
      <c r="O52" s="197">
        <f t="shared" si="152"/>
        <v>0.24074160435042619</v>
      </c>
      <c r="P52" s="197">
        <f t="shared" si="152"/>
        <v>0.12108993998113474</v>
      </c>
      <c r="Q52" s="197">
        <f t="shared" si="152"/>
        <v>-0.3211888122499803</v>
      </c>
      <c r="R52" s="197">
        <f t="shared" si="152"/>
        <v>-3.6179838145139052E-2</v>
      </c>
      <c r="S52" s="197">
        <f t="shared" si="152"/>
        <v>-0.35781412257624795</v>
      </c>
      <c r="T52" s="197">
        <f t="shared" si="152"/>
        <v>5.1503258116995673E-2</v>
      </c>
      <c r="U52" s="197">
        <f t="shared" si="152"/>
        <v>0.26187901831331772</v>
      </c>
      <c r="V52" s="197">
        <f t="shared" si="152"/>
        <v>-0.15031024157004971</v>
      </c>
      <c r="W52" s="197">
        <f t="shared" si="152"/>
        <v>0.3288616197686548</v>
      </c>
      <c r="X52" s="197">
        <f t="shared" si="152"/>
        <v>7.7649806757592865E-3</v>
      </c>
      <c r="Y52" s="197">
        <f t="shared" si="152"/>
        <v>-0.10067317903753834</v>
      </c>
      <c r="Z52" s="197">
        <f t="shared" si="152"/>
        <v>-9.3169972548138386E-2</v>
      </c>
      <c r="AA52" s="197">
        <f t="shared" si="152"/>
        <v>-0.519294770321855</v>
      </c>
      <c r="AB52" s="197">
        <f t="shared" si="152"/>
        <v>0.82908350947985165</v>
      </c>
      <c r="AC52" s="197">
        <f t="shared" si="152"/>
        <v>-1.0509581359698401</v>
      </c>
      <c r="AD52" s="197">
        <f t="shared" si="152"/>
        <v>0.2348748431746267</v>
      </c>
      <c r="AE52" s="197">
        <f t="shared" si="152"/>
        <v>-0.24800450392986478</v>
      </c>
      <c r="AF52" s="197">
        <f t="shared" si="152"/>
        <v>0.34379553184755457</v>
      </c>
      <c r="AG52" s="197">
        <f t="shared" si="152"/>
        <v>-0.32023603755068131</v>
      </c>
      <c r="AH52" s="197">
        <f t="shared" si="152"/>
        <v>-0.22881116869189685</v>
      </c>
      <c r="AI52" s="197">
        <f t="shared" si="152"/>
        <v>0.11049667057140658</v>
      </c>
      <c r="AJ52" s="197">
        <f t="shared" si="152"/>
        <v>5.4565505296489812E-2</v>
      </c>
      <c r="AK52" s="197">
        <f t="shared" si="152"/>
        <v>1.5910838779157163E-3</v>
      </c>
      <c r="AL52" s="197">
        <f t="shared" si="152"/>
        <v>-0.31611609972125293</v>
      </c>
      <c r="AM52" s="197">
        <f t="shared" si="152"/>
        <v>9.0637473997028262E-2</v>
      </c>
      <c r="AN52" s="197">
        <f t="shared" si="152"/>
        <v>5.0148276114306223E-2</v>
      </c>
      <c r="AO52" s="197">
        <f t="shared" ref="AO52:AP52" si="153">AO72/AO9</f>
        <v>0.16390693418397323</v>
      </c>
      <c r="AP52" s="197">
        <f t="shared" si="153"/>
        <v>-0.36452865656343258</v>
      </c>
    </row>
    <row r="53" spans="2:42" s="51" customFormat="1" ht="13.5" customHeight="1">
      <c r="B53" s="53" t="s">
        <v>193</v>
      </c>
      <c r="C53" s="93">
        <f t="shared" ref="C53:L53" si="154">-C76/C9</f>
        <v>1.7954422645716448</v>
      </c>
      <c r="D53" s="93">
        <f t="shared" si="154"/>
        <v>1.0484192925285349</v>
      </c>
      <c r="E53" s="93">
        <f t="shared" si="154"/>
        <v>-8.8339092032083608E-3</v>
      </c>
      <c r="F53" s="93">
        <f t="shared" si="154"/>
        <v>0.48944236772674621</v>
      </c>
      <c r="G53" s="93">
        <f t="shared" si="154"/>
        <v>-9.9213180760024389E-2</v>
      </c>
      <c r="H53" s="93">
        <f t="shared" si="154"/>
        <v>1.4725848849227245</v>
      </c>
      <c r="I53" s="93">
        <f t="shared" si="154"/>
        <v>1.0401219229316547</v>
      </c>
      <c r="J53" s="93">
        <f t="shared" si="154"/>
        <v>0.89829893514181958</v>
      </c>
      <c r="K53" s="93">
        <f t="shared" ref="K53" si="155">-K76/K9</f>
        <v>1.1731723026648579</v>
      </c>
      <c r="L53" s="93">
        <f t="shared" si="154"/>
        <v>0.98683071588642624</v>
      </c>
      <c r="M53" s="147"/>
      <c r="N53" s="93">
        <f t="shared" ref="N53:AN53" si="156">-N76/N9</f>
        <v>0.56483145604545115</v>
      </c>
      <c r="O53" s="93">
        <f t="shared" si="156"/>
        <v>-2.5494122051941068</v>
      </c>
      <c r="P53" s="93">
        <f t="shared" si="156"/>
        <v>1.0352078427561056</v>
      </c>
      <c r="Q53" s="93">
        <f t="shared" si="156"/>
        <v>0.90228913248060927</v>
      </c>
      <c r="R53" s="93">
        <f t="shared" si="156"/>
        <v>0.31877688742283788</v>
      </c>
      <c r="S53" s="93">
        <f t="shared" si="156"/>
        <v>0.59048755252952057</v>
      </c>
      <c r="T53" s="93">
        <f t="shared" si="156"/>
        <v>0.39592216465988267</v>
      </c>
      <c r="U53" s="93">
        <f t="shared" si="156"/>
        <v>0.65353417433391281</v>
      </c>
      <c r="V53" s="93">
        <f t="shared" si="156"/>
        <v>0.47191568032445658</v>
      </c>
      <c r="W53" s="93">
        <f t="shared" si="156"/>
        <v>0.35765009135356307</v>
      </c>
      <c r="X53" s="93">
        <f t="shared" si="156"/>
        <v>0.74273151244078472</v>
      </c>
      <c r="Y53" s="93">
        <f t="shared" si="156"/>
        <v>-1.8939310969857048</v>
      </c>
      <c r="Z53" s="93">
        <f t="shared" si="156"/>
        <v>1.9205616265296468</v>
      </c>
      <c r="AA53" s="93">
        <f t="shared" si="156"/>
        <v>0.31543671190686001</v>
      </c>
      <c r="AB53" s="93">
        <f t="shared" si="156"/>
        <v>1.6277933331477252</v>
      </c>
      <c r="AC53" s="93">
        <f t="shared" si="156"/>
        <v>1.9785069414203871</v>
      </c>
      <c r="AD53" s="93">
        <f t="shared" si="156"/>
        <v>1.087789989396359</v>
      </c>
      <c r="AE53" s="93">
        <f t="shared" si="156"/>
        <v>0.67519571518856469</v>
      </c>
      <c r="AF53" s="93">
        <f t="shared" si="156"/>
        <v>1.9116149270928962</v>
      </c>
      <c r="AG53" s="93">
        <f t="shared" si="156"/>
        <v>0.47932176167797552</v>
      </c>
      <c r="AH53" s="93">
        <f t="shared" si="156"/>
        <v>0.78619964437494083</v>
      </c>
      <c r="AI53" s="93">
        <f t="shared" si="156"/>
        <v>0.85134373131343744</v>
      </c>
      <c r="AJ53" s="93">
        <f t="shared" si="156"/>
        <v>1.1059917521692231</v>
      </c>
      <c r="AK53" s="93">
        <f t="shared" si="156"/>
        <v>0.84483229420511352</v>
      </c>
      <c r="AL53" s="93">
        <f t="shared" si="156"/>
        <v>0.87911446763014323</v>
      </c>
      <c r="AM53" s="93">
        <f t="shared" si="156"/>
        <v>1.6574051708766717</v>
      </c>
      <c r="AN53" s="93">
        <f t="shared" si="156"/>
        <v>0.7039034533107037</v>
      </c>
      <c r="AO53" s="93">
        <f t="shared" ref="AO53:AP53" si="157">-AO76/AO9</f>
        <v>1.4494884470389167</v>
      </c>
      <c r="AP53" s="93">
        <f t="shared" si="157"/>
        <v>0.20505785640321192</v>
      </c>
    </row>
    <row r="54" spans="2:42" s="1" customFormat="1" ht="13.5" customHeight="1">
      <c r="M54" s="147"/>
    </row>
    <row r="55" spans="2:42" ht="13.5" customHeight="1">
      <c r="B55" s="61" t="s">
        <v>194</v>
      </c>
      <c r="C55" s="70">
        <f t="shared" ref="C55:J55" si="158">C3</f>
        <v>43100</v>
      </c>
      <c r="D55" s="70">
        <f t="shared" si="158"/>
        <v>43465</v>
      </c>
      <c r="E55" s="70">
        <f t="shared" si="158"/>
        <v>43830</v>
      </c>
      <c r="F55" s="70">
        <f t="shared" si="158"/>
        <v>44196</v>
      </c>
      <c r="G55" s="70">
        <f t="shared" si="158"/>
        <v>44561</v>
      </c>
      <c r="H55" s="70">
        <f t="shared" si="158"/>
        <v>44926</v>
      </c>
      <c r="I55" s="70">
        <f t="shared" si="158"/>
        <v>45291</v>
      </c>
      <c r="J55" s="70">
        <f t="shared" si="158"/>
        <v>45657</v>
      </c>
      <c r="K55" s="70">
        <f t="shared" ref="K55" si="159">K3</f>
        <v>46022</v>
      </c>
      <c r="L55" s="70" t="str">
        <f>L2</f>
        <v>LTM</v>
      </c>
      <c r="M55" s="147"/>
      <c r="N55" s="70">
        <f t="shared" ref="N55:AN55" si="160">N3</f>
        <v>43555</v>
      </c>
      <c r="O55" s="70">
        <f t="shared" si="160"/>
        <v>43646</v>
      </c>
      <c r="P55" s="70">
        <f t="shared" si="160"/>
        <v>43738</v>
      </c>
      <c r="Q55" s="70">
        <f t="shared" si="160"/>
        <v>43830</v>
      </c>
      <c r="R55" s="70">
        <f t="shared" si="160"/>
        <v>43921</v>
      </c>
      <c r="S55" s="70">
        <f t="shared" si="160"/>
        <v>44012</v>
      </c>
      <c r="T55" s="70">
        <f t="shared" si="160"/>
        <v>44104</v>
      </c>
      <c r="U55" s="70">
        <f t="shared" si="160"/>
        <v>44196</v>
      </c>
      <c r="V55" s="70">
        <f t="shared" si="160"/>
        <v>44286</v>
      </c>
      <c r="W55" s="70">
        <f t="shared" si="160"/>
        <v>44377</v>
      </c>
      <c r="X55" s="70">
        <f t="shared" si="160"/>
        <v>44469</v>
      </c>
      <c r="Y55" s="70">
        <f t="shared" si="160"/>
        <v>44561</v>
      </c>
      <c r="Z55" s="70">
        <f t="shared" si="160"/>
        <v>44651</v>
      </c>
      <c r="AA55" s="70">
        <f t="shared" si="160"/>
        <v>44742</v>
      </c>
      <c r="AB55" s="70">
        <f t="shared" si="160"/>
        <v>44834</v>
      </c>
      <c r="AC55" s="70">
        <f t="shared" si="160"/>
        <v>44926</v>
      </c>
      <c r="AD55" s="70">
        <f t="shared" si="160"/>
        <v>45016</v>
      </c>
      <c r="AE55" s="70">
        <f t="shared" si="160"/>
        <v>45107</v>
      </c>
      <c r="AF55" s="70">
        <f t="shared" si="160"/>
        <v>45199</v>
      </c>
      <c r="AG55" s="70">
        <f t="shared" si="160"/>
        <v>45291</v>
      </c>
      <c r="AH55" s="70">
        <f t="shared" si="160"/>
        <v>45382</v>
      </c>
      <c r="AI55" s="70">
        <f t="shared" si="160"/>
        <v>45473</v>
      </c>
      <c r="AJ55" s="70">
        <f t="shared" si="160"/>
        <v>45565</v>
      </c>
      <c r="AK55" s="70">
        <f t="shared" si="160"/>
        <v>45657</v>
      </c>
      <c r="AL55" s="70">
        <f t="shared" si="160"/>
        <v>45747</v>
      </c>
      <c r="AM55" s="70">
        <f t="shared" si="160"/>
        <v>45838</v>
      </c>
      <c r="AN55" s="70">
        <f t="shared" si="160"/>
        <v>45930</v>
      </c>
      <c r="AO55" s="70">
        <f t="shared" ref="AO55:AP55" si="161">AO3</f>
        <v>46022</v>
      </c>
      <c r="AP55" s="70">
        <f t="shared" si="161"/>
        <v>46112</v>
      </c>
    </row>
    <row r="56" spans="2:42" s="39" customFormat="1" ht="13.5" customHeight="1">
      <c r="B56" s="87" t="s">
        <v>174</v>
      </c>
      <c r="C56" s="68">
        <f t="shared" ref="C56:L56" si="162">+C19</f>
        <v>90.165526</v>
      </c>
      <c r="D56" s="68">
        <f t="shared" si="162"/>
        <v>110.325025</v>
      </c>
      <c r="E56" s="68">
        <f t="shared" si="162"/>
        <v>117.099341</v>
      </c>
      <c r="F56" s="68">
        <f t="shared" si="162"/>
        <v>121.03878599999999</v>
      </c>
      <c r="G56" s="68">
        <f t="shared" si="162"/>
        <v>128.65868400000002</v>
      </c>
      <c r="H56" s="68">
        <f t="shared" si="162"/>
        <v>142.18763899999999</v>
      </c>
      <c r="I56" s="68">
        <f t="shared" si="162"/>
        <v>164.50799499999999</v>
      </c>
      <c r="J56" s="68">
        <f t="shared" si="162"/>
        <v>193.55644599999999</v>
      </c>
      <c r="K56" s="68">
        <f t="shared" ref="K56" si="163">+K19</f>
        <v>219.45663300000001</v>
      </c>
      <c r="L56" s="68">
        <f t="shared" si="162"/>
        <v>226.067689</v>
      </c>
      <c r="M56" s="68"/>
      <c r="N56" s="68">
        <f t="shared" ref="N56:AN56" si="164">+N19</f>
        <v>30.079543000000005</v>
      </c>
      <c r="O56" s="68">
        <f t="shared" si="164"/>
        <v>29.222132000000006</v>
      </c>
      <c r="P56" s="68">
        <f t="shared" si="164"/>
        <v>29.146918000000007</v>
      </c>
      <c r="Q56" s="68">
        <f t="shared" si="164"/>
        <v>28.650748000000014</v>
      </c>
      <c r="R56" s="68">
        <f t="shared" si="164"/>
        <v>30.030882000000005</v>
      </c>
      <c r="S56" s="68">
        <f t="shared" si="164"/>
        <v>29.513500999999998</v>
      </c>
      <c r="T56" s="68">
        <f t="shared" si="164"/>
        <v>30.857543</v>
      </c>
      <c r="U56" s="68">
        <f t="shared" si="164"/>
        <v>30.636859999999999</v>
      </c>
      <c r="V56" s="68">
        <f t="shared" si="164"/>
        <v>31.626382000000007</v>
      </c>
      <c r="W56" s="68">
        <f t="shared" si="164"/>
        <v>31.860942999999992</v>
      </c>
      <c r="X56" s="68">
        <f t="shared" si="164"/>
        <v>32.647100000000009</v>
      </c>
      <c r="Y56" s="68">
        <f t="shared" si="164"/>
        <v>32.524259000000008</v>
      </c>
      <c r="Z56" s="68">
        <f t="shared" si="164"/>
        <v>33.406932999999995</v>
      </c>
      <c r="AA56" s="68">
        <f t="shared" si="164"/>
        <v>34.413669000000006</v>
      </c>
      <c r="AB56" s="68">
        <f t="shared" si="164"/>
        <v>36.638348000000001</v>
      </c>
      <c r="AC56" s="68">
        <f t="shared" si="164"/>
        <v>37.72868900000001</v>
      </c>
      <c r="AD56" s="68">
        <f t="shared" si="164"/>
        <v>38.827906000000006</v>
      </c>
      <c r="AE56" s="68">
        <f t="shared" si="164"/>
        <v>40.741775000000004</v>
      </c>
      <c r="AF56" s="68">
        <f t="shared" si="164"/>
        <v>43.011349000000003</v>
      </c>
      <c r="AG56" s="68">
        <f t="shared" si="164"/>
        <v>41.92696500000001</v>
      </c>
      <c r="AH56" s="68">
        <f t="shared" si="164"/>
        <v>47.529605999999994</v>
      </c>
      <c r="AI56" s="68">
        <f t="shared" si="164"/>
        <v>47.628768000000001</v>
      </c>
      <c r="AJ56" s="68">
        <f t="shared" si="164"/>
        <v>49.778936000000002</v>
      </c>
      <c r="AK56" s="68">
        <f t="shared" si="164"/>
        <v>48.619135999999969</v>
      </c>
      <c r="AL56" s="68">
        <f t="shared" si="164"/>
        <v>52.934515000000005</v>
      </c>
      <c r="AM56" s="68">
        <f t="shared" si="164"/>
        <v>52.379999999999995</v>
      </c>
      <c r="AN56" s="68">
        <f t="shared" si="164"/>
        <v>55.865602999999986</v>
      </c>
      <c r="AO56" s="68">
        <f t="shared" ref="AO56:AP56" si="165">+AO19</f>
        <v>58.276515000000003</v>
      </c>
      <c r="AP56" s="68">
        <f t="shared" si="165"/>
        <v>59.545570999999995</v>
      </c>
    </row>
    <row r="57" spans="2:42" ht="13.5" customHeight="1">
      <c r="B57" s="81" t="s">
        <v>195</v>
      </c>
      <c r="C57" s="16">
        <f>-C17+1.43</f>
        <v>1.786727</v>
      </c>
      <c r="D57" s="16">
        <f>-D17+1.93</f>
        <v>2.503177</v>
      </c>
      <c r="E57" s="16">
        <f>-E17+2.79</f>
        <v>4.2847780000000002</v>
      </c>
      <c r="F57" s="16">
        <f>-F17+3.68</f>
        <v>5.157413</v>
      </c>
      <c r="G57" s="16">
        <f>-G17+5.55</f>
        <v>7.1512159999999998</v>
      </c>
      <c r="H57" s="16">
        <f>-H17+6.65</f>
        <v>8.1139200000000002</v>
      </c>
      <c r="I57" s="16">
        <f>-I17+8.001831</f>
        <v>9.5799039999999991</v>
      </c>
      <c r="J57" s="16">
        <f>-J17+8.982488</f>
        <v>10.398514</v>
      </c>
      <c r="K57" s="16">
        <f>-K17+9.630465</f>
        <v>11.355101999999999</v>
      </c>
      <c r="L57" s="16">
        <f>SUM(AM57:AP57)</f>
        <v>12.282044999999998</v>
      </c>
      <c r="M57" s="16"/>
      <c r="N57" s="16">
        <f>-N17+0.69</f>
        <v>1.0272359999999998</v>
      </c>
      <c r="O57" s="16">
        <f>-O17+0.7</f>
        <v>1.037236</v>
      </c>
      <c r="P57" s="16">
        <f>-P17+0.67</f>
        <v>1.0730470000000001</v>
      </c>
      <c r="Q57" s="16">
        <f>-Q17+0.7</f>
        <v>1.117259</v>
      </c>
      <c r="R57" s="16">
        <f>-R17+0.94</f>
        <v>1.432342</v>
      </c>
      <c r="S57" s="16">
        <f>-S17+0.87</f>
        <v>1.169754</v>
      </c>
      <c r="T57" s="16">
        <f>-T17+0.91</f>
        <v>1.233789</v>
      </c>
      <c r="U57" s="16">
        <f>-U17+0.96</f>
        <v>1.321528</v>
      </c>
      <c r="V57" s="16">
        <f>-V17+1.42</f>
        <v>1.8082989999999999</v>
      </c>
      <c r="W57" s="16">
        <f>-W17+1.43</f>
        <v>1.826139</v>
      </c>
      <c r="X57" s="16">
        <f>-X17+1.345609</f>
        <v>1.7363330000000001</v>
      </c>
      <c r="Y57" s="16">
        <f>-Y17+1.35</f>
        <v>1.776054</v>
      </c>
      <c r="Z57" s="16">
        <f>-Z17+1.65</f>
        <v>1.999123</v>
      </c>
      <c r="AA57" s="16">
        <f>-AA17+1.650944</f>
        <v>1.981393</v>
      </c>
      <c r="AB57" s="16">
        <f>-AB17+1.635247</f>
        <v>2.040848</v>
      </c>
      <c r="AC57" s="16">
        <f>-AC17+1.68</f>
        <v>2.0587469999999999</v>
      </c>
      <c r="AD57" s="16">
        <f>-AD17+2.79</f>
        <v>3.1588750000000001</v>
      </c>
      <c r="AE57" s="16">
        <f>-AE17+1.650944</f>
        <v>2.0270609999999998</v>
      </c>
      <c r="AF57" s="16">
        <f>-AF17+1.786611</f>
        <v>2.0525729999999998</v>
      </c>
      <c r="AG57" s="16">
        <f>-AG17+(8.001831-1.786611-1.650944-2.79)</f>
        <v>2.3413949999999994</v>
      </c>
      <c r="AH57" s="16">
        <f>-AH17+2.146913</f>
        <v>2.4745520000000001</v>
      </c>
      <c r="AI57" s="16">
        <f>-AI17+2.6577</f>
        <v>2.8037990000000002</v>
      </c>
      <c r="AJ57" s="16">
        <f>-AJ17+2.147902</f>
        <v>2.573518</v>
      </c>
      <c r="AK57" s="16">
        <f t="shared" ref="AK57" si="166">J57-SUM(AH57:AJ57)</f>
        <v>2.5466449999999998</v>
      </c>
      <c r="AL57" s="16">
        <f>-AL17+2.196456</f>
        <v>2.8331089999999999</v>
      </c>
      <c r="AM57" s="16">
        <f>-AM17+2.4</f>
        <v>2.5</v>
      </c>
      <c r="AN57" s="16">
        <f>0.494869+2.336235</f>
        <v>2.8311039999999998</v>
      </c>
      <c r="AO57" s="16">
        <f>K57-SUM(AL57:AN57)</f>
        <v>3.1908889999999985</v>
      </c>
      <c r="AP57" s="16">
        <f>-AP17+3.288756</f>
        <v>3.7600519999999999</v>
      </c>
    </row>
    <row r="58" spans="2:42" s="39" customFormat="1" ht="13.5" customHeight="1">
      <c r="B58" s="39" t="s">
        <v>194</v>
      </c>
      <c r="C58" s="68">
        <f t="shared" ref="C58:G58" si="167">SUM(C56:C57)</f>
        <v>91.952252999999999</v>
      </c>
      <c r="D58" s="68">
        <f t="shared" si="167"/>
        <v>112.82820199999999</v>
      </c>
      <c r="E58" s="68">
        <f t="shared" si="167"/>
        <v>121.384119</v>
      </c>
      <c r="F58" s="68">
        <f t="shared" si="167"/>
        <v>126.19619899999999</v>
      </c>
      <c r="G58" s="68">
        <f t="shared" si="167"/>
        <v>135.80990000000003</v>
      </c>
      <c r="H58" s="68">
        <f t="shared" ref="H58:I58" si="168">SUM(H56:H57)</f>
        <v>150.301559</v>
      </c>
      <c r="I58" s="68">
        <f t="shared" si="168"/>
        <v>174.08789899999999</v>
      </c>
      <c r="J58" s="68">
        <f t="shared" ref="J58:K58" si="169">SUM(J56:J57)</f>
        <v>203.95496</v>
      </c>
      <c r="K58" s="68">
        <f t="shared" si="169"/>
        <v>230.811735</v>
      </c>
      <c r="L58" s="68">
        <f>SUM(L56:L57)</f>
        <v>238.34973400000001</v>
      </c>
      <c r="M58" s="68"/>
      <c r="N58" s="68">
        <f t="shared" ref="N58:U58" si="170">SUM(N56:N57)</f>
        <v>31.106779000000003</v>
      </c>
      <c r="O58" s="68">
        <f t="shared" si="170"/>
        <v>30.259368000000006</v>
      </c>
      <c r="P58" s="68">
        <f t="shared" si="170"/>
        <v>30.219965000000006</v>
      </c>
      <c r="Q58" s="68">
        <f t="shared" si="170"/>
        <v>29.768007000000015</v>
      </c>
      <c r="R58" s="68">
        <f t="shared" si="170"/>
        <v>31.463224000000004</v>
      </c>
      <c r="S58" s="68">
        <f t="shared" si="170"/>
        <v>30.683254999999999</v>
      </c>
      <c r="T58" s="68">
        <f t="shared" si="170"/>
        <v>32.091332000000001</v>
      </c>
      <c r="U58" s="68">
        <f t="shared" si="170"/>
        <v>31.958387999999999</v>
      </c>
      <c r="V58" s="68">
        <f t="shared" ref="V58:Y58" si="171">SUM(V56:V57)</f>
        <v>33.434681000000005</v>
      </c>
      <c r="W58" s="68">
        <f t="shared" si="171"/>
        <v>33.68708199999999</v>
      </c>
      <c r="X58" s="68">
        <f t="shared" si="171"/>
        <v>34.383433000000011</v>
      </c>
      <c r="Y58" s="68">
        <f t="shared" si="171"/>
        <v>34.30031300000001</v>
      </c>
      <c r="Z58" s="68">
        <f t="shared" ref="Z58:AA58" si="172">SUM(Z56:Z57)</f>
        <v>35.406055999999992</v>
      </c>
      <c r="AA58" s="68">
        <f t="shared" si="172"/>
        <v>36.395062000000003</v>
      </c>
      <c r="AB58" s="68">
        <f t="shared" ref="AB58:AC58" si="173">SUM(AB56:AB57)</f>
        <v>38.679195999999997</v>
      </c>
      <c r="AC58" s="68">
        <f t="shared" si="173"/>
        <v>39.787436000000007</v>
      </c>
      <c r="AD58" s="68">
        <f t="shared" ref="AD58:AG58" si="174">SUM(AD56:AD57)</f>
        <v>41.986781000000008</v>
      </c>
      <c r="AE58" s="68">
        <f t="shared" si="174"/>
        <v>42.768836000000007</v>
      </c>
      <c r="AF58" s="68">
        <f t="shared" si="174"/>
        <v>45.063922000000005</v>
      </c>
      <c r="AG58" s="68">
        <f t="shared" si="174"/>
        <v>44.268360000000008</v>
      </c>
      <c r="AH58" s="68">
        <f>SUM(AH56:AH57)</f>
        <v>50.004157999999997</v>
      </c>
      <c r="AI58" s="68">
        <f t="shared" ref="AI58:AK58" si="175">SUM(AI56:AI57)</f>
        <v>50.432566999999999</v>
      </c>
      <c r="AJ58" s="68">
        <f t="shared" si="175"/>
        <v>52.352454000000002</v>
      </c>
      <c r="AK58" s="68">
        <f t="shared" si="175"/>
        <v>51.165780999999967</v>
      </c>
      <c r="AL58" s="68">
        <f>SUM(AL56:AL57)</f>
        <v>55.767624000000005</v>
      </c>
      <c r="AM58" s="68">
        <f t="shared" ref="AM58:AO58" si="176">SUM(AM56:AM57)</f>
        <v>54.879999999999995</v>
      </c>
      <c r="AN58" s="68">
        <f t="shared" si="176"/>
        <v>58.696706999999989</v>
      </c>
      <c r="AO58" s="68">
        <f t="shared" si="176"/>
        <v>61.467404000000002</v>
      </c>
      <c r="AP58" s="68">
        <f>SUM(AP56:AP57)</f>
        <v>63.305622999999997</v>
      </c>
    </row>
    <row r="59" spans="2:42" s="51" customFormat="1" ht="13.5" customHeight="1">
      <c r="B59" s="56" t="s">
        <v>196</v>
      </c>
      <c r="C59" s="90"/>
      <c r="D59" s="90">
        <f t="shared" ref="D59:K59" si="177">+D58/C58-1</f>
        <v>0.22703031539640461</v>
      </c>
      <c r="E59" s="90">
        <f t="shared" si="177"/>
        <v>7.5831368827449896E-2</v>
      </c>
      <c r="F59" s="90">
        <f t="shared" si="177"/>
        <v>3.9643406729343189E-2</v>
      </c>
      <c r="G59" s="90">
        <f t="shared" si="177"/>
        <v>7.6180590827462424E-2</v>
      </c>
      <c r="H59" s="90">
        <f t="shared" si="177"/>
        <v>0.1067054684525941</v>
      </c>
      <c r="I59" s="90">
        <f t="shared" si="177"/>
        <v>0.15825744029707622</v>
      </c>
      <c r="J59" s="90">
        <f t="shared" si="177"/>
        <v>0.17156310789872875</v>
      </c>
      <c r="K59" s="90">
        <f t="shared" si="177"/>
        <v>0.13167993070626971</v>
      </c>
      <c r="L59" s="90"/>
      <c r="M59" s="143"/>
      <c r="N59" s="90"/>
      <c r="O59" s="90"/>
      <c r="P59" s="90"/>
      <c r="Q59" s="90"/>
      <c r="R59" s="90">
        <f t="shared" ref="R59:AP59" si="178">R58/N58-1</f>
        <v>1.145875630517712E-2</v>
      </c>
      <c r="S59" s="90">
        <f t="shared" si="178"/>
        <v>1.400845516667748E-2</v>
      </c>
      <c r="T59" s="90">
        <f t="shared" si="178"/>
        <v>6.1924856630376501E-2</v>
      </c>
      <c r="U59" s="90">
        <f t="shared" si="178"/>
        <v>7.3581714758397698E-2</v>
      </c>
      <c r="V59" s="90">
        <f t="shared" si="178"/>
        <v>6.2659090498799586E-2</v>
      </c>
      <c r="W59" s="90">
        <f t="shared" si="178"/>
        <v>9.7897925106054995E-2</v>
      </c>
      <c r="X59" s="90">
        <f t="shared" si="178"/>
        <v>7.1424302363018333E-2</v>
      </c>
      <c r="Y59" s="90">
        <f t="shared" si="178"/>
        <v>7.3280448312975421E-2</v>
      </c>
      <c r="Z59" s="90">
        <f t="shared" si="178"/>
        <v>5.8961980226459598E-2</v>
      </c>
      <c r="AA59" s="90">
        <f t="shared" si="178"/>
        <v>8.0386303568828366E-2</v>
      </c>
      <c r="AB59" s="90">
        <f t="shared" si="178"/>
        <v>0.12493700090971105</v>
      </c>
      <c r="AC59" s="90">
        <f t="shared" si="178"/>
        <v>0.15997297167521451</v>
      </c>
      <c r="AD59" s="90">
        <f t="shared" si="178"/>
        <v>0.18586438997893517</v>
      </c>
      <c r="AE59" s="90">
        <f t="shared" si="178"/>
        <v>0.17512743899158645</v>
      </c>
      <c r="AF59" s="90">
        <f t="shared" si="178"/>
        <v>0.16506873617538509</v>
      </c>
      <c r="AG59" s="90">
        <f t="shared" si="178"/>
        <v>0.11262158235077036</v>
      </c>
      <c r="AH59" s="90">
        <f t="shared" si="178"/>
        <v>0.19095002781946979</v>
      </c>
      <c r="AI59" s="90">
        <f t="shared" si="178"/>
        <v>0.17918960899473602</v>
      </c>
      <c r="AJ59" s="90">
        <f t="shared" si="178"/>
        <v>0.16173763126964391</v>
      </c>
      <c r="AK59" s="90">
        <f t="shared" si="178"/>
        <v>0.15580927325972671</v>
      </c>
      <c r="AL59" s="90">
        <f t="shared" si="178"/>
        <v>0.11525973500043762</v>
      </c>
      <c r="AM59" s="90">
        <f>AM58/AI58-1</f>
        <v>8.8185735221449235E-2</v>
      </c>
      <c r="AN59" s="90">
        <f t="shared" si="178"/>
        <v>0.12118348836140491</v>
      </c>
      <c r="AO59" s="90">
        <f t="shared" si="178"/>
        <v>0.2013381365174518</v>
      </c>
      <c r="AP59" s="90">
        <f t="shared" si="178"/>
        <v>0.13516801433032177</v>
      </c>
    </row>
    <row r="60" spans="2:42" s="51" customFormat="1" ht="13.5" customHeight="1">
      <c r="B60" s="56" t="s">
        <v>175</v>
      </c>
      <c r="C60" s="90">
        <f t="shared" ref="C60:L60" si="179">+C58/C7</f>
        <v>0.84030464176200592</v>
      </c>
      <c r="D60" s="90">
        <f t="shared" si="179"/>
        <v>0.85044717138934045</v>
      </c>
      <c r="E60" s="90">
        <f t="shared" si="179"/>
        <v>0.84123708052209145</v>
      </c>
      <c r="F60" s="90">
        <f t="shared" si="179"/>
        <v>0.84391915233030312</v>
      </c>
      <c r="G60" s="90">
        <f t="shared" si="179"/>
        <v>0.84512299236859179</v>
      </c>
      <c r="H60" s="90">
        <f t="shared" si="179"/>
        <v>0.84427001708480331</v>
      </c>
      <c r="I60" s="90">
        <f t="shared" si="179"/>
        <v>0.81559751125865154</v>
      </c>
      <c r="J60" s="90">
        <f t="shared" si="179"/>
        <v>0.8095040762450707</v>
      </c>
      <c r="K60" s="90">
        <f t="shared" ref="K60" si="180">+K58/K7</f>
        <v>0.81503226929359252</v>
      </c>
      <c r="L60" s="90">
        <f t="shared" si="179"/>
        <v>0.81374829118642811</v>
      </c>
      <c r="M60" s="143"/>
      <c r="N60" s="90">
        <f t="shared" ref="N60:AN60" si="181">+N58/N7</f>
        <v>0.8571631025683526</v>
      </c>
      <c r="O60" s="90">
        <f t="shared" si="181"/>
        <v>0.84222124935193399</v>
      </c>
      <c r="P60" s="90">
        <f t="shared" si="181"/>
        <v>0.8435306358986232</v>
      </c>
      <c r="Q60" s="90">
        <f t="shared" si="181"/>
        <v>0.82122271503481947</v>
      </c>
      <c r="R60" s="90">
        <f t="shared" si="181"/>
        <v>0.83467603098787324</v>
      </c>
      <c r="S60" s="90">
        <f t="shared" si="181"/>
        <v>0.83974434850838708</v>
      </c>
      <c r="T60" s="90">
        <f t="shared" si="181"/>
        <v>0.85673156830818509</v>
      </c>
      <c r="U60" s="90">
        <f t="shared" si="181"/>
        <v>0.84447504719891786</v>
      </c>
      <c r="V60" s="90">
        <f t="shared" si="181"/>
        <v>0.8717753651114023</v>
      </c>
      <c r="W60" s="90">
        <f t="shared" si="181"/>
        <v>0.8473278074591778</v>
      </c>
      <c r="X60" s="90">
        <f t="shared" si="181"/>
        <v>0.83857675198825066</v>
      </c>
      <c r="Y60" s="90">
        <f t="shared" si="181"/>
        <v>0.82478442063294588</v>
      </c>
      <c r="Z60" s="90">
        <f t="shared" si="181"/>
        <v>0.84324135596215521</v>
      </c>
      <c r="AA60" s="90">
        <f t="shared" si="181"/>
        <v>0.88036529667110974</v>
      </c>
      <c r="AB60" s="90">
        <f t="shared" si="181"/>
        <v>0.84994197619088996</v>
      </c>
      <c r="AC60" s="90">
        <f t="shared" si="181"/>
        <v>0.80887664230684442</v>
      </c>
      <c r="AD60" s="90">
        <f t="shared" si="181"/>
        <v>0.8463218830849818</v>
      </c>
      <c r="AE60" s="90">
        <f t="shared" si="181"/>
        <v>0.87832305021865043</v>
      </c>
      <c r="AF60" s="90">
        <f t="shared" si="181"/>
        <v>0.87311065059469151</v>
      </c>
      <c r="AG60" s="90">
        <f t="shared" si="181"/>
        <v>0.6968038107750103</v>
      </c>
      <c r="AH60" s="90">
        <f t="shared" si="181"/>
        <v>0.83095970873495195</v>
      </c>
      <c r="AI60" s="90">
        <f t="shared" si="181"/>
        <v>0.87453269158652192</v>
      </c>
      <c r="AJ60" s="90">
        <f t="shared" si="181"/>
        <v>0.89679744746580692</v>
      </c>
      <c r="AK60" s="90">
        <f t="shared" si="181"/>
        <v>0.67564342053452686</v>
      </c>
      <c r="AL60" s="90">
        <f t="shared" si="181"/>
        <v>0.83186825103771667</v>
      </c>
      <c r="AM60" s="90">
        <f t="shared" si="181"/>
        <v>0.88231511254019279</v>
      </c>
      <c r="AN60" s="90">
        <f t="shared" si="181"/>
        <v>0.81049374887161396</v>
      </c>
      <c r="AO60" s="90">
        <f t="shared" ref="AO60:AP60" si="182">+AO58/AO7</f>
        <v>0.75389199535135498</v>
      </c>
      <c r="AP60" s="90">
        <f t="shared" si="182"/>
        <v>0.82483805619538153</v>
      </c>
    </row>
    <row r="61" spans="2:42" s="51" customFormat="1" ht="13.5" customHeight="1">
      <c r="B61" s="92"/>
      <c r="C61" s="83"/>
      <c r="D61" s="83"/>
      <c r="E61" s="83"/>
      <c r="F61" s="83"/>
      <c r="G61" s="83"/>
      <c r="H61" s="83"/>
      <c r="I61" s="83"/>
      <c r="J61" s="83"/>
      <c r="K61" s="83"/>
      <c r="L61" s="83"/>
      <c r="M61" s="143"/>
      <c r="N61" s="83"/>
      <c r="O61" s="83"/>
      <c r="P61" s="83"/>
      <c r="Q61" s="83"/>
      <c r="R61" s="83"/>
      <c r="S61" s="83"/>
      <c r="T61" s="83"/>
      <c r="U61" s="83"/>
      <c r="V61" s="83"/>
      <c r="W61" s="83"/>
      <c r="X61" s="83"/>
      <c r="Y61" s="83"/>
      <c r="Z61" s="83"/>
      <c r="AA61" s="83"/>
      <c r="AB61" s="83"/>
      <c r="AC61" s="83"/>
      <c r="AD61" s="83"/>
      <c r="AE61" s="83"/>
      <c r="AF61" s="83"/>
      <c r="AG61" s="83"/>
      <c r="AH61" s="83"/>
      <c r="AI61" s="83"/>
      <c r="AK61" s="83"/>
      <c r="AL61" s="83"/>
      <c r="AM61" s="83"/>
      <c r="AO61" s="83"/>
      <c r="AP61" s="83"/>
    </row>
    <row r="62" spans="2:42" ht="13.5" customHeight="1">
      <c r="B62" s="167" t="s">
        <v>197</v>
      </c>
      <c r="C62" s="167">
        <f t="shared" ref="C62:G62" si="183">C63-C58</f>
        <v>0</v>
      </c>
      <c r="D62" s="167">
        <f t="shared" si="183"/>
        <v>0</v>
      </c>
      <c r="E62" s="167">
        <f t="shared" si="183"/>
        <v>0</v>
      </c>
      <c r="F62" s="167">
        <f t="shared" si="183"/>
        <v>0</v>
      </c>
      <c r="G62" s="167">
        <f t="shared" si="183"/>
        <v>0</v>
      </c>
      <c r="H62" s="167">
        <f t="shared" ref="H62:I62" si="184">H63-H58</f>
        <v>0</v>
      </c>
      <c r="I62" s="167">
        <f t="shared" si="184"/>
        <v>0</v>
      </c>
      <c r="J62" s="167">
        <f t="shared" ref="J62:K62" si="185">J63-J58</f>
        <v>0.44504000000000588</v>
      </c>
      <c r="K62" s="167">
        <f t="shared" si="185"/>
        <v>0.28826499999999555</v>
      </c>
      <c r="L62" s="167">
        <f>L63-L58</f>
        <v>-0.41544899999999529</v>
      </c>
      <c r="M62" s="143"/>
      <c r="N62" s="167">
        <f t="shared" ref="N62:W62" si="186">N63-N58</f>
        <v>0</v>
      </c>
      <c r="O62" s="167">
        <f t="shared" si="186"/>
        <v>0</v>
      </c>
      <c r="P62" s="167">
        <f t="shared" si="186"/>
        <v>0</v>
      </c>
      <c r="Q62" s="167">
        <f t="shared" si="186"/>
        <v>0</v>
      </c>
      <c r="R62" s="167">
        <f t="shared" si="186"/>
        <v>0</v>
      </c>
      <c r="S62" s="167">
        <f t="shared" si="186"/>
        <v>0</v>
      </c>
      <c r="T62" s="167">
        <f t="shared" si="186"/>
        <v>0</v>
      </c>
      <c r="U62" s="167">
        <f t="shared" si="186"/>
        <v>0</v>
      </c>
      <c r="V62" s="167">
        <f t="shared" si="186"/>
        <v>0</v>
      </c>
      <c r="W62" s="167">
        <f t="shared" si="186"/>
        <v>0</v>
      </c>
      <c r="X62" s="167">
        <f t="shared" ref="X62:AA62" si="187">X63-X58</f>
        <v>0</v>
      </c>
      <c r="Y62" s="167">
        <f t="shared" si="187"/>
        <v>0</v>
      </c>
      <c r="Z62" s="167">
        <f t="shared" si="187"/>
        <v>0</v>
      </c>
      <c r="AA62" s="167">
        <f t="shared" si="187"/>
        <v>0</v>
      </c>
      <c r="AB62" s="167">
        <f t="shared" ref="AB62:AC62" si="188">AB63-AB58</f>
        <v>0</v>
      </c>
      <c r="AC62" s="167">
        <f t="shared" si="188"/>
        <v>0</v>
      </c>
      <c r="AD62" s="167">
        <f t="shared" ref="AD62:AG62" si="189">AD63-AD58</f>
        <v>0</v>
      </c>
      <c r="AE62" s="167">
        <f t="shared" si="189"/>
        <v>0</v>
      </c>
      <c r="AF62" s="167">
        <f t="shared" si="189"/>
        <v>0</v>
      </c>
      <c r="AG62" s="167">
        <f t="shared" si="189"/>
        <v>0</v>
      </c>
      <c r="AH62" s="167">
        <f>AH63-AH58</f>
        <v>0.57393100000000175</v>
      </c>
      <c r="AI62" s="167">
        <f t="shared" ref="AI62:AK62" si="190">AI63-AI58</f>
        <v>0</v>
      </c>
      <c r="AJ62" s="167">
        <f t="shared" si="190"/>
        <v>0</v>
      </c>
      <c r="AK62" s="167">
        <f t="shared" si="190"/>
        <v>0</v>
      </c>
      <c r="AL62" s="167">
        <f>AL63-AL58</f>
        <v>-0.50925200000000359</v>
      </c>
      <c r="AM62" s="167">
        <f t="shared" ref="AM62:AO62" si="191">AM63-AM58</f>
        <v>0</v>
      </c>
      <c r="AN62" s="167">
        <f t="shared" si="191"/>
        <v>1.0032930000000135</v>
      </c>
      <c r="AO62" s="167">
        <f t="shared" si="191"/>
        <v>-0.20577600000000018</v>
      </c>
      <c r="AP62" s="167">
        <f>AP63-AP58</f>
        <v>-1.2129659999999944</v>
      </c>
    </row>
    <row r="63" spans="2:42" s="39" customFormat="1" ht="13.5" customHeight="1">
      <c r="B63" s="39" t="s">
        <v>198</v>
      </c>
      <c r="C63" s="68">
        <f t="shared" ref="C63:D63" si="192">C58</f>
        <v>91.952252999999999</v>
      </c>
      <c r="D63" s="68">
        <f t="shared" si="192"/>
        <v>112.82820199999999</v>
      </c>
      <c r="E63" s="68">
        <f t="shared" ref="E63" si="193">E58</f>
        <v>121.384119</v>
      </c>
      <c r="F63" s="68">
        <f t="shared" ref="F63:I63" si="194">F58</f>
        <v>126.19619899999999</v>
      </c>
      <c r="G63" s="68">
        <f t="shared" si="194"/>
        <v>135.80990000000003</v>
      </c>
      <c r="H63" s="68">
        <f t="shared" si="194"/>
        <v>150.301559</v>
      </c>
      <c r="I63" s="68">
        <f t="shared" si="194"/>
        <v>174.08789899999999</v>
      </c>
      <c r="J63" s="132">
        <v>204.4</v>
      </c>
      <c r="K63" s="132">
        <v>231.1</v>
      </c>
      <c r="L63" s="68">
        <f>SUM(AM63:AP63)</f>
        <v>237.93428500000002</v>
      </c>
      <c r="M63" s="143"/>
      <c r="N63" s="68">
        <f t="shared" ref="N63:W63" si="195">N58</f>
        <v>31.106779000000003</v>
      </c>
      <c r="O63" s="68">
        <f t="shared" si="195"/>
        <v>30.259368000000006</v>
      </c>
      <c r="P63" s="68">
        <f t="shared" si="195"/>
        <v>30.219965000000006</v>
      </c>
      <c r="Q63" s="68">
        <f t="shared" si="195"/>
        <v>29.768007000000015</v>
      </c>
      <c r="R63" s="68">
        <f t="shared" si="195"/>
        <v>31.463224000000004</v>
      </c>
      <c r="S63" s="68">
        <f t="shared" si="195"/>
        <v>30.683254999999999</v>
      </c>
      <c r="T63" s="68">
        <f t="shared" si="195"/>
        <v>32.091332000000001</v>
      </c>
      <c r="U63" s="68">
        <f t="shared" si="195"/>
        <v>31.958387999999999</v>
      </c>
      <c r="V63" s="68">
        <f t="shared" si="195"/>
        <v>33.434681000000005</v>
      </c>
      <c r="W63" s="68">
        <f t="shared" si="195"/>
        <v>33.68708199999999</v>
      </c>
      <c r="X63" s="68">
        <f t="shared" ref="X63:AA63" si="196">X58</f>
        <v>34.383433000000011</v>
      </c>
      <c r="Y63" s="68">
        <f t="shared" si="196"/>
        <v>34.30031300000001</v>
      </c>
      <c r="Z63" s="68">
        <f t="shared" si="196"/>
        <v>35.406055999999992</v>
      </c>
      <c r="AA63" s="68">
        <f t="shared" si="196"/>
        <v>36.395062000000003</v>
      </c>
      <c r="AB63" s="68">
        <f t="shared" ref="AB63:AC63" si="197">AB58</f>
        <v>38.679195999999997</v>
      </c>
      <c r="AC63" s="68">
        <f t="shared" si="197"/>
        <v>39.787436000000007</v>
      </c>
      <c r="AD63" s="68">
        <f t="shared" ref="AD63" si="198">AD58</f>
        <v>41.986781000000008</v>
      </c>
      <c r="AE63" s="68">
        <f>AE58</f>
        <v>42.768836000000007</v>
      </c>
      <c r="AF63" s="68">
        <f t="shared" ref="AF63:AG63" si="199">AF58</f>
        <v>45.063922000000005</v>
      </c>
      <c r="AG63" s="68">
        <f t="shared" si="199"/>
        <v>44.268360000000008</v>
      </c>
      <c r="AH63" s="132">
        <v>50.578088999999999</v>
      </c>
      <c r="AI63" s="68">
        <f>AI58</f>
        <v>50.432566999999999</v>
      </c>
      <c r="AJ63" s="68">
        <f>AJ58</f>
        <v>52.352454000000002</v>
      </c>
      <c r="AK63" s="68">
        <f t="shared" ref="AK63" si="200">AK58</f>
        <v>51.165780999999967</v>
      </c>
      <c r="AL63" s="132">
        <v>55.258372000000001</v>
      </c>
      <c r="AM63" s="68">
        <f>AM58</f>
        <v>54.879999999999995</v>
      </c>
      <c r="AN63" s="156">
        <v>59.7</v>
      </c>
      <c r="AO63" s="68">
        <f>K63-SUM(AL63:AN63)</f>
        <v>61.261628000000002</v>
      </c>
      <c r="AP63" s="132">
        <v>62.092657000000003</v>
      </c>
    </row>
    <row r="64" spans="2:42" s="51" customFormat="1" ht="13.5" customHeight="1">
      <c r="B64" s="56" t="s">
        <v>196</v>
      </c>
      <c r="C64" s="90"/>
      <c r="D64" s="90">
        <f t="shared" ref="D64:K64" si="201">+D63/C63-1</f>
        <v>0.22703031539640461</v>
      </c>
      <c r="E64" s="90">
        <f t="shared" si="201"/>
        <v>7.5831368827449896E-2</v>
      </c>
      <c r="F64" s="90">
        <f t="shared" si="201"/>
        <v>3.9643406729343189E-2</v>
      </c>
      <c r="G64" s="90">
        <f t="shared" si="201"/>
        <v>7.6180590827462424E-2</v>
      </c>
      <c r="H64" s="90">
        <f t="shared" si="201"/>
        <v>0.1067054684525941</v>
      </c>
      <c r="I64" s="90">
        <f t="shared" si="201"/>
        <v>0.15825744029707622</v>
      </c>
      <c r="J64" s="90">
        <f t="shared" si="201"/>
        <v>0.17411951763516886</v>
      </c>
      <c r="K64" s="90">
        <f t="shared" si="201"/>
        <v>0.13062622309197636</v>
      </c>
      <c r="L64" s="90"/>
      <c r="M64" s="143"/>
      <c r="N64" s="90"/>
      <c r="O64" s="90"/>
      <c r="P64" s="90"/>
      <c r="Q64" s="90"/>
      <c r="R64" s="90">
        <f t="shared" ref="R64:AP64" si="202">R63/N63-1</f>
        <v>1.145875630517712E-2</v>
      </c>
      <c r="S64" s="90">
        <f t="shared" si="202"/>
        <v>1.400845516667748E-2</v>
      </c>
      <c r="T64" s="90">
        <f t="shared" si="202"/>
        <v>6.1924856630376501E-2</v>
      </c>
      <c r="U64" s="90">
        <f t="shared" si="202"/>
        <v>7.3581714758397698E-2</v>
      </c>
      <c r="V64" s="90">
        <f t="shared" si="202"/>
        <v>6.2659090498799586E-2</v>
      </c>
      <c r="W64" s="90">
        <f t="shared" si="202"/>
        <v>9.7897925106054995E-2</v>
      </c>
      <c r="X64" s="90">
        <f t="shared" si="202"/>
        <v>7.1424302363018333E-2</v>
      </c>
      <c r="Y64" s="90">
        <f t="shared" si="202"/>
        <v>7.3280448312975421E-2</v>
      </c>
      <c r="Z64" s="90">
        <f t="shared" si="202"/>
        <v>5.8961980226459598E-2</v>
      </c>
      <c r="AA64" s="90">
        <f t="shared" si="202"/>
        <v>8.0386303568828366E-2</v>
      </c>
      <c r="AB64" s="90">
        <f t="shared" si="202"/>
        <v>0.12493700090971105</v>
      </c>
      <c r="AC64" s="90">
        <f t="shared" si="202"/>
        <v>0.15997297167521451</v>
      </c>
      <c r="AD64" s="90">
        <f t="shared" si="202"/>
        <v>0.18586438997893517</v>
      </c>
      <c r="AE64" s="90">
        <f t="shared" si="202"/>
        <v>0.17512743899158645</v>
      </c>
      <c r="AF64" s="90">
        <f t="shared" si="202"/>
        <v>0.16506873617538509</v>
      </c>
      <c r="AG64" s="90">
        <f t="shared" si="202"/>
        <v>0.11262158235077036</v>
      </c>
      <c r="AH64" s="90">
        <f t="shared" si="202"/>
        <v>0.20461935388664321</v>
      </c>
      <c r="AI64" s="90">
        <f t="shared" si="202"/>
        <v>0.17918960899473602</v>
      </c>
      <c r="AJ64" s="90">
        <f t="shared" si="202"/>
        <v>0.16173763126964391</v>
      </c>
      <c r="AK64" s="90">
        <f t="shared" si="202"/>
        <v>0.15580927325972671</v>
      </c>
      <c r="AL64" s="90">
        <f t="shared" si="202"/>
        <v>9.2535781650429749E-2</v>
      </c>
      <c r="AM64" s="90">
        <f>AM63/AI63-1</f>
        <v>8.8185735221449235E-2</v>
      </c>
      <c r="AN64" s="90">
        <f t="shared" si="202"/>
        <v>0.14034769029165273</v>
      </c>
      <c r="AO64" s="90">
        <f t="shared" si="202"/>
        <v>0.19731638612142044</v>
      </c>
      <c r="AP64" s="90">
        <f t="shared" si="202"/>
        <v>0.12367872509888644</v>
      </c>
    </row>
    <row r="65" spans="2:42" s="51" customFormat="1" ht="13.5" customHeight="1">
      <c r="B65" s="56" t="s">
        <v>175</v>
      </c>
      <c r="C65" s="90">
        <f t="shared" ref="C65:L65" si="203">+C63/C7</f>
        <v>0.84030464176200592</v>
      </c>
      <c r="D65" s="90">
        <f t="shared" si="203"/>
        <v>0.85044717138934045</v>
      </c>
      <c r="E65" s="90">
        <f t="shared" si="203"/>
        <v>0.84123708052209145</v>
      </c>
      <c r="F65" s="90">
        <f t="shared" si="203"/>
        <v>0.84391915233030312</v>
      </c>
      <c r="G65" s="90">
        <f t="shared" si="203"/>
        <v>0.84512299236859179</v>
      </c>
      <c r="H65" s="90">
        <f t="shared" si="203"/>
        <v>0.84427001708480331</v>
      </c>
      <c r="I65" s="90">
        <f t="shared" si="203"/>
        <v>0.81559751125865154</v>
      </c>
      <c r="J65" s="90">
        <f t="shared" si="203"/>
        <v>0.81127045493030647</v>
      </c>
      <c r="K65" s="90">
        <f t="shared" ref="K65" si="204">+K63/K7</f>
        <v>0.81605017801087643</v>
      </c>
      <c r="L65" s="90">
        <f t="shared" si="203"/>
        <v>0.81232990943222361</v>
      </c>
      <c r="M65" s="143"/>
      <c r="N65" s="90">
        <f t="shared" ref="N65:AN65" si="205">+N63/N7</f>
        <v>0.8571631025683526</v>
      </c>
      <c r="O65" s="90">
        <f t="shared" si="205"/>
        <v>0.84222124935193399</v>
      </c>
      <c r="P65" s="90">
        <f t="shared" si="205"/>
        <v>0.8435306358986232</v>
      </c>
      <c r="Q65" s="90">
        <f t="shared" si="205"/>
        <v>0.82122271503481947</v>
      </c>
      <c r="R65" s="90">
        <f t="shared" si="205"/>
        <v>0.83467603098787324</v>
      </c>
      <c r="S65" s="90">
        <f t="shared" si="205"/>
        <v>0.83974434850838708</v>
      </c>
      <c r="T65" s="90">
        <f t="shared" si="205"/>
        <v>0.85673156830818509</v>
      </c>
      <c r="U65" s="90">
        <f t="shared" si="205"/>
        <v>0.84447504719891786</v>
      </c>
      <c r="V65" s="90">
        <f t="shared" si="205"/>
        <v>0.8717753651114023</v>
      </c>
      <c r="W65" s="90">
        <f t="shared" si="205"/>
        <v>0.8473278074591778</v>
      </c>
      <c r="X65" s="90">
        <f t="shared" si="205"/>
        <v>0.83857675198825066</v>
      </c>
      <c r="Y65" s="90">
        <f t="shared" si="205"/>
        <v>0.82478442063294588</v>
      </c>
      <c r="Z65" s="90">
        <f t="shared" si="205"/>
        <v>0.84324135596215521</v>
      </c>
      <c r="AA65" s="90">
        <f t="shared" si="205"/>
        <v>0.88036529667110974</v>
      </c>
      <c r="AB65" s="90">
        <f t="shared" si="205"/>
        <v>0.84994197619088996</v>
      </c>
      <c r="AC65" s="90">
        <f t="shared" si="205"/>
        <v>0.80887664230684442</v>
      </c>
      <c r="AD65" s="90">
        <f t="shared" si="205"/>
        <v>0.8463218830849818</v>
      </c>
      <c r="AE65" s="90">
        <f t="shared" si="205"/>
        <v>0.87832305021865043</v>
      </c>
      <c r="AF65" s="90">
        <f t="shared" si="205"/>
        <v>0.87311065059469151</v>
      </c>
      <c r="AG65" s="90">
        <f t="shared" si="205"/>
        <v>0.6968038107750103</v>
      </c>
      <c r="AH65" s="90">
        <f t="shared" si="205"/>
        <v>0.84049718633019432</v>
      </c>
      <c r="AI65" s="90">
        <f t="shared" si="205"/>
        <v>0.87453269158652192</v>
      </c>
      <c r="AJ65" s="90">
        <f t="shared" si="205"/>
        <v>0.89679744746580692</v>
      </c>
      <c r="AK65" s="90">
        <f t="shared" si="205"/>
        <v>0.67564342053452686</v>
      </c>
      <c r="AL65" s="90">
        <f t="shared" si="205"/>
        <v>0.8242718978099467</v>
      </c>
      <c r="AM65" s="90">
        <f t="shared" si="205"/>
        <v>0.88231511254019279</v>
      </c>
      <c r="AN65" s="90">
        <f t="shared" si="205"/>
        <v>0.82434738302500288</v>
      </c>
      <c r="AO65" s="90">
        <f t="shared" ref="AO65:AP65" si="206">+AO63/AO7</f>
        <v>0.75136817184263127</v>
      </c>
      <c r="AP65" s="90">
        <f t="shared" si="206"/>
        <v>0.80903376472397337</v>
      </c>
    </row>
    <row r="66" spans="2:42" s="51" customFormat="1" ht="13.5" customHeight="1">
      <c r="B66" s="92"/>
      <c r="C66" s="83"/>
      <c r="D66" s="83"/>
      <c r="E66" s="83"/>
      <c r="F66" s="83"/>
      <c r="G66" s="83"/>
      <c r="H66" s="83"/>
      <c r="I66" s="83"/>
      <c r="J66" s="83"/>
      <c r="K66" s="83"/>
      <c r="L66" s="83"/>
      <c r="M66" s="14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row>
    <row r="67" spans="2:42" s="51" customFormat="1" ht="13.5" customHeight="1">
      <c r="B67" s="56" t="s">
        <v>199</v>
      </c>
      <c r="C67" s="90">
        <f t="shared" ref="C67:L67" si="207">-C76/C7</f>
        <v>1.7954422645716448</v>
      </c>
      <c r="D67" s="90">
        <f t="shared" si="207"/>
        <v>1.0484192925285349</v>
      </c>
      <c r="E67" s="90">
        <f t="shared" si="207"/>
        <v>-8.838358654532634E-3</v>
      </c>
      <c r="F67" s="90">
        <f t="shared" si="207"/>
        <v>0.49048793885844943</v>
      </c>
      <c r="G67" s="90">
        <f t="shared" si="207"/>
        <v>-9.9267494194169997E-2</v>
      </c>
      <c r="H67" s="90">
        <f t="shared" si="207"/>
        <v>1.4725848849227245</v>
      </c>
      <c r="I67" s="90">
        <f t="shared" si="207"/>
        <v>1.0450889942920885</v>
      </c>
      <c r="J67" s="90">
        <f t="shared" si="207"/>
        <v>0.89964172089927641</v>
      </c>
      <c r="K67" s="90">
        <f t="shared" ref="K67" si="208">-K76/K7</f>
        <v>1.1733025352959356</v>
      </c>
      <c r="L67" s="90">
        <f t="shared" si="207"/>
        <v>0.98685358892621555</v>
      </c>
      <c r="M67" s="143"/>
      <c r="N67" s="90">
        <f t="shared" ref="N67:AN67" si="209">-N76/N7</f>
        <v>0.56483145604545115</v>
      </c>
      <c r="O67" s="90">
        <f t="shared" si="209"/>
        <v>-2.5501701163806523</v>
      </c>
      <c r="P67" s="90">
        <f t="shared" si="209"/>
        <v>1.0352078427561056</v>
      </c>
      <c r="Q67" s="90">
        <f t="shared" si="209"/>
        <v>0.90383232670950908</v>
      </c>
      <c r="R67" s="90">
        <f t="shared" si="209"/>
        <v>0.31892629215554169</v>
      </c>
      <c r="S67" s="90">
        <f t="shared" si="209"/>
        <v>0.5922977776640479</v>
      </c>
      <c r="T67" s="90">
        <f t="shared" si="209"/>
        <v>0.39613110850082961</v>
      </c>
      <c r="U67" s="90">
        <f t="shared" si="209"/>
        <v>0.65646985600498564</v>
      </c>
      <c r="V67" s="90">
        <f t="shared" si="209"/>
        <v>0.47242493586581946</v>
      </c>
      <c r="W67" s="90">
        <f t="shared" si="209"/>
        <v>0.35800167955974982</v>
      </c>
      <c r="X67" s="90">
        <f t="shared" si="209"/>
        <v>0.74286740713226374</v>
      </c>
      <c r="Y67" s="90">
        <f t="shared" si="209"/>
        <v>-1.8939311425271219</v>
      </c>
      <c r="Z67" s="90">
        <f t="shared" si="209"/>
        <v>1.9205616265296468</v>
      </c>
      <c r="AA67" s="90">
        <f t="shared" si="209"/>
        <v>0.3288379749392753</v>
      </c>
      <c r="AB67" s="90">
        <f t="shared" si="209"/>
        <v>1.6277933331477252</v>
      </c>
      <c r="AC67" s="90">
        <f t="shared" si="209"/>
        <v>1.9078610412850683</v>
      </c>
      <c r="AD67" s="90">
        <f t="shared" si="209"/>
        <v>1.094973484550942</v>
      </c>
      <c r="AE67" s="90">
        <f t="shared" si="209"/>
        <v>0.71999301265448035</v>
      </c>
      <c r="AF67" s="90">
        <f t="shared" si="209"/>
        <v>2.0613836560897529</v>
      </c>
      <c r="AG67" s="90">
        <f t="shared" si="209"/>
        <v>0.42965696180961321</v>
      </c>
      <c r="AH67" s="90">
        <f t="shared" si="209"/>
        <v>0.79159889161186514</v>
      </c>
      <c r="AI67" s="90">
        <f t="shared" si="209"/>
        <v>0.9302784083892045</v>
      </c>
      <c r="AJ67" s="90">
        <f t="shared" si="209"/>
        <v>1.2066514173137894</v>
      </c>
      <c r="AK67" s="90">
        <f t="shared" si="209"/>
        <v>0.72550134082767381</v>
      </c>
      <c r="AL67" s="90">
        <f t="shared" si="209"/>
        <v>0.87943768859355165</v>
      </c>
      <c r="AM67" s="90">
        <f t="shared" si="209"/>
        <v>1.793301736334405</v>
      </c>
      <c r="AN67" s="90">
        <f t="shared" si="209"/>
        <v>0.70396943977172344</v>
      </c>
      <c r="AO67" s="90">
        <f t="shared" ref="AO67:AP67" si="210">-AO76/AO7</f>
        <v>1.3588214577246744</v>
      </c>
      <c r="AP67" s="90">
        <f t="shared" si="210"/>
        <v>0.20505785640321192</v>
      </c>
    </row>
    <row r="68" spans="2:42" s="51" customFormat="1" ht="13.5" customHeight="1">
      <c r="B68" s="56" t="s">
        <v>200</v>
      </c>
      <c r="C68" s="90">
        <f t="shared" ref="C68:L68" si="211">C72/C7</f>
        <v>-6.9877226777870602E-2</v>
      </c>
      <c r="D68" s="90">
        <f t="shared" si="211"/>
        <v>-0.10072794855139999</v>
      </c>
      <c r="E68" s="90">
        <f t="shared" si="211"/>
        <v>-2.1581212571400679E-2</v>
      </c>
      <c r="F68" s="90">
        <f t="shared" si="211"/>
        <v>-1.734241225987445E-2</v>
      </c>
      <c r="G68" s="90">
        <f t="shared" si="211"/>
        <v>2.1457073137356036E-2</v>
      </c>
      <c r="H68" s="90">
        <f t="shared" si="211"/>
        <v>-0.21576365416629925</v>
      </c>
      <c r="I68" s="90">
        <f t="shared" si="211"/>
        <v>-1.1731459313219343E-3</v>
      </c>
      <c r="J68" s="90">
        <f t="shared" si="211"/>
        <v>-1.3184720598931613E-2</v>
      </c>
      <c r="K68" s="90">
        <f t="shared" ref="K68" si="212">K72/K7</f>
        <v>3.7433609409711797E-3</v>
      </c>
      <c r="L68" s="90">
        <f t="shared" si="211"/>
        <v>-1.951929125712026E-2</v>
      </c>
      <c r="M68" s="143"/>
      <c r="N68" s="90">
        <f t="shared" ref="N68:AN68" si="213">N72/N7</f>
        <v>-0.12238991126713041</v>
      </c>
      <c r="O68" s="90">
        <f t="shared" si="213"/>
        <v>0.24081317408506239</v>
      </c>
      <c r="P68" s="90">
        <f t="shared" si="213"/>
        <v>0.12108993998113474</v>
      </c>
      <c r="Q68" s="90">
        <f t="shared" si="213"/>
        <v>-0.32173814472402734</v>
      </c>
      <c r="R68" s="90">
        <f t="shared" si="213"/>
        <v>-3.6196794954934899E-2</v>
      </c>
      <c r="S68" s="90">
        <f t="shared" si="213"/>
        <v>-0.35891105360451714</v>
      </c>
      <c r="T68" s="90">
        <f t="shared" si="213"/>
        <v>5.1530438430534044E-2</v>
      </c>
      <c r="U68" s="90">
        <f t="shared" si="213"/>
        <v>0.26305538133195328</v>
      </c>
      <c r="V68" s="90">
        <f t="shared" si="213"/>
        <v>-0.15047244496068618</v>
      </c>
      <c r="W68" s="90">
        <f t="shared" si="213"/>
        <v>0.3291849074449994</v>
      </c>
      <c r="X68" s="90">
        <f t="shared" si="213"/>
        <v>7.7664014040246124E-3</v>
      </c>
      <c r="Y68" s="90">
        <f t="shared" si="213"/>
        <v>-0.10067318145832292</v>
      </c>
      <c r="Z68" s="90">
        <f t="shared" si="213"/>
        <v>-9.3169972548138386E-2</v>
      </c>
      <c r="AA68" s="90">
        <f t="shared" si="213"/>
        <v>-0.54135690052341423</v>
      </c>
      <c r="AB68" s="90">
        <f t="shared" si="213"/>
        <v>0.82908350947985165</v>
      </c>
      <c r="AC68" s="90">
        <f t="shared" si="213"/>
        <v>-1.0134319176049835</v>
      </c>
      <c r="AD68" s="90">
        <f t="shared" si="213"/>
        <v>0.23642589835469383</v>
      </c>
      <c r="AE68" s="90">
        <f t="shared" si="213"/>
        <v>-0.26445889083652674</v>
      </c>
      <c r="AF68" s="90">
        <f t="shared" si="213"/>
        <v>0.37073077864326265</v>
      </c>
      <c r="AG68" s="90">
        <f t="shared" si="213"/>
        <v>-0.28705486367717564</v>
      </c>
      <c r="AH68" s="90">
        <f t="shared" si="213"/>
        <v>-0.23038253555675897</v>
      </c>
      <c r="AI68" s="90">
        <f t="shared" si="213"/>
        <v>0.12074167348702707</v>
      </c>
      <c r="AJ68" s="90">
        <f t="shared" si="213"/>
        <v>5.9531677495166697E-2</v>
      </c>
      <c r="AK68" s="90">
        <f t="shared" si="213"/>
        <v>1.3663463088650482E-3</v>
      </c>
      <c r="AL68" s="90">
        <f t="shared" si="213"/>
        <v>-0.31623232502985948</v>
      </c>
      <c r="AM68" s="90">
        <f t="shared" si="213"/>
        <v>9.8069163987138289E-2</v>
      </c>
      <c r="AN68" s="90">
        <f t="shared" si="213"/>
        <v>5.0152977195472195E-2</v>
      </c>
      <c r="AO68" s="90">
        <f t="shared" ref="AO68:AP68" si="214">AO72/AO7</f>
        <v>0.1536543873074892</v>
      </c>
      <c r="AP68" s="90">
        <f t="shared" si="214"/>
        <v>-0.36452865656343258</v>
      </c>
    </row>
    <row r="69" spans="2:42" ht="13.5" customHeight="1">
      <c r="C69" s="91"/>
      <c r="D69" s="91"/>
      <c r="E69" s="91"/>
      <c r="F69" s="91"/>
      <c r="G69" s="91"/>
      <c r="H69" s="91"/>
      <c r="I69" s="91"/>
      <c r="J69" s="91"/>
      <c r="K69" s="91"/>
    </row>
    <row r="70" spans="2:42" ht="13.5" customHeight="1">
      <c r="B70" s="61" t="s">
        <v>201</v>
      </c>
      <c r="C70" s="70">
        <f t="shared" ref="C70:J70" si="215">C3</f>
        <v>43100</v>
      </c>
      <c r="D70" s="70">
        <f t="shared" si="215"/>
        <v>43465</v>
      </c>
      <c r="E70" s="70">
        <f t="shared" si="215"/>
        <v>43830</v>
      </c>
      <c r="F70" s="70">
        <f t="shared" si="215"/>
        <v>44196</v>
      </c>
      <c r="G70" s="70">
        <f t="shared" si="215"/>
        <v>44561</v>
      </c>
      <c r="H70" s="70">
        <f t="shared" si="215"/>
        <v>44926</v>
      </c>
      <c r="I70" s="70">
        <f t="shared" si="215"/>
        <v>45291</v>
      </c>
      <c r="J70" s="70">
        <f t="shared" si="215"/>
        <v>45657</v>
      </c>
      <c r="K70" s="70">
        <f t="shared" ref="K70" si="216">K3</f>
        <v>46022</v>
      </c>
      <c r="L70" s="70" t="str">
        <f>L2</f>
        <v>LTM</v>
      </c>
      <c r="M70" s="145"/>
      <c r="N70" s="70">
        <f t="shared" ref="N70:AN70" si="217">N3</f>
        <v>43555</v>
      </c>
      <c r="O70" s="70">
        <f t="shared" si="217"/>
        <v>43646</v>
      </c>
      <c r="P70" s="70">
        <f t="shared" si="217"/>
        <v>43738</v>
      </c>
      <c r="Q70" s="70">
        <f t="shared" si="217"/>
        <v>43830</v>
      </c>
      <c r="R70" s="70">
        <f t="shared" si="217"/>
        <v>43921</v>
      </c>
      <c r="S70" s="70">
        <f t="shared" si="217"/>
        <v>44012</v>
      </c>
      <c r="T70" s="70">
        <f t="shared" si="217"/>
        <v>44104</v>
      </c>
      <c r="U70" s="70">
        <f t="shared" si="217"/>
        <v>44196</v>
      </c>
      <c r="V70" s="70">
        <f t="shared" si="217"/>
        <v>44286</v>
      </c>
      <c r="W70" s="70">
        <f t="shared" si="217"/>
        <v>44377</v>
      </c>
      <c r="X70" s="70">
        <f t="shared" si="217"/>
        <v>44469</v>
      </c>
      <c r="Y70" s="70">
        <f t="shared" si="217"/>
        <v>44561</v>
      </c>
      <c r="Z70" s="70">
        <f t="shared" si="217"/>
        <v>44651</v>
      </c>
      <c r="AA70" s="70">
        <f t="shared" si="217"/>
        <v>44742</v>
      </c>
      <c r="AB70" s="70">
        <f t="shared" si="217"/>
        <v>44834</v>
      </c>
      <c r="AC70" s="70">
        <f t="shared" si="217"/>
        <v>44926</v>
      </c>
      <c r="AD70" s="70">
        <f t="shared" si="217"/>
        <v>45016</v>
      </c>
      <c r="AE70" s="70">
        <f t="shared" si="217"/>
        <v>45107</v>
      </c>
      <c r="AF70" s="70">
        <f t="shared" si="217"/>
        <v>45199</v>
      </c>
      <c r="AG70" s="70">
        <f t="shared" si="217"/>
        <v>45291</v>
      </c>
      <c r="AH70" s="70">
        <f t="shared" si="217"/>
        <v>45382</v>
      </c>
      <c r="AI70" s="70">
        <f t="shared" si="217"/>
        <v>45473</v>
      </c>
      <c r="AJ70" s="70">
        <f t="shared" si="217"/>
        <v>45565</v>
      </c>
      <c r="AK70" s="70">
        <f t="shared" si="217"/>
        <v>45657</v>
      </c>
      <c r="AL70" s="70">
        <f t="shared" si="217"/>
        <v>45747</v>
      </c>
      <c r="AM70" s="70">
        <f t="shared" si="217"/>
        <v>45838</v>
      </c>
      <c r="AN70" s="70">
        <f t="shared" si="217"/>
        <v>45930</v>
      </c>
      <c r="AO70" s="70">
        <f t="shared" ref="AO70:AP70" si="218">AO3</f>
        <v>46022</v>
      </c>
      <c r="AP70" s="70">
        <f t="shared" si="218"/>
        <v>46112</v>
      </c>
    </row>
    <row r="71" spans="2:42" s="39" customFormat="1" ht="13.5" customHeight="1">
      <c r="B71" s="39" t="s">
        <v>198</v>
      </c>
      <c r="C71" s="68">
        <f t="shared" ref="C71:H71" si="219">C63</f>
        <v>91.952252999999999</v>
      </c>
      <c r="D71" s="68">
        <f t="shared" si="219"/>
        <v>112.82820199999999</v>
      </c>
      <c r="E71" s="68">
        <f t="shared" si="219"/>
        <v>121.384119</v>
      </c>
      <c r="F71" s="68">
        <f t="shared" si="219"/>
        <v>126.19619899999999</v>
      </c>
      <c r="G71" s="68">
        <f t="shared" si="219"/>
        <v>135.80990000000003</v>
      </c>
      <c r="H71" s="68">
        <f t="shared" si="219"/>
        <v>150.301559</v>
      </c>
      <c r="I71" s="68">
        <f t="shared" ref="I71:J71" si="220">I63</f>
        <v>174.08789899999999</v>
      </c>
      <c r="J71" s="68">
        <f t="shared" si="220"/>
        <v>204.4</v>
      </c>
      <c r="K71" s="68">
        <f t="shared" ref="K71" si="221">K63</f>
        <v>231.1</v>
      </c>
      <c r="L71" s="68">
        <f>L63</f>
        <v>237.93428500000002</v>
      </c>
      <c r="M71" s="68"/>
      <c r="N71" s="68">
        <f t="shared" ref="N71:U71" si="222">N63</f>
        <v>31.106779000000003</v>
      </c>
      <c r="O71" s="68">
        <f t="shared" si="222"/>
        <v>30.259368000000006</v>
      </c>
      <c r="P71" s="68">
        <f t="shared" si="222"/>
        <v>30.219965000000006</v>
      </c>
      <c r="Q71" s="68">
        <f>E71-SUM(N71:P71)</f>
        <v>29.798006999999984</v>
      </c>
      <c r="R71" s="68">
        <f t="shared" si="222"/>
        <v>31.463224000000004</v>
      </c>
      <c r="S71" s="68">
        <f t="shared" si="222"/>
        <v>30.683254999999999</v>
      </c>
      <c r="T71" s="68">
        <f t="shared" si="222"/>
        <v>32.091332000000001</v>
      </c>
      <c r="U71" s="68">
        <f t="shared" si="222"/>
        <v>31.958387999999999</v>
      </c>
      <c r="V71" s="68">
        <f t="shared" ref="V71:Y71" si="223">V63</f>
        <v>33.434681000000005</v>
      </c>
      <c r="W71" s="68">
        <f t="shared" si="223"/>
        <v>33.68708199999999</v>
      </c>
      <c r="X71" s="68">
        <f t="shared" si="223"/>
        <v>34.383433000000011</v>
      </c>
      <c r="Y71" s="68">
        <f t="shared" si="223"/>
        <v>34.30031300000001</v>
      </c>
      <c r="Z71" s="68">
        <f t="shared" ref="Z71:AA71" si="224">Z63</f>
        <v>35.406055999999992</v>
      </c>
      <c r="AA71" s="68">
        <f t="shared" si="224"/>
        <v>36.395062000000003</v>
      </c>
      <c r="AB71" s="68">
        <f t="shared" ref="AB71:AC71" si="225">AB63</f>
        <v>38.679195999999997</v>
      </c>
      <c r="AC71" s="68">
        <f t="shared" si="225"/>
        <v>39.787436000000007</v>
      </c>
      <c r="AD71" s="68">
        <f t="shared" ref="AD71:AG71" si="226">AD63</f>
        <v>41.986781000000008</v>
      </c>
      <c r="AE71" s="68">
        <f t="shared" si="226"/>
        <v>42.768836000000007</v>
      </c>
      <c r="AF71" s="68">
        <f t="shared" si="226"/>
        <v>45.063922000000005</v>
      </c>
      <c r="AG71" s="68">
        <f t="shared" si="226"/>
        <v>44.268360000000008</v>
      </c>
      <c r="AH71" s="68">
        <f t="shared" ref="AH71:AI71" si="227">AH63</f>
        <v>50.578088999999999</v>
      </c>
      <c r="AI71" s="68">
        <f t="shared" si="227"/>
        <v>50.432566999999999</v>
      </c>
      <c r="AJ71" s="68">
        <f>AJ63</f>
        <v>52.352454000000002</v>
      </c>
      <c r="AK71" s="68">
        <f t="shared" ref="AK71:AM71" si="228">AK63</f>
        <v>51.165780999999967</v>
      </c>
      <c r="AL71" s="68">
        <f t="shared" si="228"/>
        <v>55.258372000000001</v>
      </c>
      <c r="AM71" s="68">
        <f t="shared" si="228"/>
        <v>54.879999999999995</v>
      </c>
      <c r="AN71" s="68">
        <f>AN63</f>
        <v>59.7</v>
      </c>
      <c r="AO71" s="68">
        <f t="shared" ref="AO71:AP71" si="229">AO63</f>
        <v>61.261628000000002</v>
      </c>
      <c r="AP71" s="68">
        <f t="shared" si="229"/>
        <v>62.092657000000003</v>
      </c>
    </row>
    <row r="72" spans="2:42" ht="13.5" customHeight="1">
      <c r="B72" s="81" t="s">
        <v>202</v>
      </c>
      <c r="C72" s="78">
        <f>1.807458-14.32504-0.332484+3.363652+1.839939</f>
        <v>-7.6464749999999979</v>
      </c>
      <c r="D72" s="78">
        <f>-2.909036-8.943674-0.167753-2.22735+0.88431</f>
        <v>-13.363503</v>
      </c>
      <c r="E72" s="78">
        <f>-0.14154-4.558054-0.730465+0.684301+1.631753</f>
        <v>-3.1140050000000006</v>
      </c>
      <c r="F72" s="78">
        <f>1.911192-4.495989+0.847836-0.713267-0.143085</f>
        <v>-2.5933130000000002</v>
      </c>
      <c r="G72" s="78">
        <f>-2.678246-4.516452-0.063524-0.230177+10.936516</f>
        <v>3.4481169999999981</v>
      </c>
      <c r="H72" s="78">
        <f>1.348952-10.710911-17.338623-1.619312-10.09153</f>
        <v>-38.411423999999997</v>
      </c>
      <c r="I72" s="78">
        <f>-2.410637-3.776348+4.008959+0.003258+1.924362</f>
        <v>-0.25040599999999991</v>
      </c>
      <c r="J72" s="78">
        <f>5.419812-18.967824+19.179847-8.512107-0.441625</f>
        <v>-3.3218970000000017</v>
      </c>
      <c r="K72" s="78">
        <f>-4.088859+5.29353-0.787488+0.642912</f>
        <v>1.0600949999999996</v>
      </c>
      <c r="L72" s="16">
        <f>SUM(AM72:AP72)</f>
        <v>-5.7172690000000017</v>
      </c>
      <c r="M72" s="16"/>
      <c r="N72" s="78">
        <f>-0.318506+0.135087-1.811799-0.785956-1.660403</f>
        <v>-4.4415770000000006</v>
      </c>
      <c r="O72" s="78">
        <f>-1.349164+5.768707-1.54518+2.119884-0.783876-N72</f>
        <v>8.6519480000000009</v>
      </c>
      <c r="P72" s="78">
        <f>0.000467+7.246339-1.963011+3.359281-0.094589-O72-N72</f>
        <v>4.3381160000000012</v>
      </c>
      <c r="Q72" s="16">
        <f>E72-SUM(N72:P72)</f>
        <v>-11.662492000000002</v>
      </c>
      <c r="R72" s="78">
        <f>0.755103+0.774618-0.001741-1.553253+0.742237-2.122855+0.041448</f>
        <v>-1.3644430000000001</v>
      </c>
      <c r="S72" s="78">
        <f>-0.526648-12.690928-1.302163+1.621094-1.579979-R72</f>
        <v>-13.114181</v>
      </c>
      <c r="T72" s="78">
        <f>-0.804995-11.528694-0.391051+1.190815-1.014479-S72-R72</f>
        <v>1.9302200000000025</v>
      </c>
      <c r="U72" s="16">
        <f>F72-SUM(R72:T72)</f>
        <v>9.9550909999999977</v>
      </c>
      <c r="V72" s="78">
        <f>-0.31377-3.638806-0.006211-2.080312+0.99142-1.440011+0.71671</f>
        <v>-5.7709800000000007</v>
      </c>
      <c r="W72" s="78">
        <f>-0.184846+9.826746-3.127775+1.641523-0.839274-V72</f>
        <v>13.087354000000001</v>
      </c>
      <c r="X72" s="78">
        <f>-1.069285+8.721256-1.518898+1.87901-0.37727-W72-V72</f>
        <v>0.31843899999999969</v>
      </c>
      <c r="Y72" s="16">
        <f>G72-SUM(V72:X72)</f>
        <v>-4.1866960000000022</v>
      </c>
      <c r="Z72" s="78">
        <f>2.519167+6.421346+0.26388-3.815885+3.146679-12.192544-0.254668</f>
        <v>-3.9120249999999994</v>
      </c>
      <c r="AA72" s="78">
        <f>1.900471+9.500516-30.258341+3.962526-11.397359-Z72</f>
        <v>-22.380161999999999</v>
      </c>
      <c r="AB72" s="78">
        <f>1.736636+4.879666-18.241521+33.723994-10.660994-AA72-Z72</f>
        <v>37.729968</v>
      </c>
      <c r="AC72" s="16">
        <f>H72-SUM(Z72:AB72)</f>
        <v>-49.849204999999998</v>
      </c>
      <c r="AD72" s="78">
        <f>-3.391723+4.339883+1.512522+2.05657+9.012106-1.613735-0.186324</f>
        <v>11.729298999999997</v>
      </c>
      <c r="AE72" s="78">
        <f>-2.542551+6.931195-6.039568+1.009398-0.506668-AD72</f>
        <v>-12.877492999999998</v>
      </c>
      <c r="AF72" s="78">
        <f>-1.216366-1.176506+3.874754+15.933767+0.570711-AE72-AD72</f>
        <v>19.134553999999998</v>
      </c>
      <c r="AG72" s="16">
        <f>I72-SUM(AD72:AF72)</f>
        <v>-18.236765999999996</v>
      </c>
      <c r="AH72" s="78">
        <f>-4.737407+1.10638-0.479854-14.466736+7.228516-2.429474-0.085015</f>
        <v>-13.86359</v>
      </c>
      <c r="AI72" s="78">
        <f>-1.79968-1.928855-5.194844+3.786041-1.763319-AH72</f>
        <v>6.9629329999999996</v>
      </c>
      <c r="AJ72" s="78">
        <f>2.008957+1.119415+14.344979-19.768972-1.129748-AI72-AH72</f>
        <v>3.4752880000000008</v>
      </c>
      <c r="AK72" s="16">
        <f>J72-SUM(AH72:AJ72)</f>
        <v>0.10347199999999823</v>
      </c>
      <c r="AL72" s="78">
        <f>(-1881555-3206073-470183-7034683-7451494-1843846+687932)/1000000</f>
        <v>-21.199902000000002</v>
      </c>
      <c r="AM72" s="78">
        <f>-1.5-6.8-5.6-0.2-1-AL72</f>
        <v>6.0999020000000019</v>
      </c>
      <c r="AN72" s="78">
        <f>-4.310805-7.310117+0.330524-0.177477-AM72-AL72</f>
        <v>3.632125000000002</v>
      </c>
      <c r="AO72" s="16">
        <f>K72-SUM(AL72:AN72)</f>
        <v>12.527969999999996</v>
      </c>
      <c r="AP72" s="78">
        <f>(-153332+862104+1254003-6098901-22602432-2549205+1310497)/1000000</f>
        <v>-27.977266</v>
      </c>
    </row>
    <row r="73" spans="2:42" ht="13.5" customHeight="1">
      <c r="B73" s="81" t="s">
        <v>203</v>
      </c>
      <c r="C73" s="78">
        <v>-2.2420429999999998</v>
      </c>
      <c r="D73" s="78">
        <v>-12.542218</v>
      </c>
      <c r="E73" s="78">
        <v>-16.091645</v>
      </c>
      <c r="F73" s="78">
        <v>-24.092663000000002</v>
      </c>
      <c r="G73" s="78">
        <v>-27.06222</v>
      </c>
      <c r="H73" s="78">
        <v>-54.995604999999998</v>
      </c>
      <c r="I73" s="78">
        <v>-64.103701000000001</v>
      </c>
      <c r="J73" s="78">
        <v>-75.011589999999998</v>
      </c>
      <c r="K73" s="78">
        <v>-40.119390000000003</v>
      </c>
      <c r="L73" s="16">
        <f t="shared" ref="L73:L74" si="230">SUM(AM73:AP73)</f>
        <v>-50.081178000000001</v>
      </c>
      <c r="M73" s="16"/>
      <c r="N73" s="78">
        <v>-0.51744599999999996</v>
      </c>
      <c r="O73" s="78">
        <f>-14.050758-N73</f>
        <v>-13.533312</v>
      </c>
      <c r="P73" s="78">
        <f>-15.443461-O73-N73</f>
        <v>-1.3927029999999987</v>
      </c>
      <c r="Q73" s="16">
        <f>E73-SUM(N73:P73)</f>
        <v>-0.64818400000000054</v>
      </c>
      <c r="R73" s="78">
        <v>-16.558043999999999</v>
      </c>
      <c r="S73" s="78">
        <f>-8.979423-R73</f>
        <v>7.5786209999999983</v>
      </c>
      <c r="T73" s="78">
        <f>-17.789095-S73-R73</f>
        <v>-8.8096719999999991</v>
      </c>
      <c r="U73" s="16">
        <f>F73-SUM(R73:T73)</f>
        <v>-6.3035680000000021</v>
      </c>
      <c r="V73" s="78">
        <v>-5.1661239999999999</v>
      </c>
      <c r="W73" s="78">
        <f>-24.712872-V73</f>
        <v>-19.546748000000001</v>
      </c>
      <c r="X73" s="78">
        <f>-28.624984-W73-V73</f>
        <v>-3.9121120000000005</v>
      </c>
      <c r="Y73" s="16">
        <f>G73-SUM(V73:X73)</f>
        <v>1.5627640000000014</v>
      </c>
      <c r="Z73" s="78">
        <v>-36.277915</v>
      </c>
      <c r="AA73" s="78">
        <f>-(48.901178)-Z73</f>
        <v>-12.623263000000001</v>
      </c>
      <c r="AB73" s="78">
        <f>-55.871027-AA73-Z73</f>
        <v>-6.9698489999999964</v>
      </c>
      <c r="AC73" s="16">
        <f>H73-SUM(Z73:AB73)</f>
        <v>0.87542200000000037</v>
      </c>
      <c r="AD73" s="78">
        <v>-22.492445</v>
      </c>
      <c r="AE73" s="78">
        <f>-35.753958-AD73</f>
        <v>-13.261512999999997</v>
      </c>
      <c r="AF73" s="78">
        <f>-41.421299-AE73-AD73</f>
        <v>-5.6673410000000004</v>
      </c>
      <c r="AG73" s="16">
        <f>I73-SUM(AD73:AF73)</f>
        <v>-22.682402000000003</v>
      </c>
      <c r="AH73" s="78">
        <v>-40.402140000000003</v>
      </c>
      <c r="AI73" s="78">
        <f>-62.996814-AH73</f>
        <v>-22.594673999999998</v>
      </c>
      <c r="AJ73" s="78">
        <f>-79.680953-AH73-AI73</f>
        <v>-16.684139000000002</v>
      </c>
      <c r="AK73" s="16">
        <f t="shared" ref="AK73:AK74" si="231">J73-SUM(AH73:AJ73)</f>
        <v>4.6693630000000041</v>
      </c>
      <c r="AL73" s="78">
        <v>-8.3735590000000002</v>
      </c>
      <c r="AM73" s="78">
        <f>-14.2-AL73</f>
        <v>-5.8264409999999991</v>
      </c>
      <c r="AN73" s="78">
        <f>-20.308588-AL73-AM73</f>
        <v>-6.108588000000001</v>
      </c>
      <c r="AO73" s="16">
        <f t="shared" ref="AO73:AO74" si="232">K73-SUM(AL73:AN73)</f>
        <v>-19.810802000000002</v>
      </c>
      <c r="AP73" s="78">
        <v>-18.335346999999999</v>
      </c>
    </row>
    <row r="74" spans="2:42" ht="13.5" customHeight="1">
      <c r="B74" s="81" t="s">
        <v>204</v>
      </c>
      <c r="C74" s="78">
        <v>-15.907052</v>
      </c>
      <c r="D74" s="78">
        <v>-32.288117999999997</v>
      </c>
      <c r="E74" s="78">
        <v>-38.606428999999999</v>
      </c>
      <c r="F74" s="78">
        <v>-37.986843999999998</v>
      </c>
      <c r="G74" s="78">
        <v>-44.474122999999999</v>
      </c>
      <c r="H74" s="78">
        <v>-44.844369999999998</v>
      </c>
      <c r="I74" s="78">
        <v>-45.034413999999998</v>
      </c>
      <c r="J74" s="78">
        <v>-42.087710000000001</v>
      </c>
      <c r="K74" s="78">
        <v>-45.884169999999997</v>
      </c>
      <c r="L74" s="16">
        <f t="shared" si="230"/>
        <v>-55.233534999999996</v>
      </c>
      <c r="M74" s="16"/>
      <c r="N74" s="78">
        <v>-9.1640139999999999</v>
      </c>
      <c r="O74" s="78">
        <f>-19.78855-N74</f>
        <v>-10.624536000000001</v>
      </c>
      <c r="P74" s="78">
        <f>-32.918864-O74-N74</f>
        <v>-13.130314</v>
      </c>
      <c r="Q74" s="16">
        <f>E74-SUM(N74:P74)</f>
        <v>-5.6875649999999993</v>
      </c>
      <c r="R74" s="78">
        <v>-8.4570430000000005</v>
      </c>
      <c r="S74" s="78">
        <f>-18.774019-R74</f>
        <v>-10.316975999999999</v>
      </c>
      <c r="T74" s="78">
        <f>-28.402511-S74-R74</f>
        <v>-9.6284919999999996</v>
      </c>
      <c r="U74" s="16">
        <f>F74-SUM(R74:T74)</f>
        <v>-9.5843330000000009</v>
      </c>
      <c r="V74" s="78">
        <v>-10.415163</v>
      </c>
      <c r="W74" s="78">
        <f>-22.539258-V74</f>
        <v>-12.124095000000001</v>
      </c>
      <c r="X74" s="78">
        <f>-29.714415-W74-V74</f>
        <v>-7.1751569999999987</v>
      </c>
      <c r="Y74" s="16">
        <f>G74-SUM(V74:X74)</f>
        <v>-14.759708</v>
      </c>
      <c r="Z74" s="78">
        <v>-7.4675289999999999</v>
      </c>
      <c r="AA74" s="78">
        <f>-(22.164919)-Z74</f>
        <v>-14.697390000000002</v>
      </c>
      <c r="AB74" s="78">
        <f>-29.168137-AA74-Z74</f>
        <v>-7.0032179999999995</v>
      </c>
      <c r="AC74" s="16">
        <f>H74-SUM(Z74:AB74)</f>
        <v>-15.676232999999996</v>
      </c>
      <c r="AD74" s="78">
        <v>-7.0982399999999997</v>
      </c>
      <c r="AE74" s="78">
        <f>-23.00014-AD74</f>
        <v>-15.901899999999998</v>
      </c>
      <c r="AF74" s="78">
        <f>-29.6771-AE74-AD74</f>
        <v>-6.676960000000002</v>
      </c>
      <c r="AG74" s="16">
        <f>I74-SUM(AD74:AF74)</f>
        <v>-15.357313999999999</v>
      </c>
      <c r="AH74" s="78">
        <v>-6.4270360000000002</v>
      </c>
      <c r="AI74" s="78">
        <f>-20.549596-AH74</f>
        <v>-14.12256</v>
      </c>
      <c r="AJ74" s="78">
        <f>-27.416097-AH74-AI74</f>
        <v>-6.8665009999999995</v>
      </c>
      <c r="AK74" s="16">
        <f t="shared" si="231"/>
        <v>-14.671613000000001</v>
      </c>
      <c r="AL74" s="78">
        <v>-6.6697699999999998</v>
      </c>
      <c r="AM74" s="78">
        <f>-20.8-AL74</f>
        <v>-14.130230000000001</v>
      </c>
      <c r="AN74" s="78">
        <f>-27.584857-AL74-AM74</f>
        <v>-6.7848569999999988</v>
      </c>
      <c r="AO74" s="16">
        <f t="shared" si="232"/>
        <v>-18.299312999999998</v>
      </c>
      <c r="AP74" s="78">
        <v>-16.019134999999999</v>
      </c>
    </row>
    <row r="75" spans="2:42" s="39" customFormat="1" ht="13.5" customHeight="1">
      <c r="B75" s="39" t="s">
        <v>205</v>
      </c>
      <c r="C75" s="89">
        <f t="shared" ref="C75:G75" si="233">SUM(C71:C74)</f>
        <v>66.156683000000015</v>
      </c>
      <c r="D75" s="89">
        <f t="shared" si="233"/>
        <v>54.634362999999993</v>
      </c>
      <c r="E75" s="89">
        <f t="shared" si="233"/>
        <v>63.572039999999994</v>
      </c>
      <c r="F75" s="89">
        <f t="shared" si="233"/>
        <v>61.523378999999998</v>
      </c>
      <c r="G75" s="89">
        <f t="shared" si="233"/>
        <v>67.721674000000036</v>
      </c>
      <c r="H75" s="89">
        <f t="shared" ref="H75:I75" si="234">SUM(H71:H74)</f>
        <v>12.050160000000005</v>
      </c>
      <c r="I75" s="89">
        <f t="shared" si="234"/>
        <v>64.699377999999996</v>
      </c>
      <c r="J75" s="89">
        <f t="shared" ref="J75:K75" si="235">SUM(J71:J74)</f>
        <v>83.978802999999999</v>
      </c>
      <c r="K75" s="89">
        <f t="shared" si="235"/>
        <v>146.15653499999996</v>
      </c>
      <c r="L75" s="89">
        <f>SUM(L71:L74)</f>
        <v>126.90230300000002</v>
      </c>
      <c r="M75" s="89"/>
      <c r="N75" s="89">
        <f t="shared" ref="N75:U75" si="236">SUM(N71:N74)</f>
        <v>16.983741999999999</v>
      </c>
      <c r="O75" s="89">
        <f t="shared" si="236"/>
        <v>14.753468000000003</v>
      </c>
      <c r="P75" s="89">
        <f t="shared" si="236"/>
        <v>20.035064000000013</v>
      </c>
      <c r="Q75" s="68">
        <f t="shared" si="236"/>
        <v>11.799765999999984</v>
      </c>
      <c r="R75" s="89">
        <f t="shared" si="236"/>
        <v>5.083694000000003</v>
      </c>
      <c r="S75" s="89">
        <f t="shared" si="236"/>
        <v>14.830719</v>
      </c>
      <c r="T75" s="89">
        <f t="shared" si="236"/>
        <v>15.583388000000008</v>
      </c>
      <c r="U75" s="89">
        <f t="shared" si="236"/>
        <v>26.025577999999996</v>
      </c>
      <c r="V75" s="89">
        <f t="shared" ref="V75:Y75" si="237">SUM(V71:V74)</f>
        <v>12.082414000000004</v>
      </c>
      <c r="W75" s="89">
        <f t="shared" si="237"/>
        <v>15.103592999999993</v>
      </c>
      <c r="X75" s="89">
        <f t="shared" si="237"/>
        <v>23.61460300000001</v>
      </c>
      <c r="Y75" s="89">
        <f t="shared" si="237"/>
        <v>16.91667300000001</v>
      </c>
      <c r="Z75" s="89">
        <f t="shared" ref="Z75:AA75" si="238">SUM(Z71:Z74)</f>
        <v>-12.251413000000007</v>
      </c>
      <c r="AA75" s="89">
        <f t="shared" si="238"/>
        <v>-13.305752999999999</v>
      </c>
      <c r="AB75" s="89">
        <f t="shared" ref="AB75:AD75" si="239">SUM(AB71:AB74)</f>
        <v>62.436097000000011</v>
      </c>
      <c r="AC75" s="89">
        <f t="shared" si="239"/>
        <v>-24.862579999999987</v>
      </c>
      <c r="AD75" s="89">
        <f t="shared" si="239"/>
        <v>24.125395000000005</v>
      </c>
      <c r="AE75" s="89">
        <f>SUM(AE71:AE74)</f>
        <v>0.72793000000001484</v>
      </c>
      <c r="AF75" s="89">
        <f t="shared" ref="AF75:AH75" si="240">SUM(AF71:AF74)</f>
        <v>51.854174999999998</v>
      </c>
      <c r="AG75" s="89">
        <f t="shared" si="240"/>
        <v>-12.00812199999999</v>
      </c>
      <c r="AH75" s="89">
        <f t="shared" si="240"/>
        <v>-10.114677000000007</v>
      </c>
      <c r="AI75" s="89">
        <f>SUM(AI71:AI74)</f>
        <v>20.678266000000001</v>
      </c>
      <c r="AJ75" s="89">
        <f>SUM(AJ71:AJ74)</f>
        <v>32.277101999999999</v>
      </c>
      <c r="AK75" s="89">
        <f t="shared" ref="AK75:AL75" si="241">SUM(AK71:AK74)</f>
        <v>41.267002999999967</v>
      </c>
      <c r="AL75" s="89">
        <f t="shared" si="241"/>
        <v>19.015141</v>
      </c>
      <c r="AM75" s="89">
        <f>SUM(AM71:AM74)</f>
        <v>41.023230999999996</v>
      </c>
      <c r="AN75" s="89">
        <f>SUM(AN71:AN74)</f>
        <v>50.438680000000005</v>
      </c>
      <c r="AO75" s="89">
        <f t="shared" ref="AO75:AP75" si="242">SUM(AO71:AO74)</f>
        <v>35.679482999999998</v>
      </c>
      <c r="AP75" s="89">
        <f t="shared" si="242"/>
        <v>-0.23909099999999484</v>
      </c>
    </row>
    <row r="76" spans="2:42" ht="13.5" customHeight="1">
      <c r="B76" s="81" t="s">
        <v>206</v>
      </c>
      <c r="C76" s="78">
        <f>-196.210053-0.260314</f>
        <v>-196.47036699999998</v>
      </c>
      <c r="D76" s="78">
        <f>-137.897718-1.1953</f>
        <v>-139.093018</v>
      </c>
      <c r="E76" s="78">
        <f>-106.376406+109.26-1.608286</f>
        <v>1.2753080000000021</v>
      </c>
      <c r="F76" s="78">
        <f>-72.523331-0.822218</f>
        <v>-73.345549000000005</v>
      </c>
      <c r="G76" s="78">
        <f>-108.39427+124.565539-0.219143</f>
        <v>15.952125999999994</v>
      </c>
      <c r="H76" s="78">
        <f>-269.222961+7.285242-0.219884</f>
        <v>-262.15760299999999</v>
      </c>
      <c r="I76" s="78">
        <f>-263.051665+42.0575-2.0783</f>
        <v>-223.07246500000002</v>
      </c>
      <c r="J76" s="78">
        <f>-231.137856+5.07-0.597329</f>
        <v>-226.66518500000001</v>
      </c>
      <c r="K76" s="78">
        <f>-336.934128+5.5-0.837371</f>
        <v>-332.27149900000001</v>
      </c>
      <c r="L76" s="16">
        <f t="shared" ref="L76:L78" si="243">SUM(AM76:AP76)</f>
        <v>-289.05288400000001</v>
      </c>
      <c r="M76" s="16"/>
      <c r="N76" s="78">
        <f>-20.385168-0.112783</f>
        <v>-20.497951</v>
      </c>
      <c r="O76" s="78">
        <f>-38.135309+109.26-N76</f>
        <v>91.622642000000013</v>
      </c>
      <c r="P76" s="78">
        <f>-74.000185+109.26-1.222034-O76-N76</f>
        <v>-37.08691000000001</v>
      </c>
      <c r="Q76" s="16">
        <f>E76-SUM(N76:P76)</f>
        <v>-32.762473</v>
      </c>
      <c r="R76" s="78">
        <v>-12.021969</v>
      </c>
      <c r="S76" s="78">
        <f>-33.663822-R76</f>
        <v>-21.641853000000005</v>
      </c>
      <c r="T76" s="78">
        <f>-48.269708-0.232338-S76-R76</f>
        <v>-14.838223999999995</v>
      </c>
      <c r="U76" s="16">
        <f>F76-SUM(R76:T76)</f>
        <v>-24.843503000000005</v>
      </c>
      <c r="V76" s="78">
        <f>-25.607747+7.489115</f>
        <v>-18.118631999999998</v>
      </c>
      <c r="W76" s="78">
        <f>-48.094693-0.211272+15.954315-V76</f>
        <v>-14.233018000000001</v>
      </c>
      <c r="X76" s="78">
        <f>-78.553838-0.211273+15.954315-W76-V76</f>
        <v>-30.459146000000004</v>
      </c>
      <c r="Y76" s="16">
        <f>G76-SUM(V76:X76)</f>
        <v>78.762922000000003</v>
      </c>
      <c r="Z76" s="78">
        <f>-81.549633+0.909005</f>
        <v>-80.640628000000007</v>
      </c>
      <c r="AA76" s="78">
        <f>-(109.006462)+14.771388-Z76</f>
        <v>-13.594445999999991</v>
      </c>
      <c r="AB76" s="78">
        <f>-182.641651+14.771388-0.4425-AA76-Z76</f>
        <v>-74.077689000000007</v>
      </c>
      <c r="AC76" s="16">
        <f>H76-SUM(Z76:AB76)</f>
        <v>-93.844839999999976</v>
      </c>
      <c r="AD76" s="78">
        <f>-54.236948-0.08566</f>
        <v>-54.322607999999995</v>
      </c>
      <c r="AE76" s="78">
        <f>-89.185947-0.195815-AD76</f>
        <v>-35.059153999999999</v>
      </c>
      <c r="AF76" s="78">
        <f>-195.666429-0.109674-AE76-AD76</f>
        <v>-106.394341</v>
      </c>
      <c r="AG76" s="16">
        <f>I76-SUM(AD76:AF76)</f>
        <v>-27.296362000000045</v>
      </c>
      <c r="AH76" s="78">
        <f>-47.625125-0.010441</f>
        <v>-47.635565999999997</v>
      </c>
      <c r="AI76" s="78">
        <f>-127.269831+25.217393+0.78-0.01044-AH76</f>
        <v>-53.647311999999999</v>
      </c>
      <c r="AJ76" s="78">
        <f>-172.493271-0.010444+0.78-AH76-AI76</f>
        <v>-70.440837000000002</v>
      </c>
      <c r="AK76" s="16">
        <f t="shared" ref="AK76:AK78" si="244">J76-SUM(AH76:AJ76)</f>
        <v>-54.94147000000001</v>
      </c>
      <c r="AL76" s="78">
        <f>(-58219038-737594)/1000000</f>
        <v>-58.956631999999999</v>
      </c>
      <c r="AM76" s="78">
        <f>-169.4-0.4-0.7-AL76</f>
        <v>-111.543368</v>
      </c>
      <c r="AN76" s="78">
        <f>-226.50818+5.5-0.473938-AL76-AM76</f>
        <v>-50.982118</v>
      </c>
      <c r="AO76" s="16">
        <f t="shared" ref="AO76:AO78" si="245">K76-SUM(AL76:AN76)</f>
        <v>-110.78938099999999</v>
      </c>
      <c r="AP76" s="78">
        <f>(-15482581-255436)/1000000</f>
        <v>-15.738016999999999</v>
      </c>
    </row>
    <row r="77" spans="2:42" ht="13.5" customHeight="1">
      <c r="B77" s="81" t="s">
        <v>207</v>
      </c>
      <c r="C77" s="78">
        <v>0</v>
      </c>
      <c r="D77" s="78">
        <v>0</v>
      </c>
      <c r="E77" s="78">
        <v>0</v>
      </c>
      <c r="F77" s="78">
        <v>0</v>
      </c>
      <c r="G77" s="78">
        <v>0</v>
      </c>
      <c r="H77" s="78">
        <v>0</v>
      </c>
      <c r="I77" s="78">
        <v>0</v>
      </c>
      <c r="J77" s="78">
        <v>0</v>
      </c>
      <c r="K77" s="78">
        <v>0</v>
      </c>
      <c r="L77" s="16">
        <f t="shared" si="243"/>
        <v>0</v>
      </c>
      <c r="M77" s="16"/>
      <c r="N77" s="78">
        <v>0</v>
      </c>
      <c r="O77" s="78">
        <v>0</v>
      </c>
      <c r="P77" s="78">
        <v>0</v>
      </c>
      <c r="Q77" s="16">
        <f>E77-SUM(N77:P77)</f>
        <v>0</v>
      </c>
      <c r="R77" s="78">
        <v>0</v>
      </c>
      <c r="S77" s="78">
        <v>0</v>
      </c>
      <c r="T77" s="78">
        <v>0</v>
      </c>
      <c r="U77" s="16">
        <f>F77-SUM(R77:T77)</f>
        <v>0</v>
      </c>
      <c r="V77" s="78">
        <v>0</v>
      </c>
      <c r="W77" s="78">
        <v>0</v>
      </c>
      <c r="X77" s="78">
        <v>0</v>
      </c>
      <c r="Y77" s="16">
        <f>G77-SUM(V77:X77)</f>
        <v>0</v>
      </c>
      <c r="Z77" s="78">
        <v>0</v>
      </c>
      <c r="AA77" s="78">
        <v>0</v>
      </c>
      <c r="AB77" s="78">
        <v>0</v>
      </c>
      <c r="AC77" s="16">
        <f>H77-SUM(Z77:AB77)</f>
        <v>0</v>
      </c>
      <c r="AD77" s="78">
        <v>0</v>
      </c>
      <c r="AE77" s="78">
        <v>0</v>
      </c>
      <c r="AF77" s="78">
        <f>0-AE77-AD77</f>
        <v>0</v>
      </c>
      <c r="AG77" s="16">
        <f>I77-SUM(AD77:AF77)</f>
        <v>0</v>
      </c>
      <c r="AH77" s="78">
        <v>0</v>
      </c>
      <c r="AI77" s="78">
        <v>0</v>
      </c>
      <c r="AJ77" s="78">
        <f>0-AH77-AI77</f>
        <v>0</v>
      </c>
      <c r="AK77" s="16">
        <f t="shared" si="244"/>
        <v>0</v>
      </c>
      <c r="AL77" s="78">
        <v>0</v>
      </c>
      <c r="AM77" s="78">
        <v>0</v>
      </c>
      <c r="AN77" s="78">
        <f>0-AL77-AM77</f>
        <v>0</v>
      </c>
      <c r="AO77" s="16">
        <f t="shared" si="245"/>
        <v>0</v>
      </c>
      <c r="AP77" s="78">
        <v>0</v>
      </c>
    </row>
    <row r="78" spans="2:42" ht="13.5" customHeight="1">
      <c r="B78" s="81" t="s">
        <v>208</v>
      </c>
      <c r="C78" s="78">
        <v>0</v>
      </c>
      <c r="D78" s="78">
        <v>0</v>
      </c>
      <c r="E78" s="78">
        <v>0</v>
      </c>
      <c r="F78" s="78">
        <v>0</v>
      </c>
      <c r="G78" s="78">
        <v>0</v>
      </c>
      <c r="H78" s="78">
        <v>0</v>
      </c>
      <c r="I78" s="78">
        <v>0</v>
      </c>
      <c r="J78" s="78">
        <v>0</v>
      </c>
      <c r="K78" s="78">
        <v>0</v>
      </c>
      <c r="L78" s="16">
        <f t="shared" si="243"/>
        <v>0</v>
      </c>
      <c r="M78" s="16"/>
      <c r="N78" s="78">
        <v>0</v>
      </c>
      <c r="O78" s="78">
        <v>0</v>
      </c>
      <c r="P78" s="78">
        <v>0</v>
      </c>
      <c r="Q78" s="16">
        <f>E78-SUM(N78:P78)</f>
        <v>0</v>
      </c>
      <c r="R78" s="78">
        <v>0</v>
      </c>
      <c r="S78" s="78">
        <v>0</v>
      </c>
      <c r="T78" s="78">
        <v>0</v>
      </c>
      <c r="U78" s="16">
        <f>F78-SUM(R78:T78)</f>
        <v>0</v>
      </c>
      <c r="V78" s="78">
        <v>0</v>
      </c>
      <c r="W78" s="78">
        <v>0</v>
      </c>
      <c r="X78" s="78">
        <v>0</v>
      </c>
      <c r="Y78" s="16">
        <f>G78-SUM(V78:X78)</f>
        <v>0</v>
      </c>
      <c r="Z78" s="78">
        <v>0</v>
      </c>
      <c r="AA78" s="78">
        <v>0</v>
      </c>
      <c r="AB78" s="78">
        <v>0</v>
      </c>
      <c r="AC78" s="16">
        <f>H78-SUM(Z78:AB78)</f>
        <v>0</v>
      </c>
      <c r="AD78" s="78">
        <v>0</v>
      </c>
      <c r="AE78" s="78">
        <v>0</v>
      </c>
      <c r="AF78" s="78">
        <f>0-AE78-AD78</f>
        <v>0</v>
      </c>
      <c r="AG78" s="16">
        <f>I78-SUM(AD78:AF78)</f>
        <v>0</v>
      </c>
      <c r="AH78" s="78">
        <v>0</v>
      </c>
      <c r="AI78" s="78">
        <v>0</v>
      </c>
      <c r="AJ78" s="78">
        <f>0-AH78-AI78</f>
        <v>0</v>
      </c>
      <c r="AK78" s="16">
        <f t="shared" si="244"/>
        <v>0</v>
      </c>
      <c r="AL78" s="78">
        <v>0</v>
      </c>
      <c r="AM78" s="78">
        <v>0</v>
      </c>
      <c r="AN78" s="78">
        <f>0-AL78-AM78</f>
        <v>0</v>
      </c>
      <c r="AO78" s="16">
        <f t="shared" si="245"/>
        <v>0</v>
      </c>
      <c r="AP78" s="78">
        <v>0</v>
      </c>
    </row>
    <row r="79" spans="2:42" s="39" customFormat="1" ht="13.5" customHeight="1">
      <c r="B79" s="87" t="s">
        <v>209</v>
      </c>
      <c r="C79" s="68">
        <f t="shared" ref="C79:G79" si="246">SUM(C75:C78)</f>
        <v>-130.31368399999997</v>
      </c>
      <c r="D79" s="68">
        <f t="shared" si="246"/>
        <v>-84.458655000000007</v>
      </c>
      <c r="E79" s="68">
        <f t="shared" si="246"/>
        <v>64.847347999999997</v>
      </c>
      <c r="F79" s="68">
        <f t="shared" si="246"/>
        <v>-11.822170000000007</v>
      </c>
      <c r="G79" s="68">
        <f t="shared" si="246"/>
        <v>83.673800000000028</v>
      </c>
      <c r="H79" s="68">
        <f t="shared" ref="H79:I79" si="247">SUM(H75:H78)</f>
        <v>-250.10744299999999</v>
      </c>
      <c r="I79" s="68">
        <f t="shared" si="247"/>
        <v>-158.37308700000003</v>
      </c>
      <c r="J79" s="68">
        <f t="shared" ref="J79:K79" si="248">SUM(J75:J78)</f>
        <v>-142.68638200000001</v>
      </c>
      <c r="K79" s="68">
        <f t="shared" si="248"/>
        <v>-186.11496400000004</v>
      </c>
      <c r="L79" s="68">
        <f>SUM(L75:L78)</f>
        <v>-162.15058099999999</v>
      </c>
      <c r="M79" s="68"/>
      <c r="N79" s="68">
        <f t="shared" ref="N79:U79" si="249">SUM(N75:N78)</f>
        <v>-3.514209000000001</v>
      </c>
      <c r="O79" s="68">
        <f t="shared" si="249"/>
        <v>106.37611000000001</v>
      </c>
      <c r="P79" s="68">
        <f t="shared" si="249"/>
        <v>-17.051845999999998</v>
      </c>
      <c r="Q79" s="68">
        <f t="shared" si="249"/>
        <v>-20.962707000000016</v>
      </c>
      <c r="R79" s="68">
        <f t="shared" si="249"/>
        <v>-6.9382749999999973</v>
      </c>
      <c r="S79" s="68">
        <f t="shared" si="249"/>
        <v>-6.8111340000000045</v>
      </c>
      <c r="T79" s="68">
        <f t="shared" si="249"/>
        <v>0.74516400000001326</v>
      </c>
      <c r="U79" s="68">
        <f t="shared" si="249"/>
        <v>1.1820749999999904</v>
      </c>
      <c r="V79" s="68">
        <f t="shared" ref="V79:Y79" si="250">SUM(V75:V78)</f>
        <v>-6.0362179999999945</v>
      </c>
      <c r="W79" s="68">
        <f t="shared" si="250"/>
        <v>0.87057499999999166</v>
      </c>
      <c r="X79" s="68">
        <f t="shared" si="250"/>
        <v>-6.8445429999999945</v>
      </c>
      <c r="Y79" s="68">
        <f t="shared" si="250"/>
        <v>95.679595000000006</v>
      </c>
      <c r="Z79" s="68">
        <f t="shared" ref="Z79:AA79" si="251">SUM(Z75:Z78)</f>
        <v>-92.892041000000006</v>
      </c>
      <c r="AA79" s="68">
        <f t="shared" si="251"/>
        <v>-26.90019899999999</v>
      </c>
      <c r="AB79" s="68">
        <f t="shared" ref="AB79:AE79" si="252">SUM(AB75:AB78)</f>
        <v>-11.641591999999996</v>
      </c>
      <c r="AC79" s="68">
        <f t="shared" si="252"/>
        <v>-118.70741999999996</v>
      </c>
      <c r="AD79" s="68">
        <f t="shared" si="252"/>
        <v>-30.197212999999991</v>
      </c>
      <c r="AE79" s="68">
        <f t="shared" si="252"/>
        <v>-34.331223999999985</v>
      </c>
      <c r="AF79" s="68">
        <f t="shared" ref="AF79:AJ79" si="253">SUM(AF75:AF78)</f>
        <v>-54.540165999999999</v>
      </c>
      <c r="AG79" s="68">
        <f t="shared" si="253"/>
        <v>-39.304484000000031</v>
      </c>
      <c r="AH79" s="68">
        <f t="shared" si="253"/>
        <v>-57.750243000000005</v>
      </c>
      <c r="AI79" s="68">
        <f t="shared" si="253"/>
        <v>-32.969045999999999</v>
      </c>
      <c r="AJ79" s="68">
        <f t="shared" si="253"/>
        <v>-38.163735000000003</v>
      </c>
      <c r="AK79" s="68">
        <f t="shared" ref="AK79:AN79" si="254">SUM(AK75:AK78)</f>
        <v>-13.674467000000043</v>
      </c>
      <c r="AL79" s="68">
        <f t="shared" si="254"/>
        <v>-39.941490999999999</v>
      </c>
      <c r="AM79" s="68">
        <f t="shared" si="254"/>
        <v>-70.520137000000005</v>
      </c>
      <c r="AN79" s="68">
        <f t="shared" si="254"/>
        <v>-0.54343799999999476</v>
      </c>
      <c r="AO79" s="68">
        <f t="shared" ref="AO79:AP79" si="255">SUM(AO75:AO78)</f>
        <v>-75.109897999999987</v>
      </c>
      <c r="AP79" s="68">
        <f t="shared" si="255"/>
        <v>-15.977107999999994</v>
      </c>
    </row>
    <row r="80" spans="2:42" s="39" customFormat="1" ht="13.5" customHeight="1">
      <c r="B80" s="81" t="s">
        <v>210</v>
      </c>
      <c r="C80" s="78">
        <f>-0.064813+0.055171</f>
        <v>-9.6419999999999978E-3</v>
      </c>
      <c r="D80" s="78">
        <f>-0.046571+0.434427</f>
        <v>0.38785599999999998</v>
      </c>
      <c r="E80" s="78">
        <f>-0.080568+0.070394</f>
        <v>-1.0174000000000002E-2</v>
      </c>
      <c r="F80" s="78">
        <f>0.120031+0.311959</f>
        <v>0.43198999999999999</v>
      </c>
      <c r="G80" s="78">
        <f>0.684936+0.076871</f>
        <v>0.76180700000000001</v>
      </c>
      <c r="H80" s="78">
        <v>0</v>
      </c>
      <c r="I80" s="78">
        <v>0</v>
      </c>
      <c r="J80" s="78">
        <v>0</v>
      </c>
      <c r="K80" s="78">
        <v>-3.521881</v>
      </c>
      <c r="L80" s="16">
        <f t="shared" ref="L80:L87" si="256">SUM(AM80:AP80)</f>
        <v>-3.521881</v>
      </c>
      <c r="M80" s="16"/>
      <c r="N80" s="78">
        <f>-0.02258+0.014307</f>
        <v>-8.2729999999999991E-3</v>
      </c>
      <c r="O80" s="78">
        <f>0.035943-N80</f>
        <v>4.4216000000000005E-2</v>
      </c>
      <c r="P80" s="78">
        <f>0.058017-O80-N80</f>
        <v>2.2073999999999993E-2</v>
      </c>
      <c r="Q80" s="16">
        <f>E80-SUM(N80:P80)</f>
        <v>-6.8191000000000002E-2</v>
      </c>
      <c r="R80" s="78">
        <f>0.240075+0.009967</f>
        <v>0.25004199999999999</v>
      </c>
      <c r="S80" s="78">
        <f>0.222496+0.214912-R80</f>
        <v>0.18736600000000003</v>
      </c>
      <c r="T80" s="78">
        <f>0.209159+0.296659-S80-R80</f>
        <v>6.8409999999999971E-2</v>
      </c>
      <c r="U80" s="16">
        <f>F80-SUM(R80:T80)</f>
        <v>-7.3828000000000005E-2</v>
      </c>
      <c r="V80" s="78">
        <f>0.021806+0.016572</f>
        <v>3.8377999999999995E-2</v>
      </c>
      <c r="W80" s="78">
        <f>-0.00505+0.028787-V80</f>
        <v>-1.4640999999999994E-2</v>
      </c>
      <c r="X80" s="78">
        <f>0.684936+0.052954-W80-V80</f>
        <v>0.71415299999999993</v>
      </c>
      <c r="Y80" s="16">
        <f>G80-SUM(V80:X80)</f>
        <v>2.3917000000000077E-2</v>
      </c>
      <c r="Z80" s="78">
        <v>3.7774000000000002E-2</v>
      </c>
      <c r="AA80" s="78">
        <f>0.170548-Z80</f>
        <v>0.132774</v>
      </c>
      <c r="AB80" s="78">
        <f>0-AA80-Z80</f>
        <v>-0.17054800000000001</v>
      </c>
      <c r="AC80" s="16">
        <f>H80-SUM(Z80:AB80)</f>
        <v>0</v>
      </c>
      <c r="AD80" s="78">
        <v>0</v>
      </c>
      <c r="AE80" s="78">
        <v>0</v>
      </c>
      <c r="AF80" s="78">
        <f>0-AE80-AD80</f>
        <v>0</v>
      </c>
      <c r="AG80" s="16">
        <f>I80-SUM(AD80:AF80)</f>
        <v>0</v>
      </c>
      <c r="AH80" s="78">
        <f>14.367041+0.78</f>
        <v>15.147041</v>
      </c>
      <c r="AI80" s="78">
        <f>0-AH80</f>
        <v>-15.147041</v>
      </c>
      <c r="AJ80" s="78">
        <f>28.444283-AH80-AI80</f>
        <v>28.444282999999999</v>
      </c>
      <c r="AK80" s="16">
        <f t="shared" ref="AK80:AK84" si="257">J80-SUM(AH80:AJ80)</f>
        <v>-28.444282999999999</v>
      </c>
      <c r="AL80" s="78">
        <v>0</v>
      </c>
      <c r="AM80" s="78">
        <f>-0.5-AL80</f>
        <v>-0.5</v>
      </c>
      <c r="AN80" s="78">
        <f>-3.442268-AL80-AM80</f>
        <v>-2.9422679999999999</v>
      </c>
      <c r="AO80" s="16">
        <f t="shared" ref="AO80:AO84" si="258">K80-SUM(AL80:AN80)</f>
        <v>-7.9613000000000156E-2</v>
      </c>
      <c r="AP80" s="78">
        <v>0</v>
      </c>
    </row>
    <row r="81" spans="2:44" ht="13.5" customHeight="1">
      <c r="B81" s="81" t="s">
        <v>211</v>
      </c>
      <c r="C81" s="78">
        <v>0</v>
      </c>
      <c r="D81" s="78">
        <v>0</v>
      </c>
      <c r="E81" s="78">
        <v>0</v>
      </c>
      <c r="F81" s="78">
        <v>0</v>
      </c>
      <c r="G81" s="78">
        <f>229.215419</f>
        <v>229.215419</v>
      </c>
      <c r="H81" s="78">
        <f>-15.603308</f>
        <v>-15.603308</v>
      </c>
      <c r="I81" s="78">
        <v>594.375</v>
      </c>
      <c r="J81" s="78">
        <v>-44.165790000000001</v>
      </c>
      <c r="K81" s="78">
        <v>-36.415844999999997</v>
      </c>
      <c r="L81" s="16">
        <f t="shared" si="256"/>
        <v>-0.50806099999999788</v>
      </c>
      <c r="M81" s="16"/>
      <c r="N81" s="78">
        <v>0</v>
      </c>
      <c r="O81" s="78">
        <v>0</v>
      </c>
      <c r="P81" s="78">
        <v>0</v>
      </c>
      <c r="Q81" s="16">
        <f>E81-SUM(N81:P81)</f>
        <v>0</v>
      </c>
      <c r="R81" s="78">
        <v>0</v>
      </c>
      <c r="S81" s="78">
        <v>0</v>
      </c>
      <c r="T81" s="78">
        <v>0</v>
      </c>
      <c r="U81" s="16">
        <f>F81-SUM(R81:T81)</f>
        <v>0</v>
      </c>
      <c r="V81" s="78">
        <v>0</v>
      </c>
      <c r="W81" s="78">
        <f>229.215429-6.01998-V81</f>
        <v>223.195449</v>
      </c>
      <c r="X81" s="78">
        <f>229.215429-6.01998-W81-V81</f>
        <v>0</v>
      </c>
      <c r="Y81" s="16">
        <f>G81-SUM(V81:X81)</f>
        <v>6.0199700000000007</v>
      </c>
      <c r="Z81" s="78">
        <v>0</v>
      </c>
      <c r="AA81" s="78">
        <f>-(15.489262)-Z81</f>
        <v>-15.489262</v>
      </c>
      <c r="AB81" s="78">
        <f>-15.603308-AA81-Z81</f>
        <v>-0.11404600000000009</v>
      </c>
      <c r="AC81" s="16">
        <f>H81-SUM(Z81:AB81)</f>
        <v>0</v>
      </c>
      <c r="AD81" s="78">
        <v>0</v>
      </c>
      <c r="AE81" s="78">
        <v>0</v>
      </c>
      <c r="AF81" s="78">
        <f>444.018137-AE81-AD81</f>
        <v>444.01813700000002</v>
      </c>
      <c r="AG81" s="16">
        <f>I81-SUM(AD81:AF81)</f>
        <v>150.35686299999998</v>
      </c>
      <c r="AH81" s="78">
        <v>0</v>
      </c>
      <c r="AI81" s="78">
        <v>0</v>
      </c>
      <c r="AJ81" s="78">
        <f>-14.336806-AH81-AI81</f>
        <v>-14.336805999999999</v>
      </c>
      <c r="AK81" s="16">
        <f t="shared" si="257"/>
        <v>-29.828984000000002</v>
      </c>
      <c r="AL81" s="78">
        <v>-35.907783999999999</v>
      </c>
      <c r="AM81" s="78">
        <f>-36.4-AL81</f>
        <v>-0.4922159999999991</v>
      </c>
      <c r="AN81" s="78">
        <f>-36.415845-AL81-AM81</f>
        <v>-1.5844999999998777E-2</v>
      </c>
      <c r="AO81" s="16">
        <f t="shared" si="258"/>
        <v>0</v>
      </c>
      <c r="AP81" s="78">
        <v>0</v>
      </c>
    </row>
    <row r="82" spans="2:44" ht="13.5" customHeight="1">
      <c r="B82" s="81" t="s">
        <v>212</v>
      </c>
      <c r="C82" s="78">
        <v>-39.110027000000002</v>
      </c>
      <c r="D82" s="78">
        <v>-47.897981000000001</v>
      </c>
      <c r="E82" s="78">
        <v>-39.444747999999997</v>
      </c>
      <c r="F82" s="78">
        <v>-53.975583</v>
      </c>
      <c r="G82" s="78">
        <f>-55.367252</f>
        <v>-55.367252000000001</v>
      </c>
      <c r="H82" s="78">
        <f>-57.018815</f>
        <v>-57.018814999999996</v>
      </c>
      <c r="I82" s="78">
        <v>-59.509926</v>
      </c>
      <c r="J82" s="78">
        <v>-63.670175999999998</v>
      </c>
      <c r="K82" s="78">
        <f>-68.325102</f>
        <v>-68.325102000000001</v>
      </c>
      <c r="L82" s="16">
        <f t="shared" si="256"/>
        <v>-69.537972999999994</v>
      </c>
      <c r="M82" s="16"/>
      <c r="N82" s="78">
        <v>0</v>
      </c>
      <c r="O82" s="78">
        <f>-13.19698-N82</f>
        <v>-13.19698</v>
      </c>
      <c r="P82" s="78">
        <f>-26.567376-O82-N82</f>
        <v>-13.370396</v>
      </c>
      <c r="Q82" s="16">
        <f>E82-SUM(N82:P82)</f>
        <v>-12.877371999999998</v>
      </c>
      <c r="R82" s="78">
        <v>-13.371919999999999</v>
      </c>
      <c r="S82" s="78">
        <f>-26.906475-R82</f>
        <v>-13.534555000000001</v>
      </c>
      <c r="T82" s="78">
        <f>-40.441028-S82-R82</f>
        <v>-13.534553000000002</v>
      </c>
      <c r="U82" s="16">
        <f>F82-SUM(R82:T82)</f>
        <v>-13.534554999999997</v>
      </c>
      <c r="V82" s="78">
        <v>-13.534554999999999</v>
      </c>
      <c r="W82" s="78">
        <f>-27.669473-V82</f>
        <v>-14.134918000000001</v>
      </c>
      <c r="X82" s="78">
        <f>-41.42302-W82-V82</f>
        <v>-13.753547000000003</v>
      </c>
      <c r="Y82" s="16">
        <f>G82-SUM(V82:X82)</f>
        <v>-13.944232</v>
      </c>
      <c r="Z82" s="78">
        <v>-13.944232</v>
      </c>
      <c r="AA82" s="78">
        <f>-(28.302427)-Z82</f>
        <v>-14.358195000000002</v>
      </c>
      <c r="AB82" s="78">
        <f>-42.660621-AA82-Z82</f>
        <v>-14.358193999999997</v>
      </c>
      <c r="AC82" s="16">
        <f>H82-SUM(Z82:AB82)</f>
        <v>-14.358193999999997</v>
      </c>
      <c r="AD82" s="78">
        <v>-14.358193999999999</v>
      </c>
      <c r="AE82" s="78">
        <f>-29.356405-AD82</f>
        <v>-14.998211</v>
      </c>
      <c r="AF82" s="78">
        <f>-44.433165-AE82-AD82</f>
        <v>-15.076760000000005</v>
      </c>
      <c r="AG82" s="16">
        <f>I82-SUM(AD82:AF82)</f>
        <v>-15.076760999999998</v>
      </c>
      <c r="AH82" s="78">
        <v>-15.155312</v>
      </c>
      <c r="AI82" s="78">
        <f>-31.326933-AH82</f>
        <v>-16.171621000000002</v>
      </c>
      <c r="AJ82" s="78">
        <f>-47.498555-AH82-AI82</f>
        <v>-16.171621999999999</v>
      </c>
      <c r="AK82" s="16">
        <f t="shared" si="257"/>
        <v>-16.171620999999995</v>
      </c>
      <c r="AL82" s="78">
        <v>-16.171621999999999</v>
      </c>
      <c r="AM82" s="78">
        <f>-33.6-AL82</f>
        <v>-17.428378000000002</v>
      </c>
      <c r="AN82" s="78">
        <f>-50.940609-AL82-AM82</f>
        <v>-17.340609000000001</v>
      </c>
      <c r="AO82" s="16">
        <f t="shared" si="258"/>
        <v>-17.384492999999999</v>
      </c>
      <c r="AP82" s="78">
        <v>-17.384492999999999</v>
      </c>
    </row>
    <row r="83" spans="2:44" ht="13.5" customHeight="1">
      <c r="B83" s="81" t="s">
        <v>213</v>
      </c>
      <c r="C83" s="78">
        <v>243</v>
      </c>
      <c r="D83" s="78">
        <f>116.6-0.123019</f>
        <v>116.47698099999999</v>
      </c>
      <c r="E83" s="78">
        <f>225-210-0.545048</f>
        <v>14.454952</v>
      </c>
      <c r="F83" s="78">
        <f>125-0.794904-0.53492</f>
        <v>123.670176</v>
      </c>
      <c r="G83" s="78">
        <f>350-252.5-0.564677</f>
        <v>96.935322999999997</v>
      </c>
      <c r="H83" s="78">
        <f>0-0-0.647971</f>
        <v>-0.64797099999999996</v>
      </c>
      <c r="I83" s="78">
        <f>0-0-0.606279</f>
        <v>-0.60627900000000001</v>
      </c>
      <c r="J83" s="78">
        <f>-69.613005-0.790811</f>
        <v>-70.403816000000006</v>
      </c>
      <c r="K83" s="78">
        <f>650-213.594745-0.834281</f>
        <v>435.57097400000004</v>
      </c>
      <c r="L83" s="16">
        <f t="shared" si="256"/>
        <v>380.42043700000005</v>
      </c>
      <c r="M83" s="16"/>
      <c r="N83" s="78">
        <f>-0.317797-0.134967</f>
        <v>-0.452764</v>
      </c>
      <c r="O83" s="78">
        <f>145+3.260647-150.503356-0.271154-N83</f>
        <v>-2.0610989999999907</v>
      </c>
      <c r="P83" s="78">
        <f>225+0.331729-210.757793-0.407951-O83-N83</f>
        <v>16.679847999999993</v>
      </c>
      <c r="Q83" s="16">
        <f>E83-SUM(N83:P83)</f>
        <v>0.28896699999999775</v>
      </c>
      <c r="R83" s="78">
        <f>85-0.137223</f>
        <v>84.862776999999994</v>
      </c>
      <c r="S83" s="78">
        <f>125-0.198232-0.270908-R83</f>
        <v>39.668082999999996</v>
      </c>
      <c r="T83" s="78">
        <f>125-0.402824-S83-R83</f>
        <v>6.6316000000014697E-2</v>
      </c>
      <c r="U83" s="16">
        <f>F83-SUM(R83:T83)</f>
        <v>-0.92700000000000671</v>
      </c>
      <c r="V83" s="78">
        <v>-0.12611700000000001</v>
      </c>
      <c r="W83" s="78">
        <f>350-0.252216-252.5-7.746222-V83</f>
        <v>89.627679000000015</v>
      </c>
      <c r="X83" s="78">
        <f>350-252.5-7.746222-0.37833-W83-V83</f>
        <v>-0.12611400000002318</v>
      </c>
      <c r="Y83" s="16">
        <f>G83-SUM(V83:X83)</f>
        <v>7.5598750000000052</v>
      </c>
      <c r="Z83" s="78">
        <f>-0.142887-0.36845</f>
        <v>-0.51133699999999993</v>
      </c>
      <c r="AA83" s="78">
        <f>-(0.285774)-(0.722674)-Z83</f>
        <v>-0.49711100000000008</v>
      </c>
      <c r="AB83" s="78">
        <f>-2.072334-1.092916-0.413761-AA83-Z83</f>
        <v>-2.5705629999999999</v>
      </c>
      <c r="AC83" s="16">
        <f>H83-SUM(Z83:AB83)</f>
        <v>2.9310399999999999</v>
      </c>
      <c r="AD83" s="78">
        <f>-0.181707-1.183062</f>
        <v>-1.3647690000000001</v>
      </c>
      <c r="AE83" s="78">
        <f>-2.342427-0.360022-AD83</f>
        <v>-1.3376799999999995</v>
      </c>
      <c r="AF83" s="78">
        <f>-3.477928-0.53688-AE83-AD83</f>
        <v>-1.3123590000000005</v>
      </c>
      <c r="AG83" s="16">
        <f>I83-SUM(AD83:AF83)</f>
        <v>3.4085290000000006</v>
      </c>
      <c r="AH83" s="78">
        <f>-0.151748-1.143784</f>
        <v>-1.2955319999999999</v>
      </c>
      <c r="AI83" s="78">
        <f>-2.300976-0.151748-AH83</f>
        <v>-1.157192</v>
      </c>
      <c r="AJ83" s="78">
        <f>-68.450145-0.50229-AH83-AI83</f>
        <v>-66.499711000000019</v>
      </c>
      <c r="AK83" s="16">
        <f t="shared" si="257"/>
        <v>-1.4513809999999836</v>
      </c>
      <c r="AL83" s="78">
        <f>(-45480698-192800)/1000000</f>
        <v>-45.673498000000002</v>
      </c>
      <c r="AM83" s="78">
        <f>100-47.4-0.4-AL83</f>
        <v>97.873498000000012</v>
      </c>
      <c r="AN83" s="78">
        <f>650-48.636514-0.628206-AL83-AM83</f>
        <v>548.53527999999994</v>
      </c>
      <c r="AO83" s="16">
        <f t="shared" si="258"/>
        <v>-165.16430599999995</v>
      </c>
      <c r="AP83" s="78">
        <f>(-100634841-189194)/1000000</f>
        <v>-100.82403499999999</v>
      </c>
    </row>
    <row r="84" spans="2:44" ht="13.5" customHeight="1">
      <c r="B84" s="81" t="s">
        <v>214</v>
      </c>
      <c r="C84" s="78">
        <f>-1.519688+2.670811-26.953702-3.474806</f>
        <v>-29.277385000000002</v>
      </c>
      <c r="D84" s="78">
        <f>1.513911+0.064058-11.256567</f>
        <v>-9.6785980000000009</v>
      </c>
      <c r="E84" s="78">
        <f>0.20208-0.08576-27.90295-3.098044</f>
        <v>-30.884673999999997</v>
      </c>
      <c r="F84" s="78">
        <f>0.668786-0.044661-14.795892</f>
        <v>-14.171767000000001</v>
      </c>
      <c r="G84" s="78">
        <f>-7.746222-6.01997</f>
        <v>-13.766192</v>
      </c>
      <c r="H84" s="78">
        <f>-1.667278-0</f>
        <v>-1.667278</v>
      </c>
      <c r="I84" s="78">
        <f>-16.789756-27.693021</f>
        <v>-44.482776999999999</v>
      </c>
      <c r="J84" s="78">
        <v>-5.5631620000000002</v>
      </c>
      <c r="K84" s="78">
        <f>-5.350706</f>
        <v>-5.3507059999999997</v>
      </c>
      <c r="L84" s="16">
        <f t="shared" si="256"/>
        <v>-5.3507059999999997</v>
      </c>
      <c r="M84" s="16"/>
      <c r="N84" s="78">
        <f>-0.030571+0.30244-2.03445</f>
        <v>-1.7625810000000002</v>
      </c>
      <c r="O84" s="78">
        <f>-0.053306+0.283078-20.677113-N84</f>
        <v>-18.684759999999997</v>
      </c>
      <c r="P84" s="78">
        <f>-0.07384+0.0864-27.90295-O84-N84</f>
        <v>-7.4430490000000029</v>
      </c>
      <c r="Q84" s="16">
        <f>E84-SUM(N84:P84)</f>
        <v>-2.9942839999999968</v>
      </c>
      <c r="R84" s="78">
        <v>-14.242138000000001</v>
      </c>
      <c r="S84" s="78">
        <f>-14.795892-R84</f>
        <v>-0.55375399999999964</v>
      </c>
      <c r="T84" s="78">
        <f>0.033075+0.33522-14.795892-S84-R84</f>
        <v>0.36829499999999982</v>
      </c>
      <c r="U84" s="16">
        <f>F84-SUM(R84:T84)</f>
        <v>0.25582999999999956</v>
      </c>
      <c r="V84" s="78">
        <v>0</v>
      </c>
      <c r="W84" s="78">
        <f>-V84</f>
        <v>0</v>
      </c>
      <c r="X84" s="78">
        <v>0</v>
      </c>
      <c r="Y84" s="16">
        <f>G84-SUM(V84:X84)</f>
        <v>-13.766192</v>
      </c>
      <c r="Z84" s="78">
        <v>-6.0421209999999999</v>
      </c>
      <c r="AA84" s="78">
        <f>-Z84</f>
        <v>6.0421209999999999</v>
      </c>
      <c r="AB84" s="78">
        <f>0-AA84-Z84</f>
        <v>0</v>
      </c>
      <c r="AC84" s="16">
        <f>H84-SUM(Z84:AB84)</f>
        <v>-1.667278</v>
      </c>
      <c r="AD84" s="78">
        <v>0</v>
      </c>
      <c r="AE84" s="78">
        <f>-AD84</f>
        <v>0</v>
      </c>
      <c r="AF84" s="78">
        <f>-21.3403-AE84-AD84</f>
        <v>-21.340299999999999</v>
      </c>
      <c r="AG84" s="16">
        <f>I84-SUM(AD84:AF84)</f>
        <v>-23.142477</v>
      </c>
      <c r="AH84" s="78">
        <v>0</v>
      </c>
      <c r="AI84" s="78">
        <f>0-AH84</f>
        <v>0</v>
      </c>
      <c r="AJ84" s="78">
        <f>0-AH84-AI84</f>
        <v>0</v>
      </c>
      <c r="AK84" s="16">
        <f t="shared" si="257"/>
        <v>-5.5631620000000002</v>
      </c>
      <c r="AL84" s="78">
        <v>0</v>
      </c>
      <c r="AM84" s="78">
        <f>0-AL84</f>
        <v>0</v>
      </c>
      <c r="AN84" s="78">
        <f>-4.291445-AL84-AM84</f>
        <v>-4.2914450000000004</v>
      </c>
      <c r="AO84" s="16">
        <f t="shared" si="258"/>
        <v>-1.0592609999999993</v>
      </c>
      <c r="AP84" s="78">
        <v>0</v>
      </c>
    </row>
    <row r="85" spans="2:44" ht="13.5" customHeight="1">
      <c r="B85" s="87" t="s">
        <v>215</v>
      </c>
      <c r="C85" s="68">
        <f t="shared" ref="C85:G85" si="259">SUM(C79:C84)</f>
        <v>44.289262000000015</v>
      </c>
      <c r="D85" s="68">
        <f t="shared" si="259"/>
        <v>-25.170397000000015</v>
      </c>
      <c r="E85" s="68">
        <f t="shared" si="259"/>
        <v>8.9627039999999951</v>
      </c>
      <c r="F85" s="68">
        <f t="shared" si="259"/>
        <v>44.132645999999994</v>
      </c>
      <c r="G85" s="68">
        <f t="shared" si="259"/>
        <v>341.45290499999999</v>
      </c>
      <c r="H85" s="68">
        <f t="shared" ref="H85:I85" si="260">SUM(H79:H84)</f>
        <v>-325.04481500000003</v>
      </c>
      <c r="I85" s="68">
        <f t="shared" si="260"/>
        <v>331.40293099999997</v>
      </c>
      <c r="J85" s="68">
        <f t="shared" ref="J85:K85" si="261">SUM(J79:J84)</f>
        <v>-326.48932599999995</v>
      </c>
      <c r="K85" s="68">
        <f t="shared" si="261"/>
        <v>135.84247599999998</v>
      </c>
      <c r="L85" s="68">
        <f>SUM(L79:L84)</f>
        <v>139.35123500000006</v>
      </c>
      <c r="M85" s="68"/>
      <c r="N85" s="68">
        <f t="shared" ref="N85:U85" si="262">SUM(N79:N84)</f>
        <v>-5.7378270000000011</v>
      </c>
      <c r="O85" s="68">
        <f t="shared" si="262"/>
        <v>72.477487000000039</v>
      </c>
      <c r="P85" s="68">
        <f t="shared" si="262"/>
        <v>-21.163369000000007</v>
      </c>
      <c r="Q85" s="68">
        <f t="shared" si="262"/>
        <v>-36.61358700000001</v>
      </c>
      <c r="R85" s="68">
        <f t="shared" si="262"/>
        <v>50.560485999999997</v>
      </c>
      <c r="S85" s="68">
        <f t="shared" si="262"/>
        <v>18.956005999999988</v>
      </c>
      <c r="T85" s="68">
        <f t="shared" si="262"/>
        <v>-12.286367999999975</v>
      </c>
      <c r="U85" s="68">
        <f t="shared" si="262"/>
        <v>-13.097478000000015</v>
      </c>
      <c r="V85" s="68">
        <f t="shared" ref="V85:Y85" si="263">SUM(V79:V84)</f>
        <v>-19.658511999999995</v>
      </c>
      <c r="W85" s="68">
        <f t="shared" si="263"/>
        <v>299.54414400000002</v>
      </c>
      <c r="X85" s="68">
        <f t="shared" si="263"/>
        <v>-20.010051000000018</v>
      </c>
      <c r="Y85" s="68">
        <f t="shared" si="263"/>
        <v>81.572933000000006</v>
      </c>
      <c r="Z85" s="68">
        <f t="shared" ref="Z85:AA85" si="264">SUM(Z79:Z84)</f>
        <v>-113.351957</v>
      </c>
      <c r="AA85" s="68">
        <f t="shared" si="264"/>
        <v>-51.069871999999982</v>
      </c>
      <c r="AB85" s="68">
        <f t="shared" ref="AB85:AD85" si="265">SUM(AB79:AB84)</f>
        <v>-28.854942999999992</v>
      </c>
      <c r="AC85" s="68">
        <f t="shared" si="265"/>
        <v>-131.80185199999997</v>
      </c>
      <c r="AD85" s="68">
        <f t="shared" si="265"/>
        <v>-45.920175999999991</v>
      </c>
      <c r="AE85" s="68">
        <f>SUM(AE79:AE84)</f>
        <v>-50.667114999999981</v>
      </c>
      <c r="AF85" s="68">
        <f t="shared" ref="AF85:AH85" si="266">SUM(AF79:AF84)</f>
        <v>351.74855200000002</v>
      </c>
      <c r="AG85" s="68">
        <f t="shared" si="266"/>
        <v>76.241669999999942</v>
      </c>
      <c r="AH85" s="68">
        <f t="shared" si="266"/>
        <v>-59.054046000000007</v>
      </c>
      <c r="AI85" s="68">
        <f>SUM(AI79:AI84)</f>
        <v>-65.444900000000004</v>
      </c>
      <c r="AJ85" s="68">
        <f>SUM(AJ79:AJ84)</f>
        <v>-106.72759100000002</v>
      </c>
      <c r="AK85" s="68">
        <f t="shared" ref="AK85:AL85" si="267">SUM(AK79:AK84)</f>
        <v>-95.13389800000003</v>
      </c>
      <c r="AL85" s="68">
        <f t="shared" si="267"/>
        <v>-137.69439500000001</v>
      </c>
      <c r="AM85" s="68">
        <f>SUM(AM79:AM84)</f>
        <v>8.9327670000000126</v>
      </c>
      <c r="AN85" s="68">
        <f>SUM(AN79:AN84)</f>
        <v>523.40167499999995</v>
      </c>
      <c r="AO85" s="68">
        <f t="shared" ref="AO85:AP85" si="268">SUM(AO79:AO84)</f>
        <v>-258.79757099999995</v>
      </c>
      <c r="AP85" s="68">
        <f t="shared" si="268"/>
        <v>-134.18563599999999</v>
      </c>
    </row>
    <row r="86" spans="2:44" ht="13.5" customHeight="1">
      <c r="B86" s="81" t="s">
        <v>216</v>
      </c>
      <c r="C86" s="16">
        <f>40.280958-C85-C87</f>
        <v>0.10079199999998334</v>
      </c>
      <c r="D86" s="16">
        <f>-26.518314-D85-D87</f>
        <v>0.34998800000001529</v>
      </c>
      <c r="E86" s="16">
        <f>10.580198-E85-E87</f>
        <v>1.0508430000000042</v>
      </c>
      <c r="F86" s="16">
        <f>45.478549-F85-F87</f>
        <v>5.9490000000068655E-3</v>
      </c>
      <c r="G86" s="16">
        <f>332.27899-G85-G87</f>
        <v>-5.0275719999999655</v>
      </c>
      <c r="H86" s="16">
        <f>-313.674047-H85-H87</f>
        <v>8.3203380000000546</v>
      </c>
      <c r="I86" s="16">
        <f>362.019051-I85-I87</f>
        <v>35.062443000000023</v>
      </c>
      <c r="J86" s="16">
        <f>-317.045242-J85-J87</f>
        <v>3.6423149999999751</v>
      </c>
      <c r="K86" s="16">
        <f>152.780389-K85-K87</f>
        <v>15.211095000000038</v>
      </c>
      <c r="L86" s="16">
        <f t="shared" si="256"/>
        <v>26.260598000000002</v>
      </c>
      <c r="M86" s="16"/>
      <c r="N86" s="16">
        <f>-4.959946-N85-N87</f>
        <v>0.4132200000000007</v>
      </c>
      <c r="O86" s="16">
        <f>66.570805-O85-N85-N86-N87-O87</f>
        <v>-0.22479300000004576</v>
      </c>
      <c r="P86" s="16">
        <f>45.612238-P85-O85-N85-N86-O86-N87-O87-P87</f>
        <v>-0.247045999999985</v>
      </c>
      <c r="Q86" s="16">
        <f>E86-SUM(N86:P86)</f>
        <v>1.1094620000000344</v>
      </c>
      <c r="R86" s="16">
        <f>47.209982-R85-R87</f>
        <v>0.18504899999999935</v>
      </c>
      <c r="S86" s="16">
        <f>68.919713-S85-R85-R86-R87-S87</f>
        <v>0.35581700000001693</v>
      </c>
      <c r="T86" s="16">
        <f>61.529996-T85-S85-R85-R86-S86-R87-S87-T87</f>
        <v>-0.53834400000003679</v>
      </c>
      <c r="U86" s="16">
        <f>F86-SUM(R86:T86)</f>
        <v>3.4270000000273804E-3</v>
      </c>
      <c r="V86" s="16">
        <f>-21.422705-V85-V87</f>
        <v>7.05489999999942E-2</v>
      </c>
      <c r="W86" s="16">
        <f>272.894036-W85-V85-V86-V87-W87</f>
        <v>-5.6510569999999882</v>
      </c>
      <c r="X86" s="16">
        <f>253.179557-X85-W85-V85-V86-W86-V87-W87-X87</f>
        <v>0.63168199999999231</v>
      </c>
      <c r="Y86" s="16">
        <f>G86-SUM(V86:X86)</f>
        <v>-7.8745999999964233E-2</v>
      </c>
      <c r="Z86" s="16">
        <f>-110.316595-Z85-Z87</f>
        <v>2.6638999999992308E-2</v>
      </c>
      <c r="AA86" s="16">
        <f>-(154.436106)-AA85-Z85-Z86-Z87-AA87</f>
        <v>8.8275769999999874</v>
      </c>
      <c r="AB86" s="16">
        <f>-182.125996-AB85-AA85-Z85-Z86-AA86-Z87-AA87-AB87</f>
        <v>0.60417899999999936</v>
      </c>
      <c r="AC86" s="16">
        <f>H86-SUM(Z86:AB86)</f>
        <v>-1.1380569999999235</v>
      </c>
      <c r="AD86" s="16">
        <f>-40.934346-AD85-AD87</f>
        <v>0.49581799999999276</v>
      </c>
      <c r="AE86" s="16">
        <f>-88.422409-AE85-AD85-AD86-AD87-AE87</f>
        <v>4.0558339999999777</v>
      </c>
      <c r="AF86" s="16">
        <f>269.035572-AF85-AE85-AD85-AD86-AE86-AD87-AE87-AF87</f>
        <v>18.011485999999984</v>
      </c>
      <c r="AG86" s="16">
        <f>I86-SUM(AD86:AF86)</f>
        <v>12.499305000000071</v>
      </c>
      <c r="AH86" s="16">
        <f>-56.104787-AH85-AH87</f>
        <v>3.7350170000000049</v>
      </c>
      <c r="AI86" s="16">
        <f>-124.224661-AI85-AH85-AH86-AH87-AI87</f>
        <v>2.8745850000000086</v>
      </c>
      <c r="AJ86" s="16">
        <f>-219.968529-AJ85-AI85-AH85-AH86-AI86-AH87-AI87-AJ87</f>
        <v>2.3797890000000255</v>
      </c>
      <c r="AK86" s="16">
        <f>J86-SUM(AH86:AJ86)</f>
        <v>-5.3470760000000634</v>
      </c>
      <c r="AL86" s="16">
        <f>-135.435686-AL85-AL87</f>
        <v>0.20770100000001035</v>
      </c>
      <c r="AM86" s="16">
        <f>-118.9-AM85-AL85-AL86-AL87-AM87</f>
        <v>8.7539269999999867</v>
      </c>
      <c r="AN86" s="16">
        <f>402.927475-AN85-AM85-AL85-AL86-AM86-AL87-AM87-AN87</f>
        <v>-0.78002799999993511</v>
      </c>
      <c r="AO86" s="16">
        <f>K86-SUM(AL86:AN86)</f>
        <v>7.0294949999999758</v>
      </c>
      <c r="AP86" s="16">
        <f>-131.492081-AP85-AP87</f>
        <v>11.257203999999975</v>
      </c>
    </row>
    <row r="87" spans="2:44" ht="13.5" customHeight="1">
      <c r="B87" s="81" t="s">
        <v>217</v>
      </c>
      <c r="C87" s="78">
        <v>-4.1090960000000001</v>
      </c>
      <c r="D87" s="78">
        <v>-1.697905</v>
      </c>
      <c r="E87" s="78">
        <v>0.56665100000000002</v>
      </c>
      <c r="F87" s="78">
        <v>1.3399540000000001</v>
      </c>
      <c r="G87" s="78">
        <f>-4.146343</f>
        <v>-4.1463429999999999</v>
      </c>
      <c r="H87" s="78">
        <f>3.05043</f>
        <v>3.05043</v>
      </c>
      <c r="I87" s="78">
        <v>-4.4463229999999996</v>
      </c>
      <c r="J87" s="78">
        <v>5.8017690000000002</v>
      </c>
      <c r="K87" s="78">
        <v>1.726818</v>
      </c>
      <c r="L87" s="16">
        <f t="shared" si="256"/>
        <v>-8.8878389999999996</v>
      </c>
      <c r="M87" s="16"/>
      <c r="N87" s="78">
        <v>0.36466100000000001</v>
      </c>
      <c r="O87" s="78">
        <f>-0.357282-N87</f>
        <v>-0.721943</v>
      </c>
      <c r="P87" s="78">
        <f>0.094566-O87-N87</f>
        <v>0.45184800000000003</v>
      </c>
      <c r="Q87" s="16">
        <f>E87-SUM(N87:P87)</f>
        <v>0.47208499999999998</v>
      </c>
      <c r="R87" s="78">
        <v>-3.5355530000000002</v>
      </c>
      <c r="S87" s="78">
        <f>-1.137645-R87</f>
        <v>2.3979080000000002</v>
      </c>
      <c r="T87" s="78">
        <f>4.29735-S87-R87</f>
        <v>5.4349949999999998</v>
      </c>
      <c r="U87" s="16">
        <f>F87-SUM(R87:T87)</f>
        <v>-2.9573959999999997</v>
      </c>
      <c r="V87" s="78">
        <v>-1.8347420000000001</v>
      </c>
      <c r="W87" s="78">
        <f>-1.411088-V87</f>
        <v>0.4236540000000002</v>
      </c>
      <c r="X87" s="78">
        <f>-1.747198-W87-V87</f>
        <v>-0.33610999999999991</v>
      </c>
      <c r="Y87" s="16">
        <f>G87-SUM(V87:X87)</f>
        <v>-2.3991449999999999</v>
      </c>
      <c r="Z87" s="78">
        <v>3.0087229999999998</v>
      </c>
      <c r="AA87" s="78">
        <f>1.131507-Z87</f>
        <v>-1.8772159999999998</v>
      </c>
      <c r="AB87" s="78">
        <f>1.692381-AA87-Z87</f>
        <v>0.56087400000000009</v>
      </c>
      <c r="AC87" s="16">
        <f>H87-SUM(Z87:AB87)</f>
        <v>1.3580489999999998</v>
      </c>
      <c r="AD87" s="78">
        <v>4.4900120000000001</v>
      </c>
      <c r="AE87" s="78">
        <f>3.61323-AD87</f>
        <v>-0.87678199999999995</v>
      </c>
      <c r="AF87" s="78">
        <f>-8.688827-AE87-AD87</f>
        <v>-12.302057</v>
      </c>
      <c r="AG87" s="16">
        <f>I87-SUM(AD87:AF87)</f>
        <v>4.2425040000000003</v>
      </c>
      <c r="AH87" s="78">
        <v>-0.78575799999999996</v>
      </c>
      <c r="AI87" s="78">
        <f>-6.335317-AH87</f>
        <v>-5.5495590000000004</v>
      </c>
      <c r="AJ87" s="78">
        <f>2.268617-AI87-AH87</f>
        <v>8.6039340000000006</v>
      </c>
      <c r="AK87" s="16">
        <f>J87-SUM(AH87:AJ87)</f>
        <v>3.5331519999999994</v>
      </c>
      <c r="AL87" s="78">
        <v>2.0510079999999999</v>
      </c>
      <c r="AM87" s="78">
        <f>0.9-AL87</f>
        <v>-1.151008</v>
      </c>
      <c r="AN87" s="78">
        <f>0.105828-AM87-AL87</f>
        <v>-0.79417199999999988</v>
      </c>
      <c r="AO87" s="16">
        <f>K87-SUM(AL87:AN87)</f>
        <v>1.6209899999999999</v>
      </c>
      <c r="AP87" s="78">
        <v>-8.5636489999999998</v>
      </c>
    </row>
    <row r="88" spans="2:44" ht="13.5" customHeight="1">
      <c r="B88" s="81" t="s">
        <v>218</v>
      </c>
      <c r="C88" s="16">
        <f t="shared" ref="C88:H88" si="269">SUM(C85:C87)</f>
        <v>40.280957999999998</v>
      </c>
      <c r="D88" s="16">
        <f t="shared" si="269"/>
        <v>-26.518314</v>
      </c>
      <c r="E88" s="16">
        <f t="shared" si="269"/>
        <v>10.580197999999999</v>
      </c>
      <c r="F88" s="16">
        <f t="shared" si="269"/>
        <v>45.478549000000001</v>
      </c>
      <c r="G88" s="16">
        <f t="shared" si="269"/>
        <v>332.27899000000002</v>
      </c>
      <c r="H88" s="16">
        <f t="shared" si="269"/>
        <v>-313.67404699999997</v>
      </c>
      <c r="I88" s="16">
        <f t="shared" ref="I88:L88" si="270">SUM(I85:I87)</f>
        <v>362.01905099999999</v>
      </c>
      <c r="J88" s="16">
        <f t="shared" si="270"/>
        <v>-317.04524199999997</v>
      </c>
      <c r="K88" s="16">
        <f t="shared" ref="K88" si="271">SUM(K85:K87)</f>
        <v>152.78038900000001</v>
      </c>
      <c r="L88" s="16">
        <f t="shared" si="270"/>
        <v>156.72399400000006</v>
      </c>
      <c r="M88" s="172"/>
      <c r="N88" s="16">
        <f t="shared" ref="N88:W88" si="272">SUM(N85:N87)</f>
        <v>-4.9599460000000004</v>
      </c>
      <c r="O88" s="16">
        <f t="shared" si="272"/>
        <v>71.530750999999995</v>
      </c>
      <c r="P88" s="16">
        <f t="shared" si="272"/>
        <v>-20.958566999999995</v>
      </c>
      <c r="Q88" s="16">
        <f t="shared" si="272"/>
        <v>-35.032039999999974</v>
      </c>
      <c r="R88" s="16">
        <f t="shared" si="272"/>
        <v>47.209981999999997</v>
      </c>
      <c r="S88" s="16">
        <f t="shared" si="272"/>
        <v>21.709731000000005</v>
      </c>
      <c r="T88" s="16">
        <f t="shared" si="272"/>
        <v>-7.3897170000000125</v>
      </c>
      <c r="U88" s="16">
        <f t="shared" si="272"/>
        <v>-16.051446999999989</v>
      </c>
      <c r="V88" s="16">
        <f t="shared" si="272"/>
        <v>-21.422705000000001</v>
      </c>
      <c r="W88" s="16">
        <f t="shared" si="272"/>
        <v>294.31674100000004</v>
      </c>
      <c r="X88" s="16">
        <f t="shared" ref="X88:AA88" si="273">SUM(X85:X87)</f>
        <v>-19.714479000000029</v>
      </c>
      <c r="Y88" s="16">
        <f t="shared" si="273"/>
        <v>79.095042000000035</v>
      </c>
      <c r="Z88" s="16">
        <f t="shared" si="273"/>
        <v>-110.31659500000001</v>
      </c>
      <c r="AA88" s="16">
        <f t="shared" si="273"/>
        <v>-44.119510999999996</v>
      </c>
      <c r="AB88" s="16">
        <f t="shared" ref="AB88:AD88" si="274">SUM(AB85:AB87)</f>
        <v>-27.689889999999991</v>
      </c>
      <c r="AC88" s="16">
        <f t="shared" si="274"/>
        <v>-131.58185999999989</v>
      </c>
      <c r="AD88" s="16">
        <f t="shared" si="274"/>
        <v>-40.934345999999998</v>
      </c>
      <c r="AE88" s="16">
        <f>SUM(AE85:AE87)</f>
        <v>-47.488063000000004</v>
      </c>
      <c r="AF88" s="16">
        <f>SUM(AF85:AF87)</f>
        <v>357.45798100000002</v>
      </c>
      <c r="AG88" s="16">
        <f t="shared" ref="AG88:AH88" si="275">SUM(AG85:AG87)</f>
        <v>92.983479000000017</v>
      </c>
      <c r="AH88" s="16">
        <f t="shared" si="275"/>
        <v>-56.104787000000002</v>
      </c>
      <c r="AI88" s="16">
        <f>SUM(AI85:AI87)</f>
        <v>-68.119873999999996</v>
      </c>
      <c r="AJ88" s="16">
        <f>SUM(AJ85:AJ87)</f>
        <v>-95.743867999999992</v>
      </c>
      <c r="AK88" s="16">
        <f t="shared" ref="AK88:AL88" si="276">SUM(AK85:AK87)</f>
        <v>-96.947822000000087</v>
      </c>
      <c r="AL88" s="16">
        <f t="shared" si="276"/>
        <v>-135.435686</v>
      </c>
      <c r="AM88" s="16">
        <f>SUM(AM85:AM87)</f>
        <v>16.535685999999998</v>
      </c>
      <c r="AN88" s="16">
        <f>SUM(AN85:AN87)</f>
        <v>521.82747500000005</v>
      </c>
      <c r="AO88" s="16">
        <f t="shared" ref="AO88:AP88" si="277">SUM(AO85:AO87)</f>
        <v>-250.14708599999997</v>
      </c>
      <c r="AP88" s="16">
        <f t="shared" si="277"/>
        <v>-131.49208100000001</v>
      </c>
    </row>
    <row r="89" spans="2:44" ht="13.5" customHeight="1">
      <c r="B89" s="87" t="s">
        <v>25</v>
      </c>
      <c r="C89" s="68">
        <f>51.456063+C88</f>
        <v>91.737020999999999</v>
      </c>
      <c r="D89" s="68">
        <f t="shared" ref="D89:G89" si="278">C89+D88</f>
        <v>65.218706999999995</v>
      </c>
      <c r="E89" s="68">
        <f t="shared" si="278"/>
        <v>75.798904999999991</v>
      </c>
      <c r="F89" s="68">
        <f t="shared" si="278"/>
        <v>121.27745399999999</v>
      </c>
      <c r="G89" s="68">
        <f t="shared" si="278"/>
        <v>453.556444</v>
      </c>
      <c r="H89" s="68">
        <f>G89+H88</f>
        <v>139.88239700000003</v>
      </c>
      <c r="I89" s="68">
        <f>H89+I88</f>
        <v>501.90144800000002</v>
      </c>
      <c r="J89" s="68">
        <f>I89+J88</f>
        <v>184.85620600000004</v>
      </c>
      <c r="K89" s="68">
        <f>J89+K88</f>
        <v>337.63659500000006</v>
      </c>
      <c r="L89" s="68">
        <f>AL89+L88-0.128890999999953</f>
        <v>206.1445140000001</v>
      </c>
      <c r="M89" s="172"/>
      <c r="N89" s="68">
        <f>65.218707+N88</f>
        <v>60.258760999999993</v>
      </c>
      <c r="O89" s="68">
        <f t="shared" ref="O89:AC89" si="279">N89+O88</f>
        <v>131.789512</v>
      </c>
      <c r="P89" s="68">
        <f t="shared" si="279"/>
        <v>110.83094500000001</v>
      </c>
      <c r="Q89" s="68">
        <f t="shared" si="279"/>
        <v>75.798905000000047</v>
      </c>
      <c r="R89" s="68">
        <f t="shared" si="279"/>
        <v>123.00888700000004</v>
      </c>
      <c r="S89" s="68">
        <f t="shared" si="279"/>
        <v>144.71861800000005</v>
      </c>
      <c r="T89" s="68">
        <f t="shared" si="279"/>
        <v>137.32890100000003</v>
      </c>
      <c r="U89" s="68">
        <f t="shared" si="279"/>
        <v>121.27745400000003</v>
      </c>
      <c r="V89" s="68">
        <f t="shared" si="279"/>
        <v>99.854749000000027</v>
      </c>
      <c r="W89" s="68">
        <f t="shared" si="279"/>
        <v>394.17149000000006</v>
      </c>
      <c r="X89" s="68">
        <f t="shared" si="279"/>
        <v>374.45701100000002</v>
      </c>
      <c r="Y89" s="68">
        <f t="shared" si="279"/>
        <v>453.55205300000006</v>
      </c>
      <c r="Z89" s="68">
        <f t="shared" si="279"/>
        <v>343.23545800000005</v>
      </c>
      <c r="AA89" s="68">
        <f t="shared" si="279"/>
        <v>299.11594700000006</v>
      </c>
      <c r="AB89" s="68">
        <f t="shared" si="279"/>
        <v>271.42605700000007</v>
      </c>
      <c r="AC89" s="68">
        <f t="shared" si="279"/>
        <v>139.84419700000018</v>
      </c>
      <c r="AD89" s="68">
        <f>AC89+AD88</f>
        <v>98.909851000000174</v>
      </c>
      <c r="AE89" s="68">
        <f>AD89+AE88</f>
        <v>51.42178800000017</v>
      </c>
      <c r="AF89" s="68">
        <f>AE89+AF88</f>
        <v>408.87976900000018</v>
      </c>
      <c r="AG89" s="68">
        <f t="shared" ref="AG89" si="280">AF89+AG88</f>
        <v>501.86324800000023</v>
      </c>
      <c r="AH89" s="68">
        <f>I89+AH88</f>
        <v>445.79666100000003</v>
      </c>
      <c r="AI89" s="68">
        <f>AH89+AI88</f>
        <v>377.67678700000005</v>
      </c>
      <c r="AJ89" s="68">
        <f>AI89+AJ88</f>
        <v>281.93291900000008</v>
      </c>
      <c r="AK89" s="68">
        <f t="shared" ref="AK89" si="281">AJ89+AK88</f>
        <v>184.985097</v>
      </c>
      <c r="AL89" s="68">
        <f>AK89+AL88</f>
        <v>49.549410999999992</v>
      </c>
      <c r="AM89" s="68">
        <f>AL89+AM88-0.5</f>
        <v>65.58509699999999</v>
      </c>
      <c r="AN89" s="68">
        <f>AM89+AN88-0.0739310000001296</f>
        <v>587.33864099999994</v>
      </c>
      <c r="AO89" s="68">
        <f>AN89+AO88+0.445040000000063</f>
        <v>337.63659500000006</v>
      </c>
      <c r="AP89" s="68">
        <f>AO89+AP88</f>
        <v>206.14451400000004</v>
      </c>
      <c r="AQ89" s="206"/>
      <c r="AR89" s="207"/>
    </row>
    <row r="90" spans="2:44" ht="13.5" customHeight="1">
      <c r="B90" s="87"/>
      <c r="C90" s="78"/>
      <c r="D90" s="78"/>
      <c r="E90" s="78"/>
      <c r="F90" s="78"/>
      <c r="G90" s="78"/>
      <c r="H90" s="78"/>
      <c r="I90" s="78"/>
      <c r="J90" s="78"/>
      <c r="K90" s="78"/>
      <c r="L90" s="16"/>
      <c r="M90" s="16"/>
      <c r="N90" s="78"/>
      <c r="O90" s="78"/>
      <c r="P90" s="78"/>
      <c r="Q90" s="16"/>
      <c r="R90" s="78"/>
      <c r="S90" s="78"/>
      <c r="T90" s="78"/>
      <c r="U90" s="78"/>
      <c r="V90" s="78"/>
      <c r="W90" s="78"/>
      <c r="X90" s="78"/>
      <c r="Y90" s="78"/>
      <c r="Z90" s="78"/>
      <c r="AA90" s="78"/>
      <c r="AB90" s="78"/>
      <c r="AC90" s="78"/>
      <c r="AD90" s="78"/>
      <c r="AE90" s="78"/>
      <c r="AF90" s="78"/>
      <c r="AG90" s="78"/>
      <c r="AH90" s="78"/>
      <c r="AI90" s="78"/>
      <c r="AK90" s="78"/>
      <c r="AL90" s="78"/>
      <c r="AM90" s="78"/>
      <c r="AO90" s="78"/>
      <c r="AP90" s="78"/>
      <c r="AQ90" s="208"/>
      <c r="AR90" s="128"/>
    </row>
    <row r="91" spans="2:44" ht="11.25" customHeight="1">
      <c r="B91" s="88" t="s">
        <v>23</v>
      </c>
      <c r="C91" s="169">
        <f t="shared" ref="C91:H91" si="282">+C89-C127</f>
        <v>0.7353119999999933</v>
      </c>
      <c r="D91" s="169">
        <f t="shared" si="282"/>
        <v>0.7353119999999933</v>
      </c>
      <c r="E91" s="169">
        <f t="shared" si="282"/>
        <v>0.7353119999999933</v>
      </c>
      <c r="F91" s="169">
        <f t="shared" si="282"/>
        <v>0.7353119999999933</v>
      </c>
      <c r="G91" s="169">
        <f t="shared" si="282"/>
        <v>0.73531200000002173</v>
      </c>
      <c r="H91" s="169">
        <f t="shared" si="282"/>
        <v>0.73531200000002173</v>
      </c>
      <c r="I91" s="169">
        <f t="shared" ref="I91:J91" si="283">+I89-I127</f>
        <v>0.73531200000002173</v>
      </c>
      <c r="J91" s="169">
        <f t="shared" si="283"/>
        <v>0.73531200000005015</v>
      </c>
      <c r="K91" s="169">
        <f t="shared" ref="K91" si="284">+K89-K127</f>
        <v>0.73531200000007857</v>
      </c>
      <c r="L91" s="169">
        <f>+L89-L127</f>
        <v>0</v>
      </c>
      <c r="M91" s="169"/>
      <c r="N91" s="169">
        <f t="shared" ref="N91:AD91" si="285">+N89-N127</f>
        <v>0.7353119999999933</v>
      </c>
      <c r="O91" s="169">
        <f t="shared" si="285"/>
        <v>0.7353119999999933</v>
      </c>
      <c r="P91" s="169">
        <f t="shared" si="285"/>
        <v>0.73531200000000752</v>
      </c>
      <c r="Q91" s="169">
        <f t="shared" si="285"/>
        <v>0.73531200000005015</v>
      </c>
      <c r="R91" s="169">
        <f t="shared" si="285"/>
        <v>0.73531200000005015</v>
      </c>
      <c r="S91" s="169">
        <f t="shared" si="285"/>
        <v>0.73531200000005015</v>
      </c>
      <c r="T91" s="169">
        <f t="shared" si="285"/>
        <v>0.73531200000002173</v>
      </c>
      <c r="U91" s="169">
        <f t="shared" si="285"/>
        <v>0.73531200000003594</v>
      </c>
      <c r="V91" s="169">
        <f t="shared" si="285"/>
        <v>0.73531200000002173</v>
      </c>
      <c r="W91" s="169">
        <f t="shared" si="285"/>
        <v>0.73531200000007857</v>
      </c>
      <c r="X91" s="169">
        <f t="shared" si="285"/>
        <v>0.73531200000002173</v>
      </c>
      <c r="Y91" s="169">
        <f t="shared" si="285"/>
        <v>0.73092100000008031</v>
      </c>
      <c r="Z91" s="169">
        <f t="shared" si="285"/>
        <v>0.73092100000002347</v>
      </c>
      <c r="AA91" s="169">
        <f t="shared" si="285"/>
        <v>0.73092100000008031</v>
      </c>
      <c r="AB91" s="169">
        <f t="shared" si="285"/>
        <v>0.73092100000008031</v>
      </c>
      <c r="AC91" s="169">
        <f t="shared" si="285"/>
        <v>0.6971120000001747</v>
      </c>
      <c r="AD91" s="169">
        <f t="shared" si="285"/>
        <v>0.6971120000001747</v>
      </c>
      <c r="AE91" s="169">
        <f>+AE89-AE127</f>
        <v>0.69693700000016889</v>
      </c>
      <c r="AF91" s="169">
        <f t="shared" ref="AF91:AH91" si="286">+AF89-AF127</f>
        <v>0.6971120000001747</v>
      </c>
      <c r="AG91" s="169">
        <f t="shared" si="286"/>
        <v>0.69711200000023155</v>
      </c>
      <c r="AH91" s="169">
        <f t="shared" si="286"/>
        <v>0.73531200000002173</v>
      </c>
      <c r="AI91" s="169">
        <f>+AI89-AI127</f>
        <v>0.73531200000002173</v>
      </c>
      <c r="AJ91" s="169">
        <f>+AJ89-AJ127</f>
        <v>0.73531200000007857</v>
      </c>
      <c r="AK91" s="169">
        <f t="shared" ref="AK91:AL91" si="287">+AK89-AK127</f>
        <v>0.86420300000000339</v>
      </c>
      <c r="AL91" s="169">
        <f t="shared" si="287"/>
        <v>0.86420299999998917</v>
      </c>
      <c r="AM91" s="169">
        <f>+AM89-AM127</f>
        <v>0.38509699999998759</v>
      </c>
      <c r="AN91" s="169">
        <f>+AN89-AN127</f>
        <v>0.29027199999995901</v>
      </c>
      <c r="AO91" s="169">
        <f t="shared" ref="AO91:AP91" si="288">+AO89-AO127</f>
        <v>0.73531200000007857</v>
      </c>
      <c r="AP91" s="209">
        <f t="shared" si="288"/>
        <v>0</v>
      </c>
      <c r="AR91" s="128"/>
    </row>
    <row r="92" spans="2:44" ht="13.5" customHeight="1">
      <c r="B92" s="170"/>
      <c r="C92" s="171">
        <f>82.164527-(C75+C86)+C74</f>
        <v>0</v>
      </c>
      <c r="D92" s="171">
        <f>82.272469-(D75+D86)+D74</f>
        <v>-5.0000000000000071</v>
      </c>
      <c r="E92" s="171">
        <f>103.229312-(E75+E86)+E74</f>
        <v>0</v>
      </c>
      <c r="F92" s="171">
        <f>99.516172-(F75+F86)+F74</f>
        <v>0</v>
      </c>
      <c r="G92" s="171">
        <f>107.168225-(G75+G86)+G74</f>
        <v>-6.3948846218409017E-14</v>
      </c>
      <c r="H92" s="171">
        <f>65.214868-(H75+H86)+H74</f>
        <v>-6.3948846218409017E-14</v>
      </c>
      <c r="I92" s="171">
        <f>144.796235-(I75+I86)+I74</f>
        <v>0</v>
      </c>
      <c r="J92" s="171">
        <f>129.708828-(J75+J86)+J74</f>
        <v>0</v>
      </c>
      <c r="K92" s="171">
        <f>207.2518-(K75+K86)+K74</f>
        <v>0</v>
      </c>
      <c r="L92" s="171"/>
      <c r="M92" s="171"/>
      <c r="N92" s="171">
        <f>26.560976-(N75+N86)+N74</f>
        <v>0</v>
      </c>
      <c r="O92" s="171">
        <f>51.714187-(O75+O86+N75+N86)+O74+N74</f>
        <v>4.6185277824406512E-14</v>
      </c>
      <c r="P92" s="171">
        <f>84.632519-(P75+P86+O75+O86+N75+N86)+P74+O74+N74</f>
        <v>1.4210854715202004E-14</v>
      </c>
      <c r="Q92" s="171"/>
      <c r="R92" s="171">
        <f>13.725786-(R75+R86)+R74</f>
        <v>0</v>
      </c>
      <c r="S92" s="171">
        <f>39.229298-(S75+S86+R75+R86)+S74+R74</f>
        <v>-1.7763568394002505E-14</v>
      </c>
      <c r="T92" s="171">
        <f>63.902834-(T75+T86+S75+S86+R75+R86)+T74+S74+R74</f>
        <v>0</v>
      </c>
      <c r="U92" s="171"/>
      <c r="V92" s="171">
        <f>22.568126-(V75+V86)+V74</f>
        <v>0</v>
      </c>
      <c r="W92" s="171">
        <f>44.144757-(W75+W86+V75+V86)+W74+V74</f>
        <v>0</v>
      </c>
      <c r="X92" s="171">
        <f>75.566199 -(X75+X86+W75+W86+V75+V86)+X74+W74+V74</f>
        <v>0</v>
      </c>
      <c r="Y92" s="171"/>
      <c r="Z92" s="171">
        <f>-4.757245-(Z75+Z86)+Z74</f>
        <v>1.4210854715202004E-14</v>
      </c>
      <c r="AA92" s="171">
        <f>5.461969-(AA75+AA86+Z75+Z86)+AA74+Z74</f>
        <v>2.3980817331903381E-14</v>
      </c>
      <c r="AB92" s="171">
        <f>75.505463 -(AB75+AB86+AA75+AA86+Z75+Z86)+AB74+AA74+Z74</f>
        <v>1.3322676295501878E-14</v>
      </c>
      <c r="AC92" s="171"/>
      <c r="AD92" s="171">
        <f>31.719453-(AD75+AD86)+AD74</f>
        <v>0</v>
      </c>
      <c r="AE92" s="171">
        <f>52.405117-(AE75+AE86+AD75+AD86)+AE74+AD74</f>
        <v>1.1546319456101628E-14</v>
      </c>
      <c r="AF92" s="171">
        <f>128.947738 -(AF75+AF86+AE75+AE86+AD75+AD86)+AF74+AE74+AD74</f>
        <v>2.5757174171303632E-14</v>
      </c>
      <c r="AG92" s="171"/>
      <c r="AH92" s="171"/>
      <c r="AI92" s="171">
        <f>37.722787-(AI75+AI86+AH75+AH86)+AI74+AH74</f>
        <v>-1.3322676295501878E-14</v>
      </c>
      <c r="AJ92" s="171">
        <f>79.246179 -(AJ75+AJ86+AI75+AI86+AH75+AH86)+AJ74+AI74+AH74</f>
        <v>-3.4638958368304884E-14</v>
      </c>
      <c r="AK92" s="171"/>
      <c r="AL92" s="171">
        <f>25.892612-(AL75+AL86)+AL74</f>
        <v>-1.0658141036401503E-14</v>
      </c>
      <c r="AM92" s="171">
        <f>89.73-(AM75+AM86+AL75+AL86)+AM74+AL74</f>
        <v>-6.9999999999996732E-2</v>
      </c>
      <c r="AN92" s="171">
        <f>146.243509-(AN75+AN86+AM75+AM86+AL75+AL86)+AN74+AM74+AL74</f>
        <v>-7.1054273576010019E-14</v>
      </c>
      <c r="AO92" s="171"/>
      <c r="AP92" s="171">
        <f>27.037248-(AP75+AP86)+AP74</f>
        <v>0</v>
      </c>
      <c r="AR92" s="128"/>
    </row>
    <row r="93" spans="2:44" ht="11.25" customHeight="1">
      <c r="C93" s="86"/>
      <c r="D93" s="86"/>
      <c r="E93" s="86"/>
      <c r="F93" s="86"/>
      <c r="G93" s="86"/>
      <c r="H93" s="86"/>
      <c r="I93" s="86"/>
      <c r="J93" s="86"/>
      <c r="K93" s="86"/>
      <c r="L93" s="86"/>
      <c r="M93" s="85"/>
      <c r="N93" s="86"/>
      <c r="O93" s="86"/>
      <c r="P93" s="86"/>
      <c r="Q93" s="85"/>
      <c r="R93" s="85"/>
      <c r="S93" s="85"/>
      <c r="T93" s="85"/>
      <c r="U93" s="85"/>
      <c r="V93" s="85"/>
      <c r="W93" s="85"/>
      <c r="X93" s="85"/>
      <c r="Y93" s="85"/>
      <c r="Z93" s="85"/>
      <c r="AA93" s="85"/>
      <c r="AB93" s="85"/>
      <c r="AC93" s="85"/>
      <c r="AD93" s="85"/>
      <c r="AE93" s="85"/>
      <c r="AF93" s="85"/>
      <c r="AG93" s="85"/>
      <c r="AH93" s="85"/>
      <c r="AI93" s="85"/>
      <c r="AK93" s="85"/>
      <c r="AL93" s="85"/>
      <c r="AM93" s="85"/>
      <c r="AO93" s="85"/>
      <c r="AP93" s="85"/>
    </row>
    <row r="94" spans="2:44" ht="13.5" customHeight="1">
      <c r="B94" s="61" t="s">
        <v>219</v>
      </c>
      <c r="C94" s="70">
        <f t="shared" ref="C94:J94" si="289">C3</f>
        <v>43100</v>
      </c>
      <c r="D94" s="70">
        <f t="shared" si="289"/>
        <v>43465</v>
      </c>
      <c r="E94" s="70">
        <f t="shared" si="289"/>
        <v>43830</v>
      </c>
      <c r="F94" s="70">
        <f t="shared" si="289"/>
        <v>44196</v>
      </c>
      <c r="G94" s="70">
        <f t="shared" si="289"/>
        <v>44561</v>
      </c>
      <c r="H94" s="70">
        <f t="shared" si="289"/>
        <v>44926</v>
      </c>
      <c r="I94" s="70">
        <f t="shared" si="289"/>
        <v>45291</v>
      </c>
      <c r="J94" s="70">
        <f t="shared" si="289"/>
        <v>45657</v>
      </c>
      <c r="K94" s="70">
        <f t="shared" ref="K94" si="290">K3</f>
        <v>46022</v>
      </c>
      <c r="L94" s="70" t="str">
        <f>L2</f>
        <v>LTM</v>
      </c>
      <c r="M94" s="145"/>
      <c r="N94" s="70">
        <f t="shared" ref="N94:AN94" si="291">N3</f>
        <v>43555</v>
      </c>
      <c r="O94" s="70">
        <f t="shared" si="291"/>
        <v>43646</v>
      </c>
      <c r="P94" s="70">
        <f t="shared" si="291"/>
        <v>43738</v>
      </c>
      <c r="Q94" s="70">
        <f t="shared" si="291"/>
        <v>43830</v>
      </c>
      <c r="R94" s="70">
        <f t="shared" si="291"/>
        <v>43921</v>
      </c>
      <c r="S94" s="70">
        <f t="shared" si="291"/>
        <v>44012</v>
      </c>
      <c r="T94" s="70">
        <f t="shared" si="291"/>
        <v>44104</v>
      </c>
      <c r="U94" s="70">
        <f t="shared" si="291"/>
        <v>44196</v>
      </c>
      <c r="V94" s="70">
        <f t="shared" si="291"/>
        <v>44286</v>
      </c>
      <c r="W94" s="70">
        <f t="shared" si="291"/>
        <v>44377</v>
      </c>
      <c r="X94" s="70">
        <f t="shared" si="291"/>
        <v>44469</v>
      </c>
      <c r="Y94" s="70">
        <f t="shared" si="291"/>
        <v>44561</v>
      </c>
      <c r="Z94" s="70">
        <f t="shared" si="291"/>
        <v>44651</v>
      </c>
      <c r="AA94" s="70">
        <f t="shared" si="291"/>
        <v>44742</v>
      </c>
      <c r="AB94" s="70">
        <f t="shared" si="291"/>
        <v>44834</v>
      </c>
      <c r="AC94" s="70">
        <f t="shared" si="291"/>
        <v>44926</v>
      </c>
      <c r="AD94" s="70">
        <f t="shared" si="291"/>
        <v>45016</v>
      </c>
      <c r="AE94" s="70">
        <f t="shared" si="291"/>
        <v>45107</v>
      </c>
      <c r="AF94" s="70">
        <f t="shared" si="291"/>
        <v>45199</v>
      </c>
      <c r="AG94" s="70">
        <f t="shared" si="291"/>
        <v>45291</v>
      </c>
      <c r="AH94" s="70">
        <f t="shared" si="291"/>
        <v>45382</v>
      </c>
      <c r="AI94" s="70">
        <f t="shared" si="291"/>
        <v>45473</v>
      </c>
      <c r="AJ94" s="70">
        <f t="shared" si="291"/>
        <v>45565</v>
      </c>
      <c r="AK94" s="70">
        <f t="shared" si="291"/>
        <v>45657</v>
      </c>
      <c r="AL94" s="70">
        <f t="shared" si="291"/>
        <v>45747</v>
      </c>
      <c r="AM94" s="70">
        <f t="shared" si="291"/>
        <v>45838</v>
      </c>
      <c r="AN94" s="70">
        <f t="shared" si="291"/>
        <v>45930</v>
      </c>
      <c r="AO94" s="70">
        <f t="shared" ref="AO94:AP94" si="292">AO3</f>
        <v>46022</v>
      </c>
      <c r="AP94" s="70">
        <f t="shared" si="292"/>
        <v>46112</v>
      </c>
    </row>
    <row r="95" spans="2:44" ht="13.5" customHeight="1">
      <c r="B95" s="35" t="str">
        <f t="shared" ref="B95:L95" si="293">B7</f>
        <v>Rental Income</v>
      </c>
      <c r="C95" s="16">
        <f t="shared" si="293"/>
        <v>109.42728200000001</v>
      </c>
      <c r="D95" s="16">
        <f t="shared" si="293"/>
        <v>132.66926599999999</v>
      </c>
      <c r="E95" s="16">
        <f t="shared" si="293"/>
        <v>144.29240200000001</v>
      </c>
      <c r="F95" s="16">
        <f t="shared" si="293"/>
        <v>149.535887</v>
      </c>
      <c r="G95" s="16">
        <f t="shared" si="293"/>
        <v>160.698385</v>
      </c>
      <c r="H95" s="16">
        <f t="shared" si="293"/>
        <v>178.02546100000001</v>
      </c>
      <c r="I95" s="16">
        <f t="shared" si="293"/>
        <v>213.448296</v>
      </c>
      <c r="J95" s="16">
        <f t="shared" si="293"/>
        <v>251.950504</v>
      </c>
      <c r="K95" s="16">
        <f t="shared" ref="K95" si="294">K7</f>
        <v>283.19337000000002</v>
      </c>
      <c r="L95" s="16">
        <f t="shared" si="293"/>
        <v>292.90351399999997</v>
      </c>
      <c r="M95" s="16"/>
      <c r="N95" s="16">
        <f>SUM(F7:N7)</f>
        <v>1566.0458019999999</v>
      </c>
      <c r="O95" s="16">
        <f>SUM(L7:O7)</f>
        <v>365.12194999999997</v>
      </c>
      <c r="P95" s="16">
        <f>SUM(L7:P7)</f>
        <v>400.94751899999994</v>
      </c>
      <c r="Q95" s="16">
        <f t="shared" ref="Q95:AP95" si="295">SUM(N7:Q7)</f>
        <v>144.29240200000001</v>
      </c>
      <c r="R95" s="16">
        <f t="shared" si="295"/>
        <v>145.69715000000002</v>
      </c>
      <c r="S95" s="16">
        <f t="shared" si="295"/>
        <v>146.30790400000001</v>
      </c>
      <c r="T95" s="16">
        <f t="shared" si="295"/>
        <v>147.94019600000001</v>
      </c>
      <c r="U95" s="16">
        <f t="shared" si="295"/>
        <v>149.535887</v>
      </c>
      <c r="V95" s="16">
        <f t="shared" si="295"/>
        <v>150.19315800000001</v>
      </c>
      <c r="W95" s="16">
        <f t="shared" si="295"/>
        <v>153.41120000000001</v>
      </c>
      <c r="X95" s="16">
        <f t="shared" si="295"/>
        <v>156.95546899999999</v>
      </c>
      <c r="Y95" s="16">
        <f t="shared" si="295"/>
        <v>160.698385</v>
      </c>
      <c r="Z95" s="16">
        <f t="shared" si="295"/>
        <v>164.33402599999999</v>
      </c>
      <c r="AA95" s="16">
        <f t="shared" si="295"/>
        <v>165.91804300000001</v>
      </c>
      <c r="AB95" s="16">
        <f t="shared" si="295"/>
        <v>170.42395600000003</v>
      </c>
      <c r="AC95" s="16">
        <f t="shared" si="295"/>
        <v>178.02546100000001</v>
      </c>
      <c r="AD95" s="16">
        <f t="shared" si="295"/>
        <v>185.64830499999999</v>
      </c>
      <c r="AE95" s="16">
        <f t="shared" si="295"/>
        <v>193.00118300000003</v>
      </c>
      <c r="AF95" s="16">
        <f t="shared" si="295"/>
        <v>199.106211</v>
      </c>
      <c r="AG95" s="16">
        <f t="shared" si="295"/>
        <v>213.448296</v>
      </c>
      <c r="AH95" s="16">
        <f t="shared" si="295"/>
        <v>224.0138</v>
      </c>
      <c r="AI95" s="16">
        <f t="shared" si="295"/>
        <v>232.98807599999998</v>
      </c>
      <c r="AJ95" s="16">
        <f t="shared" si="295"/>
        <v>239.75212699999997</v>
      </c>
      <c r="AK95" s="16">
        <f t="shared" si="295"/>
        <v>251.950504</v>
      </c>
      <c r="AL95" s="16">
        <f t="shared" si="295"/>
        <v>258.81312099999997</v>
      </c>
      <c r="AM95" s="16">
        <f t="shared" si="295"/>
        <v>263.34510299999999</v>
      </c>
      <c r="AN95" s="16">
        <f t="shared" si="295"/>
        <v>277.38890599999996</v>
      </c>
      <c r="AO95" s="16">
        <f t="shared" si="295"/>
        <v>283.19337000000002</v>
      </c>
      <c r="AP95" s="16">
        <f t="shared" si="295"/>
        <v>292.90351399999997</v>
      </c>
    </row>
    <row r="96" spans="2:44" ht="13.5" customHeight="1">
      <c r="B96" s="35" t="s">
        <v>174</v>
      </c>
      <c r="C96" s="16">
        <f t="shared" ref="C96:L96" si="296">+C19</f>
        <v>90.165526</v>
      </c>
      <c r="D96" s="16">
        <f t="shared" si="296"/>
        <v>110.325025</v>
      </c>
      <c r="E96" s="16">
        <f t="shared" si="296"/>
        <v>117.099341</v>
      </c>
      <c r="F96" s="16">
        <f t="shared" si="296"/>
        <v>121.03878599999999</v>
      </c>
      <c r="G96" s="16">
        <f t="shared" si="296"/>
        <v>128.65868400000002</v>
      </c>
      <c r="H96" s="16">
        <f t="shared" si="296"/>
        <v>142.18763899999999</v>
      </c>
      <c r="I96" s="16">
        <f t="shared" si="296"/>
        <v>164.50799499999999</v>
      </c>
      <c r="J96" s="16">
        <f t="shared" si="296"/>
        <v>193.55644599999999</v>
      </c>
      <c r="K96" s="16">
        <f t="shared" ref="K96" si="297">+K19</f>
        <v>219.45663300000001</v>
      </c>
      <c r="L96" s="16">
        <f t="shared" si="296"/>
        <v>226.067689</v>
      </c>
      <c r="M96" s="16"/>
      <c r="N96" s="16">
        <f>SUM(F19:N19)</f>
        <v>1225.5534150000001</v>
      </c>
      <c r="O96" s="16">
        <f>SUM(L19:O19)</f>
        <v>285.36936400000002</v>
      </c>
      <c r="P96" s="16">
        <f>SUM(L19:P19)</f>
        <v>314.51628200000005</v>
      </c>
      <c r="Q96" s="16">
        <f t="shared" ref="Q96:AP96" si="298">SUM(N19:Q19)</f>
        <v>117.09934100000004</v>
      </c>
      <c r="R96" s="16">
        <f t="shared" si="298"/>
        <v>117.05068000000004</v>
      </c>
      <c r="S96" s="16">
        <f t="shared" si="298"/>
        <v>117.34204900000003</v>
      </c>
      <c r="T96" s="16">
        <f t="shared" si="298"/>
        <v>119.05267400000002</v>
      </c>
      <c r="U96" s="16">
        <f t="shared" si="298"/>
        <v>121.038786</v>
      </c>
      <c r="V96" s="16">
        <f t="shared" si="298"/>
        <v>122.634286</v>
      </c>
      <c r="W96" s="16">
        <f t="shared" si="298"/>
        <v>124.981728</v>
      </c>
      <c r="X96" s="16">
        <f t="shared" si="298"/>
        <v>126.77128500000001</v>
      </c>
      <c r="Y96" s="16">
        <f t="shared" si="298"/>
        <v>128.65868400000002</v>
      </c>
      <c r="Z96" s="16">
        <f t="shared" si="298"/>
        <v>130.439235</v>
      </c>
      <c r="AA96" s="16">
        <f t="shared" si="298"/>
        <v>132.99196100000003</v>
      </c>
      <c r="AB96" s="16">
        <f t="shared" si="298"/>
        <v>136.98320900000002</v>
      </c>
      <c r="AC96" s="16">
        <f t="shared" si="298"/>
        <v>142.18763900000002</v>
      </c>
      <c r="AD96" s="16">
        <f t="shared" si="298"/>
        <v>147.60861200000002</v>
      </c>
      <c r="AE96" s="16">
        <f t="shared" si="298"/>
        <v>153.93671800000004</v>
      </c>
      <c r="AF96" s="16">
        <f t="shared" si="298"/>
        <v>160.30971900000003</v>
      </c>
      <c r="AG96" s="16">
        <f t="shared" si="298"/>
        <v>164.50799499999999</v>
      </c>
      <c r="AH96" s="16">
        <f t="shared" si="298"/>
        <v>173.20969500000001</v>
      </c>
      <c r="AI96" s="16">
        <f t="shared" si="298"/>
        <v>180.09668800000003</v>
      </c>
      <c r="AJ96" s="16">
        <f t="shared" si="298"/>
        <v>186.86427500000002</v>
      </c>
      <c r="AK96" s="16">
        <f t="shared" si="298"/>
        <v>193.55644599999997</v>
      </c>
      <c r="AL96" s="16">
        <f t="shared" si="298"/>
        <v>198.96135499999997</v>
      </c>
      <c r="AM96" s="16">
        <f t="shared" si="298"/>
        <v>203.71258699999998</v>
      </c>
      <c r="AN96" s="16">
        <f t="shared" si="298"/>
        <v>209.79925399999996</v>
      </c>
      <c r="AO96" s="16">
        <f t="shared" si="298"/>
        <v>219.45663300000001</v>
      </c>
      <c r="AP96" s="16">
        <f t="shared" si="298"/>
        <v>226.06768899999997</v>
      </c>
    </row>
    <row r="97" spans="2:44" ht="13.5" customHeight="1">
      <c r="B97" s="35" t="s">
        <v>220</v>
      </c>
      <c r="C97" s="16">
        <f t="shared" ref="C97:G97" si="299">+C58</f>
        <v>91.952252999999999</v>
      </c>
      <c r="D97" s="16">
        <f t="shared" si="299"/>
        <v>112.82820199999999</v>
      </c>
      <c r="E97" s="16">
        <f t="shared" si="299"/>
        <v>121.384119</v>
      </c>
      <c r="F97" s="16">
        <f t="shared" si="299"/>
        <v>126.19619899999999</v>
      </c>
      <c r="G97" s="16">
        <f t="shared" si="299"/>
        <v>135.80990000000003</v>
      </c>
      <c r="H97" s="16">
        <f t="shared" ref="H97:I97" si="300">+H58</f>
        <v>150.301559</v>
      </c>
      <c r="I97" s="16">
        <f t="shared" si="300"/>
        <v>174.08789899999999</v>
      </c>
      <c r="J97" s="16">
        <f t="shared" ref="J97:K97" si="301">+J58</f>
        <v>203.95496</v>
      </c>
      <c r="K97" s="16">
        <f t="shared" si="301"/>
        <v>230.811735</v>
      </c>
      <c r="L97" s="16">
        <f>+L58</f>
        <v>238.34973400000001</v>
      </c>
      <c r="M97" s="16"/>
      <c r="N97" s="16">
        <f>SUM(F58:N58)</f>
        <v>1290.6187649999999</v>
      </c>
      <c r="O97" s="16">
        <f>SUM(L58:O58)</f>
        <v>299.71588100000002</v>
      </c>
      <c r="P97" s="16">
        <f>SUM(L58:P58)</f>
        <v>329.93584600000003</v>
      </c>
      <c r="Q97" s="16">
        <f t="shared" ref="Q97:AH97" si="302">SUM(N58:Q58)</f>
        <v>121.35411900000003</v>
      </c>
      <c r="R97" s="16">
        <f t="shared" si="302"/>
        <v>121.71056400000003</v>
      </c>
      <c r="S97" s="16">
        <f t="shared" si="302"/>
        <v>122.13445100000003</v>
      </c>
      <c r="T97" s="16">
        <f t="shared" si="302"/>
        <v>124.00581800000003</v>
      </c>
      <c r="U97" s="16">
        <f t="shared" si="302"/>
        <v>126.19619899999999</v>
      </c>
      <c r="V97" s="16">
        <f t="shared" si="302"/>
        <v>128.16765599999999</v>
      </c>
      <c r="W97" s="16">
        <f t="shared" si="302"/>
        <v>131.17148300000002</v>
      </c>
      <c r="X97" s="16">
        <f t="shared" si="302"/>
        <v>133.463584</v>
      </c>
      <c r="Y97" s="16">
        <f t="shared" si="302"/>
        <v>135.805509</v>
      </c>
      <c r="Z97" s="16">
        <f t="shared" si="302"/>
        <v>137.776884</v>
      </c>
      <c r="AA97" s="16">
        <f t="shared" si="302"/>
        <v>140.48486400000002</v>
      </c>
      <c r="AB97" s="16">
        <f t="shared" si="302"/>
        <v>144.78062699999998</v>
      </c>
      <c r="AC97" s="16">
        <f t="shared" si="302"/>
        <v>150.26775000000001</v>
      </c>
      <c r="AD97" s="16">
        <f t="shared" si="302"/>
        <v>156.84847500000001</v>
      </c>
      <c r="AE97" s="16">
        <f t="shared" si="302"/>
        <v>163.22224900000003</v>
      </c>
      <c r="AF97" s="16">
        <f t="shared" si="302"/>
        <v>169.60697500000003</v>
      </c>
      <c r="AG97" s="16">
        <f t="shared" si="302"/>
        <v>174.08789900000002</v>
      </c>
      <c r="AH97" s="16">
        <f t="shared" si="302"/>
        <v>182.105276</v>
      </c>
      <c r="AI97" s="16">
        <f>SUM(AF58:AI58)</f>
        <v>189.76900700000002</v>
      </c>
      <c r="AJ97" s="16">
        <f>SUM(AG58:AJ58)</f>
        <v>197.05753899999999</v>
      </c>
      <c r="AK97" s="16">
        <f t="shared" ref="AK97:AL97" si="303">SUM(AH58:AK58)</f>
        <v>203.95495999999997</v>
      </c>
      <c r="AL97" s="16">
        <f t="shared" si="303"/>
        <v>209.71842599999997</v>
      </c>
      <c r="AM97" s="16">
        <f>SUM(AJ58:AM58)</f>
        <v>214.16585899999998</v>
      </c>
      <c r="AN97" s="16">
        <f>SUM(AK58:AN58)</f>
        <v>220.51011199999994</v>
      </c>
      <c r="AO97" s="16">
        <f t="shared" ref="AO97:AP97" si="304">SUM(AL58:AO58)</f>
        <v>230.811735</v>
      </c>
      <c r="AP97" s="16">
        <f t="shared" si="304"/>
        <v>238.34973399999998</v>
      </c>
    </row>
    <row r="98" spans="2:44" s="39" customFormat="1" ht="13.5" customHeight="1">
      <c r="B98" s="35" t="s">
        <v>221</v>
      </c>
      <c r="C98" s="16">
        <f t="shared" ref="C98:G98" si="305">+C63</f>
        <v>91.952252999999999</v>
      </c>
      <c r="D98" s="16">
        <f t="shared" si="305"/>
        <v>112.82820199999999</v>
      </c>
      <c r="E98" s="16">
        <f t="shared" si="305"/>
        <v>121.384119</v>
      </c>
      <c r="F98" s="16">
        <f t="shared" si="305"/>
        <v>126.19619899999999</v>
      </c>
      <c r="G98" s="16">
        <f t="shared" si="305"/>
        <v>135.80990000000003</v>
      </c>
      <c r="H98" s="16">
        <f t="shared" ref="H98:I98" si="306">+H63</f>
        <v>150.301559</v>
      </c>
      <c r="I98" s="16">
        <f t="shared" si="306"/>
        <v>174.08789899999999</v>
      </c>
      <c r="J98" s="16">
        <f t="shared" ref="J98:K98" si="307">+J63</f>
        <v>204.4</v>
      </c>
      <c r="K98" s="16">
        <f t="shared" si="307"/>
        <v>231.1</v>
      </c>
      <c r="L98" s="16">
        <f>+L63</f>
        <v>237.93428500000002</v>
      </c>
      <c r="M98" s="16"/>
      <c r="N98" s="16">
        <f>SUM(F63:N63)</f>
        <v>1290.9366210000001</v>
      </c>
      <c r="O98" s="16">
        <f>SUM(L63:O63)</f>
        <v>299.300432</v>
      </c>
      <c r="P98" s="16">
        <f>SUM(L63:P63)</f>
        <v>329.520397</v>
      </c>
      <c r="Q98" s="16">
        <f t="shared" ref="Q98:U98" si="308">SUM(N63:Q63)</f>
        <v>121.35411900000003</v>
      </c>
      <c r="R98" s="16">
        <f t="shared" si="308"/>
        <v>121.71056400000003</v>
      </c>
      <c r="S98" s="16">
        <f t="shared" si="308"/>
        <v>122.13445100000003</v>
      </c>
      <c r="T98" s="16">
        <f t="shared" si="308"/>
        <v>124.00581800000003</v>
      </c>
      <c r="U98" s="16">
        <f t="shared" si="308"/>
        <v>126.19619899999999</v>
      </c>
      <c r="V98" s="16">
        <f>SUM(S63:V63)</f>
        <v>128.16765599999999</v>
      </c>
      <c r="W98" s="16">
        <f>SUM(T63:W63)</f>
        <v>131.17148300000002</v>
      </c>
      <c r="X98" s="16">
        <f t="shared" ref="X98:Y98" si="309">SUM(U63:X63)</f>
        <v>133.463584</v>
      </c>
      <c r="Y98" s="16">
        <f t="shared" si="309"/>
        <v>135.805509</v>
      </c>
      <c r="Z98" s="16">
        <f>SUM(W63:Z63)</f>
        <v>137.776884</v>
      </c>
      <c r="AA98" s="16">
        <f>SUM(X63:AA63)</f>
        <v>140.48486400000002</v>
      </c>
      <c r="AB98" s="16">
        <f>SUM(Y63:AB63)</f>
        <v>144.78062699999998</v>
      </c>
      <c r="AC98" s="16">
        <f t="shared" ref="AC98:AD98" si="310">SUM(Z63:AC63)</f>
        <v>150.26775000000001</v>
      </c>
      <c r="AD98" s="16">
        <f t="shared" si="310"/>
        <v>156.84847500000001</v>
      </c>
      <c r="AE98" s="16">
        <f>SUM(AB63:AE63)</f>
        <v>163.22224900000003</v>
      </c>
      <c r="AF98" s="16">
        <f>SUM(AC63:AF63)</f>
        <v>169.60697500000003</v>
      </c>
      <c r="AG98" s="16">
        <f t="shared" ref="AG98:AH98" si="311">SUM(AD63:AG63)</f>
        <v>174.08789900000002</v>
      </c>
      <c r="AH98" s="16">
        <f t="shared" si="311"/>
        <v>182.67920700000002</v>
      </c>
      <c r="AI98" s="16">
        <f>SUM(AF63:AI63)</f>
        <v>190.34293800000003</v>
      </c>
      <c r="AJ98" s="16">
        <f>SUM(AG63:AJ63)</f>
        <v>197.63147000000001</v>
      </c>
      <c r="AK98" s="16">
        <f t="shared" ref="AK98:AL98" si="312">SUM(AH63:AK63)</f>
        <v>204.52889099999999</v>
      </c>
      <c r="AL98" s="16">
        <f t="shared" si="312"/>
        <v>209.20917399999996</v>
      </c>
      <c r="AM98" s="16">
        <f>SUM(AJ63:AM63)</f>
        <v>213.65660699999998</v>
      </c>
      <c r="AN98" s="16">
        <f>SUM(AK63:AN63)</f>
        <v>221.00415299999997</v>
      </c>
      <c r="AO98" s="16">
        <f t="shared" ref="AO98:AP98" si="313">SUM(AL63:AO63)</f>
        <v>231.1</v>
      </c>
      <c r="AP98" s="16">
        <f t="shared" si="313"/>
        <v>237.93428500000002</v>
      </c>
    </row>
    <row r="99" spans="2:44" ht="13.5" customHeight="1">
      <c r="B99" s="35" t="s">
        <v>204</v>
      </c>
      <c r="C99" s="16">
        <f t="shared" ref="C99:G99" si="314">-C74</f>
        <v>15.907052</v>
      </c>
      <c r="D99" s="16">
        <f t="shared" si="314"/>
        <v>32.288117999999997</v>
      </c>
      <c r="E99" s="16">
        <f t="shared" si="314"/>
        <v>38.606428999999999</v>
      </c>
      <c r="F99" s="16">
        <f t="shared" si="314"/>
        <v>37.986843999999998</v>
      </c>
      <c r="G99" s="16">
        <f t="shared" si="314"/>
        <v>44.474122999999999</v>
      </c>
      <c r="H99" s="16">
        <f t="shared" ref="H99:I99" si="315">-H74</f>
        <v>44.844369999999998</v>
      </c>
      <c r="I99" s="16">
        <f t="shared" si="315"/>
        <v>45.034413999999998</v>
      </c>
      <c r="J99" s="16">
        <f t="shared" ref="J99:K99" si="316">-J74</f>
        <v>42.087710000000001</v>
      </c>
      <c r="K99" s="16">
        <f t="shared" si="316"/>
        <v>45.884169999999997</v>
      </c>
      <c r="L99" s="16">
        <f>-L74</f>
        <v>55.233534999999996</v>
      </c>
      <c r="M99" s="16"/>
      <c r="N99" s="16">
        <f>-SUM(F74:N74)</f>
        <v>324.70918</v>
      </c>
      <c r="O99" s="16">
        <f>-SUM(L74:O74)</f>
        <v>75.022085000000004</v>
      </c>
      <c r="P99" s="16">
        <f>-SUM(L74:P74)</f>
        <v>88.152399000000003</v>
      </c>
      <c r="Q99" s="16">
        <f t="shared" ref="Q99:AP99" si="317">-SUM(N74:Q74)</f>
        <v>38.606428999999999</v>
      </c>
      <c r="R99" s="16">
        <f t="shared" si="317"/>
        <v>37.899458000000003</v>
      </c>
      <c r="S99" s="16">
        <f t="shared" si="317"/>
        <v>37.591897999999993</v>
      </c>
      <c r="T99" s="16">
        <f t="shared" si="317"/>
        <v>34.090075999999996</v>
      </c>
      <c r="U99" s="16">
        <f t="shared" si="317"/>
        <v>37.986843999999998</v>
      </c>
      <c r="V99" s="16">
        <f t="shared" si="317"/>
        <v>39.944963999999999</v>
      </c>
      <c r="W99" s="16">
        <f t="shared" si="317"/>
        <v>41.752082999999999</v>
      </c>
      <c r="X99" s="16">
        <f t="shared" si="317"/>
        <v>39.298748000000003</v>
      </c>
      <c r="Y99" s="16">
        <f t="shared" si="317"/>
        <v>44.474122999999999</v>
      </c>
      <c r="Z99" s="16">
        <f t="shared" si="317"/>
        <v>41.526488999999998</v>
      </c>
      <c r="AA99" s="16">
        <f t="shared" si="317"/>
        <v>44.099784</v>
      </c>
      <c r="AB99" s="16">
        <f t="shared" si="317"/>
        <v>43.927844999999998</v>
      </c>
      <c r="AC99" s="16">
        <f t="shared" si="317"/>
        <v>44.844369999999998</v>
      </c>
      <c r="AD99" s="16">
        <f t="shared" si="317"/>
        <v>44.475080999999996</v>
      </c>
      <c r="AE99" s="16">
        <f t="shared" si="317"/>
        <v>45.679590999999995</v>
      </c>
      <c r="AF99" s="16">
        <f t="shared" si="317"/>
        <v>45.353332999999999</v>
      </c>
      <c r="AG99" s="16">
        <f t="shared" si="317"/>
        <v>45.034413999999998</v>
      </c>
      <c r="AH99" s="16">
        <f t="shared" si="317"/>
        <v>44.363209999999995</v>
      </c>
      <c r="AI99" s="16">
        <f t="shared" si="317"/>
        <v>42.583870000000005</v>
      </c>
      <c r="AJ99" s="16">
        <f t="shared" si="317"/>
        <v>42.773410999999996</v>
      </c>
      <c r="AK99" s="16">
        <f t="shared" si="317"/>
        <v>42.087710000000001</v>
      </c>
      <c r="AL99" s="16">
        <f t="shared" si="317"/>
        <v>42.330444</v>
      </c>
      <c r="AM99" s="16">
        <f>-SUM(AJ74:AM74)</f>
        <v>42.338114000000004</v>
      </c>
      <c r="AN99" s="16">
        <f t="shared" si="317"/>
        <v>42.256470000000007</v>
      </c>
      <c r="AO99" s="16">
        <f t="shared" si="317"/>
        <v>45.884169999999997</v>
      </c>
      <c r="AP99" s="16">
        <f t="shared" si="317"/>
        <v>55.233534999999996</v>
      </c>
    </row>
    <row r="100" spans="2:44" ht="13.5" customHeight="1">
      <c r="B100" s="35" t="s">
        <v>222</v>
      </c>
      <c r="C100" s="16">
        <f t="shared" ref="C100:G100" si="318">+C33</f>
        <v>126.030181</v>
      </c>
      <c r="D100" s="16">
        <f t="shared" si="318"/>
        <v>93.060329999999993</v>
      </c>
      <c r="E100" s="16">
        <f t="shared" si="318"/>
        <v>134.61070900000001</v>
      </c>
      <c r="F100" s="16">
        <f t="shared" si="318"/>
        <v>66.956081999999981</v>
      </c>
      <c r="G100" s="16">
        <f t="shared" si="318"/>
        <v>173.94237300000003</v>
      </c>
      <c r="H100" s="16">
        <f t="shared" ref="H100:I100" si="319">+H33</f>
        <v>243.62475400000002</v>
      </c>
      <c r="I100" s="16">
        <f t="shared" si="319"/>
        <v>316.63751199999996</v>
      </c>
      <c r="J100" s="16">
        <f t="shared" ref="J100:K100" si="320">+J33</f>
        <v>223.34634599999995</v>
      </c>
      <c r="K100" s="16">
        <f t="shared" si="320"/>
        <v>241.90232300000002</v>
      </c>
      <c r="L100" s="16">
        <f>+L33</f>
        <v>327.96356900000006</v>
      </c>
      <c r="M100" s="16"/>
      <c r="N100" s="16">
        <f>SUM(F33:N33)</f>
        <v>1616.308779</v>
      </c>
      <c r="O100" s="16">
        <f>SUM(L33:O33)</f>
        <v>399.23310100000009</v>
      </c>
      <c r="P100" s="16">
        <f>SUM(L33:P33)</f>
        <v>411.64507000000009</v>
      </c>
      <c r="Q100" s="16">
        <f t="shared" ref="Q100:AP100" si="321">SUM(N33:Q33)</f>
        <v>134.61070900000004</v>
      </c>
      <c r="R100" s="16">
        <f t="shared" si="321"/>
        <v>88.256150000000019</v>
      </c>
      <c r="S100" s="16">
        <f t="shared" si="321"/>
        <v>57.990479000000008</v>
      </c>
      <c r="T100" s="16">
        <f t="shared" si="321"/>
        <v>82.220407000000009</v>
      </c>
      <c r="U100" s="16">
        <f t="shared" si="321"/>
        <v>66.956081999999995</v>
      </c>
      <c r="V100" s="16">
        <f t="shared" si="321"/>
        <v>105.68691099999998</v>
      </c>
      <c r="W100" s="16">
        <f t="shared" si="321"/>
        <v>195.02378499999998</v>
      </c>
      <c r="X100" s="16">
        <f t="shared" si="321"/>
        <v>163.147626</v>
      </c>
      <c r="Y100" s="16">
        <f t="shared" si="321"/>
        <v>173.94237299999998</v>
      </c>
      <c r="Z100" s="16">
        <f t="shared" si="321"/>
        <v>209.017044</v>
      </c>
      <c r="AA100" s="16">
        <f t="shared" si="321"/>
        <v>154.21040499999998</v>
      </c>
      <c r="AB100" s="16">
        <f t="shared" si="321"/>
        <v>211.41914399999999</v>
      </c>
      <c r="AC100" s="16">
        <f t="shared" si="321"/>
        <v>243.62475400000005</v>
      </c>
      <c r="AD100" s="16">
        <f t="shared" si="321"/>
        <v>249.56465800000001</v>
      </c>
      <c r="AE100" s="16">
        <f t="shared" si="321"/>
        <v>291.67460900000003</v>
      </c>
      <c r="AF100" s="16">
        <f t="shared" si="321"/>
        <v>305.91826000000003</v>
      </c>
      <c r="AG100" s="16">
        <f t="shared" si="321"/>
        <v>316.63751200000002</v>
      </c>
      <c r="AH100" s="16">
        <f t="shared" si="321"/>
        <v>386.17842400000001</v>
      </c>
      <c r="AI100" s="16">
        <f t="shared" si="321"/>
        <v>399.77426600000001</v>
      </c>
      <c r="AJ100" s="16">
        <f t="shared" si="321"/>
        <v>375.539714</v>
      </c>
      <c r="AK100" s="16">
        <f t="shared" si="321"/>
        <v>223.3463459999999</v>
      </c>
      <c r="AL100" s="16">
        <f t="shared" si="321"/>
        <v>113.40005699999992</v>
      </c>
      <c r="AM100" s="16">
        <f>SUM(AJ33:AM33)</f>
        <v>31.875987999999921</v>
      </c>
      <c r="AN100" s="16">
        <f t="shared" si="321"/>
        <v>4.8594529999999097</v>
      </c>
      <c r="AO100" s="16">
        <f t="shared" si="321"/>
        <v>241.90232299999997</v>
      </c>
      <c r="AP100" s="16">
        <f t="shared" si="321"/>
        <v>327.96356899999995</v>
      </c>
    </row>
    <row r="101" spans="2:44" ht="13.5" customHeight="1">
      <c r="B101" s="35" t="s">
        <v>223</v>
      </c>
      <c r="C101" s="16">
        <f t="shared" ref="C101:G101" si="322">-C76</f>
        <v>196.47036699999998</v>
      </c>
      <c r="D101" s="16">
        <f t="shared" si="322"/>
        <v>139.093018</v>
      </c>
      <c r="E101" s="16">
        <f t="shared" si="322"/>
        <v>-1.2753080000000021</v>
      </c>
      <c r="F101" s="16">
        <f t="shared" si="322"/>
        <v>73.345549000000005</v>
      </c>
      <c r="G101" s="16">
        <f t="shared" si="322"/>
        <v>-15.952125999999994</v>
      </c>
      <c r="H101" s="16">
        <f t="shared" ref="H101:I101" si="323">-H76</f>
        <v>262.15760299999999</v>
      </c>
      <c r="I101" s="16">
        <f t="shared" si="323"/>
        <v>223.07246500000002</v>
      </c>
      <c r="J101" s="16">
        <f t="shared" ref="J101:K101" si="324">-J76</f>
        <v>226.66518500000001</v>
      </c>
      <c r="K101" s="16">
        <f t="shared" si="324"/>
        <v>332.27149900000001</v>
      </c>
      <c r="L101" s="16">
        <f>-L76</f>
        <v>289.05288400000001</v>
      </c>
      <c r="M101" s="16"/>
      <c r="N101" s="16">
        <f>-SUM(F76:N76)</f>
        <v>1411.1110100000001</v>
      </c>
      <c r="O101" s="16">
        <f>-SUM(L76:O76)</f>
        <v>217.92819299999999</v>
      </c>
      <c r="P101" s="16">
        <f>-SUM(L76:P76)</f>
        <v>255.01510300000001</v>
      </c>
      <c r="Q101" s="16">
        <f t="shared" ref="Q101:AL101" si="325">-SUM(N76:Q76)</f>
        <v>-1.2753080000000026</v>
      </c>
      <c r="R101" s="16">
        <f t="shared" si="325"/>
        <v>-9.7512900000000027</v>
      </c>
      <c r="S101" s="16">
        <f t="shared" si="325"/>
        <v>103.51320500000003</v>
      </c>
      <c r="T101" s="16">
        <f t="shared" si="325"/>
        <v>81.264519000000007</v>
      </c>
      <c r="U101" s="16">
        <f t="shared" si="325"/>
        <v>73.345549000000005</v>
      </c>
      <c r="V101" s="16">
        <f t="shared" si="325"/>
        <v>79.442212000000012</v>
      </c>
      <c r="W101" s="16">
        <f t="shared" si="325"/>
        <v>72.033377000000002</v>
      </c>
      <c r="X101" s="16">
        <f t="shared" si="325"/>
        <v>87.654299000000009</v>
      </c>
      <c r="Y101" s="16">
        <f t="shared" si="325"/>
        <v>-15.952126</v>
      </c>
      <c r="Z101" s="16">
        <f t="shared" si="325"/>
        <v>46.569870000000009</v>
      </c>
      <c r="AA101" s="16">
        <f t="shared" si="325"/>
        <v>45.931297999999998</v>
      </c>
      <c r="AB101" s="16">
        <f t="shared" si="325"/>
        <v>89.549841000000001</v>
      </c>
      <c r="AC101" s="16">
        <f t="shared" si="325"/>
        <v>262.15760299999999</v>
      </c>
      <c r="AD101" s="16">
        <f t="shared" si="325"/>
        <v>235.83958299999998</v>
      </c>
      <c r="AE101" s="16">
        <f t="shared" si="325"/>
        <v>257.30429099999998</v>
      </c>
      <c r="AF101" s="16">
        <f t="shared" si="325"/>
        <v>289.62094300000001</v>
      </c>
      <c r="AG101" s="16">
        <f t="shared" si="325"/>
        <v>223.07246500000002</v>
      </c>
      <c r="AH101" s="16">
        <f t="shared" si="325"/>
        <v>216.38542300000006</v>
      </c>
      <c r="AI101" s="16">
        <f t="shared" si="325"/>
        <v>234.97358100000002</v>
      </c>
      <c r="AJ101" s="16">
        <f>-SUM(AG76:AJ76)</f>
        <v>199.02007700000001</v>
      </c>
      <c r="AK101" s="16">
        <f t="shared" si="325"/>
        <v>226.66518500000001</v>
      </c>
      <c r="AL101" s="16">
        <f t="shared" si="325"/>
        <v>237.98625100000004</v>
      </c>
      <c r="AM101" s="16">
        <f>-SUM(AJ76:AM76)</f>
        <v>295.88230700000003</v>
      </c>
      <c r="AN101" s="16">
        <f>-SUM(AK76:AN76)</f>
        <v>276.423588</v>
      </c>
      <c r="AO101" s="16">
        <f t="shared" ref="AO101:AP101" si="326">-SUM(AL76:AO76)</f>
        <v>332.27149900000001</v>
      </c>
      <c r="AP101" s="16">
        <f t="shared" si="326"/>
        <v>289.05288400000001</v>
      </c>
    </row>
    <row r="102" spans="2:44" ht="13.5" customHeight="1">
      <c r="B102" s="35" t="s">
        <v>209</v>
      </c>
      <c r="C102" s="16">
        <f t="shared" ref="C102:G102" si="327">+C79</f>
        <v>-130.31368399999997</v>
      </c>
      <c r="D102" s="16">
        <f t="shared" si="327"/>
        <v>-84.458655000000007</v>
      </c>
      <c r="E102" s="16">
        <f t="shared" si="327"/>
        <v>64.847347999999997</v>
      </c>
      <c r="F102" s="16">
        <f t="shared" si="327"/>
        <v>-11.822170000000007</v>
      </c>
      <c r="G102" s="16">
        <f t="shared" si="327"/>
        <v>83.673800000000028</v>
      </c>
      <c r="H102" s="16">
        <f t="shared" ref="H102:I102" si="328">+H79</f>
        <v>-250.10744299999999</v>
      </c>
      <c r="I102" s="16">
        <f t="shared" si="328"/>
        <v>-158.37308700000003</v>
      </c>
      <c r="J102" s="16">
        <f t="shared" ref="J102:K102" si="329">+J79</f>
        <v>-142.68638200000001</v>
      </c>
      <c r="K102" s="16">
        <f t="shared" si="329"/>
        <v>-186.11496400000004</v>
      </c>
      <c r="L102" s="16">
        <f>+L79</f>
        <v>-162.15058099999999</v>
      </c>
      <c r="M102" s="16"/>
      <c r="N102" s="16">
        <f>SUM(F79:N79)</f>
        <v>-831.09503600000016</v>
      </c>
      <c r="O102" s="16">
        <f>SUM(L79:O79)</f>
        <v>-59.288679999999971</v>
      </c>
      <c r="P102" s="16">
        <f>SUM(L79:P79)</f>
        <v>-76.340525999999969</v>
      </c>
      <c r="Q102" s="16">
        <f t="shared" ref="Q102:AH102" si="330">SUM(N79:Q79)</f>
        <v>64.847348000000011</v>
      </c>
      <c r="R102" s="16">
        <f t="shared" si="330"/>
        <v>61.423282000000007</v>
      </c>
      <c r="S102" s="16">
        <f t="shared" si="330"/>
        <v>-51.763962000000014</v>
      </c>
      <c r="T102" s="16">
        <f t="shared" si="330"/>
        <v>-33.966952000000006</v>
      </c>
      <c r="U102" s="16">
        <f t="shared" si="330"/>
        <v>-11.822169999999998</v>
      </c>
      <c r="V102" s="16">
        <f t="shared" si="330"/>
        <v>-10.920112999999995</v>
      </c>
      <c r="W102" s="16">
        <f t="shared" si="330"/>
        <v>-3.2384039999999992</v>
      </c>
      <c r="X102" s="16">
        <f t="shared" si="330"/>
        <v>-10.828111000000007</v>
      </c>
      <c r="Y102" s="16">
        <f t="shared" si="330"/>
        <v>83.669409000000002</v>
      </c>
      <c r="Z102" s="16">
        <f t="shared" si="330"/>
        <v>-3.1864139999999992</v>
      </c>
      <c r="AA102" s="16">
        <f t="shared" si="330"/>
        <v>-30.957187999999977</v>
      </c>
      <c r="AB102" s="16">
        <f t="shared" si="330"/>
        <v>-35.754236999999989</v>
      </c>
      <c r="AC102" s="16">
        <f t="shared" si="330"/>
        <v>-250.14125199999995</v>
      </c>
      <c r="AD102" s="16">
        <f t="shared" si="330"/>
        <v>-187.44642399999992</v>
      </c>
      <c r="AE102" s="16">
        <f t="shared" si="330"/>
        <v>-194.87744899999993</v>
      </c>
      <c r="AF102" s="16">
        <f t="shared" si="330"/>
        <v>-237.77602299999992</v>
      </c>
      <c r="AG102" s="16">
        <f t="shared" si="330"/>
        <v>-158.373087</v>
      </c>
      <c r="AH102" s="16">
        <f t="shared" si="330"/>
        <v>-185.92611700000003</v>
      </c>
      <c r="AI102" s="16">
        <f>SUM(AF79:AI79)</f>
        <v>-184.56393900000003</v>
      </c>
      <c r="AJ102" s="16">
        <f>SUM(AG79:AJ79)</f>
        <v>-168.18750800000004</v>
      </c>
      <c r="AK102" s="16">
        <f t="shared" ref="AK102:AL102" si="331">SUM(AH79:AK79)</f>
        <v>-142.55749100000006</v>
      </c>
      <c r="AL102" s="16">
        <f t="shared" si="331"/>
        <v>-124.74873900000004</v>
      </c>
      <c r="AM102" s="16">
        <f>SUM(AJ79:AM79)</f>
        <v>-162.29983000000004</v>
      </c>
      <c r="AN102" s="16">
        <f>SUM(AK79:AN79)</f>
        <v>-124.67953300000003</v>
      </c>
      <c r="AO102" s="16">
        <f t="shared" ref="AO102:AP102" si="332">SUM(AL79:AO79)</f>
        <v>-186.11496399999999</v>
      </c>
      <c r="AP102" s="16">
        <f t="shared" si="332"/>
        <v>-162.15058099999999</v>
      </c>
    </row>
    <row r="103" spans="2:44" ht="13.5" customHeight="1">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row>
    <row r="104" spans="2:44" ht="13.5" customHeight="1">
      <c r="B104" s="61" t="s">
        <v>224</v>
      </c>
      <c r="C104" s="70">
        <f t="shared" ref="C104:J104" si="333">C3</f>
        <v>43100</v>
      </c>
      <c r="D104" s="70">
        <f t="shared" si="333"/>
        <v>43465</v>
      </c>
      <c r="E104" s="70">
        <f t="shared" si="333"/>
        <v>43830</v>
      </c>
      <c r="F104" s="70">
        <f t="shared" si="333"/>
        <v>44196</v>
      </c>
      <c r="G104" s="70">
        <f t="shared" si="333"/>
        <v>44561</v>
      </c>
      <c r="H104" s="70">
        <f t="shared" si="333"/>
        <v>44926</v>
      </c>
      <c r="I104" s="70">
        <f t="shared" si="333"/>
        <v>45291</v>
      </c>
      <c r="J104" s="70">
        <f t="shared" si="333"/>
        <v>45657</v>
      </c>
      <c r="K104" s="70">
        <f t="shared" ref="K104" si="334">K3</f>
        <v>46022</v>
      </c>
      <c r="L104" s="70" t="str">
        <f>L2</f>
        <v>LTM</v>
      </c>
      <c r="M104" s="145"/>
      <c r="N104" s="70">
        <f t="shared" ref="N104:AN104" si="335">N3</f>
        <v>43555</v>
      </c>
      <c r="O104" s="70">
        <f t="shared" si="335"/>
        <v>43646</v>
      </c>
      <c r="P104" s="70">
        <f t="shared" si="335"/>
        <v>43738</v>
      </c>
      <c r="Q104" s="70">
        <f t="shared" si="335"/>
        <v>43830</v>
      </c>
      <c r="R104" s="70">
        <f t="shared" si="335"/>
        <v>43921</v>
      </c>
      <c r="S104" s="70">
        <f t="shared" si="335"/>
        <v>44012</v>
      </c>
      <c r="T104" s="70">
        <f t="shared" si="335"/>
        <v>44104</v>
      </c>
      <c r="U104" s="70">
        <f t="shared" si="335"/>
        <v>44196</v>
      </c>
      <c r="V104" s="70">
        <f t="shared" si="335"/>
        <v>44286</v>
      </c>
      <c r="W104" s="70">
        <f t="shared" si="335"/>
        <v>44377</v>
      </c>
      <c r="X104" s="70">
        <f t="shared" si="335"/>
        <v>44469</v>
      </c>
      <c r="Y104" s="70">
        <f t="shared" si="335"/>
        <v>44561</v>
      </c>
      <c r="Z104" s="70">
        <f t="shared" si="335"/>
        <v>44651</v>
      </c>
      <c r="AA104" s="70">
        <f t="shared" si="335"/>
        <v>44742</v>
      </c>
      <c r="AB104" s="70">
        <f t="shared" si="335"/>
        <v>44834</v>
      </c>
      <c r="AC104" s="70">
        <f t="shared" si="335"/>
        <v>44926</v>
      </c>
      <c r="AD104" s="70">
        <f t="shared" si="335"/>
        <v>45016</v>
      </c>
      <c r="AE104" s="70">
        <f t="shared" si="335"/>
        <v>45107</v>
      </c>
      <c r="AF104" s="70">
        <f t="shared" si="335"/>
        <v>45199</v>
      </c>
      <c r="AG104" s="70">
        <f t="shared" si="335"/>
        <v>45291</v>
      </c>
      <c r="AH104" s="70">
        <f t="shared" si="335"/>
        <v>45382</v>
      </c>
      <c r="AI104" s="70">
        <f t="shared" si="335"/>
        <v>45473</v>
      </c>
      <c r="AJ104" s="70">
        <f t="shared" si="335"/>
        <v>45565</v>
      </c>
      <c r="AK104" s="70">
        <f t="shared" si="335"/>
        <v>45657</v>
      </c>
      <c r="AL104" s="70">
        <f t="shared" si="335"/>
        <v>45747</v>
      </c>
      <c r="AM104" s="70">
        <f t="shared" si="335"/>
        <v>45838</v>
      </c>
      <c r="AN104" s="70">
        <f t="shared" si="335"/>
        <v>45930</v>
      </c>
      <c r="AO104" s="70">
        <f t="shared" ref="AO104:AP104" si="336">AO3</f>
        <v>46022</v>
      </c>
      <c r="AP104" s="70">
        <f t="shared" si="336"/>
        <v>46112</v>
      </c>
    </row>
    <row r="105" spans="2:44" ht="13.5" customHeight="1">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row>
    <row r="106" spans="2:44" s="39" customFormat="1" ht="13.5" customHeight="1">
      <c r="B106" s="35" t="s">
        <v>225</v>
      </c>
      <c r="C106" s="78">
        <f>1701.006371+1.868778</f>
        <v>1702.875149</v>
      </c>
      <c r="D106" s="78">
        <f>1884.62143+2.490902</f>
        <v>1887.1123319999999</v>
      </c>
      <c r="E106" s="78">
        <f>1989.131091+3.06365+1.104036</f>
        <v>1993.298777</v>
      </c>
      <c r="F106" s="78">
        <f>2103.214762+2.854654+0.657837</f>
        <v>2106.7272530000005</v>
      </c>
      <c r="G106" s="78">
        <f>2263.170941+2.119589+1.344417</f>
        <v>2266.6349469999996</v>
      </c>
      <c r="H106" s="78">
        <f>2738.465276+1.437981+1.417945</f>
        <v>2741.3212020000001</v>
      </c>
      <c r="I106" s="78">
        <f>3212.164164+2.54199+0.834199</f>
        <v>3215.5403529999999</v>
      </c>
      <c r="J106" s="78">
        <f>3696.768269+2.386285+0.533792</f>
        <v>3699.6883460000004</v>
      </c>
      <c r="K106" s="78">
        <f>4129.443925+2.256393+1.419215</f>
        <v>4133.1195329999991</v>
      </c>
      <c r="L106" s="16">
        <f>AP106</f>
        <v>4231.7966079999997</v>
      </c>
      <c r="M106" s="16"/>
      <c r="N106" s="78">
        <f>1918.279788+2.266449+1.448466</f>
        <v>1921.9947030000001</v>
      </c>
      <c r="O106" s="78">
        <f>1878.337468+2.069412+1.333656</f>
        <v>1881.740536</v>
      </c>
      <c r="P106" s="78">
        <f>1928.134121+2.981397 +1.218846</f>
        <v>1932.3343640000001</v>
      </c>
      <c r="Q106" s="16">
        <f>E106</f>
        <v>1993.298777</v>
      </c>
      <c r="R106" s="78">
        <f>2015.152264+2.686056+0.989226</f>
        <v>2018.827546</v>
      </c>
      <c r="S106" s="78">
        <f>2035.134222+2.497852+0.877677</f>
        <v>2038.5097509999998</v>
      </c>
      <c r="T106" s="78">
        <f>2058.525638+2.61503+0.767757</f>
        <v>2061.9084250000001</v>
      </c>
      <c r="U106" s="16">
        <f>F106</f>
        <v>2106.7272530000005</v>
      </c>
      <c r="V106" s="78">
        <f>2121.222884+2.595827+0.553334</f>
        <v>2124.3720450000001</v>
      </c>
      <c r="W106" s="78">
        <f>2231.219664+2.495728+0.448829</f>
        <v>2234.164221</v>
      </c>
      <c r="X106" s="78">
        <f>2288.855026+2.21874+0.344324</f>
        <v>2291.4180900000001</v>
      </c>
      <c r="Y106" s="16">
        <f>G106</f>
        <v>2266.6349469999996</v>
      </c>
      <c r="Z106" s="78">
        <f>2384.901697+1.671391+1.220877</f>
        <v>2387.7939649999998</v>
      </c>
      <c r="AA106" s="78">
        <f>2440.634036+1.464482+1.097337</f>
        <v>2443.1958549999999</v>
      </c>
      <c r="AB106" s="78">
        <f>2577.25495+1.612859+0.985857</f>
        <v>2579.853666</v>
      </c>
      <c r="AC106" s="16">
        <f>H106</f>
        <v>2741.3212020000001</v>
      </c>
      <c r="AD106" s="78">
        <f>2792.27347+1.30164+1.271071</f>
        <v>2794.8461810000003</v>
      </c>
      <c r="AE106" s="78">
        <f>2921.90093+1.182552+1.124197</f>
        <v>2924.2076790000001</v>
      </c>
      <c r="AF106" s="78">
        <f>3112.803904+1.063465+0.977323</f>
        <v>3114.8446920000001</v>
      </c>
      <c r="AG106" s="16">
        <f>I106</f>
        <v>3215.5403529999999</v>
      </c>
      <c r="AH106" s="78">
        <f>3353.858113+2.365408+0.693583</f>
        <v>3356.9171040000001</v>
      </c>
      <c r="AI106" s="78">
        <f>3521.758035+2.219307+0.693583</f>
        <v>3524.6709249999999</v>
      </c>
      <c r="AJ106" s="78">
        <f>3589.613509+2.073209+0.41407</f>
        <v>3592.1007879999997</v>
      </c>
      <c r="AK106" s="16">
        <f>J106</f>
        <v>3699.6883460000004</v>
      </c>
      <c r="AL106" s="78">
        <f>(3749180886+2652907+368111)/1000000</f>
        <v>3752.201904</v>
      </c>
      <c r="AM106" s="78">
        <f>3859+2.4+0.4</f>
        <v>3861.8</v>
      </c>
      <c r="AN106" s="78">
        <f>3915.071845+2.167032+1.496991</f>
        <v>3918.7358679999998</v>
      </c>
      <c r="AO106" s="16">
        <f>K106</f>
        <v>4133.1195329999991</v>
      </c>
      <c r="AP106" s="78">
        <f>(4228244698+2209903+1342007)/1000000</f>
        <v>4231.7966079999997</v>
      </c>
    </row>
    <row r="107" spans="2:44" s="39" customFormat="1" ht="13.5" customHeight="1">
      <c r="B107" s="81" t="s">
        <v>226</v>
      </c>
      <c r="C107" s="78">
        <v>0.36967499999999998</v>
      </c>
      <c r="D107" s="78">
        <v>0.53742800000000002</v>
      </c>
      <c r="E107" s="78">
        <v>1.2678929999999999</v>
      </c>
      <c r="F107" s="78">
        <v>0.42005700000000001</v>
      </c>
      <c r="G107" s="78">
        <v>0.48358099999999998</v>
      </c>
      <c r="H107" s="78">
        <v>25.308350999999998</v>
      </c>
      <c r="I107" s="78">
        <v>21.299392000000001</v>
      </c>
      <c r="J107" s="78">
        <v>2.119545</v>
      </c>
      <c r="K107" s="78">
        <v>4.1412570000000004</v>
      </c>
      <c r="L107" s="16">
        <f t="shared" ref="L107:L109" si="337">AP107</f>
        <v>10.240157999999999</v>
      </c>
      <c r="M107" s="16"/>
      <c r="N107" s="78">
        <v>2.349227</v>
      </c>
      <c r="O107" s="78">
        <v>2.082608</v>
      </c>
      <c r="P107" s="78">
        <v>2.5004390000000001</v>
      </c>
      <c r="Q107" s="16">
        <f>E107</f>
        <v>1.2678929999999999</v>
      </c>
      <c r="R107" s="78">
        <v>2.8211460000000002</v>
      </c>
      <c r="S107" s="78">
        <v>2.5700560000000001</v>
      </c>
      <c r="T107" s="78">
        <v>1.658944</v>
      </c>
      <c r="U107" s="16">
        <f>F107</f>
        <v>0.42005700000000001</v>
      </c>
      <c r="V107" s="78">
        <v>2.5003690000000001</v>
      </c>
      <c r="W107" s="78">
        <v>3.5478320000000001</v>
      </c>
      <c r="X107" s="78">
        <v>1.938955</v>
      </c>
      <c r="Y107" s="16">
        <f>G107</f>
        <v>0.48358099999999998</v>
      </c>
      <c r="Z107" s="78">
        <v>4.2994659999999998</v>
      </c>
      <c r="AA107" s="78">
        <v>30.741921999999999</v>
      </c>
      <c r="AB107" s="78">
        <v>18.725102</v>
      </c>
      <c r="AC107" s="16">
        <f>H107</f>
        <v>25.308350999999998</v>
      </c>
      <c r="AD107" s="78">
        <v>23.251781000000001</v>
      </c>
      <c r="AE107" s="78">
        <v>31.347919000000001</v>
      </c>
      <c r="AF107" s="78">
        <v>21.433596999999999</v>
      </c>
      <c r="AG107" s="16">
        <f t="shared" ref="AG107:AG109" si="338">I107</f>
        <v>21.299392000000001</v>
      </c>
      <c r="AH107" s="78">
        <v>35.766128000000002</v>
      </c>
      <c r="AI107" s="78">
        <v>26.494236000000001</v>
      </c>
      <c r="AJ107" s="78">
        <v>6.9544129999999997</v>
      </c>
      <c r="AK107" s="16">
        <f t="shared" ref="AK107:AK109" si="339">J107</f>
        <v>2.119545</v>
      </c>
      <c r="AL107" s="78">
        <v>9.1542279999999998</v>
      </c>
      <c r="AM107" s="78">
        <v>7.7</v>
      </c>
      <c r="AN107" s="78">
        <v>8.1406829999999992</v>
      </c>
      <c r="AO107" s="16">
        <f t="shared" ref="AO107:AO109" si="340">K107</f>
        <v>4.1412570000000004</v>
      </c>
      <c r="AP107" s="78">
        <v>10.240157999999999</v>
      </c>
    </row>
    <row r="108" spans="2:44" s="39" customFormat="1" ht="13.5" customHeight="1">
      <c r="B108" s="81" t="s">
        <v>227</v>
      </c>
      <c r="C108" s="78">
        <v>4.082166</v>
      </c>
      <c r="D108" s="78">
        <v>2.7883870000000002</v>
      </c>
      <c r="E108" s="78">
        <v>2.5391170000000001</v>
      </c>
      <c r="F108" s="78">
        <v>1.82585</v>
      </c>
      <c r="G108" s="78">
        <f>3.011415</f>
        <v>3.011415</v>
      </c>
      <c r="H108" s="78">
        <v>16.628788</v>
      </c>
      <c r="I108" s="78">
        <v>13.188966000000001</v>
      </c>
      <c r="J108" s="78">
        <v>14.1943</v>
      </c>
      <c r="K108" s="78">
        <v>30.798915000000001</v>
      </c>
      <c r="L108" s="16">
        <f t="shared" si="337"/>
        <v>29.747785</v>
      </c>
      <c r="M108" s="16"/>
      <c r="N108" s="78">
        <v>2.33155</v>
      </c>
      <c r="O108" s="78">
        <v>4.9082710000000001</v>
      </c>
      <c r="P108" s="78">
        <v>6.1476680000000004</v>
      </c>
      <c r="Q108" s="16">
        <f>E108</f>
        <v>2.5391170000000001</v>
      </c>
      <c r="R108" s="78">
        <v>9.3442310000000006</v>
      </c>
      <c r="S108" s="78">
        <v>4.1602100000000002</v>
      </c>
      <c r="T108" s="78">
        <v>3.7299319999999998</v>
      </c>
      <c r="U108" s="16">
        <f>F108</f>
        <v>1.82585</v>
      </c>
      <c r="V108" s="78">
        <v>2.8172700000000002</v>
      </c>
      <c r="W108" s="78">
        <v>3.4673729999999998</v>
      </c>
      <c r="X108" s="78">
        <v>3.70486</v>
      </c>
      <c r="Y108" s="16">
        <f>G108</f>
        <v>3.011415</v>
      </c>
      <c r="Z108" s="78">
        <v>6.1580940000000002</v>
      </c>
      <c r="AA108" s="78">
        <v>6.9739409999999999</v>
      </c>
      <c r="AB108" s="78">
        <v>36.735408999999997</v>
      </c>
      <c r="AC108" s="16">
        <f>H108</f>
        <v>16.628788</v>
      </c>
      <c r="AD108" s="78">
        <v>18.078142</v>
      </c>
      <c r="AE108" s="78">
        <v>12.062229</v>
      </c>
      <c r="AF108" s="78">
        <v>16.985634999999998</v>
      </c>
      <c r="AG108" s="16">
        <f t="shared" si="338"/>
        <v>13.188966000000001</v>
      </c>
      <c r="AH108" s="78">
        <v>20.233993999999999</v>
      </c>
      <c r="AI108" s="78">
        <v>16.975007000000002</v>
      </c>
      <c r="AJ108" s="78">
        <v>15.925594</v>
      </c>
      <c r="AK108" s="16">
        <f t="shared" si="339"/>
        <v>14.1943</v>
      </c>
      <c r="AL108" s="78">
        <v>19.121870000000001</v>
      </c>
      <c r="AM108" s="78">
        <v>9.8000000000000007</v>
      </c>
      <c r="AN108" s="78">
        <v>6.7017509999999998</v>
      </c>
      <c r="AO108" s="16">
        <f t="shared" si="340"/>
        <v>30.798915000000001</v>
      </c>
      <c r="AP108" s="78">
        <v>29.747785</v>
      </c>
      <c r="AR108" s="35"/>
    </row>
    <row r="109" spans="2:44" s="39" customFormat="1" ht="13.5" customHeight="1">
      <c r="B109" s="81" t="s">
        <v>228</v>
      </c>
      <c r="C109" s="78">
        <v>3.8212009999999998</v>
      </c>
      <c r="D109" s="78">
        <v>3.6639620000000002</v>
      </c>
      <c r="E109" s="78">
        <v>4.452725</v>
      </c>
      <c r="F109" s="78">
        <v>4.3096399999999999</v>
      </c>
      <c r="G109" s="78">
        <f>15.246156</f>
        <v>15.246155999999999</v>
      </c>
      <c r="H109" s="78">
        <f>5.154626</f>
        <v>5.1546260000000004</v>
      </c>
      <c r="I109" s="78">
        <v>7.0789879999999998</v>
      </c>
      <c r="J109" s="78">
        <v>6.6373540000000002</v>
      </c>
      <c r="K109" s="78">
        <v>7.2802660000000001</v>
      </c>
      <c r="L109" s="16">
        <f t="shared" si="337"/>
        <v>4.7310610000000004</v>
      </c>
      <c r="M109" s="16"/>
      <c r="N109" s="78">
        <v>2.0035590000000001</v>
      </c>
      <c r="O109" s="78">
        <v>2.8800859999999999</v>
      </c>
      <c r="P109" s="78">
        <v>3.5693730000000001</v>
      </c>
      <c r="Q109" s="16">
        <f>E109</f>
        <v>4.452725</v>
      </c>
      <c r="R109" s="78">
        <v>2.3298700000000001</v>
      </c>
      <c r="S109" s="78">
        <v>2.8727459999999998</v>
      </c>
      <c r="T109" s="78">
        <v>3.4382459999999999</v>
      </c>
      <c r="U109" s="16">
        <f>F109</f>
        <v>4.3096399999999999</v>
      </c>
      <c r="V109" s="78">
        <v>2.8696290000000002</v>
      </c>
      <c r="W109" s="78">
        <v>3.4703659999999998</v>
      </c>
      <c r="X109" s="78">
        <v>3.9323700000000001</v>
      </c>
      <c r="Y109" s="16">
        <f>G109</f>
        <v>15.246155999999999</v>
      </c>
      <c r="Z109" s="78">
        <v>3.0536120000000002</v>
      </c>
      <c r="AA109" s="78">
        <v>3.8487969999999998</v>
      </c>
      <c r="AB109" s="78">
        <v>4.5851620000000004</v>
      </c>
      <c r="AC109" s="16">
        <f>H109</f>
        <v>5.1546260000000004</v>
      </c>
      <c r="AD109" s="78">
        <v>3.5408909999999998</v>
      </c>
      <c r="AE109" s="78">
        <v>4.647958</v>
      </c>
      <c r="AF109" s="78">
        <v>5.7293149999999997</v>
      </c>
      <c r="AG109" s="16">
        <f t="shared" si="338"/>
        <v>7.0789879999999998</v>
      </c>
      <c r="AH109" s="78">
        <v>4.6495139999999999</v>
      </c>
      <c r="AI109" s="78">
        <v>5.3156689999999998</v>
      </c>
      <c r="AJ109" s="78">
        <v>5.9492310000000002</v>
      </c>
      <c r="AK109" s="16">
        <f t="shared" si="339"/>
        <v>6.6373540000000002</v>
      </c>
      <c r="AL109" s="78">
        <v>4.7935080000000001</v>
      </c>
      <c r="AM109" s="78">
        <v>5.7</v>
      </c>
      <c r="AN109" s="78">
        <v>6.4598769999999996</v>
      </c>
      <c r="AO109" s="16">
        <f t="shared" si="340"/>
        <v>7.2802660000000001</v>
      </c>
      <c r="AP109" s="78">
        <v>4.7310610000000004</v>
      </c>
    </row>
    <row r="110" spans="2:44" s="39" customFormat="1" ht="13.5" customHeight="1">
      <c r="B110" s="39" t="s">
        <v>229</v>
      </c>
      <c r="C110" s="68">
        <f t="shared" ref="C110:G110" si="341">C107-C108-C109</f>
        <v>-7.5336920000000003</v>
      </c>
      <c r="D110" s="68">
        <f t="shared" si="341"/>
        <v>-5.9149209999999997</v>
      </c>
      <c r="E110" s="68">
        <f t="shared" si="341"/>
        <v>-5.7239490000000002</v>
      </c>
      <c r="F110" s="68">
        <f t="shared" si="341"/>
        <v>-5.715433</v>
      </c>
      <c r="G110" s="68">
        <f t="shared" si="341"/>
        <v>-17.773989999999998</v>
      </c>
      <c r="H110" s="68">
        <f t="shared" ref="H110:I110" si="342">H107-H108-H109</f>
        <v>3.5249369999999978</v>
      </c>
      <c r="I110" s="68">
        <f t="shared" si="342"/>
        <v>1.0314380000000005</v>
      </c>
      <c r="J110" s="68">
        <f t="shared" ref="J110:K110" si="343">J107-J108-J109</f>
        <v>-18.712108999999998</v>
      </c>
      <c r="K110" s="68">
        <f t="shared" si="343"/>
        <v>-33.937924000000002</v>
      </c>
      <c r="L110" s="68">
        <f>L107-L108-L109</f>
        <v>-24.238688</v>
      </c>
      <c r="M110" s="68"/>
      <c r="N110" s="68">
        <f t="shared" ref="N110:W110" si="344">N107-N108-N109</f>
        <v>-1.9858820000000001</v>
      </c>
      <c r="O110" s="68">
        <f t="shared" si="344"/>
        <v>-5.705749</v>
      </c>
      <c r="P110" s="68">
        <f t="shared" si="344"/>
        <v>-7.216602</v>
      </c>
      <c r="Q110" s="68">
        <f t="shared" si="344"/>
        <v>-5.7239490000000002</v>
      </c>
      <c r="R110" s="68">
        <f t="shared" si="344"/>
        <v>-8.8529549999999997</v>
      </c>
      <c r="S110" s="68">
        <f t="shared" si="344"/>
        <v>-4.4628999999999994</v>
      </c>
      <c r="T110" s="68">
        <f t="shared" si="344"/>
        <v>-5.5092339999999993</v>
      </c>
      <c r="U110" s="68">
        <f t="shared" si="344"/>
        <v>-5.715433</v>
      </c>
      <c r="V110" s="68">
        <f t="shared" si="344"/>
        <v>-3.1865300000000003</v>
      </c>
      <c r="W110" s="68">
        <f t="shared" si="344"/>
        <v>-3.3899069999999996</v>
      </c>
      <c r="X110" s="68">
        <f t="shared" ref="X110:Y110" si="345">X107-X108-X109</f>
        <v>-5.6982750000000006</v>
      </c>
      <c r="Y110" s="68">
        <f t="shared" si="345"/>
        <v>-17.773989999999998</v>
      </c>
      <c r="Z110" s="68">
        <f>Z107-Z108-Z109</f>
        <v>-4.9122400000000006</v>
      </c>
      <c r="AA110" s="68">
        <f t="shared" ref="AA110:AC110" si="346">AA107-AA108-AA109</f>
        <v>19.919183999999998</v>
      </c>
      <c r="AB110" s="68">
        <f t="shared" si="346"/>
        <v>-22.595468999999998</v>
      </c>
      <c r="AC110" s="68">
        <f t="shared" si="346"/>
        <v>3.5249369999999978</v>
      </c>
      <c r="AD110" s="68">
        <f>AD107-AD108-AD109</f>
        <v>1.6327480000000016</v>
      </c>
      <c r="AE110" s="68">
        <f t="shared" ref="AE110:AG110" si="347">AE107-AE108-AE109</f>
        <v>14.637732000000003</v>
      </c>
      <c r="AF110" s="68">
        <f t="shared" si="347"/>
        <v>-1.2813529999999993</v>
      </c>
      <c r="AG110" s="68">
        <f t="shared" si="347"/>
        <v>1.0314380000000005</v>
      </c>
      <c r="AH110" s="68">
        <f>AH107-AH108-AH109</f>
        <v>10.882620000000003</v>
      </c>
      <c r="AI110" s="68">
        <f>AI107-AI108-AI109</f>
        <v>4.2035599999999995</v>
      </c>
      <c r="AJ110" s="68">
        <f>AJ107-AJ108-AJ109</f>
        <v>-14.920412000000002</v>
      </c>
      <c r="AK110" s="68">
        <f t="shared" ref="AK110" si="348">AK107-AK108-AK109</f>
        <v>-18.712108999999998</v>
      </c>
      <c r="AL110" s="68">
        <f>AL107-AL108-AL109</f>
        <v>-14.761150000000001</v>
      </c>
      <c r="AM110" s="68">
        <f t="shared" ref="AM110" si="349">AM107-AM108-AM109</f>
        <v>-7.8000000000000007</v>
      </c>
      <c r="AN110" s="68">
        <f>AN107-AN108-AN109</f>
        <v>-5.0209450000000002</v>
      </c>
      <c r="AO110" s="68">
        <f t="shared" ref="AO110" si="350">AO107-AO108-AO109</f>
        <v>-33.937924000000002</v>
      </c>
      <c r="AP110" s="68">
        <f>AP107-AP108-AP109</f>
        <v>-24.238688</v>
      </c>
    </row>
    <row r="111" spans="2:44" s="51" customFormat="1" ht="13.5" customHeight="1">
      <c r="B111" s="84" t="s">
        <v>230</v>
      </c>
      <c r="C111" s="90">
        <f t="shared" ref="C111:G111" si="351">+C110/C95</f>
        <v>-6.8846560586234798E-2</v>
      </c>
      <c r="D111" s="90">
        <f t="shared" si="351"/>
        <v>-4.4583958126368166E-2</v>
      </c>
      <c r="E111" s="90">
        <f t="shared" si="351"/>
        <v>-3.9669094981175788E-2</v>
      </c>
      <c r="F111" s="90">
        <f t="shared" si="351"/>
        <v>-3.8221146205525899E-2</v>
      </c>
      <c r="G111" s="90">
        <f t="shared" si="351"/>
        <v>-0.11060465853468283</v>
      </c>
      <c r="H111" s="90">
        <f t="shared" ref="H111:I111" si="352">+H110/H95</f>
        <v>1.9800184648868836E-2</v>
      </c>
      <c r="I111" s="90">
        <f t="shared" si="352"/>
        <v>4.8322615796380052E-3</v>
      </c>
      <c r="J111" s="90">
        <f t="shared" ref="J111:K111" si="353">+J110/J95</f>
        <v>-7.4268988166024855E-2</v>
      </c>
      <c r="K111" s="90">
        <f t="shared" si="353"/>
        <v>-0.11984010783868281</v>
      </c>
      <c r="L111" s="90">
        <f>+L110/L95</f>
        <v>-8.2753148533410911E-2</v>
      </c>
      <c r="M111" s="68"/>
      <c r="N111" s="90">
        <f t="shared" ref="N111:W111" si="354">+N110/N95</f>
        <v>-1.2680867937986404E-3</v>
      </c>
      <c r="O111" s="90">
        <f t="shared" si="354"/>
        <v>-1.562696792126576E-2</v>
      </c>
      <c r="P111" s="90">
        <f t="shared" si="354"/>
        <v>-1.799886932334404E-2</v>
      </c>
      <c r="Q111" s="90">
        <f t="shared" si="354"/>
        <v>-3.9669094981175788E-2</v>
      </c>
      <c r="R111" s="90">
        <f t="shared" si="354"/>
        <v>-6.0762719106036034E-2</v>
      </c>
      <c r="S111" s="90">
        <f t="shared" si="354"/>
        <v>-3.0503478472359218E-2</v>
      </c>
      <c r="T111" s="90">
        <f t="shared" si="354"/>
        <v>-3.7239601872637772E-2</v>
      </c>
      <c r="U111" s="90">
        <f t="shared" si="354"/>
        <v>-3.8221146205525899E-2</v>
      </c>
      <c r="V111" s="90">
        <f t="shared" si="354"/>
        <v>-2.1216212791797081E-2</v>
      </c>
      <c r="W111" s="90">
        <f t="shared" si="354"/>
        <v>-2.2096867764543913E-2</v>
      </c>
      <c r="X111" s="90">
        <f t="shared" ref="X111:AA111" si="355">+X110/X95</f>
        <v>-3.6305042674237752E-2</v>
      </c>
      <c r="Y111" s="90">
        <f t="shared" si="355"/>
        <v>-0.11060465853468283</v>
      </c>
      <c r="Z111" s="90">
        <f t="shared" si="355"/>
        <v>-2.9891800983443323E-2</v>
      </c>
      <c r="AA111" s="90">
        <f t="shared" si="355"/>
        <v>0.12005435719851154</v>
      </c>
      <c r="AB111" s="90">
        <f t="shared" ref="AB111:AC111" si="356">+AB110/AB95</f>
        <v>-0.13258387805526586</v>
      </c>
      <c r="AC111" s="90">
        <f t="shared" si="356"/>
        <v>1.9800184648868836E-2</v>
      </c>
      <c r="AD111" s="90">
        <f t="shared" ref="AD111:AG111" si="357">+AD110/AD95</f>
        <v>8.7948446391686776E-3</v>
      </c>
      <c r="AE111" s="90">
        <f t="shared" si="357"/>
        <v>7.584270610403461E-2</v>
      </c>
      <c r="AF111" s="90">
        <f t="shared" si="357"/>
        <v>-6.4355250073037619E-3</v>
      </c>
      <c r="AG111" s="90">
        <f t="shared" si="357"/>
        <v>4.8322615796380052E-3</v>
      </c>
      <c r="AH111" s="90">
        <f t="shared" ref="AH111:AK111" si="358">+AH110/AH95</f>
        <v>4.8580132116860672E-2</v>
      </c>
      <c r="AI111" s="90">
        <f t="shared" si="358"/>
        <v>1.8041953357304002E-2</v>
      </c>
      <c r="AJ111" s="90">
        <f t="shared" si="358"/>
        <v>-6.223265748128276E-2</v>
      </c>
      <c r="AK111" s="90">
        <f t="shared" si="358"/>
        <v>-7.4268988166024855E-2</v>
      </c>
      <c r="AL111" s="90">
        <f t="shared" ref="AL111:AO111" si="359">+AL110/AL95</f>
        <v>-5.7034009492895853E-2</v>
      </c>
      <c r="AM111" s="90">
        <f t="shared" si="359"/>
        <v>-2.9618929348384355E-2</v>
      </c>
      <c r="AN111" s="90">
        <f t="shared" si="359"/>
        <v>-1.8100741923687463E-2</v>
      </c>
      <c r="AO111" s="90">
        <f t="shared" si="359"/>
        <v>-0.11984010783868281</v>
      </c>
      <c r="AP111" s="90">
        <f t="shared" ref="AP111" si="360">+AP110/AP95</f>
        <v>-8.2753148533410911E-2</v>
      </c>
      <c r="AQ111" s="35"/>
    </row>
    <row r="112" spans="2:44" ht="13.5" customHeight="1">
      <c r="C112" s="82"/>
      <c r="D112" s="82"/>
      <c r="E112" s="82"/>
      <c r="F112" s="82"/>
      <c r="G112" s="82"/>
      <c r="H112" s="82"/>
      <c r="I112" s="82"/>
      <c r="J112" s="82"/>
      <c r="K112" s="82"/>
      <c r="L112" s="16"/>
      <c r="M112" s="68"/>
      <c r="N112" s="82"/>
      <c r="O112" s="82"/>
      <c r="P112" s="82"/>
      <c r="Q112" s="16"/>
      <c r="R112" s="82"/>
      <c r="S112" s="82"/>
      <c r="T112" s="78"/>
      <c r="U112" s="82"/>
      <c r="V112" s="82"/>
      <c r="W112" s="82"/>
      <c r="X112" s="78"/>
      <c r="Y112" s="82"/>
      <c r="Z112" s="82"/>
      <c r="AA112" s="82"/>
      <c r="AB112" s="82"/>
      <c r="AC112" s="82"/>
      <c r="AD112" s="82"/>
      <c r="AE112" s="82"/>
      <c r="AF112" s="82"/>
      <c r="AG112" s="82"/>
      <c r="AH112" s="82"/>
      <c r="AI112" s="82"/>
      <c r="AK112" s="82"/>
      <c r="AL112" s="82"/>
      <c r="AM112" s="82"/>
      <c r="AO112" s="82"/>
      <c r="AP112" s="82"/>
    </row>
    <row r="113" spans="2:44" ht="13.5" customHeight="1">
      <c r="B113" s="10" t="s">
        <v>231</v>
      </c>
      <c r="C113" s="82"/>
      <c r="D113" s="82"/>
      <c r="E113" s="82"/>
      <c r="F113" s="82"/>
      <c r="G113" s="82"/>
      <c r="H113" s="82"/>
      <c r="I113" s="82"/>
      <c r="J113" s="82"/>
      <c r="K113" s="82"/>
      <c r="L113" s="16"/>
      <c r="M113" s="16"/>
      <c r="N113" s="82"/>
      <c r="O113" s="82"/>
      <c r="P113" s="82"/>
      <c r="Q113" s="16"/>
      <c r="R113" s="82"/>
      <c r="S113" s="82"/>
      <c r="T113" s="78"/>
      <c r="U113" s="82"/>
      <c r="V113" s="82"/>
      <c r="W113" s="82"/>
      <c r="X113" s="78"/>
      <c r="Y113" s="82"/>
      <c r="Z113" s="82"/>
      <c r="AA113" s="82"/>
      <c r="AB113" s="82"/>
      <c r="AC113" s="82"/>
      <c r="AD113" s="82"/>
      <c r="AE113" s="82"/>
      <c r="AF113" s="82"/>
      <c r="AG113" s="82"/>
      <c r="AH113" s="82"/>
      <c r="AI113" s="82"/>
      <c r="AK113" s="82"/>
      <c r="AL113" s="82"/>
      <c r="AM113" s="82"/>
      <c r="AO113" s="82"/>
      <c r="AP113" s="82"/>
    </row>
    <row r="114" spans="2:44" ht="13.5" customHeight="1">
      <c r="B114" s="15" t="s">
        <v>232</v>
      </c>
      <c r="C114" s="78">
        <v>0</v>
      </c>
      <c r="D114" s="78">
        <v>4.513388</v>
      </c>
      <c r="E114" s="78">
        <v>0.79490499999999997</v>
      </c>
      <c r="F114" s="78">
        <v>1.923573</v>
      </c>
      <c r="G114" s="78">
        <f>2.880592</f>
        <v>2.880592</v>
      </c>
      <c r="H114" s="78">
        <f>4.627154</f>
        <v>4.627154</v>
      </c>
      <c r="I114" s="78">
        <v>69.613001999999994</v>
      </c>
      <c r="J114" s="78">
        <v>49.856046999999997</v>
      </c>
      <c r="K114" s="78">
        <v>1.782124</v>
      </c>
      <c r="L114" s="16">
        <f t="shared" ref="L114:L115" si="361">AP114</f>
        <v>0</v>
      </c>
      <c r="M114" s="16"/>
      <c r="N114" s="78">
        <v>4.3186099999999996</v>
      </c>
      <c r="O114" s="78">
        <v>60.774650999999999</v>
      </c>
      <c r="P114" s="78">
        <v>0.78613299999999997</v>
      </c>
      <c r="Q114" s="16">
        <f>E114</f>
        <v>0.79490499999999997</v>
      </c>
      <c r="R114" s="78">
        <v>0.80922000000000005</v>
      </c>
      <c r="S114" s="78">
        <v>0.81815099999999996</v>
      </c>
      <c r="T114" s="78">
        <v>1.2640150000000001</v>
      </c>
      <c r="U114" s="16">
        <f>F114</f>
        <v>1.923573</v>
      </c>
      <c r="V114" s="78">
        <v>47.303201999999999</v>
      </c>
      <c r="W114" s="78">
        <v>2.4435750000000001</v>
      </c>
      <c r="X114" s="78">
        <v>3.1525310000000002</v>
      </c>
      <c r="Y114" s="16">
        <f>G114</f>
        <v>2.880592</v>
      </c>
      <c r="Z114" s="78">
        <v>3.3609049999999998</v>
      </c>
      <c r="AA114" s="78">
        <v>2.672383</v>
      </c>
      <c r="AB114" s="78">
        <v>2.7190020000000001</v>
      </c>
      <c r="AC114" s="16">
        <f>H114</f>
        <v>4.627154</v>
      </c>
      <c r="AD114" s="78">
        <v>4.6440460000000003</v>
      </c>
      <c r="AE114" s="78">
        <v>4.6987730000000001</v>
      </c>
      <c r="AF114" s="78">
        <v>4.7547560000000004</v>
      </c>
      <c r="AG114" s="16">
        <f t="shared" ref="AG114:AG115" si="362">I114</f>
        <v>69.613001999999994</v>
      </c>
      <c r="AH114" s="78">
        <v>69.688381000000007</v>
      </c>
      <c r="AI114" s="78">
        <v>69.743356000000006</v>
      </c>
      <c r="AJ114" s="78">
        <v>4.7993709999999998</v>
      </c>
      <c r="AK114" s="16">
        <f t="shared" ref="AK114:AK115" si="363">J114</f>
        <v>49.856046999999997</v>
      </c>
      <c r="AL114" s="78">
        <v>4.9125839999999998</v>
      </c>
      <c r="AM114" s="78">
        <v>5</v>
      </c>
      <c r="AN114" s="78">
        <v>166.28687300000001</v>
      </c>
      <c r="AO114" s="16">
        <f t="shared" ref="AO114:AO115" si="364">K114</f>
        <v>1.782124</v>
      </c>
      <c r="AP114" s="78">
        <v>0</v>
      </c>
    </row>
    <row r="115" spans="2:44" ht="13.5" customHeight="1">
      <c r="B115" s="15" t="s">
        <v>233</v>
      </c>
      <c r="C115" s="78">
        <v>581.99487899999997</v>
      </c>
      <c r="D115" s="78">
        <v>695.28403400000002</v>
      </c>
      <c r="E115" s="78">
        <v>713.63267800000006</v>
      </c>
      <c r="F115" s="78">
        <v>837.83747900000003</v>
      </c>
      <c r="G115" s="78">
        <v>930.65262399999995</v>
      </c>
      <c r="H115" s="78">
        <v>925.872432</v>
      </c>
      <c r="I115" s="78">
        <v>845.57375200000001</v>
      </c>
      <c r="J115" s="78">
        <v>797.19462699999997</v>
      </c>
      <c r="K115" s="78">
        <v>1273.419269</v>
      </c>
      <c r="L115" s="16">
        <f t="shared" si="361"/>
        <v>1175.684483</v>
      </c>
      <c r="M115" s="16"/>
      <c r="N115" s="78">
        <v>695.71280200000001</v>
      </c>
      <c r="O115" s="78">
        <v>636.78006200000004</v>
      </c>
      <c r="P115" s="78">
        <v>713.58522500000004</v>
      </c>
      <c r="Q115" s="16">
        <f>E115</f>
        <v>713.63267800000006</v>
      </c>
      <c r="R115" s="78">
        <v>798.70904099999996</v>
      </c>
      <c r="S115" s="78">
        <v>838.79347499999994</v>
      </c>
      <c r="T115" s="78">
        <v>838.41645600000004</v>
      </c>
      <c r="U115" s="16">
        <f>F115</f>
        <v>837.83747900000003</v>
      </c>
      <c r="V115" s="78">
        <v>792.49936000000002</v>
      </c>
      <c r="W115" s="78">
        <v>931.98850500000003</v>
      </c>
      <c r="X115" s="78">
        <v>931.13345000000004</v>
      </c>
      <c r="Y115" s="16">
        <f>G115</f>
        <v>930.65262399999995</v>
      </c>
      <c r="Z115" s="78">
        <v>929.80386099999998</v>
      </c>
      <c r="AA115" s="78">
        <v>930.13815899999997</v>
      </c>
      <c r="AB115" s="78">
        <v>928.74188000000004</v>
      </c>
      <c r="AC115" s="16">
        <f>H115</f>
        <v>925.872432</v>
      </c>
      <c r="AD115" s="78">
        <v>925.04170899999997</v>
      </c>
      <c r="AE115" s="78">
        <v>924.19684800000005</v>
      </c>
      <c r="AF115" s="78">
        <v>923.38905799999998</v>
      </c>
      <c r="AG115" s="16">
        <f t="shared" si="362"/>
        <v>845.57375200000001</v>
      </c>
      <c r="AH115" s="78">
        <v>844.72382000000005</v>
      </c>
      <c r="AI115" s="78">
        <v>843.88088400000004</v>
      </c>
      <c r="AJ115" s="78">
        <v>843.04493100000002</v>
      </c>
      <c r="AK115" s="16">
        <f t="shared" si="363"/>
        <v>797.19462699999997</v>
      </c>
      <c r="AL115" s="78">
        <v>796.28816099999995</v>
      </c>
      <c r="AM115" s="78">
        <v>895.4</v>
      </c>
      <c r="AN115" s="78">
        <v>1278.9435370000001</v>
      </c>
      <c r="AO115" s="16">
        <f t="shared" si="364"/>
        <v>1273.419269</v>
      </c>
      <c r="AP115" s="78">
        <v>1175.684483</v>
      </c>
    </row>
    <row r="116" spans="2:44" ht="13.5" customHeight="1">
      <c r="B116" s="10" t="s">
        <v>234</v>
      </c>
      <c r="C116" s="68">
        <f t="shared" ref="C116:G116" si="365">SUM(C114:C115)</f>
        <v>581.99487899999997</v>
      </c>
      <c r="D116" s="68">
        <f t="shared" si="365"/>
        <v>699.79742199999998</v>
      </c>
      <c r="E116" s="68">
        <f t="shared" si="365"/>
        <v>714.42758300000003</v>
      </c>
      <c r="F116" s="68">
        <f t="shared" si="365"/>
        <v>839.76105200000006</v>
      </c>
      <c r="G116" s="68">
        <f t="shared" si="365"/>
        <v>933.53321599999992</v>
      </c>
      <c r="H116" s="68">
        <f t="shared" ref="H116:I116" si="366">SUM(H114:H115)</f>
        <v>930.49958600000002</v>
      </c>
      <c r="I116" s="68">
        <f t="shared" si="366"/>
        <v>915.18675400000006</v>
      </c>
      <c r="J116" s="68">
        <f t="shared" ref="J116:K116" si="367">SUM(J114:J115)</f>
        <v>847.05067399999996</v>
      </c>
      <c r="K116" s="68">
        <f t="shared" si="367"/>
        <v>1275.2013930000001</v>
      </c>
      <c r="L116" s="68">
        <f>SUM(L114:L115)</f>
        <v>1175.684483</v>
      </c>
      <c r="M116" s="68"/>
      <c r="N116" s="68">
        <f>SUM(N114:N115)</f>
        <v>700.03141200000005</v>
      </c>
      <c r="O116" s="68">
        <f>SUM(O114:O115)</f>
        <v>697.55471299999999</v>
      </c>
      <c r="P116" s="68">
        <f>SUM(P114:P115)</f>
        <v>714.37135799999999</v>
      </c>
      <c r="Q116" s="68">
        <f t="shared" ref="Q116:U116" si="368">SUM(Q114:Q115)</f>
        <v>714.42758300000003</v>
      </c>
      <c r="R116" s="68">
        <f>SUM(R114:R115)</f>
        <v>799.51826099999994</v>
      </c>
      <c r="S116" s="68">
        <f>SUM(S114:S115)</f>
        <v>839.61162599999989</v>
      </c>
      <c r="T116" s="68">
        <f>SUM(T114:T115)</f>
        <v>839.68047100000001</v>
      </c>
      <c r="U116" s="68">
        <f t="shared" si="368"/>
        <v>839.76105200000006</v>
      </c>
      <c r="V116" s="68">
        <f>SUM(V114:V115)</f>
        <v>839.80256200000008</v>
      </c>
      <c r="W116" s="68">
        <f>SUM(W114:W115)</f>
        <v>934.43208000000004</v>
      </c>
      <c r="X116" s="68">
        <f>SUM(X114:X115)</f>
        <v>934.28598099999999</v>
      </c>
      <c r="Y116" s="68">
        <f t="shared" ref="Y116" si="369">SUM(Y114:Y115)</f>
        <v>933.53321599999992</v>
      </c>
      <c r="Z116" s="68">
        <f>SUM(Z114:Z115)</f>
        <v>933.16476599999999</v>
      </c>
      <c r="AA116" s="68">
        <f t="shared" ref="AA116:AD116" si="370">SUM(AA114:AA115)</f>
        <v>932.81054199999994</v>
      </c>
      <c r="AB116" s="68">
        <f t="shared" si="370"/>
        <v>931.46088200000008</v>
      </c>
      <c r="AC116" s="68">
        <f t="shared" si="370"/>
        <v>930.49958600000002</v>
      </c>
      <c r="AD116" s="68">
        <f t="shared" si="370"/>
        <v>929.68575499999997</v>
      </c>
      <c r="AE116" s="68">
        <f t="shared" ref="AE116:AH116" si="371">SUM(AE114:AE115)</f>
        <v>928.89562100000001</v>
      </c>
      <c r="AF116" s="68">
        <f t="shared" si="371"/>
        <v>928.14381400000002</v>
      </c>
      <c r="AG116" s="68">
        <f t="shared" si="371"/>
        <v>915.18675400000006</v>
      </c>
      <c r="AH116" s="68">
        <f t="shared" si="371"/>
        <v>914.4122010000001</v>
      </c>
      <c r="AI116" s="68">
        <f t="shared" ref="AI116:AM116" si="372">SUM(AI114:AI115)</f>
        <v>913.6242400000001</v>
      </c>
      <c r="AJ116" s="68">
        <f t="shared" si="372"/>
        <v>847.84430199999997</v>
      </c>
      <c r="AK116" s="68">
        <f t="shared" si="372"/>
        <v>847.05067399999996</v>
      </c>
      <c r="AL116" s="68">
        <f t="shared" si="372"/>
        <v>801.20074499999998</v>
      </c>
      <c r="AM116" s="68">
        <f t="shared" si="372"/>
        <v>900.4</v>
      </c>
      <c r="AN116" s="68">
        <f t="shared" ref="AN116:AP116" si="373">SUM(AN114:AN115)</f>
        <v>1445.2304100000001</v>
      </c>
      <c r="AO116" s="68">
        <f t="shared" si="373"/>
        <v>1275.2013930000001</v>
      </c>
      <c r="AP116" s="68">
        <f t="shared" si="373"/>
        <v>1175.684483</v>
      </c>
    </row>
    <row r="117" spans="2:44" ht="13.5" customHeight="1">
      <c r="C117" s="82"/>
      <c r="D117" s="82"/>
      <c r="E117" s="82"/>
      <c r="F117" s="82"/>
      <c r="G117" s="82"/>
      <c r="H117" s="82"/>
      <c r="I117" s="82"/>
      <c r="J117" s="82"/>
      <c r="K117" s="82"/>
      <c r="L117" s="16"/>
      <c r="M117" s="16"/>
      <c r="N117" s="82"/>
      <c r="O117" s="82"/>
      <c r="P117" s="82"/>
      <c r="Q117" s="16"/>
      <c r="R117" s="82"/>
      <c r="S117" s="82"/>
      <c r="T117" s="82"/>
      <c r="U117" s="82"/>
      <c r="V117" s="82"/>
      <c r="W117" s="82"/>
      <c r="X117" s="82"/>
      <c r="Y117" s="82"/>
      <c r="Z117" s="82"/>
      <c r="AA117" s="82"/>
      <c r="AB117" s="82"/>
      <c r="AC117" s="82"/>
      <c r="AD117" s="82"/>
      <c r="AE117" s="82"/>
      <c r="AF117" s="82"/>
      <c r="AG117" s="82"/>
      <c r="AH117" s="82"/>
      <c r="AI117" s="82"/>
      <c r="AK117" s="82"/>
      <c r="AL117" s="82"/>
      <c r="AM117" s="82"/>
      <c r="AO117" s="82"/>
      <c r="AP117" s="82"/>
    </row>
    <row r="118" spans="2:44" ht="13.5" customHeight="1">
      <c r="B118" s="10" t="s">
        <v>235</v>
      </c>
      <c r="C118" s="82"/>
      <c r="D118" s="82"/>
      <c r="E118" s="82"/>
      <c r="F118" s="82"/>
      <c r="G118" s="82"/>
      <c r="H118" s="82"/>
      <c r="I118" s="82"/>
      <c r="J118" s="82"/>
      <c r="K118" s="82"/>
      <c r="L118" s="16"/>
      <c r="M118" s="16"/>
      <c r="N118" s="82"/>
      <c r="O118" s="82"/>
      <c r="P118" s="82"/>
      <c r="Q118" s="16"/>
      <c r="R118" s="82"/>
      <c r="S118" s="82"/>
      <c r="T118" s="82"/>
      <c r="U118" s="82"/>
      <c r="V118" s="82"/>
      <c r="W118" s="82"/>
      <c r="X118" s="82"/>
      <c r="Y118" s="82"/>
      <c r="Z118" s="82"/>
      <c r="AA118" s="82"/>
      <c r="AB118" s="82"/>
      <c r="AC118" s="82"/>
      <c r="AD118" s="82"/>
      <c r="AE118" s="82"/>
      <c r="AF118" s="82"/>
      <c r="AG118" s="82"/>
      <c r="AH118" s="82"/>
      <c r="AI118" s="82"/>
      <c r="AK118" s="82"/>
      <c r="AL118" s="82"/>
      <c r="AM118" s="82"/>
      <c r="AO118" s="82"/>
      <c r="AP118" s="82"/>
    </row>
    <row r="119" spans="2:44" ht="13.5" customHeight="1">
      <c r="B119" s="15" t="s">
        <v>236</v>
      </c>
      <c r="C119" s="78">
        <v>0</v>
      </c>
      <c r="D119" s="78">
        <v>0</v>
      </c>
      <c r="E119" s="78">
        <v>0.43517699999999998</v>
      </c>
      <c r="F119" s="78">
        <v>0.51041700000000001</v>
      </c>
      <c r="G119" s="78">
        <f>0.464456</f>
        <v>0.46445599999999998</v>
      </c>
      <c r="H119" s="78">
        <f>0.606281</f>
        <v>0.60628099999999996</v>
      </c>
      <c r="I119" s="78">
        <f>0.607481</f>
        <v>0.60748100000000005</v>
      </c>
      <c r="J119" s="78">
        <v>0.40837299999999999</v>
      </c>
      <c r="K119" s="78">
        <v>0.64129999999999998</v>
      </c>
      <c r="L119" s="16">
        <f t="shared" ref="L119:L120" si="374">AP119</f>
        <v>0.65037800000000001</v>
      </c>
      <c r="M119" s="16"/>
      <c r="N119" s="78">
        <v>0.54730800000000002</v>
      </c>
      <c r="O119" s="78">
        <v>0.54480600000000001</v>
      </c>
      <c r="P119" s="78">
        <v>0.54480600000000001</v>
      </c>
      <c r="Q119" s="16">
        <f>E119</f>
        <v>0.43517699999999998</v>
      </c>
      <c r="R119" s="78">
        <v>0.43325999999999998</v>
      </c>
      <c r="S119" s="78">
        <v>0.437083</v>
      </c>
      <c r="T119" s="78">
        <v>0.51041700000000001</v>
      </c>
      <c r="U119" s="16">
        <f>F119</f>
        <v>0.51041700000000001</v>
      </c>
      <c r="V119" s="78">
        <v>0.50492700000000001</v>
      </c>
      <c r="W119" s="78">
        <v>0.47591</v>
      </c>
      <c r="X119" s="78">
        <v>0.37333100000000002</v>
      </c>
      <c r="Y119" s="16">
        <f>G119</f>
        <v>0.46445599999999998</v>
      </c>
      <c r="Z119" s="78">
        <v>0.43714999999999998</v>
      </c>
      <c r="AA119" s="78">
        <v>0.45519300000000001</v>
      </c>
      <c r="AB119" s="78">
        <v>0.39504899999999998</v>
      </c>
      <c r="AC119" s="16">
        <f>H119</f>
        <v>0.60628099999999996</v>
      </c>
      <c r="AD119" s="78">
        <v>0.60674899999999998</v>
      </c>
      <c r="AE119" s="78">
        <v>0.60785299999999998</v>
      </c>
      <c r="AF119" s="78">
        <v>0.60814000000000001</v>
      </c>
      <c r="AG119" s="16">
        <f t="shared" ref="AG119:AG120" si="375">I119</f>
        <v>0.60748100000000005</v>
      </c>
      <c r="AH119" s="78">
        <v>0.60633899999999996</v>
      </c>
      <c r="AI119" s="78">
        <v>0.60633899999999996</v>
      </c>
      <c r="AJ119" s="78">
        <v>0.429948</v>
      </c>
      <c r="AK119" s="16">
        <f t="shared" ref="AK119:AK120" si="376">J119</f>
        <v>0.40837299999999999</v>
      </c>
      <c r="AL119" s="78">
        <v>0.26190400000000003</v>
      </c>
      <c r="AM119" s="78">
        <v>0.2</v>
      </c>
      <c r="AN119" s="78">
        <v>0.63700800000000002</v>
      </c>
      <c r="AO119" s="16">
        <f t="shared" ref="AO119:AO120" si="377">K119</f>
        <v>0.64129999999999998</v>
      </c>
      <c r="AP119" s="78">
        <v>0.65037800000000001</v>
      </c>
    </row>
    <row r="120" spans="2:44" ht="13.5" customHeight="1">
      <c r="B120" s="15" t="s">
        <v>237</v>
      </c>
      <c r="C120" s="78">
        <v>0</v>
      </c>
      <c r="D120" s="78">
        <v>0</v>
      </c>
      <c r="E120" s="78">
        <v>0.72906899999999997</v>
      </c>
      <c r="F120" s="78">
        <v>0.22086800000000001</v>
      </c>
      <c r="G120" s="78">
        <f>0.915957</f>
        <v>0.91595700000000002</v>
      </c>
      <c r="H120" s="78">
        <f>0.897658</f>
        <v>0.89765799999999996</v>
      </c>
      <c r="I120" s="78">
        <f>0.29017</f>
        <v>0.29016999999999998</v>
      </c>
      <c r="J120" s="78">
        <v>0.14974299999999999</v>
      </c>
      <c r="K120" s="78">
        <v>0.81474599999999997</v>
      </c>
      <c r="L120" s="16">
        <f t="shared" si="374"/>
        <v>0.73289499999999996</v>
      </c>
      <c r="M120" s="16"/>
      <c r="N120" s="78">
        <v>0.92138900000000001</v>
      </c>
      <c r="O120" s="78">
        <v>0.82556799999999997</v>
      </c>
      <c r="P120" s="78">
        <v>0.72400699999999996</v>
      </c>
      <c r="Q120" s="16">
        <f>E120</f>
        <v>0.72906899999999997</v>
      </c>
      <c r="R120" s="78">
        <v>0.62350099999999997</v>
      </c>
      <c r="S120" s="78">
        <v>0.51289300000000004</v>
      </c>
      <c r="T120" s="78">
        <v>0.331737</v>
      </c>
      <c r="U120" s="16">
        <f>F120</f>
        <v>0.22086800000000001</v>
      </c>
      <c r="V120" s="78">
        <v>0.11858100000000001</v>
      </c>
      <c r="W120" s="78">
        <v>3.6988E-2</v>
      </c>
      <c r="X120" s="78">
        <v>2.6039E-2</v>
      </c>
      <c r="Y120" s="16">
        <f>G120</f>
        <v>0.91595700000000002</v>
      </c>
      <c r="Z120" s="78">
        <v>0.81798899999999997</v>
      </c>
      <c r="AA120" s="78">
        <v>0.67262500000000003</v>
      </c>
      <c r="AB120" s="78">
        <v>0.61833099999999996</v>
      </c>
      <c r="AC120" s="16">
        <f>H120</f>
        <v>0.89765799999999996</v>
      </c>
      <c r="AD120" s="78">
        <v>0.74589700000000003</v>
      </c>
      <c r="AE120" s="78">
        <v>0.59386300000000003</v>
      </c>
      <c r="AF120" s="78">
        <v>0.44114100000000001</v>
      </c>
      <c r="AG120" s="16">
        <f t="shared" si="375"/>
        <v>0.29016999999999998</v>
      </c>
      <c r="AH120" s="78">
        <v>0.13956399999999999</v>
      </c>
      <c r="AI120" s="78">
        <v>0.13956399999999999</v>
      </c>
      <c r="AJ120" s="78">
        <v>1.1202E-2</v>
      </c>
      <c r="AK120" s="16">
        <f t="shared" si="376"/>
        <v>0.14974299999999999</v>
      </c>
      <c r="AL120" s="78">
        <v>0.11722200000000001</v>
      </c>
      <c r="AM120" s="78">
        <v>0.2</v>
      </c>
      <c r="AN120" s="78">
        <v>0.86999199999999999</v>
      </c>
      <c r="AO120" s="16">
        <f t="shared" si="377"/>
        <v>0.81474599999999997</v>
      </c>
      <c r="AP120" s="78">
        <v>0.73289499999999996</v>
      </c>
    </row>
    <row r="121" spans="2:44" ht="13.5" customHeight="1">
      <c r="B121" s="10" t="s">
        <v>238</v>
      </c>
      <c r="C121" s="68">
        <f t="shared" ref="C121:G121" si="378">SUM(C119:C120)</f>
        <v>0</v>
      </c>
      <c r="D121" s="68">
        <f t="shared" si="378"/>
        <v>0</v>
      </c>
      <c r="E121" s="68">
        <f t="shared" si="378"/>
        <v>1.1642459999999999</v>
      </c>
      <c r="F121" s="68">
        <f t="shared" si="378"/>
        <v>0.73128499999999996</v>
      </c>
      <c r="G121" s="68">
        <f t="shared" si="378"/>
        <v>1.3804129999999999</v>
      </c>
      <c r="H121" s="68">
        <f t="shared" ref="H121:I121" si="379">SUM(H119:H120)</f>
        <v>1.5039389999999999</v>
      </c>
      <c r="I121" s="68">
        <f t="shared" si="379"/>
        <v>0.89765099999999998</v>
      </c>
      <c r="J121" s="68">
        <f t="shared" ref="J121:K121" si="380">SUM(J119:J120)</f>
        <v>0.55811599999999995</v>
      </c>
      <c r="K121" s="68">
        <f t="shared" si="380"/>
        <v>1.456046</v>
      </c>
      <c r="L121" s="68">
        <f>SUM(L119:L120)</f>
        <v>1.383273</v>
      </c>
      <c r="M121" s="68"/>
      <c r="N121" s="68">
        <f>SUM(N119:N120)</f>
        <v>1.4686970000000001</v>
      </c>
      <c r="O121" s="68">
        <f>SUM(O119:O120)</f>
        <v>1.370374</v>
      </c>
      <c r="P121" s="68">
        <f>SUM(P119:P120)</f>
        <v>1.268813</v>
      </c>
      <c r="Q121" s="68">
        <f t="shared" ref="Q121:U121" si="381">SUM(Q119:Q120)</f>
        <v>1.1642459999999999</v>
      </c>
      <c r="R121" s="68">
        <f>SUM(R119:R120)</f>
        <v>1.0567609999999998</v>
      </c>
      <c r="S121" s="68">
        <f>SUM(S119:S120)</f>
        <v>0.94997600000000004</v>
      </c>
      <c r="T121" s="68">
        <f>SUM(T119:T120)</f>
        <v>0.84215400000000007</v>
      </c>
      <c r="U121" s="68">
        <f t="shared" si="381"/>
        <v>0.73128499999999996</v>
      </c>
      <c r="V121" s="68">
        <f>SUM(V119:V120)</f>
        <v>0.62350800000000006</v>
      </c>
      <c r="W121" s="68">
        <f>SUM(W119:W120)</f>
        <v>0.51289799999999997</v>
      </c>
      <c r="X121" s="68">
        <f>SUM(X119:X120)</f>
        <v>0.39937</v>
      </c>
      <c r="Y121" s="68">
        <f t="shared" ref="Y121" si="382">SUM(Y119:Y120)</f>
        <v>1.3804129999999999</v>
      </c>
      <c r="Z121" s="68">
        <f>SUM(Z119:Z120)</f>
        <v>1.255139</v>
      </c>
      <c r="AA121" s="68">
        <f t="shared" ref="AA121:AD121" si="383">SUM(AA119:AA120)</f>
        <v>1.127818</v>
      </c>
      <c r="AB121" s="68">
        <f t="shared" si="383"/>
        <v>1.0133799999999999</v>
      </c>
      <c r="AC121" s="68">
        <f t="shared" si="383"/>
        <v>1.5039389999999999</v>
      </c>
      <c r="AD121" s="68">
        <f t="shared" si="383"/>
        <v>1.352646</v>
      </c>
      <c r="AE121" s="68">
        <f>SUM(AE119:AE120)</f>
        <v>1.201716</v>
      </c>
      <c r="AF121" s="68">
        <f t="shared" ref="AF121:AH121" si="384">SUM(AF119:AF120)</f>
        <v>1.0492810000000001</v>
      </c>
      <c r="AG121" s="68">
        <f t="shared" si="384"/>
        <v>0.89765099999999998</v>
      </c>
      <c r="AH121" s="68">
        <f t="shared" si="384"/>
        <v>0.74590299999999998</v>
      </c>
      <c r="AI121" s="68">
        <f>SUM(AI119:AI120)</f>
        <v>0.74590299999999998</v>
      </c>
      <c r="AJ121" s="68">
        <f>SUM(AJ119:AJ120)</f>
        <v>0.44114999999999999</v>
      </c>
      <c r="AK121" s="68">
        <f t="shared" ref="AK121:AM121" si="385">SUM(AK119:AK120)</f>
        <v>0.55811599999999995</v>
      </c>
      <c r="AL121" s="68">
        <f t="shared" si="385"/>
        <v>0.37912600000000002</v>
      </c>
      <c r="AM121" s="68">
        <f t="shared" si="385"/>
        <v>0.4</v>
      </c>
      <c r="AN121" s="68">
        <f>SUM(AN119:AN120)</f>
        <v>1.5070000000000001</v>
      </c>
      <c r="AO121" s="68">
        <f t="shared" ref="AO121:AP121" si="386">SUM(AO119:AO120)</f>
        <v>1.456046</v>
      </c>
      <c r="AP121" s="68">
        <f t="shared" si="386"/>
        <v>1.383273</v>
      </c>
    </row>
    <row r="122" spans="2:44" ht="13.5" customHeight="1">
      <c r="B122" s="39"/>
      <c r="C122" s="82"/>
      <c r="D122" s="82"/>
      <c r="E122" s="82"/>
      <c r="F122" s="82"/>
      <c r="G122" s="82"/>
      <c r="H122" s="82"/>
      <c r="I122" s="82"/>
      <c r="J122" s="82"/>
      <c r="K122" s="82"/>
      <c r="L122" s="16"/>
      <c r="M122" s="16"/>
      <c r="N122" s="82"/>
      <c r="O122" s="82"/>
      <c r="P122" s="82"/>
      <c r="Q122" s="16"/>
      <c r="R122" s="82"/>
      <c r="S122" s="82"/>
      <c r="T122" s="82"/>
      <c r="U122" s="82"/>
      <c r="V122" s="82"/>
      <c r="W122" s="82"/>
      <c r="X122" s="82"/>
      <c r="Y122" s="82"/>
      <c r="Z122" s="82"/>
      <c r="AA122" s="82"/>
      <c r="AB122" s="82"/>
      <c r="AC122" s="82"/>
      <c r="AD122" s="82"/>
      <c r="AE122" s="82"/>
      <c r="AF122" s="82"/>
      <c r="AG122" s="82"/>
      <c r="AH122" s="82"/>
      <c r="AI122" s="82"/>
      <c r="AK122" s="82"/>
      <c r="AL122" s="82"/>
      <c r="AM122" s="82"/>
      <c r="AO122" s="82"/>
      <c r="AP122" s="82"/>
    </row>
    <row r="123" spans="2:44" ht="13.5" customHeight="1">
      <c r="B123" s="10" t="s">
        <v>239</v>
      </c>
      <c r="C123" s="82"/>
      <c r="D123" s="82"/>
      <c r="E123" s="82"/>
      <c r="F123" s="82"/>
      <c r="G123" s="82"/>
      <c r="H123" s="82"/>
      <c r="I123" s="82"/>
      <c r="J123" s="82"/>
      <c r="K123" s="82"/>
      <c r="L123" s="16"/>
      <c r="M123" s="16"/>
      <c r="N123" s="82"/>
      <c r="O123" s="82"/>
      <c r="P123" s="82"/>
      <c r="Q123" s="16"/>
      <c r="R123" s="82"/>
      <c r="S123" s="82"/>
      <c r="T123" s="82"/>
      <c r="U123" s="82"/>
      <c r="V123" s="82"/>
      <c r="W123" s="82"/>
      <c r="X123" s="82"/>
      <c r="Y123" s="82"/>
      <c r="Z123" s="82"/>
      <c r="AA123" s="82"/>
      <c r="AB123" s="82"/>
      <c r="AC123" s="82"/>
      <c r="AD123" s="82"/>
      <c r="AE123" s="82"/>
      <c r="AF123" s="82"/>
      <c r="AG123" s="82"/>
      <c r="AH123" s="82"/>
      <c r="AI123" s="82"/>
      <c r="AK123" s="82"/>
      <c r="AL123" s="82"/>
      <c r="AM123" s="82"/>
      <c r="AO123" s="82"/>
      <c r="AP123" s="82"/>
    </row>
    <row r="124" spans="2:44" ht="13.5" customHeight="1">
      <c r="B124" s="15" t="s">
        <v>232</v>
      </c>
      <c r="C124" s="16">
        <f t="shared" ref="C124:F125" si="387">C114+C119</f>
        <v>0</v>
      </c>
      <c r="D124" s="16">
        <f t="shared" si="387"/>
        <v>4.513388</v>
      </c>
      <c r="E124" s="16">
        <f t="shared" si="387"/>
        <v>1.2300819999999999</v>
      </c>
      <c r="F124" s="16">
        <f t="shared" si="387"/>
        <v>2.4339900000000001</v>
      </c>
      <c r="G124" s="16">
        <f t="shared" ref="G124:H124" si="388">G114+G119</f>
        <v>3.3450480000000002</v>
      </c>
      <c r="H124" s="16">
        <f t="shared" si="388"/>
        <v>5.2334350000000001</v>
      </c>
      <c r="I124" s="16">
        <f t="shared" ref="I124:J124" si="389">I114+I119</f>
        <v>70.220483000000002</v>
      </c>
      <c r="J124" s="16">
        <f t="shared" si="389"/>
        <v>50.264419999999994</v>
      </c>
      <c r="K124" s="16">
        <f t="shared" ref="K124" si="390">K114+K119</f>
        <v>2.4234239999999998</v>
      </c>
      <c r="L124" s="16">
        <f t="shared" ref="L124" si="391">L114+L119</f>
        <v>0.65037800000000001</v>
      </c>
      <c r="M124" s="16"/>
      <c r="N124" s="16">
        <f t="shared" ref="N124:P125" si="392">N114+N119</f>
        <v>4.8659179999999997</v>
      </c>
      <c r="O124" s="16">
        <f t="shared" si="392"/>
        <v>61.319457</v>
      </c>
      <c r="P124" s="16">
        <f t="shared" si="392"/>
        <v>1.3309389999999999</v>
      </c>
      <c r="Q124" s="16">
        <f>E124</f>
        <v>1.2300819999999999</v>
      </c>
      <c r="R124" s="16">
        <f t="shared" ref="R124:W125" si="393">R114+R119</f>
        <v>1.24248</v>
      </c>
      <c r="S124" s="16">
        <f t="shared" si="393"/>
        <v>1.255234</v>
      </c>
      <c r="T124" s="16">
        <f t="shared" si="393"/>
        <v>1.774432</v>
      </c>
      <c r="U124" s="16">
        <f t="shared" si="393"/>
        <v>2.4339900000000001</v>
      </c>
      <c r="V124" s="16">
        <f t="shared" si="393"/>
        <v>47.808129000000001</v>
      </c>
      <c r="W124" s="16">
        <f t="shared" si="393"/>
        <v>2.9194849999999999</v>
      </c>
      <c r="X124" s="16">
        <f t="shared" ref="X124:AA125" si="394">X114+X119</f>
        <v>3.5258620000000001</v>
      </c>
      <c r="Y124" s="16">
        <f t="shared" si="394"/>
        <v>3.3450480000000002</v>
      </c>
      <c r="Z124" s="16">
        <f t="shared" si="394"/>
        <v>3.7980549999999997</v>
      </c>
      <c r="AA124" s="16">
        <f t="shared" si="394"/>
        <v>3.1275759999999999</v>
      </c>
      <c r="AB124" s="16">
        <f t="shared" ref="AB124:AC124" si="395">AB114+AB119</f>
        <v>3.1140509999999999</v>
      </c>
      <c r="AC124" s="16">
        <f t="shared" si="395"/>
        <v>5.2334350000000001</v>
      </c>
      <c r="AD124" s="16">
        <f t="shared" ref="AD124" si="396">AD114+AD119</f>
        <v>5.2507950000000001</v>
      </c>
      <c r="AE124" s="16">
        <f>AE114+AE119</f>
        <v>5.3066259999999996</v>
      </c>
      <c r="AF124" s="16">
        <f t="shared" ref="AF124:AH125" si="397">AF114+AF119</f>
        <v>5.3628960000000001</v>
      </c>
      <c r="AG124" s="16">
        <f t="shared" si="397"/>
        <v>70.220483000000002</v>
      </c>
      <c r="AH124" s="16">
        <f t="shared" si="397"/>
        <v>70.294720000000012</v>
      </c>
      <c r="AI124" s="16">
        <f>AI114+AI119</f>
        <v>70.349695000000011</v>
      </c>
      <c r="AJ124" s="16">
        <f>AJ114+AJ119</f>
        <v>5.2293190000000003</v>
      </c>
      <c r="AK124" s="16">
        <f t="shared" ref="AK124:AM124" si="398">AK114+AK119</f>
        <v>50.264419999999994</v>
      </c>
      <c r="AL124" s="16">
        <f t="shared" si="398"/>
        <v>5.1744880000000002</v>
      </c>
      <c r="AM124" s="16">
        <f t="shared" si="398"/>
        <v>5.2</v>
      </c>
      <c r="AN124" s="16">
        <f>AN114+AN119</f>
        <v>166.92388100000002</v>
      </c>
      <c r="AO124" s="16">
        <f t="shared" ref="AO124:AP124" si="399">AO114+AO119</f>
        <v>2.4234239999999998</v>
      </c>
      <c r="AP124" s="16">
        <f t="shared" si="399"/>
        <v>0.65037800000000001</v>
      </c>
    </row>
    <row r="125" spans="2:44" ht="13.5" customHeight="1">
      <c r="B125" s="15" t="s">
        <v>233</v>
      </c>
      <c r="C125" s="16">
        <f t="shared" si="387"/>
        <v>581.99487899999997</v>
      </c>
      <c r="D125" s="16">
        <f t="shared" si="387"/>
        <v>695.28403400000002</v>
      </c>
      <c r="E125" s="16">
        <f t="shared" si="387"/>
        <v>714.36174700000004</v>
      </c>
      <c r="F125" s="16">
        <f t="shared" si="387"/>
        <v>838.05834700000003</v>
      </c>
      <c r="G125" s="16">
        <f t="shared" ref="G125:H125" si="400">G115+G120</f>
        <v>931.56858099999999</v>
      </c>
      <c r="H125" s="16">
        <f t="shared" si="400"/>
        <v>926.77008999999998</v>
      </c>
      <c r="I125" s="16">
        <f t="shared" ref="I125:J125" si="401">I115+I120</f>
        <v>845.863922</v>
      </c>
      <c r="J125" s="16">
        <f t="shared" si="401"/>
        <v>797.34436999999991</v>
      </c>
      <c r="K125" s="16">
        <f t="shared" ref="K125" si="402">K115+K120</f>
        <v>1274.234015</v>
      </c>
      <c r="L125" s="16">
        <f t="shared" ref="L125" si="403">L115+L120</f>
        <v>1176.4173780000001</v>
      </c>
      <c r="M125" s="16"/>
      <c r="N125" s="16">
        <f t="shared" si="392"/>
        <v>696.63419099999999</v>
      </c>
      <c r="O125" s="16">
        <f t="shared" si="392"/>
        <v>637.60563000000002</v>
      </c>
      <c r="P125" s="16">
        <f t="shared" si="392"/>
        <v>714.30923200000007</v>
      </c>
      <c r="Q125" s="16">
        <f>E125</f>
        <v>714.36174700000004</v>
      </c>
      <c r="R125" s="16">
        <f t="shared" si="393"/>
        <v>799.33254199999999</v>
      </c>
      <c r="S125" s="16">
        <f t="shared" si="393"/>
        <v>839.30636799999991</v>
      </c>
      <c r="T125" s="16">
        <f t="shared" si="393"/>
        <v>838.74819300000001</v>
      </c>
      <c r="U125" s="16">
        <f t="shared" si="393"/>
        <v>838.05834700000003</v>
      </c>
      <c r="V125" s="16">
        <f t="shared" si="393"/>
        <v>792.61794099999997</v>
      </c>
      <c r="W125" s="16">
        <f t="shared" si="393"/>
        <v>932.02549299999998</v>
      </c>
      <c r="X125" s="16">
        <f t="shared" ref="X125:Z125" si="404">X115+X120</f>
        <v>931.15948900000001</v>
      </c>
      <c r="Y125" s="16">
        <f t="shared" si="404"/>
        <v>931.56858099999999</v>
      </c>
      <c r="Z125" s="16">
        <f t="shared" si="404"/>
        <v>930.62184999999999</v>
      </c>
      <c r="AA125" s="16">
        <f t="shared" si="394"/>
        <v>930.81078400000001</v>
      </c>
      <c r="AB125" s="16">
        <f t="shared" ref="AB125:AC125" si="405">AB115+AB120</f>
        <v>929.36021100000005</v>
      </c>
      <c r="AC125" s="16">
        <f t="shared" si="405"/>
        <v>926.77008999999998</v>
      </c>
      <c r="AD125" s="16">
        <f t="shared" ref="AD125" si="406">AD115+AD120</f>
        <v>925.78760599999998</v>
      </c>
      <c r="AE125" s="16">
        <f>AE115+AE120</f>
        <v>924.7907110000001</v>
      </c>
      <c r="AF125" s="16">
        <f t="shared" ref="AF125:AG125" si="407">AF115+AF120</f>
        <v>923.83019899999999</v>
      </c>
      <c r="AG125" s="16">
        <f t="shared" si="407"/>
        <v>845.863922</v>
      </c>
      <c r="AH125" s="16">
        <f t="shared" si="397"/>
        <v>844.863384</v>
      </c>
      <c r="AI125" s="16">
        <f>AI115+AI120</f>
        <v>844.02044799999999</v>
      </c>
      <c r="AJ125" s="16">
        <f>AJ115+AJ120</f>
        <v>843.05613300000005</v>
      </c>
      <c r="AK125" s="16">
        <f t="shared" ref="AK125:AM125" si="408">AK115+AK120</f>
        <v>797.34436999999991</v>
      </c>
      <c r="AL125" s="16">
        <f t="shared" si="408"/>
        <v>796.40538299999992</v>
      </c>
      <c r="AM125" s="16">
        <f t="shared" si="408"/>
        <v>895.6</v>
      </c>
      <c r="AN125" s="16">
        <f>AN115+AN120</f>
        <v>1279.813529</v>
      </c>
      <c r="AO125" s="16">
        <f t="shared" ref="AO125:AP125" si="409">AO115+AO120</f>
        <v>1274.234015</v>
      </c>
      <c r="AP125" s="16">
        <f t="shared" si="409"/>
        <v>1176.4173780000001</v>
      </c>
    </row>
    <row r="126" spans="2:44" s="39" customFormat="1" ht="13.5" customHeight="1">
      <c r="B126" s="39" t="s">
        <v>148</v>
      </c>
      <c r="C126" s="68">
        <f t="shared" ref="C126:G126" si="410">SUM(C124:C125)</f>
        <v>581.99487899999997</v>
      </c>
      <c r="D126" s="68">
        <f t="shared" si="410"/>
        <v>699.79742199999998</v>
      </c>
      <c r="E126" s="68">
        <f t="shared" si="410"/>
        <v>715.59182900000008</v>
      </c>
      <c r="F126" s="68">
        <f t="shared" si="410"/>
        <v>840.49233700000002</v>
      </c>
      <c r="G126" s="68">
        <f t="shared" si="410"/>
        <v>934.91362900000001</v>
      </c>
      <c r="H126" s="68">
        <f t="shared" ref="H126:I126" si="411">SUM(H124:H125)</f>
        <v>932.00352499999997</v>
      </c>
      <c r="I126" s="68">
        <f t="shared" si="411"/>
        <v>916.08440500000006</v>
      </c>
      <c r="J126" s="68">
        <f t="shared" ref="J126:K126" si="412">SUM(J124:J125)</f>
        <v>847.60878999999989</v>
      </c>
      <c r="K126" s="68">
        <f t="shared" si="412"/>
        <v>1276.6574390000001</v>
      </c>
      <c r="L126" s="68">
        <f>SUM(L124:L125)</f>
        <v>1177.0677560000001</v>
      </c>
      <c r="M126" s="68"/>
      <c r="N126" s="68">
        <f>SUM(N124:N125)</f>
        <v>701.50010899999995</v>
      </c>
      <c r="O126" s="68">
        <f>SUM(O124:O125)</f>
        <v>698.92508700000008</v>
      </c>
      <c r="P126" s="68">
        <f>SUM(P124:P125)</f>
        <v>715.64017100000001</v>
      </c>
      <c r="Q126" s="68">
        <f t="shared" ref="Q126:U126" si="413">SUM(Q124:Q125)</f>
        <v>715.59182900000008</v>
      </c>
      <c r="R126" s="68">
        <f>SUM(R124:R125)</f>
        <v>800.57502199999999</v>
      </c>
      <c r="S126" s="68">
        <f>SUM(S124:S125)</f>
        <v>840.56160199999988</v>
      </c>
      <c r="T126" s="68">
        <f>SUM(T124:T125)</f>
        <v>840.52262500000006</v>
      </c>
      <c r="U126" s="68">
        <f t="shared" si="413"/>
        <v>840.49233700000002</v>
      </c>
      <c r="V126" s="68">
        <f>SUM(V124:V125)</f>
        <v>840.42606999999998</v>
      </c>
      <c r="W126" s="68">
        <f>SUM(W124:W125)</f>
        <v>934.94497799999999</v>
      </c>
      <c r="X126" s="68">
        <f>SUM(X124:X125)</f>
        <v>934.68535099999997</v>
      </c>
      <c r="Y126" s="68">
        <f t="shared" ref="Y126" si="414">SUM(Y124:Y125)</f>
        <v>934.91362900000001</v>
      </c>
      <c r="Z126" s="68">
        <f>SUM(Z124:Z125)</f>
        <v>934.41990499999997</v>
      </c>
      <c r="AA126" s="68">
        <f t="shared" ref="AA126:AC126" si="415">SUM(AA124:AA125)</f>
        <v>933.93835999999999</v>
      </c>
      <c r="AB126" s="68">
        <f t="shared" si="415"/>
        <v>932.47426200000007</v>
      </c>
      <c r="AC126" s="68">
        <f t="shared" si="415"/>
        <v>932.00352499999997</v>
      </c>
      <c r="AD126" s="68">
        <f t="shared" ref="AD126" si="416">SUM(AD124:AD125)</f>
        <v>931.03840100000002</v>
      </c>
      <c r="AE126" s="68">
        <f>SUM(AE124:AE125)</f>
        <v>930.09733700000015</v>
      </c>
      <c r="AF126" s="68">
        <f t="shared" ref="AF126:AH126" si="417">SUM(AF124:AF125)</f>
        <v>929.19309499999997</v>
      </c>
      <c r="AG126" s="68">
        <f t="shared" si="417"/>
        <v>916.08440500000006</v>
      </c>
      <c r="AH126" s="68">
        <f t="shared" si="417"/>
        <v>915.15810399999998</v>
      </c>
      <c r="AI126" s="68">
        <f>SUM(AI124:AI125)</f>
        <v>914.37014299999998</v>
      </c>
      <c r="AJ126" s="68">
        <f>SUM(AJ124:AJ125)</f>
        <v>848.28545200000008</v>
      </c>
      <c r="AK126" s="68">
        <f t="shared" ref="AK126:AM126" si="418">SUM(AK124:AK125)</f>
        <v>847.60878999999989</v>
      </c>
      <c r="AL126" s="68">
        <f t="shared" si="418"/>
        <v>801.57987099999991</v>
      </c>
      <c r="AM126" s="68">
        <f t="shared" si="418"/>
        <v>900.80000000000007</v>
      </c>
      <c r="AN126" s="68">
        <f>SUM(AN124:AN125)</f>
        <v>1446.73741</v>
      </c>
      <c r="AO126" s="68">
        <f t="shared" ref="AO126:AP126" si="419">SUM(AO124:AO125)</f>
        <v>1276.6574390000001</v>
      </c>
      <c r="AP126" s="68">
        <f t="shared" si="419"/>
        <v>1177.0677560000001</v>
      </c>
    </row>
    <row r="127" spans="2:44" ht="13.5" customHeight="1">
      <c r="B127" s="81" t="s">
        <v>25</v>
      </c>
      <c r="C127" s="78">
        <v>91.001709000000005</v>
      </c>
      <c r="D127" s="78">
        <v>64.483395000000002</v>
      </c>
      <c r="E127" s="78">
        <v>75.063592999999997</v>
      </c>
      <c r="F127" s="78">
        <v>120.542142</v>
      </c>
      <c r="G127" s="78">
        <v>452.82113199999998</v>
      </c>
      <c r="H127" s="78">
        <v>139.147085</v>
      </c>
      <c r="I127" s="78">
        <v>501.16613599999999</v>
      </c>
      <c r="J127" s="78">
        <v>184.12089399999999</v>
      </c>
      <c r="K127" s="78">
        <v>336.90128299999998</v>
      </c>
      <c r="L127" s="16">
        <f t="shared" ref="L127" si="420">AP127</f>
        <v>206.14451399999999</v>
      </c>
      <c r="M127" s="16"/>
      <c r="N127" s="78">
        <v>59.523448999999999</v>
      </c>
      <c r="O127" s="78">
        <v>131.05420000000001</v>
      </c>
      <c r="P127" s="78">
        <v>110.09563300000001</v>
      </c>
      <c r="Q127" s="16">
        <f>E127</f>
        <v>75.063592999999997</v>
      </c>
      <c r="R127" s="78">
        <v>122.27357499999999</v>
      </c>
      <c r="S127" s="78">
        <v>143.983306</v>
      </c>
      <c r="T127" s="78">
        <v>136.59358900000001</v>
      </c>
      <c r="U127" s="16">
        <f>F127</f>
        <v>120.542142</v>
      </c>
      <c r="V127" s="78">
        <v>99.119437000000005</v>
      </c>
      <c r="W127" s="78">
        <v>393.43617799999998</v>
      </c>
      <c r="X127" s="78">
        <v>373.721699</v>
      </c>
      <c r="Y127" s="16">
        <f>G127</f>
        <v>452.82113199999998</v>
      </c>
      <c r="Z127" s="78">
        <v>342.50453700000003</v>
      </c>
      <c r="AA127" s="78">
        <v>298.38502599999998</v>
      </c>
      <c r="AB127" s="78">
        <v>270.69513599999999</v>
      </c>
      <c r="AC127" s="16">
        <f>H127</f>
        <v>139.147085</v>
      </c>
      <c r="AD127" s="78">
        <v>98.212738999999999</v>
      </c>
      <c r="AE127" s="78">
        <v>50.724851000000001</v>
      </c>
      <c r="AF127" s="78">
        <v>408.18265700000001</v>
      </c>
      <c r="AG127" s="16">
        <f>I127</f>
        <v>501.16613599999999</v>
      </c>
      <c r="AH127" s="78">
        <v>445.06134900000001</v>
      </c>
      <c r="AI127" s="78">
        <v>376.94147500000003</v>
      </c>
      <c r="AJ127" s="78">
        <v>281.197607</v>
      </c>
      <c r="AK127" s="16">
        <f>J127</f>
        <v>184.12089399999999</v>
      </c>
      <c r="AL127" s="78">
        <v>48.685208000000003</v>
      </c>
      <c r="AM127" s="78">
        <v>65.2</v>
      </c>
      <c r="AN127" s="78">
        <v>587.04836899999998</v>
      </c>
      <c r="AO127" s="16">
        <f t="shared" ref="AO127" si="421">K127</f>
        <v>336.90128299999998</v>
      </c>
      <c r="AP127" s="78">
        <v>206.14451399999999</v>
      </c>
      <c r="AR127" s="133"/>
    </row>
    <row r="128" spans="2:44" ht="13.5" customHeight="1">
      <c r="B128" s="39" t="s">
        <v>240</v>
      </c>
      <c r="C128" s="68">
        <f t="shared" ref="C128:G128" si="422">C126-C127</f>
        <v>490.99316999999996</v>
      </c>
      <c r="D128" s="68">
        <f t="shared" si="422"/>
        <v>635.31402700000001</v>
      </c>
      <c r="E128" s="68">
        <f t="shared" si="422"/>
        <v>640.52823600000011</v>
      </c>
      <c r="F128" s="68">
        <f t="shared" si="422"/>
        <v>719.95019500000001</v>
      </c>
      <c r="G128" s="68">
        <f t="shared" si="422"/>
        <v>482.09249700000004</v>
      </c>
      <c r="H128" s="68">
        <f t="shared" ref="H128:I128" si="423">H126-H127</f>
        <v>792.85644000000002</v>
      </c>
      <c r="I128" s="68">
        <f t="shared" si="423"/>
        <v>414.91826900000007</v>
      </c>
      <c r="J128" s="68">
        <f t="shared" ref="J128:K128" si="424">J126-J127</f>
        <v>663.48789599999986</v>
      </c>
      <c r="K128" s="68">
        <f t="shared" si="424"/>
        <v>939.75615600000015</v>
      </c>
      <c r="L128" s="68">
        <f>L126-L127</f>
        <v>970.92324200000019</v>
      </c>
      <c r="M128" s="68"/>
      <c r="N128" s="68">
        <f>N126-N127</f>
        <v>641.97665999999992</v>
      </c>
      <c r="O128" s="68">
        <f>O126-O127</f>
        <v>567.87088700000004</v>
      </c>
      <c r="P128" s="68">
        <f>P126-P127</f>
        <v>605.54453799999999</v>
      </c>
      <c r="Q128" s="68">
        <f t="shared" ref="Q128:U128" si="425">Q126-Q127</f>
        <v>640.52823600000011</v>
      </c>
      <c r="R128" s="68">
        <f>R126-R127</f>
        <v>678.30144700000005</v>
      </c>
      <c r="S128" s="68">
        <f>S126-S127</f>
        <v>696.57829599999991</v>
      </c>
      <c r="T128" s="68">
        <f>T126-T127</f>
        <v>703.929036</v>
      </c>
      <c r="U128" s="68">
        <f t="shared" si="425"/>
        <v>719.95019500000001</v>
      </c>
      <c r="V128" s="68">
        <f>V126-V127</f>
        <v>741.30663299999992</v>
      </c>
      <c r="W128" s="68">
        <f>W126-W127</f>
        <v>541.50880000000006</v>
      </c>
      <c r="X128" s="68">
        <f>X126-X127</f>
        <v>560.96365199999991</v>
      </c>
      <c r="Y128" s="68">
        <f t="shared" ref="Y128" si="426">Y126-Y127</f>
        <v>482.09249700000004</v>
      </c>
      <c r="Z128" s="68">
        <f>Z126-Z127</f>
        <v>591.91536799999994</v>
      </c>
      <c r="AA128" s="68">
        <f t="shared" ref="AA128:AD128" si="427">AA126-AA127</f>
        <v>635.55333399999995</v>
      </c>
      <c r="AB128" s="68">
        <f t="shared" si="427"/>
        <v>661.77912600000013</v>
      </c>
      <c r="AC128" s="68">
        <f t="shared" si="427"/>
        <v>792.85644000000002</v>
      </c>
      <c r="AD128" s="68">
        <f t="shared" si="427"/>
        <v>832.82566199999997</v>
      </c>
      <c r="AE128" s="68">
        <f>AE126-AE127</f>
        <v>879.37248600000021</v>
      </c>
      <c r="AF128" s="68">
        <f t="shared" ref="AF128:AH128" si="428">AF126-AF127</f>
        <v>521.01043800000002</v>
      </c>
      <c r="AG128" s="68">
        <f t="shared" si="428"/>
        <v>414.91826900000007</v>
      </c>
      <c r="AH128" s="68">
        <f t="shared" si="428"/>
        <v>470.09675499999997</v>
      </c>
      <c r="AI128" s="68">
        <f>AI126-AI127</f>
        <v>537.42866800000002</v>
      </c>
      <c r="AJ128" s="68">
        <f>AJ126-AJ127</f>
        <v>567.08784500000002</v>
      </c>
      <c r="AK128" s="68">
        <f t="shared" ref="AK128:AM128" si="429">AK126-AK127</f>
        <v>663.48789599999986</v>
      </c>
      <c r="AL128" s="68">
        <f t="shared" si="429"/>
        <v>752.89466299999992</v>
      </c>
      <c r="AM128" s="68">
        <f t="shared" si="429"/>
        <v>835.6</v>
      </c>
      <c r="AN128" s="68">
        <f>AN126-AN127</f>
        <v>859.68904099999997</v>
      </c>
      <c r="AO128" s="68">
        <f t="shared" ref="AO128:AP128" si="430">AO126-AO127</f>
        <v>939.75615600000015</v>
      </c>
      <c r="AP128" s="68">
        <f t="shared" si="430"/>
        <v>970.92324200000019</v>
      </c>
    </row>
    <row r="129" spans="2:42" ht="13.5" customHeight="1">
      <c r="C129" s="79"/>
      <c r="D129" s="79"/>
      <c r="E129" s="79"/>
      <c r="F129" s="79"/>
      <c r="G129" s="79"/>
      <c r="H129" s="79"/>
      <c r="I129" s="79"/>
      <c r="J129" s="79"/>
      <c r="K129" s="79"/>
      <c r="L129" s="68"/>
      <c r="M129" s="68"/>
      <c r="N129" s="79"/>
      <c r="O129" s="79"/>
      <c r="P129" s="79"/>
      <c r="Q129" s="80"/>
      <c r="R129" s="79"/>
      <c r="S129" s="79"/>
      <c r="T129" s="79"/>
      <c r="U129" s="79"/>
      <c r="V129" s="79"/>
      <c r="W129" s="79"/>
      <c r="X129" s="79"/>
      <c r="Y129" s="79"/>
      <c r="Z129" s="79"/>
      <c r="AA129" s="79"/>
      <c r="AB129" s="79"/>
      <c r="AC129" s="79"/>
      <c r="AD129" s="79"/>
      <c r="AE129" s="79"/>
      <c r="AF129" s="79"/>
      <c r="AG129" s="79"/>
      <c r="AH129" s="79"/>
      <c r="AI129" s="79"/>
      <c r="AK129" s="79"/>
      <c r="AL129" s="79"/>
      <c r="AM129" s="79"/>
      <c r="AO129" s="79"/>
      <c r="AP129" s="79"/>
    </row>
    <row r="130" spans="2:42" ht="13.5" customHeight="1">
      <c r="B130" s="39" t="s">
        <v>241</v>
      </c>
      <c r="C130" s="68">
        <f t="shared" ref="C130:G130" si="431">C128</f>
        <v>490.99316999999996</v>
      </c>
      <c r="D130" s="68">
        <f t="shared" si="431"/>
        <v>635.31402700000001</v>
      </c>
      <c r="E130" s="68">
        <f t="shared" si="431"/>
        <v>640.52823600000011</v>
      </c>
      <c r="F130" s="68">
        <f t="shared" si="431"/>
        <v>719.95019500000001</v>
      </c>
      <c r="G130" s="68">
        <f t="shared" si="431"/>
        <v>482.09249700000004</v>
      </c>
      <c r="H130" s="68">
        <f>H128</f>
        <v>792.85644000000002</v>
      </c>
      <c r="I130" s="68">
        <f>I128</f>
        <v>414.91826900000007</v>
      </c>
      <c r="J130" s="68">
        <f>J128</f>
        <v>663.48789599999986</v>
      </c>
      <c r="K130" s="68">
        <f>K128</f>
        <v>939.75615600000015</v>
      </c>
      <c r="L130" s="68">
        <f t="shared" ref="L130:L131" si="432">AP130</f>
        <v>970.92324200000019</v>
      </c>
      <c r="M130" s="68"/>
      <c r="N130" s="68">
        <f>N128</f>
        <v>641.97665999999992</v>
      </c>
      <c r="O130" s="68">
        <f>O128</f>
        <v>567.87088700000004</v>
      </c>
      <c r="P130" s="68">
        <f>P128</f>
        <v>605.54453799999999</v>
      </c>
      <c r="Q130" s="68">
        <f>E130</f>
        <v>640.52823600000011</v>
      </c>
      <c r="R130" s="68">
        <f>R128</f>
        <v>678.30144700000005</v>
      </c>
      <c r="S130" s="68">
        <f>S128</f>
        <v>696.57829599999991</v>
      </c>
      <c r="T130" s="68">
        <f>T128</f>
        <v>703.929036</v>
      </c>
      <c r="U130" s="68">
        <f>F130</f>
        <v>719.95019500000001</v>
      </c>
      <c r="V130" s="68">
        <f>V128</f>
        <v>741.30663299999992</v>
      </c>
      <c r="W130" s="68">
        <f>W128</f>
        <v>541.50880000000006</v>
      </c>
      <c r="X130" s="68">
        <f>X128</f>
        <v>560.96365199999991</v>
      </c>
      <c r="Y130" s="68">
        <f>G130</f>
        <v>482.09249700000004</v>
      </c>
      <c r="Z130" s="68">
        <f>Z128</f>
        <v>591.91536799999994</v>
      </c>
      <c r="AA130" s="68">
        <f t="shared" ref="AA130:AB130" si="433">AA128</f>
        <v>635.55333399999995</v>
      </c>
      <c r="AB130" s="68">
        <f t="shared" si="433"/>
        <v>661.77912600000013</v>
      </c>
      <c r="AC130" s="68">
        <f>H130</f>
        <v>792.85644000000002</v>
      </c>
      <c r="AD130" s="68">
        <f>AD128</f>
        <v>832.82566199999997</v>
      </c>
      <c r="AE130" s="68">
        <f t="shared" ref="AE130:AF130" si="434">AE128</f>
        <v>879.37248600000021</v>
      </c>
      <c r="AF130" s="68">
        <f t="shared" si="434"/>
        <v>521.01043800000002</v>
      </c>
      <c r="AG130" s="68">
        <f>AG128</f>
        <v>414.91826900000007</v>
      </c>
      <c r="AH130" s="68">
        <f>AH128</f>
        <v>470.09675499999997</v>
      </c>
      <c r="AI130" s="68">
        <f t="shared" ref="AI130:AP130" si="435">AI128</f>
        <v>537.42866800000002</v>
      </c>
      <c r="AJ130" s="68">
        <f t="shared" si="435"/>
        <v>567.08784500000002</v>
      </c>
      <c r="AK130" s="68">
        <f t="shared" si="435"/>
        <v>663.48789599999986</v>
      </c>
      <c r="AL130" s="68">
        <f t="shared" si="435"/>
        <v>752.89466299999992</v>
      </c>
      <c r="AM130" s="68">
        <f t="shared" si="435"/>
        <v>835.6</v>
      </c>
      <c r="AN130" s="68">
        <f t="shared" si="435"/>
        <v>859.68904099999997</v>
      </c>
      <c r="AO130" s="68">
        <f t="shared" si="435"/>
        <v>939.75615600000015</v>
      </c>
      <c r="AP130" s="68">
        <f t="shared" si="435"/>
        <v>970.92324200000019</v>
      </c>
    </row>
    <row r="131" spans="2:42" ht="13.5" customHeight="1">
      <c r="B131" s="35" t="s">
        <v>242</v>
      </c>
      <c r="C131" s="78">
        <v>1022.332124</v>
      </c>
      <c r="D131" s="78">
        <v>1053.703573</v>
      </c>
      <c r="E131" s="78">
        <v>1111.1249809999999</v>
      </c>
      <c r="F131" s="78">
        <v>1108.662167</v>
      </c>
      <c r="G131" s="78">
        <v>1453.652407</v>
      </c>
      <c r="H131" s="78">
        <v>1639.3114880000001</v>
      </c>
      <c r="I131" s="78">
        <v>2486.968425</v>
      </c>
      <c r="J131" s="78">
        <v>2597.2841830000002</v>
      </c>
      <c r="K131" s="78">
        <v>2747.756742</v>
      </c>
      <c r="L131" s="16">
        <f t="shared" si="432"/>
        <v>2858.672196</v>
      </c>
      <c r="M131" s="16"/>
      <c r="N131" s="78">
        <v>1021.742403</v>
      </c>
      <c r="O131" s="78">
        <v>1053.304887</v>
      </c>
      <c r="P131" s="78">
        <v>1060.4773740000001</v>
      </c>
      <c r="Q131" s="16">
        <f>E131</f>
        <v>1111.1249809999999</v>
      </c>
      <c r="R131" s="78">
        <v>1017.85876</v>
      </c>
      <c r="S131" s="78">
        <v>1027.5826629999999</v>
      </c>
      <c r="T131" s="78">
        <v>1063.9662519999999</v>
      </c>
      <c r="U131" s="16">
        <f>F131</f>
        <v>1108.662167</v>
      </c>
      <c r="V131" s="78">
        <v>1067.7819830000001</v>
      </c>
      <c r="W131" s="78">
        <v>1403.686868</v>
      </c>
      <c r="X131" s="78">
        <v>1409.069295</v>
      </c>
      <c r="Y131" s="16">
        <f>G131</f>
        <v>1453.652407</v>
      </c>
      <c r="Z131" s="78">
        <v>1447.101236</v>
      </c>
      <c r="AA131" s="78">
        <v>1489.752659</v>
      </c>
      <c r="AB131" s="78">
        <v>1553.514807</v>
      </c>
      <c r="AC131" s="16">
        <f>H131</f>
        <v>1639.3114880000001</v>
      </c>
      <c r="AD131" s="78">
        <v>1641.3932319999999</v>
      </c>
      <c r="AE131" s="78">
        <v>1741.695561</v>
      </c>
      <c r="AF131" s="78">
        <v>2220.6804590000002</v>
      </c>
      <c r="AG131" s="16">
        <f>I131</f>
        <v>2486.968425</v>
      </c>
      <c r="AH131" s="78">
        <v>2548.4364340000002</v>
      </c>
      <c r="AI131" s="78">
        <v>2660.7246369999998</v>
      </c>
      <c r="AJ131" s="78">
        <v>2691.5646339999998</v>
      </c>
      <c r="AK131" s="16">
        <f>J131</f>
        <v>2597.2841830000002</v>
      </c>
      <c r="AL131" s="78">
        <v>2506.3390559999998</v>
      </c>
      <c r="AM131" s="78">
        <v>2543.1</v>
      </c>
      <c r="AN131" s="78">
        <v>2573.02403</v>
      </c>
      <c r="AO131" s="16">
        <f t="shared" ref="AO130:AO131" si="436">K131</f>
        <v>2747.756742</v>
      </c>
      <c r="AP131" s="78">
        <v>2858.672196</v>
      </c>
    </row>
    <row r="132" spans="2:42" s="39" customFormat="1" ht="13.5" customHeight="1">
      <c r="B132" s="39" t="s">
        <v>243</v>
      </c>
      <c r="C132" s="68">
        <f t="shared" ref="C132:G132" si="437">+C126+C131</f>
        <v>1604.3270029999999</v>
      </c>
      <c r="D132" s="68">
        <f t="shared" si="437"/>
        <v>1753.5009949999999</v>
      </c>
      <c r="E132" s="68">
        <f t="shared" si="437"/>
        <v>1826.7168099999999</v>
      </c>
      <c r="F132" s="68">
        <f t="shared" si="437"/>
        <v>1949.1545040000001</v>
      </c>
      <c r="G132" s="68">
        <f t="shared" si="437"/>
        <v>2388.5660360000002</v>
      </c>
      <c r="H132" s="68">
        <f t="shared" ref="H132:I132" si="438">+H126+H131</f>
        <v>2571.3150129999999</v>
      </c>
      <c r="I132" s="68">
        <f t="shared" si="438"/>
        <v>3403.0528300000001</v>
      </c>
      <c r="J132" s="68">
        <f t="shared" ref="J132:K132" si="439">+J126+J131</f>
        <v>3444.892973</v>
      </c>
      <c r="K132" s="68">
        <f t="shared" si="439"/>
        <v>4024.4141810000001</v>
      </c>
      <c r="L132" s="68">
        <f>+L126+L131</f>
        <v>4035.7399519999999</v>
      </c>
      <c r="M132" s="68"/>
      <c r="N132" s="68">
        <f>+N126+N131</f>
        <v>1723.2425119999998</v>
      </c>
      <c r="O132" s="68">
        <f>+O126+O131</f>
        <v>1752.2299740000001</v>
      </c>
      <c r="P132" s="68">
        <f>+P126+P131</f>
        <v>1776.1175450000001</v>
      </c>
      <c r="Q132" s="68">
        <f t="shared" ref="Q132:U132" si="440">+Q126+Q131</f>
        <v>1826.7168099999999</v>
      </c>
      <c r="R132" s="68">
        <f>+R126+R131</f>
        <v>1818.4337820000001</v>
      </c>
      <c r="S132" s="68">
        <f>+S126+S131</f>
        <v>1868.1442649999999</v>
      </c>
      <c r="T132" s="68">
        <f>+T126+T131</f>
        <v>1904.488877</v>
      </c>
      <c r="U132" s="68">
        <f t="shared" si="440"/>
        <v>1949.1545040000001</v>
      </c>
      <c r="V132" s="68">
        <f>+V126+V131</f>
        <v>1908.2080530000001</v>
      </c>
      <c r="W132" s="68">
        <f>+W126+W131</f>
        <v>2338.6318460000002</v>
      </c>
      <c r="X132" s="68">
        <f>+X126+X131</f>
        <v>2343.7546459999999</v>
      </c>
      <c r="Y132" s="68">
        <f t="shared" ref="Y132" si="441">+Y126+Y131</f>
        <v>2388.5660360000002</v>
      </c>
      <c r="Z132" s="68">
        <f>+Z126+Z131</f>
        <v>2381.5211410000002</v>
      </c>
      <c r="AA132" s="68">
        <f t="shared" ref="AA132:AD132" si="442">+AA126+AA131</f>
        <v>2423.6910189999999</v>
      </c>
      <c r="AB132" s="68">
        <f t="shared" si="442"/>
        <v>2485.9890690000002</v>
      </c>
      <c r="AC132" s="68">
        <f t="shared" si="442"/>
        <v>2571.3150129999999</v>
      </c>
      <c r="AD132" s="68">
        <f t="shared" si="442"/>
        <v>2572.4316330000001</v>
      </c>
      <c r="AE132" s="68">
        <f t="shared" ref="AE132:AH132" si="443">+AE126+AE131</f>
        <v>2671.7928980000002</v>
      </c>
      <c r="AF132" s="68">
        <f t="shared" si="443"/>
        <v>3149.8735540000002</v>
      </c>
      <c r="AG132" s="68">
        <f t="shared" si="443"/>
        <v>3403.0528300000001</v>
      </c>
      <c r="AH132" s="68">
        <f t="shared" si="443"/>
        <v>3463.5945380000003</v>
      </c>
      <c r="AI132" s="68">
        <f t="shared" ref="AI132:AM132" si="444">+AI126+AI131</f>
        <v>3575.0947799999999</v>
      </c>
      <c r="AJ132" s="68">
        <f t="shared" si="444"/>
        <v>3539.8500859999999</v>
      </c>
      <c r="AK132" s="68">
        <f t="shared" si="444"/>
        <v>3444.892973</v>
      </c>
      <c r="AL132" s="68">
        <f t="shared" si="444"/>
        <v>3307.9189269999997</v>
      </c>
      <c r="AM132" s="68">
        <f t="shared" si="444"/>
        <v>3443.9</v>
      </c>
      <c r="AN132" s="68">
        <f t="shared" ref="AN132:AP132" si="445">+AN126+AN131</f>
        <v>4019.7614400000002</v>
      </c>
      <c r="AO132" s="68">
        <f t="shared" si="445"/>
        <v>4024.4141810000001</v>
      </c>
      <c r="AP132" s="68">
        <f t="shared" si="445"/>
        <v>4035.7399519999999</v>
      </c>
    </row>
    <row r="133" spans="2:42" ht="13.5" customHeight="1"/>
    <row r="134" spans="2:42" ht="13.5" customHeight="1">
      <c r="B134" s="61" t="s">
        <v>244</v>
      </c>
      <c r="C134" s="70">
        <f t="shared" ref="C134:J134" si="446">C3</f>
        <v>43100</v>
      </c>
      <c r="D134" s="70">
        <f t="shared" si="446"/>
        <v>43465</v>
      </c>
      <c r="E134" s="70">
        <f t="shared" si="446"/>
        <v>43830</v>
      </c>
      <c r="F134" s="70">
        <f t="shared" si="446"/>
        <v>44196</v>
      </c>
      <c r="G134" s="70">
        <f t="shared" si="446"/>
        <v>44561</v>
      </c>
      <c r="H134" s="70">
        <f t="shared" si="446"/>
        <v>44926</v>
      </c>
      <c r="I134" s="70">
        <f t="shared" si="446"/>
        <v>45291</v>
      </c>
      <c r="J134" s="70">
        <f t="shared" si="446"/>
        <v>45657</v>
      </c>
      <c r="K134" s="70">
        <f t="shared" ref="K134" si="447">K3</f>
        <v>46022</v>
      </c>
      <c r="L134" s="70" t="str">
        <f>L2</f>
        <v>LTM</v>
      </c>
      <c r="M134" s="145"/>
      <c r="N134" s="70">
        <f t="shared" ref="N134:AN134" si="448">N3</f>
        <v>43555</v>
      </c>
      <c r="O134" s="70">
        <f t="shared" si="448"/>
        <v>43646</v>
      </c>
      <c r="P134" s="70">
        <f t="shared" si="448"/>
        <v>43738</v>
      </c>
      <c r="Q134" s="70">
        <f t="shared" si="448"/>
        <v>43830</v>
      </c>
      <c r="R134" s="70">
        <f t="shared" si="448"/>
        <v>43921</v>
      </c>
      <c r="S134" s="70">
        <f t="shared" si="448"/>
        <v>44012</v>
      </c>
      <c r="T134" s="70">
        <f t="shared" si="448"/>
        <v>44104</v>
      </c>
      <c r="U134" s="70">
        <f t="shared" si="448"/>
        <v>44196</v>
      </c>
      <c r="V134" s="70">
        <f t="shared" si="448"/>
        <v>44286</v>
      </c>
      <c r="W134" s="70">
        <f t="shared" si="448"/>
        <v>44377</v>
      </c>
      <c r="X134" s="70">
        <f t="shared" si="448"/>
        <v>44469</v>
      </c>
      <c r="Y134" s="70">
        <f t="shared" si="448"/>
        <v>44561</v>
      </c>
      <c r="Z134" s="70">
        <f t="shared" si="448"/>
        <v>44651</v>
      </c>
      <c r="AA134" s="70">
        <f t="shared" si="448"/>
        <v>44742</v>
      </c>
      <c r="AB134" s="70">
        <f t="shared" si="448"/>
        <v>44834</v>
      </c>
      <c r="AC134" s="70">
        <f t="shared" si="448"/>
        <v>44926</v>
      </c>
      <c r="AD134" s="70">
        <f t="shared" si="448"/>
        <v>45016</v>
      </c>
      <c r="AE134" s="70">
        <f t="shared" si="448"/>
        <v>45107</v>
      </c>
      <c r="AF134" s="70">
        <f t="shared" si="448"/>
        <v>45199</v>
      </c>
      <c r="AG134" s="70">
        <f t="shared" si="448"/>
        <v>45291</v>
      </c>
      <c r="AH134" s="70">
        <f t="shared" si="448"/>
        <v>45382</v>
      </c>
      <c r="AI134" s="70">
        <f t="shared" si="448"/>
        <v>45473</v>
      </c>
      <c r="AJ134" s="70">
        <f t="shared" si="448"/>
        <v>45565</v>
      </c>
      <c r="AK134" s="70">
        <f t="shared" si="448"/>
        <v>45657</v>
      </c>
      <c r="AL134" s="70">
        <f t="shared" si="448"/>
        <v>45747</v>
      </c>
      <c r="AM134" s="70">
        <f t="shared" si="448"/>
        <v>45838</v>
      </c>
      <c r="AN134" s="70">
        <f t="shared" si="448"/>
        <v>45930</v>
      </c>
      <c r="AO134" s="70">
        <f t="shared" ref="AO134:AP134" si="449">AO3</f>
        <v>46022</v>
      </c>
      <c r="AP134" s="70">
        <f t="shared" si="449"/>
        <v>46112</v>
      </c>
    </row>
    <row r="135" spans="2:42" ht="13.5" customHeight="1">
      <c r="B135" s="39"/>
    </row>
    <row r="136" spans="2:42" ht="13.5" customHeight="1">
      <c r="B136" s="10" t="s">
        <v>245</v>
      </c>
      <c r="C136" s="173">
        <f t="shared" ref="C136:H136" si="450">(C128-C121)/C98</f>
        <v>5.3396535047379423</v>
      </c>
      <c r="D136" s="173">
        <f t="shared" si="450"/>
        <v>5.6308087493940571</v>
      </c>
      <c r="E136" s="173">
        <f t="shared" si="450"/>
        <v>5.2672787450885572</v>
      </c>
      <c r="F136" s="173">
        <f t="shared" si="450"/>
        <v>5.6992121450504234</v>
      </c>
      <c r="G136" s="173">
        <f t="shared" si="450"/>
        <v>3.5395953019625224</v>
      </c>
      <c r="H136" s="173">
        <f t="shared" si="450"/>
        <v>5.2650984212346064</v>
      </c>
      <c r="I136" s="173">
        <f t="shared" ref="I136:J136" si="451">(I128-I121)/I98</f>
        <v>2.3782274378531048</v>
      </c>
      <c r="J136" s="173">
        <f t="shared" si="451"/>
        <v>3.2432963796477488</v>
      </c>
      <c r="K136" s="173">
        <f>(K128-K121)/K98</f>
        <v>4.0601475984422333</v>
      </c>
      <c r="L136" s="173">
        <f>(L128-L121)/L98</f>
        <v>4.0748224620087861</v>
      </c>
      <c r="M136" s="173"/>
      <c r="N136" s="174"/>
      <c r="O136" s="174"/>
      <c r="P136" s="174"/>
      <c r="Q136" s="173">
        <f t="shared" ref="Q136:AD136" si="452">(Q128-Q121)/Q98</f>
        <v>5.2685808711610349</v>
      </c>
      <c r="R136" s="173">
        <f t="shared" si="452"/>
        <v>5.5643870486049165</v>
      </c>
      <c r="S136" s="173">
        <f t="shared" si="452"/>
        <v>5.6955946033605196</v>
      </c>
      <c r="T136" s="173">
        <f t="shared" si="452"/>
        <v>5.6697894771356596</v>
      </c>
      <c r="U136" s="173">
        <f t="shared" si="452"/>
        <v>5.6992121450504234</v>
      </c>
      <c r="V136" s="173">
        <f t="shared" si="452"/>
        <v>5.7790174847232905</v>
      </c>
      <c r="W136" s="173">
        <f t="shared" si="452"/>
        <v>4.1243408218537869</v>
      </c>
      <c r="X136" s="173">
        <f t="shared" si="452"/>
        <v>4.2001290928917356</v>
      </c>
      <c r="Y136" s="173">
        <f t="shared" si="452"/>
        <v>3.5397097477098667</v>
      </c>
      <c r="Z136" s="173">
        <f t="shared" si="452"/>
        <v>4.2870778598825039</v>
      </c>
      <c r="AA136" s="173">
        <f t="shared" si="452"/>
        <v>4.5159706030679567</v>
      </c>
      <c r="AB136" s="173">
        <f t="shared" si="452"/>
        <v>4.5639099628985598</v>
      </c>
      <c r="AC136" s="173">
        <f t="shared" si="452"/>
        <v>5.2662830248007308</v>
      </c>
      <c r="AD136" s="173">
        <f t="shared" si="452"/>
        <v>5.3011227300743595</v>
      </c>
      <c r="AE136" s="173">
        <f t="shared" ref="AE136:AG136" si="453">(AE128-AE121)/AE98</f>
        <v>5.3802148627421502</v>
      </c>
      <c r="AF136" s="173">
        <f t="shared" si="453"/>
        <v>3.0656826289131089</v>
      </c>
      <c r="AG136" s="173">
        <f t="shared" si="453"/>
        <v>2.3782274378531043</v>
      </c>
      <c r="AH136" s="173">
        <f>(AH128-AH121)/AH98</f>
        <v>2.5692625871755612</v>
      </c>
      <c r="AI136" s="173">
        <f>(AI128-AI121)/AI98</f>
        <v>2.8195570092545275</v>
      </c>
      <c r="AJ136" s="173">
        <f>(AJ128-AJ121)/AJ98</f>
        <v>2.8671885859068902</v>
      </c>
      <c r="AK136" s="173">
        <f t="shared" ref="AK136" si="454">(AK128-AK121)/AK98</f>
        <v>3.2412525035399518</v>
      </c>
      <c r="AL136" s="173">
        <f>(AL128-AL121)/AL98</f>
        <v>3.5969528611589472</v>
      </c>
      <c r="AM136" s="173">
        <f>(AM128-AM121)/AM98</f>
        <v>3.9090763994019624</v>
      </c>
      <c r="AN136" s="173">
        <f>(AN128-AN121)/AN98</f>
        <v>3.8831036853864016</v>
      </c>
      <c r="AO136" s="173">
        <f t="shared" ref="AO136" si="455">(AO128-AO121)/AO98</f>
        <v>4.0601475984422333</v>
      </c>
      <c r="AP136" s="173">
        <f>(AP128-AP121)/AP98</f>
        <v>4.0748224620087861</v>
      </c>
    </row>
    <row r="137" spans="2:42" ht="13.5" customHeight="1">
      <c r="B137" s="15" t="s">
        <v>246</v>
      </c>
      <c r="C137" s="77">
        <f t="shared" ref="C137:H137" si="456">(C126-C121)/C98</f>
        <v>6.3293161397578803</v>
      </c>
      <c r="D137" s="77">
        <f t="shared" si="456"/>
        <v>6.2023271628488779</v>
      </c>
      <c r="E137" s="77">
        <f t="shared" si="456"/>
        <v>5.8856758930713173</v>
      </c>
      <c r="F137" s="77">
        <f t="shared" si="456"/>
        <v>6.6544084422067273</v>
      </c>
      <c r="G137" s="77">
        <f t="shared" si="456"/>
        <v>6.8738230129025926</v>
      </c>
      <c r="H137" s="77">
        <f t="shared" si="456"/>
        <v>6.1908844604865347</v>
      </c>
      <c r="I137" s="77">
        <f t="shared" ref="I137:J137" si="457">(I126-I121)/I98</f>
        <v>5.2570383079871625</v>
      </c>
      <c r="J137" s="77">
        <f t="shared" si="457"/>
        <v>4.1440835322896277</v>
      </c>
      <c r="K137" s="77">
        <f t="shared" ref="K137" si="458">(K126-K121)/K98</f>
        <v>5.5179636218087413</v>
      </c>
      <c r="L137" s="77">
        <f t="shared" ref="L137" si="459">(L126-L121)/L98</f>
        <v>4.9412151048345141</v>
      </c>
      <c r="M137" s="77"/>
      <c r="N137" s="76"/>
      <c r="O137" s="76"/>
      <c r="P137" s="76"/>
      <c r="Q137" s="77">
        <f t="shared" ref="Q137:AD137" si="460">(Q126-Q121)/Q98</f>
        <v>5.88713089334858</v>
      </c>
      <c r="R137" s="77">
        <f t="shared" si="460"/>
        <v>6.5690128672807706</v>
      </c>
      <c r="S137" s="77">
        <f t="shared" si="460"/>
        <v>6.8744864297134285</v>
      </c>
      <c r="T137" s="77">
        <f t="shared" si="460"/>
        <v>6.7712989966325594</v>
      </c>
      <c r="U137" s="77">
        <f t="shared" si="460"/>
        <v>6.6544084422067273</v>
      </c>
      <c r="V137" s="77">
        <f t="shared" si="460"/>
        <v>6.5523751327714068</v>
      </c>
      <c r="W137" s="77">
        <f t="shared" si="460"/>
        <v>7.1237441144124283</v>
      </c>
      <c r="X137" s="77">
        <f t="shared" si="460"/>
        <v>7.0003063981857405</v>
      </c>
      <c r="Y137" s="77">
        <f t="shared" si="460"/>
        <v>6.8740452642462397</v>
      </c>
      <c r="Z137" s="77">
        <f t="shared" si="460"/>
        <v>6.7730140130038068</v>
      </c>
      <c r="AA137" s="77">
        <f t="shared" si="460"/>
        <v>6.639936256762863</v>
      </c>
      <c r="AB137" s="77">
        <f t="shared" si="460"/>
        <v>6.4336016585975981</v>
      </c>
      <c r="AC137" s="77">
        <f t="shared" si="460"/>
        <v>6.1922773582488588</v>
      </c>
      <c r="AD137" s="77">
        <f t="shared" si="460"/>
        <v>5.9272859044373876</v>
      </c>
      <c r="AE137" s="77">
        <f t="shared" ref="AE137:AG137" si="461">(AE126-AE121)/AE98</f>
        <v>5.6909865333371306</v>
      </c>
      <c r="AF137" s="77">
        <f t="shared" si="461"/>
        <v>5.4723210174581549</v>
      </c>
      <c r="AG137" s="77">
        <f t="shared" si="461"/>
        <v>5.2570383079871617</v>
      </c>
      <c r="AH137" s="77">
        <f>(AH126-AH121)/AH98</f>
        <v>5.0055625706761466</v>
      </c>
      <c r="AI137" s="77">
        <f>(AI126-AI121)/AI98</f>
        <v>4.7998851420481898</v>
      </c>
      <c r="AJ137" s="77">
        <f>(AJ126-AJ121)/AJ98</f>
        <v>4.29002679583368</v>
      </c>
      <c r="AK137" s="77">
        <f t="shared" ref="AK137" si="462">(AK126-AK121)/AK98</f>
        <v>4.1414719938025764</v>
      </c>
      <c r="AL137" s="77">
        <f>(AL126-AL121)/AL98</f>
        <v>3.8296635356917954</v>
      </c>
      <c r="AM137" s="77">
        <f>(AM126-AM121)/AM98</f>
        <v>4.2142389727269238</v>
      </c>
      <c r="AN137" s="77">
        <f>(AN126-AN121)/AN98</f>
        <v>6.5393812305418537</v>
      </c>
      <c r="AO137" s="77">
        <f t="shared" ref="AO137" si="463">(AO126-AO121)/AO98</f>
        <v>5.5179636218087413</v>
      </c>
      <c r="AP137" s="77">
        <f>(AP126-AP121)/AP98</f>
        <v>4.9412151048345141</v>
      </c>
    </row>
    <row r="138" spans="2:42" ht="13.5" customHeight="1">
      <c r="B138" s="10"/>
      <c r="N138" s="76"/>
      <c r="O138" s="76"/>
      <c r="P138" s="76"/>
    </row>
    <row r="139" spans="2:42" s="39" customFormat="1" ht="13.5" customHeight="1">
      <c r="B139" s="10" t="s">
        <v>247</v>
      </c>
      <c r="C139" s="173">
        <f t="shared" ref="C139:H139" si="464">+C128/C98</f>
        <v>5.3396535047379423</v>
      </c>
      <c r="D139" s="173">
        <f t="shared" si="464"/>
        <v>5.6308087493940571</v>
      </c>
      <c r="E139" s="173">
        <f t="shared" si="464"/>
        <v>5.2768701645393996</v>
      </c>
      <c r="F139" s="173">
        <f t="shared" si="464"/>
        <v>5.7050069709310343</v>
      </c>
      <c r="G139" s="173">
        <f t="shared" si="464"/>
        <v>3.5497596051539686</v>
      </c>
      <c r="H139" s="173">
        <f t="shared" si="464"/>
        <v>5.2751045649499888</v>
      </c>
      <c r="I139" s="173">
        <f t="shared" ref="I139:J139" si="465">+I128/I98</f>
        <v>2.3833837468507797</v>
      </c>
      <c r="J139" s="173">
        <f t="shared" si="465"/>
        <v>3.2460268884540109</v>
      </c>
      <c r="K139" s="173">
        <f t="shared" ref="K139" si="466">+K128/K98</f>
        <v>4.0664481003894428</v>
      </c>
      <c r="L139" s="173">
        <f t="shared" ref="L139" si="467">+L128/L98</f>
        <v>4.0806361386716512</v>
      </c>
      <c r="M139" s="173"/>
      <c r="N139" s="174"/>
      <c r="O139" s="174"/>
      <c r="P139" s="174"/>
      <c r="Q139" s="173">
        <f t="shared" ref="Q139:AD139" si="468">+Q128/Q98</f>
        <v>5.2781746617104934</v>
      </c>
      <c r="R139" s="173">
        <f t="shared" si="468"/>
        <v>5.5730696227814693</v>
      </c>
      <c r="S139" s="173">
        <f t="shared" si="468"/>
        <v>5.7033727199543378</v>
      </c>
      <c r="T139" s="173">
        <f t="shared" si="468"/>
        <v>5.6765807230109138</v>
      </c>
      <c r="U139" s="173">
        <f t="shared" si="468"/>
        <v>5.7050069709310343</v>
      </c>
      <c r="V139" s="173">
        <f t="shared" si="468"/>
        <v>5.7838822690180116</v>
      </c>
      <c r="W139" s="173">
        <f t="shared" si="468"/>
        <v>4.1282509552781379</v>
      </c>
      <c r="X139" s="173">
        <f t="shared" si="468"/>
        <v>4.2031214447230782</v>
      </c>
      <c r="Y139" s="173">
        <f t="shared" si="468"/>
        <v>3.5498743795437639</v>
      </c>
      <c r="Z139" s="173">
        <f t="shared" si="468"/>
        <v>4.2961877988182691</v>
      </c>
      <c r="AA139" s="173">
        <f t="shared" si="468"/>
        <v>4.5239986423021339</v>
      </c>
      <c r="AB139" s="173">
        <f t="shared" si="468"/>
        <v>4.5709093800236147</v>
      </c>
      <c r="AC139" s="173">
        <f t="shared" si="468"/>
        <v>5.276291419815629</v>
      </c>
      <c r="AD139" s="173">
        <f t="shared" si="468"/>
        <v>5.3097466328569656</v>
      </c>
      <c r="AE139" s="173">
        <f t="shared" ref="AE139:AG139" si="469">+AE128/AE98</f>
        <v>5.3875773149039263</v>
      </c>
      <c r="AF139" s="173">
        <f t="shared" si="469"/>
        <v>3.0718691728332512</v>
      </c>
      <c r="AG139" s="173">
        <f t="shared" si="469"/>
        <v>2.3833837468507793</v>
      </c>
      <c r="AH139" s="173">
        <f>+AH128/AH98</f>
        <v>2.573345717446649</v>
      </c>
      <c r="AI139" s="173">
        <f t="shared" ref="AI139:AK139" si="470">+AI128/AI98</f>
        <v>2.8234757414535649</v>
      </c>
      <c r="AJ139" s="173">
        <f t="shared" si="470"/>
        <v>2.8694207708924089</v>
      </c>
      <c r="AK139" s="173">
        <f t="shared" si="470"/>
        <v>3.2439812916210449</v>
      </c>
      <c r="AL139" s="173">
        <f>+AL128/AL98</f>
        <v>3.5987650474639321</v>
      </c>
      <c r="AM139" s="173">
        <f t="shared" ref="AM139:AO139" si="471">+AM128/AM98</f>
        <v>3.9109485624284956</v>
      </c>
      <c r="AN139" s="173">
        <f t="shared" si="471"/>
        <v>3.8899225617719506</v>
      </c>
      <c r="AO139" s="173">
        <f t="shared" si="471"/>
        <v>4.0664481003894428</v>
      </c>
      <c r="AP139" s="173">
        <f>+AP128/AP98</f>
        <v>4.0806361386716512</v>
      </c>
    </row>
    <row r="140" spans="2:42" ht="13.5" customHeight="1">
      <c r="B140" s="15" t="s">
        <v>248</v>
      </c>
      <c r="C140" s="77">
        <f t="shared" ref="C140:H140" si="472">+C126/C98</f>
        <v>6.3293161397578803</v>
      </c>
      <c r="D140" s="77">
        <f t="shared" si="472"/>
        <v>6.2023271628488779</v>
      </c>
      <c r="E140" s="77">
        <f t="shared" si="472"/>
        <v>5.8952673125221606</v>
      </c>
      <c r="F140" s="77">
        <f t="shared" si="472"/>
        <v>6.6602032680873382</v>
      </c>
      <c r="G140" s="77">
        <f t="shared" si="472"/>
        <v>6.8839873160940392</v>
      </c>
      <c r="H140" s="77">
        <f t="shared" si="472"/>
        <v>6.2008906042019163</v>
      </c>
      <c r="I140" s="77">
        <f t="shared" ref="I140:J140" si="473">+I126/I98</f>
        <v>5.2621946169848375</v>
      </c>
      <c r="J140" s="77">
        <f t="shared" si="473"/>
        <v>4.1468140410958894</v>
      </c>
      <c r="K140" s="77">
        <f t="shared" ref="K140" si="474">+K126/K98</f>
        <v>5.52426412375595</v>
      </c>
      <c r="L140" s="77">
        <f t="shared" ref="L140" si="475">+L126/L98</f>
        <v>4.9470287814973792</v>
      </c>
      <c r="M140" s="77"/>
      <c r="N140" s="76"/>
      <c r="O140" s="76"/>
      <c r="P140" s="76"/>
      <c r="Q140" s="77">
        <f t="shared" ref="Q140:AD140" si="476">+Q126/Q98</f>
        <v>5.8967246838980385</v>
      </c>
      <c r="R140" s="77">
        <f t="shared" si="476"/>
        <v>6.5776954414573234</v>
      </c>
      <c r="S140" s="77">
        <f t="shared" si="476"/>
        <v>6.8822645463072467</v>
      </c>
      <c r="T140" s="77">
        <f t="shared" si="476"/>
        <v>6.7780902425078136</v>
      </c>
      <c r="U140" s="77">
        <f t="shared" si="476"/>
        <v>6.6602032680873382</v>
      </c>
      <c r="V140" s="77">
        <f t="shared" si="476"/>
        <v>6.557239917066128</v>
      </c>
      <c r="W140" s="77">
        <f t="shared" si="476"/>
        <v>7.1276542478367793</v>
      </c>
      <c r="X140" s="77">
        <f t="shared" si="476"/>
        <v>7.0032987500170831</v>
      </c>
      <c r="Y140" s="77">
        <f t="shared" si="476"/>
        <v>6.8842098960801366</v>
      </c>
      <c r="Z140" s="77">
        <f t="shared" si="476"/>
        <v>6.782123951939572</v>
      </c>
      <c r="AA140" s="77">
        <f t="shared" si="476"/>
        <v>6.6479642959970402</v>
      </c>
      <c r="AB140" s="77">
        <f t="shared" si="476"/>
        <v>6.4406010757226531</v>
      </c>
      <c r="AC140" s="77">
        <f t="shared" si="476"/>
        <v>6.202285753263757</v>
      </c>
      <c r="AD140" s="77">
        <f t="shared" si="476"/>
        <v>5.9359098072199936</v>
      </c>
      <c r="AE140" s="77">
        <f t="shared" ref="AE140:AG140" si="477">+AE126/AE98</f>
        <v>5.6983489854989067</v>
      </c>
      <c r="AF140" s="77">
        <f t="shared" si="477"/>
        <v>5.4785075613782972</v>
      </c>
      <c r="AG140" s="77">
        <f t="shared" si="477"/>
        <v>5.2621946169848366</v>
      </c>
      <c r="AH140" s="77">
        <f>+AH126/AH98</f>
        <v>5.0096457009472344</v>
      </c>
      <c r="AI140" s="77">
        <f>+AI126/AI98</f>
        <v>4.8038038742472278</v>
      </c>
      <c r="AJ140" s="77">
        <f>+AJ126/AJ98</f>
        <v>4.2922589808191987</v>
      </c>
      <c r="AK140" s="77">
        <f t="shared" ref="AK140" si="478">+AK126/AK98</f>
        <v>4.1442007818836704</v>
      </c>
      <c r="AL140" s="77">
        <f>+AL126/AL98</f>
        <v>3.8314757219967803</v>
      </c>
      <c r="AM140" s="77">
        <f>+AM126/AM98</f>
        <v>4.216111135753458</v>
      </c>
      <c r="AN140" s="77">
        <f>+AN126/AN98</f>
        <v>6.5462001069274027</v>
      </c>
      <c r="AO140" s="77">
        <f t="shared" ref="AO140" si="479">+AO126/AO98</f>
        <v>5.52426412375595</v>
      </c>
      <c r="AP140" s="77">
        <f>+AP126/AP98</f>
        <v>4.9470287814973792</v>
      </c>
    </row>
    <row r="141" spans="2:42" ht="13.5" customHeight="1">
      <c r="C141" s="77"/>
      <c r="D141" s="77"/>
      <c r="E141" s="77"/>
      <c r="F141" s="77"/>
      <c r="G141" s="77"/>
      <c r="H141" s="77"/>
      <c r="I141" s="77"/>
      <c r="J141" s="77"/>
      <c r="K141" s="77"/>
      <c r="L141" s="77"/>
      <c r="M141" s="77"/>
      <c r="N141" s="76"/>
      <c r="O141" s="76"/>
      <c r="P141" s="76"/>
      <c r="Q141" s="77"/>
      <c r="R141" s="77"/>
      <c r="S141" s="77"/>
      <c r="T141" s="77"/>
      <c r="U141" s="77"/>
      <c r="V141" s="77"/>
      <c r="W141" s="77"/>
      <c r="X141" s="77"/>
      <c r="Y141" s="77"/>
      <c r="Z141" s="77"/>
      <c r="AA141" s="77"/>
      <c r="AB141" s="77"/>
      <c r="AC141" s="77"/>
      <c r="AD141" s="77"/>
      <c r="AE141" s="77"/>
      <c r="AF141" s="77"/>
      <c r="AG141" s="77"/>
      <c r="AH141" s="77"/>
      <c r="AI141" s="77"/>
      <c r="AJ141" s="77"/>
      <c r="AK141" s="77"/>
      <c r="AL141" s="77"/>
      <c r="AM141" s="77"/>
      <c r="AN141" s="77"/>
      <c r="AO141" s="77"/>
      <c r="AP141" s="77"/>
    </row>
    <row r="142" spans="2:42" ht="13.5" customHeight="1">
      <c r="B142" s="39" t="s">
        <v>249</v>
      </c>
      <c r="C142" s="173">
        <f t="shared" ref="C142:H142" si="480">C130/C98</f>
        <v>5.3396535047379423</v>
      </c>
      <c r="D142" s="173">
        <f t="shared" si="480"/>
        <v>5.6308087493940571</v>
      </c>
      <c r="E142" s="173">
        <f t="shared" si="480"/>
        <v>5.2768701645393996</v>
      </c>
      <c r="F142" s="173">
        <f t="shared" si="480"/>
        <v>5.7050069709310343</v>
      </c>
      <c r="G142" s="173">
        <f t="shared" si="480"/>
        <v>3.5497596051539686</v>
      </c>
      <c r="H142" s="173">
        <f t="shared" si="480"/>
        <v>5.2751045649499888</v>
      </c>
      <c r="I142" s="173">
        <f>I130/I98</f>
        <v>2.3833837468507797</v>
      </c>
      <c r="J142" s="173">
        <f t="shared" ref="J142:K142" si="481">J130/J98</f>
        <v>3.2460268884540109</v>
      </c>
      <c r="K142" s="173">
        <f t="shared" si="481"/>
        <v>4.0664481003894428</v>
      </c>
      <c r="L142" s="173">
        <f t="shared" ref="L142" si="482">L130/L98</f>
        <v>4.0806361386716512</v>
      </c>
      <c r="M142" s="173"/>
      <c r="N142" s="174"/>
      <c r="O142" s="174"/>
      <c r="P142" s="174"/>
      <c r="Q142" s="173">
        <f>E142</f>
        <v>5.2768701645393996</v>
      </c>
      <c r="R142" s="173">
        <f>R130/R98</f>
        <v>5.5730696227814693</v>
      </c>
      <c r="S142" s="173">
        <f>S130/S98</f>
        <v>5.7033727199543378</v>
      </c>
      <c r="T142" s="173">
        <f>T130/T98</f>
        <v>5.6765807230109138</v>
      </c>
      <c r="U142" s="173">
        <f>F142</f>
        <v>5.7050069709310343</v>
      </c>
      <c r="V142" s="173">
        <f>V130/V98</f>
        <v>5.7838822690180116</v>
      </c>
      <c r="W142" s="173">
        <f>W130/W98</f>
        <v>4.1282509552781379</v>
      </c>
      <c r="X142" s="173">
        <f>X130/X98</f>
        <v>4.2031214447230782</v>
      </c>
      <c r="Y142" s="173">
        <f>G142</f>
        <v>3.5497596051539686</v>
      </c>
      <c r="Z142" s="173">
        <f>Z130/Z98</f>
        <v>4.2961877988182691</v>
      </c>
      <c r="AA142" s="173">
        <f>AA130/AA98</f>
        <v>4.5239986423021339</v>
      </c>
      <c r="AB142" s="173">
        <f>AB130/AB98</f>
        <v>4.5709093800236147</v>
      </c>
      <c r="AC142" s="173">
        <f>H142</f>
        <v>5.2751045649499888</v>
      </c>
      <c r="AD142" s="173">
        <f t="shared" ref="AD142:AK142" si="483">AD130/AD98</f>
        <v>5.3097466328569656</v>
      </c>
      <c r="AE142" s="173">
        <f t="shared" si="483"/>
        <v>5.3875773149039263</v>
      </c>
      <c r="AF142" s="173">
        <f t="shared" si="483"/>
        <v>3.0718691728332512</v>
      </c>
      <c r="AG142" s="173">
        <f t="shared" si="483"/>
        <v>2.3833837468507793</v>
      </c>
      <c r="AH142" s="173">
        <f t="shared" si="483"/>
        <v>2.573345717446649</v>
      </c>
      <c r="AI142" s="173">
        <f t="shared" si="483"/>
        <v>2.8234757414535649</v>
      </c>
      <c r="AJ142" s="173">
        <f t="shared" si="483"/>
        <v>2.8694207708924089</v>
      </c>
      <c r="AK142" s="173">
        <f t="shared" si="483"/>
        <v>3.2439812916210449</v>
      </c>
      <c r="AL142" s="173">
        <f t="shared" ref="AL142:AO142" si="484">AL130/AL98</f>
        <v>3.5987650474639321</v>
      </c>
      <c r="AM142" s="173">
        <f t="shared" si="484"/>
        <v>3.9109485624284956</v>
      </c>
      <c r="AN142" s="173">
        <f t="shared" si="484"/>
        <v>3.8899225617719506</v>
      </c>
      <c r="AO142" s="173">
        <f t="shared" si="484"/>
        <v>4.0664481003894428</v>
      </c>
      <c r="AP142" s="173">
        <f t="shared" ref="AP142" si="485">AP130/AP98</f>
        <v>4.0806361386716512</v>
      </c>
    </row>
    <row r="143" spans="2:42" ht="13.5" customHeight="1">
      <c r="C143" s="77"/>
      <c r="D143" s="77"/>
      <c r="E143" s="77"/>
      <c r="F143" s="77"/>
      <c r="G143" s="77"/>
      <c r="H143" s="77"/>
      <c r="I143" s="77"/>
      <c r="J143" s="77"/>
      <c r="K143" s="77"/>
      <c r="L143" s="77"/>
      <c r="M143" s="77"/>
      <c r="N143" s="76"/>
      <c r="O143" s="76"/>
      <c r="P143" s="76"/>
      <c r="Q143" s="77"/>
      <c r="R143" s="77"/>
      <c r="S143" s="77"/>
      <c r="T143" s="77"/>
      <c r="U143" s="77"/>
      <c r="V143" s="77"/>
      <c r="W143" s="77"/>
      <c r="X143" s="77"/>
      <c r="Y143" s="77"/>
      <c r="Z143" s="77"/>
      <c r="AA143" s="77"/>
      <c r="AB143" s="77"/>
      <c r="AC143" s="77"/>
      <c r="AD143" s="77"/>
      <c r="AE143" s="77"/>
      <c r="AF143" s="77"/>
      <c r="AG143" s="77"/>
      <c r="AH143" s="77"/>
      <c r="AI143" s="77"/>
      <c r="AJ143" s="77"/>
      <c r="AK143" s="77"/>
      <c r="AL143" s="77"/>
      <c r="AM143" s="77"/>
      <c r="AN143" s="77"/>
      <c r="AO143" s="77"/>
      <c r="AP143" s="77"/>
    </row>
    <row r="144" spans="2:42" s="39" customFormat="1" ht="13.5" customHeight="1">
      <c r="B144" s="39" t="s">
        <v>250</v>
      </c>
      <c r="C144" s="173">
        <f t="shared" ref="C144:H144" si="486">+(C98-C101)/C99</f>
        <v>-6.5705521048148947</v>
      </c>
      <c r="D144" s="173">
        <f t="shared" si="486"/>
        <v>-0.81345143746067861</v>
      </c>
      <c r="E144" s="173">
        <f t="shared" si="486"/>
        <v>3.1771761900071098</v>
      </c>
      <c r="F144" s="173">
        <f t="shared" si="486"/>
        <v>1.3912882575872845</v>
      </c>
      <c r="G144" s="173">
        <f t="shared" si="486"/>
        <v>3.4123669172745692</v>
      </c>
      <c r="H144" s="173">
        <f t="shared" si="486"/>
        <v>-2.4943163210900274</v>
      </c>
      <c r="I144" s="173">
        <f t="shared" ref="I144:J144" si="487">+(I98-I101)/I99</f>
        <v>-1.0877140757288422</v>
      </c>
      <c r="J144" s="173">
        <f t="shared" si="487"/>
        <v>-0.52901868502705429</v>
      </c>
      <c r="K144" s="173">
        <f t="shared" ref="K144" si="488">+(K98-K101)/K99</f>
        <v>-2.204932529018178</v>
      </c>
      <c r="L144" s="173">
        <f t="shared" ref="L144" si="489">+(L98-L101)/L99</f>
        <v>-0.92549931848468492</v>
      </c>
      <c r="M144" s="173"/>
      <c r="N144" s="174"/>
      <c r="O144" s="174"/>
      <c r="P144" s="174"/>
      <c r="Q144" s="173">
        <f t="shared" ref="Q144:AD144" si="490">+(Q98-Q101)/Q99</f>
        <v>3.1763991173594435</v>
      </c>
      <c r="R144" s="173">
        <f t="shared" si="490"/>
        <v>3.4687001064764575</v>
      </c>
      <c r="S144" s="173">
        <f t="shared" si="490"/>
        <v>0.49535264221029762</v>
      </c>
      <c r="T144" s="173">
        <f t="shared" si="490"/>
        <v>1.253775409594277</v>
      </c>
      <c r="U144" s="173">
        <f t="shared" si="490"/>
        <v>1.3912882575872845</v>
      </c>
      <c r="V144" s="173">
        <f t="shared" si="490"/>
        <v>1.219814442691699</v>
      </c>
      <c r="W144" s="173">
        <f t="shared" si="490"/>
        <v>1.4164109129597204</v>
      </c>
      <c r="X144" s="173">
        <f t="shared" si="490"/>
        <v>1.1656677968468609</v>
      </c>
      <c r="Y144" s="173">
        <f t="shared" si="490"/>
        <v>3.4122681857043027</v>
      </c>
      <c r="Z144" s="173">
        <f t="shared" si="490"/>
        <v>2.1963574623416875</v>
      </c>
      <c r="AA144" s="173">
        <f t="shared" si="490"/>
        <v>2.1440822930107779</v>
      </c>
      <c r="AB144" s="173">
        <f t="shared" si="490"/>
        <v>1.2573069769300083</v>
      </c>
      <c r="AC144" s="173">
        <f t="shared" si="490"/>
        <v>-2.495070239586374</v>
      </c>
      <c r="AD144" s="173">
        <f t="shared" si="490"/>
        <v>-1.776075641098888</v>
      </c>
      <c r="AE144" s="173">
        <f t="shared" ref="AE144:AH144" si="491">+(AE98-AE101)/AE99</f>
        <v>-2.0596078016547907</v>
      </c>
      <c r="AF144" s="173">
        <f t="shared" si="491"/>
        <v>-2.6461995196692594</v>
      </c>
      <c r="AG144" s="173">
        <f t="shared" si="491"/>
        <v>-1.0877140757288415</v>
      </c>
      <c r="AH144" s="173">
        <f t="shared" si="491"/>
        <v>-0.75977856426530099</v>
      </c>
      <c r="AI144" s="173">
        <f>+(AI98-AI101)/AI99</f>
        <v>-1.0480645136292213</v>
      </c>
      <c r="AJ144" s="173">
        <f>+(AJ98-AJ101)/AJ99</f>
        <v>-3.2464256825344318E-2</v>
      </c>
      <c r="AK144" s="173">
        <f t="shared" ref="AK144:AL144" si="492">+(AK98-AK101)/AK99</f>
        <v>-0.52595624708495714</v>
      </c>
      <c r="AL144" s="173">
        <f t="shared" si="492"/>
        <v>-0.67981987148540368</v>
      </c>
      <c r="AM144" s="173">
        <f>+(AM98-AM101)/AM99</f>
        <v>-1.9421200481438554</v>
      </c>
      <c r="AN144" s="173">
        <f>+(AN98-AN101)/AN99</f>
        <v>-1.3115017652918006</v>
      </c>
      <c r="AO144" s="173">
        <f t="shared" ref="AO144:AP144" si="493">+(AO98-AO101)/AO99</f>
        <v>-2.204932529018178</v>
      </c>
      <c r="AP144" s="173">
        <f t="shared" si="493"/>
        <v>-0.92549931848468492</v>
      </c>
    </row>
    <row r="145" spans="2:42" ht="13.5" customHeight="1">
      <c r="B145" s="35" t="s">
        <v>251</v>
      </c>
      <c r="C145" s="77">
        <f t="shared" ref="C145:H145" si="494">+(C98)/C99</f>
        <v>5.7805967441358712</v>
      </c>
      <c r="D145" s="77">
        <f t="shared" si="494"/>
        <v>3.4944186589010857</v>
      </c>
      <c r="E145" s="77">
        <f t="shared" si="494"/>
        <v>3.1441426245354109</v>
      </c>
      <c r="F145" s="77">
        <f t="shared" si="494"/>
        <v>3.322102752205474</v>
      </c>
      <c r="G145" s="77">
        <f t="shared" si="494"/>
        <v>3.0536835993370803</v>
      </c>
      <c r="H145" s="77">
        <f t="shared" si="494"/>
        <v>3.3516260569609964</v>
      </c>
      <c r="I145" s="77">
        <f t="shared" ref="I145:J145" si="495">+(I98)/I99</f>
        <v>3.8656636899949448</v>
      </c>
      <c r="J145" s="77">
        <f t="shared" si="495"/>
        <v>4.8565246244093583</v>
      </c>
      <c r="K145" s="77">
        <f t="shared" ref="K145" si="496">+(K98)/K99</f>
        <v>5.0365954097023007</v>
      </c>
      <c r="L145" s="77">
        <f t="shared" ref="L145" si="497">+(L98)/L99</f>
        <v>4.307786655335387</v>
      </c>
      <c r="M145" s="77"/>
      <c r="N145" s="76"/>
      <c r="O145" s="76"/>
      <c r="P145" s="76"/>
      <c r="Q145" s="77">
        <f t="shared" ref="Q145:AD145" si="498">+(Q98)/Q99</f>
        <v>3.1433655518877446</v>
      </c>
      <c r="R145" s="77">
        <f t="shared" si="498"/>
        <v>3.2114064533587796</v>
      </c>
      <c r="S145" s="77">
        <f t="shared" si="498"/>
        <v>3.248956756586221</v>
      </c>
      <c r="T145" s="77">
        <f t="shared" si="498"/>
        <v>3.6375928877365968</v>
      </c>
      <c r="U145" s="77">
        <f t="shared" si="498"/>
        <v>3.322102752205474</v>
      </c>
      <c r="V145" s="77">
        <f t="shared" si="498"/>
        <v>3.2086061211621071</v>
      </c>
      <c r="W145" s="77">
        <f t="shared" si="498"/>
        <v>3.141675183008235</v>
      </c>
      <c r="X145" s="77">
        <f t="shared" si="498"/>
        <v>3.3961281412832793</v>
      </c>
      <c r="Y145" s="77">
        <f t="shared" si="498"/>
        <v>3.0535848677668138</v>
      </c>
      <c r="Z145" s="77">
        <f t="shared" si="498"/>
        <v>3.3178071953061092</v>
      </c>
      <c r="AA145" s="77">
        <f t="shared" si="498"/>
        <v>3.1856134261337883</v>
      </c>
      <c r="AB145" s="77">
        <f t="shared" si="498"/>
        <v>3.2958736537155415</v>
      </c>
      <c r="AC145" s="77">
        <f t="shared" si="498"/>
        <v>3.3508721384646503</v>
      </c>
      <c r="AD145" s="77">
        <f t="shared" si="498"/>
        <v>3.5266596816316089</v>
      </c>
      <c r="AE145" s="77">
        <f t="shared" ref="AE145:AG145" si="499">+(AE98)/AE99</f>
        <v>3.5731985647594797</v>
      </c>
      <c r="AF145" s="77">
        <f t="shared" si="499"/>
        <v>3.7396804993361799</v>
      </c>
      <c r="AG145" s="77">
        <f t="shared" si="499"/>
        <v>3.8656636899949453</v>
      </c>
      <c r="AH145" s="77">
        <f>+(AH98)/AH99</f>
        <v>4.1178085850866077</v>
      </c>
      <c r="AI145" s="77">
        <f>+(AI98)/AI99</f>
        <v>4.4698365366980504</v>
      </c>
      <c r="AJ145" s="77">
        <f>+(AJ98)/AJ99</f>
        <v>4.6204280972588325</v>
      </c>
      <c r="AK145" s="77">
        <f t="shared" ref="AK145" si="500">+(AK98)/AK99</f>
        <v>4.8595870623514559</v>
      </c>
      <c r="AL145" s="77">
        <f>+(AL98)/AL99</f>
        <v>4.9422863128957486</v>
      </c>
      <c r="AM145" s="77">
        <f>+(AM98)/AM99</f>
        <v>5.0464365748554592</v>
      </c>
      <c r="AN145" s="77">
        <f>+(AN98)/AN99</f>
        <v>5.230066614650962</v>
      </c>
      <c r="AO145" s="77">
        <f t="shared" ref="AO145" si="501">+(AO98)/AO99</f>
        <v>5.0365954097023007</v>
      </c>
      <c r="AP145" s="77">
        <f>+(AP98)/AP99</f>
        <v>4.307786655335387</v>
      </c>
    </row>
    <row r="146" spans="2:42" ht="13.5" customHeight="1">
      <c r="C146" s="75"/>
      <c r="D146" s="75"/>
      <c r="E146" s="75"/>
      <c r="F146" s="75"/>
      <c r="G146" s="75"/>
      <c r="H146" s="75"/>
      <c r="I146" s="75"/>
      <c r="J146" s="75"/>
      <c r="K146" s="75"/>
      <c r="L146" s="75"/>
      <c r="M146" s="75"/>
      <c r="N146" s="76"/>
      <c r="O146" s="76"/>
      <c r="P146" s="76"/>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5"/>
      <c r="AN146" s="75"/>
      <c r="AO146" s="75"/>
      <c r="AP146" s="75"/>
    </row>
    <row r="147" spans="2:42" s="39" customFormat="1" ht="13.5" customHeight="1">
      <c r="B147" s="74" t="s">
        <v>252</v>
      </c>
      <c r="C147" s="72">
        <f t="shared" ref="C147:G147" si="502">C128/C131</f>
        <v>0.48026777059389358</v>
      </c>
      <c r="D147" s="72">
        <f t="shared" si="502"/>
        <v>0.60293430076468002</v>
      </c>
      <c r="E147" s="72">
        <f t="shared" si="502"/>
        <v>0.57646821640490153</v>
      </c>
      <c r="F147" s="72">
        <f t="shared" si="502"/>
        <v>0.64938645552247842</v>
      </c>
      <c r="G147" s="72">
        <f t="shared" si="502"/>
        <v>0.33164221011742873</v>
      </c>
      <c r="H147" s="72">
        <f t="shared" ref="H147:I147" si="503">H128/H131</f>
        <v>0.48365209772750645</v>
      </c>
      <c r="I147" s="72">
        <f t="shared" si="503"/>
        <v>0.16683696697918474</v>
      </c>
      <c r="J147" s="72">
        <f t="shared" ref="J147:K147" si="504">J128/J131</f>
        <v>0.25545448601378551</v>
      </c>
      <c r="K147" s="72">
        <f t="shared" si="504"/>
        <v>0.34200849792692462</v>
      </c>
      <c r="L147" s="72">
        <f>L128/L131</f>
        <v>0.3396413353579209</v>
      </c>
      <c r="M147" s="148"/>
      <c r="N147" s="73"/>
      <c r="O147" s="73"/>
      <c r="P147" s="73"/>
      <c r="Q147" s="72">
        <f t="shared" ref="Q147:W147" si="505">Q128/Q131</f>
        <v>0.57646821640490153</v>
      </c>
      <c r="R147" s="72">
        <f t="shared" si="505"/>
        <v>0.66640036285584459</v>
      </c>
      <c r="S147" s="72">
        <f t="shared" si="505"/>
        <v>0.67788054536299625</v>
      </c>
      <c r="T147" s="72">
        <f t="shared" si="505"/>
        <v>0.66160842477548809</v>
      </c>
      <c r="U147" s="72">
        <f t="shared" si="505"/>
        <v>0.64938645552247842</v>
      </c>
      <c r="V147" s="72">
        <f t="shared" si="505"/>
        <v>0.69424905533361103</v>
      </c>
      <c r="W147" s="72">
        <f t="shared" si="505"/>
        <v>0.38577606754386196</v>
      </c>
      <c r="X147" s="72">
        <f t="shared" ref="X147:AA147" si="506">X128/X131</f>
        <v>0.39810934351528815</v>
      </c>
      <c r="Y147" s="72">
        <f t="shared" si="506"/>
        <v>0.33164221011742873</v>
      </c>
      <c r="Z147" s="72">
        <f t="shared" si="506"/>
        <v>0.40903521693903105</v>
      </c>
      <c r="AA147" s="72">
        <f t="shared" si="506"/>
        <v>0.42661668040023276</v>
      </c>
      <c r="AB147" s="72">
        <f t="shared" ref="AB147:AC147" si="507">AB128/AB131</f>
        <v>0.42598829635744834</v>
      </c>
      <c r="AC147" s="72">
        <f t="shared" si="507"/>
        <v>0.48365209772750645</v>
      </c>
      <c r="AD147" s="72">
        <f t="shared" ref="AD147:AG147" si="508">AD128/AD131</f>
        <v>0.50738948215670476</v>
      </c>
      <c r="AE147" s="72">
        <f t="shared" si="508"/>
        <v>0.50489448655143021</v>
      </c>
      <c r="AF147" s="72">
        <f t="shared" si="508"/>
        <v>0.23461747316613821</v>
      </c>
      <c r="AG147" s="72">
        <f t="shared" si="508"/>
        <v>0.16683696697918474</v>
      </c>
      <c r="AH147" s="72">
        <f t="shared" ref="AH147:AI147" si="509">AH128/AH131</f>
        <v>0.18446477562798805</v>
      </c>
      <c r="AI147" s="72">
        <f t="shared" si="509"/>
        <v>0.20198582766759265</v>
      </c>
      <c r="AJ147" s="72">
        <f t="shared" ref="AJ147:AM147" si="510">AJ128/AJ131</f>
        <v>0.21069077734062694</v>
      </c>
      <c r="AK147" s="72">
        <f t="shared" si="510"/>
        <v>0.25545448601378551</v>
      </c>
      <c r="AL147" s="72">
        <f t="shared" si="510"/>
        <v>0.30039617393250245</v>
      </c>
      <c r="AM147" s="72">
        <f t="shared" si="510"/>
        <v>0.32857536078015021</v>
      </c>
      <c r="AN147" s="72">
        <f t="shared" ref="AN147:AP147" si="511">AN128/AN131</f>
        <v>0.33411621149919846</v>
      </c>
      <c r="AO147" s="72">
        <f t="shared" si="511"/>
        <v>0.34200849792692462</v>
      </c>
      <c r="AP147" s="72">
        <f t="shared" si="511"/>
        <v>0.3396413353579209</v>
      </c>
    </row>
    <row r="148" spans="2:42" s="39" customFormat="1" ht="13.5" customHeight="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K148" s="71"/>
      <c r="AL148" s="71"/>
      <c r="AM148" s="71"/>
      <c r="AO148" s="71"/>
      <c r="AP148" s="71"/>
    </row>
    <row r="149" spans="2:42" s="39" customFormat="1" ht="13.5" customHeight="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K149" s="71"/>
      <c r="AL149" s="71"/>
      <c r="AM149" s="71"/>
      <c r="AO149" s="71"/>
      <c r="AP149" s="71"/>
    </row>
    <row r="150" spans="2:42" ht="13.5" customHeight="1">
      <c r="B150" s="58" t="s">
        <v>253</v>
      </c>
      <c r="C150" s="70">
        <f t="shared" ref="C150:J150" si="512">C3</f>
        <v>43100</v>
      </c>
      <c r="D150" s="70">
        <f t="shared" si="512"/>
        <v>43465</v>
      </c>
      <c r="E150" s="70">
        <f t="shared" si="512"/>
        <v>43830</v>
      </c>
      <c r="F150" s="70">
        <f t="shared" si="512"/>
        <v>44196</v>
      </c>
      <c r="G150" s="70">
        <f t="shared" si="512"/>
        <v>44561</v>
      </c>
      <c r="H150" s="70">
        <f t="shared" si="512"/>
        <v>44926</v>
      </c>
      <c r="I150" s="70">
        <f t="shared" si="512"/>
        <v>45291</v>
      </c>
      <c r="J150" s="70">
        <f t="shared" si="512"/>
        <v>45657</v>
      </c>
      <c r="K150" s="70">
        <f t="shared" ref="K150" si="513">K3</f>
        <v>46022</v>
      </c>
      <c r="L150" s="70" t="str">
        <f>L2</f>
        <v>LTM</v>
      </c>
      <c r="M150" s="145"/>
      <c r="N150" s="70">
        <f t="shared" ref="N150:AN150" si="514">N3</f>
        <v>43555</v>
      </c>
      <c r="O150" s="70">
        <f t="shared" si="514"/>
        <v>43646</v>
      </c>
      <c r="P150" s="70">
        <f t="shared" si="514"/>
        <v>43738</v>
      </c>
      <c r="Q150" s="70">
        <f t="shared" si="514"/>
        <v>43830</v>
      </c>
      <c r="R150" s="70">
        <f t="shared" si="514"/>
        <v>43921</v>
      </c>
      <c r="S150" s="70">
        <f t="shared" si="514"/>
        <v>44012</v>
      </c>
      <c r="T150" s="70">
        <f t="shared" si="514"/>
        <v>44104</v>
      </c>
      <c r="U150" s="70">
        <f t="shared" si="514"/>
        <v>44196</v>
      </c>
      <c r="V150" s="70">
        <f t="shared" si="514"/>
        <v>44286</v>
      </c>
      <c r="W150" s="70">
        <f t="shared" si="514"/>
        <v>44377</v>
      </c>
      <c r="X150" s="70">
        <f t="shared" si="514"/>
        <v>44469</v>
      </c>
      <c r="Y150" s="70">
        <f t="shared" si="514"/>
        <v>44561</v>
      </c>
      <c r="Z150" s="70">
        <f t="shared" si="514"/>
        <v>44651</v>
      </c>
      <c r="AA150" s="70">
        <f t="shared" si="514"/>
        <v>44742</v>
      </c>
      <c r="AB150" s="70">
        <f t="shared" si="514"/>
        <v>44834</v>
      </c>
      <c r="AC150" s="70">
        <f t="shared" si="514"/>
        <v>44926</v>
      </c>
      <c r="AD150" s="70">
        <f t="shared" si="514"/>
        <v>45016</v>
      </c>
      <c r="AE150" s="70">
        <f t="shared" si="514"/>
        <v>45107</v>
      </c>
      <c r="AF150" s="70">
        <f t="shared" si="514"/>
        <v>45199</v>
      </c>
      <c r="AG150" s="70">
        <f t="shared" si="514"/>
        <v>45291</v>
      </c>
      <c r="AH150" s="70">
        <f t="shared" si="514"/>
        <v>45382</v>
      </c>
      <c r="AI150" s="70">
        <f t="shared" si="514"/>
        <v>45473</v>
      </c>
      <c r="AJ150" s="70">
        <f t="shared" si="514"/>
        <v>45565</v>
      </c>
      <c r="AK150" s="70">
        <f t="shared" si="514"/>
        <v>45657</v>
      </c>
      <c r="AL150" s="70">
        <f t="shared" si="514"/>
        <v>45747</v>
      </c>
      <c r="AM150" s="70">
        <f t="shared" si="514"/>
        <v>45838</v>
      </c>
      <c r="AN150" s="70">
        <f t="shared" si="514"/>
        <v>45930</v>
      </c>
      <c r="AO150" s="70">
        <f t="shared" ref="AO150:AP150" si="515">AO3</f>
        <v>46022</v>
      </c>
      <c r="AP150" s="70">
        <f t="shared" si="515"/>
        <v>46112</v>
      </c>
    </row>
    <row r="151" spans="2:42" ht="13.5" customHeight="1">
      <c r="B151" s="35" t="s">
        <v>254</v>
      </c>
      <c r="C151" s="16">
        <f t="shared" ref="C151:H151" si="516">C95</f>
        <v>109.42728200000001</v>
      </c>
      <c r="D151" s="16">
        <f t="shared" si="516"/>
        <v>132.66926599999999</v>
      </c>
      <c r="E151" s="16">
        <f t="shared" si="516"/>
        <v>144.29240200000001</v>
      </c>
      <c r="F151" s="16">
        <f t="shared" si="516"/>
        <v>149.535887</v>
      </c>
      <c r="G151" s="16">
        <f t="shared" si="516"/>
        <v>160.698385</v>
      </c>
      <c r="H151" s="16">
        <f t="shared" si="516"/>
        <v>178.02546100000001</v>
      </c>
      <c r="I151" s="16">
        <f t="shared" ref="I151:J151" si="517">I95</f>
        <v>213.448296</v>
      </c>
      <c r="J151" s="16">
        <f t="shared" si="517"/>
        <v>251.950504</v>
      </c>
      <c r="K151" s="16">
        <f t="shared" ref="K151" si="518">K95</f>
        <v>283.19337000000002</v>
      </c>
      <c r="L151" s="16">
        <f t="shared" ref="L151" si="519">L95</f>
        <v>292.90351399999997</v>
      </c>
      <c r="M151" s="16"/>
      <c r="N151" s="64"/>
      <c r="O151" s="64"/>
      <c r="P151" s="64"/>
      <c r="Q151" s="16">
        <f t="shared" ref="Q151:AD151" si="520">Q95</f>
        <v>144.29240200000001</v>
      </c>
      <c r="R151" s="16">
        <f t="shared" si="520"/>
        <v>145.69715000000002</v>
      </c>
      <c r="S151" s="16">
        <f t="shared" si="520"/>
        <v>146.30790400000001</v>
      </c>
      <c r="T151" s="16">
        <f t="shared" si="520"/>
        <v>147.94019600000001</v>
      </c>
      <c r="U151" s="16">
        <f t="shared" si="520"/>
        <v>149.535887</v>
      </c>
      <c r="V151" s="16">
        <f t="shared" si="520"/>
        <v>150.19315800000001</v>
      </c>
      <c r="W151" s="16">
        <f t="shared" si="520"/>
        <v>153.41120000000001</v>
      </c>
      <c r="X151" s="16">
        <f t="shared" si="520"/>
        <v>156.95546899999999</v>
      </c>
      <c r="Y151" s="16">
        <f t="shared" si="520"/>
        <v>160.698385</v>
      </c>
      <c r="Z151" s="16">
        <f t="shared" si="520"/>
        <v>164.33402599999999</v>
      </c>
      <c r="AA151" s="16">
        <f t="shared" si="520"/>
        <v>165.91804300000001</v>
      </c>
      <c r="AB151" s="16">
        <f t="shared" si="520"/>
        <v>170.42395600000003</v>
      </c>
      <c r="AC151" s="16">
        <f t="shared" si="520"/>
        <v>178.02546100000001</v>
      </c>
      <c r="AD151" s="16">
        <f t="shared" si="520"/>
        <v>185.64830499999999</v>
      </c>
      <c r="AE151" s="16">
        <f t="shared" ref="AE151:AH151" si="521">AE95</f>
        <v>193.00118300000003</v>
      </c>
      <c r="AF151" s="16">
        <f t="shared" si="521"/>
        <v>199.106211</v>
      </c>
      <c r="AG151" s="16">
        <f t="shared" si="521"/>
        <v>213.448296</v>
      </c>
      <c r="AH151" s="16">
        <f t="shared" si="521"/>
        <v>224.0138</v>
      </c>
      <c r="AI151" s="16">
        <f t="shared" ref="AI151:AL151" si="522">AI95</f>
        <v>232.98807599999998</v>
      </c>
      <c r="AJ151" s="16">
        <f t="shared" si="522"/>
        <v>239.75212699999997</v>
      </c>
      <c r="AK151" s="16">
        <f t="shared" si="522"/>
        <v>251.950504</v>
      </c>
      <c r="AL151" s="16">
        <f t="shared" si="522"/>
        <v>258.81312099999997</v>
      </c>
      <c r="AM151" s="16">
        <f t="shared" ref="AM151:AP151" si="523">AM95</f>
        <v>263.34510299999999</v>
      </c>
      <c r="AN151" s="16">
        <f t="shared" si="523"/>
        <v>277.38890599999996</v>
      </c>
      <c r="AO151" s="16">
        <f t="shared" si="523"/>
        <v>283.19337000000002</v>
      </c>
      <c r="AP151" s="16">
        <f t="shared" si="523"/>
        <v>292.90351399999997</v>
      </c>
    </row>
    <row r="152" spans="2:42" ht="13.5" customHeight="1">
      <c r="B152" s="35" t="s">
        <v>255</v>
      </c>
      <c r="C152" s="16">
        <f t="shared" ref="C152:H152" si="524">C98</f>
        <v>91.952252999999999</v>
      </c>
      <c r="D152" s="16">
        <f t="shared" si="524"/>
        <v>112.82820199999999</v>
      </c>
      <c r="E152" s="16">
        <f t="shared" si="524"/>
        <v>121.384119</v>
      </c>
      <c r="F152" s="16">
        <f t="shared" si="524"/>
        <v>126.19619899999999</v>
      </c>
      <c r="G152" s="16">
        <f t="shared" si="524"/>
        <v>135.80990000000003</v>
      </c>
      <c r="H152" s="16">
        <f t="shared" si="524"/>
        <v>150.301559</v>
      </c>
      <c r="I152" s="16">
        <f t="shared" ref="I152:J152" si="525">I98</f>
        <v>174.08789899999999</v>
      </c>
      <c r="J152" s="16">
        <f t="shared" si="525"/>
        <v>204.4</v>
      </c>
      <c r="K152" s="16">
        <f t="shared" ref="K152" si="526">K98</f>
        <v>231.1</v>
      </c>
      <c r="L152" s="16">
        <f t="shared" ref="L152" si="527">L98</f>
        <v>237.93428500000002</v>
      </c>
      <c r="M152" s="16"/>
      <c r="N152" s="64"/>
      <c r="O152" s="64"/>
      <c r="P152" s="64"/>
      <c r="Q152" s="16">
        <f t="shared" ref="Q152:AD152" si="528">Q98</f>
        <v>121.35411900000003</v>
      </c>
      <c r="R152" s="16">
        <f t="shared" si="528"/>
        <v>121.71056400000003</v>
      </c>
      <c r="S152" s="16">
        <f t="shared" si="528"/>
        <v>122.13445100000003</v>
      </c>
      <c r="T152" s="16">
        <f t="shared" si="528"/>
        <v>124.00581800000003</v>
      </c>
      <c r="U152" s="16">
        <f t="shared" si="528"/>
        <v>126.19619899999999</v>
      </c>
      <c r="V152" s="16">
        <f t="shared" si="528"/>
        <v>128.16765599999999</v>
      </c>
      <c r="W152" s="16">
        <f t="shared" si="528"/>
        <v>131.17148300000002</v>
      </c>
      <c r="X152" s="16">
        <f t="shared" si="528"/>
        <v>133.463584</v>
      </c>
      <c r="Y152" s="16">
        <f t="shared" si="528"/>
        <v>135.805509</v>
      </c>
      <c r="Z152" s="16">
        <f t="shared" si="528"/>
        <v>137.776884</v>
      </c>
      <c r="AA152" s="16">
        <f t="shared" si="528"/>
        <v>140.48486400000002</v>
      </c>
      <c r="AB152" s="16">
        <f t="shared" si="528"/>
        <v>144.78062699999998</v>
      </c>
      <c r="AC152" s="16">
        <f t="shared" si="528"/>
        <v>150.26775000000001</v>
      </c>
      <c r="AD152" s="16">
        <f t="shared" si="528"/>
        <v>156.84847500000001</v>
      </c>
      <c r="AE152" s="16">
        <f t="shared" ref="AE152:AH152" si="529">AE98</f>
        <v>163.22224900000003</v>
      </c>
      <c r="AF152" s="16">
        <f t="shared" si="529"/>
        <v>169.60697500000003</v>
      </c>
      <c r="AG152" s="16">
        <f t="shared" si="529"/>
        <v>174.08789900000002</v>
      </c>
      <c r="AH152" s="16">
        <f t="shared" si="529"/>
        <v>182.67920700000002</v>
      </c>
      <c r="AI152" s="16">
        <f t="shared" ref="AI152:AL152" si="530">AI98</f>
        <v>190.34293800000003</v>
      </c>
      <c r="AJ152" s="16">
        <f t="shared" si="530"/>
        <v>197.63147000000001</v>
      </c>
      <c r="AK152" s="16">
        <f t="shared" si="530"/>
        <v>204.52889099999999</v>
      </c>
      <c r="AL152" s="16">
        <f t="shared" si="530"/>
        <v>209.20917399999996</v>
      </c>
      <c r="AM152" s="16">
        <f t="shared" ref="AM152:AP152" si="531">AM98</f>
        <v>213.65660699999998</v>
      </c>
      <c r="AN152" s="16">
        <f t="shared" si="531"/>
        <v>221.00415299999997</v>
      </c>
      <c r="AO152" s="16">
        <f t="shared" si="531"/>
        <v>231.1</v>
      </c>
      <c r="AP152" s="16">
        <f t="shared" si="531"/>
        <v>237.93428500000002</v>
      </c>
    </row>
    <row r="153" spans="2:42" ht="13.5" customHeight="1">
      <c r="B153" s="35" t="s">
        <v>256</v>
      </c>
      <c r="C153" s="36">
        <f t="shared" ref="C153:G153" si="532">C152/C151</f>
        <v>0.84030464176200592</v>
      </c>
      <c r="D153" s="36">
        <f t="shared" si="532"/>
        <v>0.85044717138934045</v>
      </c>
      <c r="E153" s="36">
        <f t="shared" si="532"/>
        <v>0.84123708052209145</v>
      </c>
      <c r="F153" s="36">
        <f t="shared" si="532"/>
        <v>0.84391915233030312</v>
      </c>
      <c r="G153" s="36">
        <f t="shared" si="532"/>
        <v>0.84512299236859179</v>
      </c>
      <c r="H153" s="36">
        <f t="shared" ref="H153:I153" si="533">H152/H151</f>
        <v>0.84427001708480331</v>
      </c>
      <c r="I153" s="36">
        <f t="shared" si="533"/>
        <v>0.81559751125865154</v>
      </c>
      <c r="J153" s="36">
        <f t="shared" ref="J153:K153" si="534">J152/J151</f>
        <v>0.81127045493030647</v>
      </c>
      <c r="K153" s="36">
        <f t="shared" si="534"/>
        <v>0.81605017801087643</v>
      </c>
      <c r="L153" s="36">
        <f>L152/L151</f>
        <v>0.81232990943222361</v>
      </c>
      <c r="M153" s="36"/>
      <c r="N153" s="63"/>
      <c r="O153" s="63"/>
      <c r="P153" s="63"/>
      <c r="Q153" s="36">
        <f t="shared" ref="Q153:W153" si="535">Q152/Q151</f>
        <v>0.84102916936679739</v>
      </c>
      <c r="R153" s="36">
        <f t="shared" si="535"/>
        <v>0.83536681396993706</v>
      </c>
      <c r="S153" s="36">
        <f t="shared" si="535"/>
        <v>0.83477684841961797</v>
      </c>
      <c r="T153" s="36">
        <f t="shared" si="535"/>
        <v>0.83821585581784697</v>
      </c>
      <c r="U153" s="36">
        <f t="shared" si="535"/>
        <v>0.84391915233030312</v>
      </c>
      <c r="V153" s="36">
        <f t="shared" si="535"/>
        <v>0.85335216135478009</v>
      </c>
      <c r="W153" s="36">
        <f t="shared" si="535"/>
        <v>0.85503198593062313</v>
      </c>
      <c r="X153" s="36">
        <f t="shared" ref="X153:AA153" si="536">X152/X151</f>
        <v>0.85032770664397817</v>
      </c>
      <c r="Y153" s="36">
        <f t="shared" si="536"/>
        <v>0.84509566788739043</v>
      </c>
      <c r="Z153" s="36">
        <f t="shared" si="536"/>
        <v>0.83839535459321124</v>
      </c>
      <c r="AA153" s="36">
        <f t="shared" si="536"/>
        <v>0.84671239763839312</v>
      </c>
      <c r="AB153" s="36">
        <f t="shared" ref="AB153:AC153" si="537">AB152/AB151</f>
        <v>0.84953213385094728</v>
      </c>
      <c r="AC153" s="36">
        <f t="shared" si="537"/>
        <v>0.84408010604730299</v>
      </c>
      <c r="AD153" s="36">
        <f t="shared" ref="AD153:AG153" si="538">AD152/AD151</f>
        <v>0.84486887720305348</v>
      </c>
      <c r="AE153" s="36">
        <f t="shared" si="538"/>
        <v>0.84570595093191736</v>
      </c>
      <c r="AF153" s="36">
        <f t="shared" si="538"/>
        <v>0.85184170874508802</v>
      </c>
      <c r="AG153" s="36">
        <f t="shared" si="538"/>
        <v>0.81559751125865165</v>
      </c>
      <c r="AH153" s="36">
        <f t="shared" ref="AH153:AI153" si="539">AH152/AH151</f>
        <v>0.81548193459510088</v>
      </c>
      <c r="AI153" s="36">
        <f t="shared" si="539"/>
        <v>0.81696428962313095</v>
      </c>
      <c r="AJ153" s="36">
        <f t="shared" ref="AJ153:AM153" si="540">AJ152/AJ151</f>
        <v>0.82431581514186125</v>
      </c>
      <c r="AK153" s="36">
        <f t="shared" si="540"/>
        <v>0.81178202763190344</v>
      </c>
      <c r="AL153" s="36">
        <f t="shared" si="540"/>
        <v>0.80834067914199759</v>
      </c>
      <c r="AM153" s="36">
        <f t="shared" si="540"/>
        <v>0.81131794199340013</v>
      </c>
      <c r="AN153" s="36">
        <f t="shared" ref="AN153:AP153" si="541">AN152/AN151</f>
        <v>0.79673032417525735</v>
      </c>
      <c r="AO153" s="36">
        <f t="shared" si="541"/>
        <v>0.81605017801087643</v>
      </c>
      <c r="AP153" s="36">
        <f t="shared" si="541"/>
        <v>0.81232990943222361</v>
      </c>
    </row>
    <row r="154" spans="2:42" ht="13.5" customHeight="1">
      <c r="B154" s="35" t="s">
        <v>234</v>
      </c>
      <c r="C154" s="16">
        <f t="shared" ref="C154:D154" si="542">C126</f>
        <v>581.99487899999997</v>
      </c>
      <c r="D154" s="16">
        <f t="shared" si="542"/>
        <v>699.79742199999998</v>
      </c>
      <c r="E154" s="16">
        <f t="shared" ref="E154:F155" si="543">E126</f>
        <v>715.59182900000008</v>
      </c>
      <c r="F154" s="16">
        <f t="shared" si="543"/>
        <v>840.49233700000002</v>
      </c>
      <c r="G154" s="16">
        <f t="shared" ref="G154:H154" si="544">G126</f>
        <v>934.91362900000001</v>
      </c>
      <c r="H154" s="16">
        <f t="shared" si="544"/>
        <v>932.00352499999997</v>
      </c>
      <c r="I154" s="16">
        <f t="shared" ref="I154:J154" si="545">I126</f>
        <v>916.08440500000006</v>
      </c>
      <c r="J154" s="16">
        <f t="shared" si="545"/>
        <v>847.60878999999989</v>
      </c>
      <c r="K154" s="16">
        <f t="shared" ref="K154" si="546">K126</f>
        <v>1276.6574390000001</v>
      </c>
      <c r="L154" s="16">
        <f>L126</f>
        <v>1177.0677560000001</v>
      </c>
      <c r="M154" s="16"/>
      <c r="N154" s="16">
        <f t="shared" ref="N154:U155" si="547">N126</f>
        <v>701.50010899999995</v>
      </c>
      <c r="O154" s="16">
        <f t="shared" si="547"/>
        <v>698.92508700000008</v>
      </c>
      <c r="P154" s="16">
        <f t="shared" si="547"/>
        <v>715.64017100000001</v>
      </c>
      <c r="Q154" s="16">
        <f t="shared" si="547"/>
        <v>715.59182900000008</v>
      </c>
      <c r="R154" s="16">
        <f t="shared" si="547"/>
        <v>800.57502199999999</v>
      </c>
      <c r="S154" s="16">
        <f t="shared" si="547"/>
        <v>840.56160199999988</v>
      </c>
      <c r="T154" s="16">
        <f t="shared" si="547"/>
        <v>840.52262500000006</v>
      </c>
      <c r="U154" s="16">
        <f t="shared" si="547"/>
        <v>840.49233700000002</v>
      </c>
      <c r="V154" s="16">
        <f t="shared" ref="V154:Y154" si="548">V126</f>
        <v>840.42606999999998</v>
      </c>
      <c r="W154" s="16">
        <f t="shared" si="548"/>
        <v>934.94497799999999</v>
      </c>
      <c r="X154" s="16">
        <f t="shared" si="548"/>
        <v>934.68535099999997</v>
      </c>
      <c r="Y154" s="16">
        <f t="shared" si="548"/>
        <v>934.91362900000001</v>
      </c>
      <c r="Z154" s="16">
        <f t="shared" ref="Z154:AA154" si="549">Z126</f>
        <v>934.41990499999997</v>
      </c>
      <c r="AA154" s="16">
        <f t="shared" si="549"/>
        <v>933.93835999999999</v>
      </c>
      <c r="AB154" s="16">
        <f t="shared" ref="AB154:AC154" si="550">AB126</f>
        <v>932.47426200000007</v>
      </c>
      <c r="AC154" s="16">
        <f t="shared" si="550"/>
        <v>932.00352499999997</v>
      </c>
      <c r="AD154" s="16">
        <f t="shared" ref="AD154:AG154" si="551">AD126</f>
        <v>931.03840100000002</v>
      </c>
      <c r="AE154" s="16">
        <f t="shared" si="551"/>
        <v>930.09733700000015</v>
      </c>
      <c r="AF154" s="16">
        <f t="shared" si="551"/>
        <v>929.19309499999997</v>
      </c>
      <c r="AG154" s="16">
        <f t="shared" si="551"/>
        <v>916.08440500000006</v>
      </c>
      <c r="AH154" s="16">
        <f t="shared" ref="AH154:AI154" si="552">AH126</f>
        <v>915.15810399999998</v>
      </c>
      <c r="AI154" s="16">
        <f t="shared" si="552"/>
        <v>914.37014299999998</v>
      </c>
      <c r="AJ154" s="16">
        <f t="shared" ref="AJ154:AM154" si="553">AJ126</f>
        <v>848.28545200000008</v>
      </c>
      <c r="AK154" s="16">
        <f t="shared" si="553"/>
        <v>847.60878999999989</v>
      </c>
      <c r="AL154" s="16">
        <f t="shared" si="553"/>
        <v>801.57987099999991</v>
      </c>
      <c r="AM154" s="16">
        <f t="shared" si="553"/>
        <v>900.80000000000007</v>
      </c>
      <c r="AN154" s="16">
        <f t="shared" ref="AN154:AP154" si="554">AN126</f>
        <v>1446.73741</v>
      </c>
      <c r="AO154" s="16">
        <f t="shared" si="554"/>
        <v>1276.6574390000001</v>
      </c>
      <c r="AP154" s="16">
        <f t="shared" si="554"/>
        <v>1177.0677560000001</v>
      </c>
    </row>
    <row r="155" spans="2:42" ht="13.5" customHeight="1">
      <c r="B155" s="35" t="s">
        <v>257</v>
      </c>
      <c r="C155" s="16">
        <f t="shared" ref="C155:D155" si="555">C127</f>
        <v>91.001709000000005</v>
      </c>
      <c r="D155" s="16">
        <f t="shared" si="555"/>
        <v>64.483395000000002</v>
      </c>
      <c r="E155" s="16">
        <f t="shared" si="543"/>
        <v>75.063592999999997</v>
      </c>
      <c r="F155" s="16">
        <f t="shared" si="543"/>
        <v>120.542142</v>
      </c>
      <c r="G155" s="16">
        <f t="shared" ref="G155:H155" si="556">G127</f>
        <v>452.82113199999998</v>
      </c>
      <c r="H155" s="16">
        <f t="shared" si="556"/>
        <v>139.147085</v>
      </c>
      <c r="I155" s="16">
        <f t="shared" ref="I155:J155" si="557">I127</f>
        <v>501.16613599999999</v>
      </c>
      <c r="J155" s="16">
        <f t="shared" si="557"/>
        <v>184.12089399999999</v>
      </c>
      <c r="K155" s="16">
        <f t="shared" ref="K155" si="558">K127</f>
        <v>336.90128299999998</v>
      </c>
      <c r="L155" s="16">
        <f>L127</f>
        <v>206.14451399999999</v>
      </c>
      <c r="M155" s="16"/>
      <c r="N155" s="16">
        <f t="shared" si="547"/>
        <v>59.523448999999999</v>
      </c>
      <c r="O155" s="16">
        <f t="shared" si="547"/>
        <v>131.05420000000001</v>
      </c>
      <c r="P155" s="16">
        <f t="shared" si="547"/>
        <v>110.09563300000001</v>
      </c>
      <c r="Q155" s="16">
        <f t="shared" si="547"/>
        <v>75.063592999999997</v>
      </c>
      <c r="R155" s="16">
        <f t="shared" si="547"/>
        <v>122.27357499999999</v>
      </c>
      <c r="S155" s="16">
        <f t="shared" si="547"/>
        <v>143.983306</v>
      </c>
      <c r="T155" s="16">
        <f t="shared" si="547"/>
        <v>136.59358900000001</v>
      </c>
      <c r="U155" s="16">
        <f t="shared" si="547"/>
        <v>120.542142</v>
      </c>
      <c r="V155" s="16">
        <f t="shared" ref="V155:Y155" si="559">V127</f>
        <v>99.119437000000005</v>
      </c>
      <c r="W155" s="16">
        <f t="shared" si="559"/>
        <v>393.43617799999998</v>
      </c>
      <c r="X155" s="16">
        <f t="shared" si="559"/>
        <v>373.721699</v>
      </c>
      <c r="Y155" s="16">
        <f t="shared" si="559"/>
        <v>452.82113199999998</v>
      </c>
      <c r="Z155" s="16">
        <f t="shared" ref="Z155:AA155" si="560">Z127</f>
        <v>342.50453700000003</v>
      </c>
      <c r="AA155" s="16">
        <f t="shared" si="560"/>
        <v>298.38502599999998</v>
      </c>
      <c r="AB155" s="16">
        <f t="shared" ref="AB155:AC155" si="561">AB127</f>
        <v>270.69513599999999</v>
      </c>
      <c r="AC155" s="16">
        <f t="shared" si="561"/>
        <v>139.147085</v>
      </c>
      <c r="AD155" s="16">
        <f t="shared" ref="AD155:AG155" si="562">AD127</f>
        <v>98.212738999999999</v>
      </c>
      <c r="AE155" s="16">
        <f t="shared" si="562"/>
        <v>50.724851000000001</v>
      </c>
      <c r="AF155" s="16">
        <f t="shared" si="562"/>
        <v>408.18265700000001</v>
      </c>
      <c r="AG155" s="16">
        <f t="shared" si="562"/>
        <v>501.16613599999999</v>
      </c>
      <c r="AH155" s="16">
        <f t="shared" ref="AH155:AI155" si="563">AH127</f>
        <v>445.06134900000001</v>
      </c>
      <c r="AI155" s="16">
        <f t="shared" si="563"/>
        <v>376.94147500000003</v>
      </c>
      <c r="AJ155" s="16">
        <f t="shared" ref="AJ155:AM155" si="564">AJ127</f>
        <v>281.197607</v>
      </c>
      <c r="AK155" s="16">
        <f t="shared" si="564"/>
        <v>184.12089399999999</v>
      </c>
      <c r="AL155" s="16">
        <f t="shared" si="564"/>
        <v>48.685208000000003</v>
      </c>
      <c r="AM155" s="16">
        <f t="shared" si="564"/>
        <v>65.2</v>
      </c>
      <c r="AN155" s="16">
        <f t="shared" ref="AN155:AP155" si="565">AN127</f>
        <v>587.04836899999998</v>
      </c>
      <c r="AO155" s="16">
        <f t="shared" si="565"/>
        <v>336.90128299999998</v>
      </c>
      <c r="AP155" s="16">
        <f t="shared" si="565"/>
        <v>206.14451399999999</v>
      </c>
    </row>
    <row r="156" spans="2:42" ht="13.5" customHeight="1">
      <c r="B156" s="35" t="s">
        <v>42</v>
      </c>
      <c r="C156" s="16">
        <f t="shared" ref="C156:G156" si="566">C154-C155</f>
        <v>490.99316999999996</v>
      </c>
      <c r="D156" s="16">
        <f t="shared" si="566"/>
        <v>635.31402700000001</v>
      </c>
      <c r="E156" s="16">
        <f t="shared" si="566"/>
        <v>640.52823600000011</v>
      </c>
      <c r="F156" s="16">
        <f t="shared" si="566"/>
        <v>719.95019500000001</v>
      </c>
      <c r="G156" s="16">
        <f t="shared" si="566"/>
        <v>482.09249700000004</v>
      </c>
      <c r="H156" s="16">
        <f t="shared" ref="H156:I156" si="567">H154-H155</f>
        <v>792.85644000000002</v>
      </c>
      <c r="I156" s="16">
        <f t="shared" si="567"/>
        <v>414.91826900000007</v>
      </c>
      <c r="J156" s="16">
        <f t="shared" ref="J156:K156" si="568">J154-J155</f>
        <v>663.48789599999986</v>
      </c>
      <c r="K156" s="16">
        <f t="shared" si="568"/>
        <v>939.75615600000015</v>
      </c>
      <c r="L156" s="16">
        <f>L154-L155</f>
        <v>970.92324200000019</v>
      </c>
      <c r="M156" s="16"/>
      <c r="N156" s="16">
        <f t="shared" ref="N156:U156" si="569">N154-N155</f>
        <v>641.97665999999992</v>
      </c>
      <c r="O156" s="16">
        <f t="shared" si="569"/>
        <v>567.87088700000004</v>
      </c>
      <c r="P156" s="16">
        <f t="shared" si="569"/>
        <v>605.54453799999999</v>
      </c>
      <c r="Q156" s="16">
        <f t="shared" si="569"/>
        <v>640.52823600000011</v>
      </c>
      <c r="R156" s="16">
        <f t="shared" si="569"/>
        <v>678.30144700000005</v>
      </c>
      <c r="S156" s="16">
        <f t="shared" si="569"/>
        <v>696.57829599999991</v>
      </c>
      <c r="T156" s="16">
        <f t="shared" si="569"/>
        <v>703.929036</v>
      </c>
      <c r="U156" s="16">
        <f t="shared" si="569"/>
        <v>719.95019500000001</v>
      </c>
      <c r="V156" s="16">
        <f t="shared" ref="V156:Y156" si="570">V154-V155</f>
        <v>741.30663299999992</v>
      </c>
      <c r="W156" s="16">
        <f t="shared" si="570"/>
        <v>541.50880000000006</v>
      </c>
      <c r="X156" s="16">
        <f t="shared" si="570"/>
        <v>560.96365199999991</v>
      </c>
      <c r="Y156" s="16">
        <f t="shared" si="570"/>
        <v>482.09249700000004</v>
      </c>
      <c r="Z156" s="16">
        <f t="shared" ref="Z156:AA156" si="571">Z154-Z155</f>
        <v>591.91536799999994</v>
      </c>
      <c r="AA156" s="16">
        <f t="shared" si="571"/>
        <v>635.55333399999995</v>
      </c>
      <c r="AB156" s="16">
        <f t="shared" ref="AB156:AC156" si="572">AB154-AB155</f>
        <v>661.77912600000013</v>
      </c>
      <c r="AC156" s="16">
        <f t="shared" si="572"/>
        <v>792.85644000000002</v>
      </c>
      <c r="AD156" s="16">
        <f t="shared" ref="AD156:AG156" si="573">AD154-AD155</f>
        <v>832.82566199999997</v>
      </c>
      <c r="AE156" s="16">
        <f t="shared" si="573"/>
        <v>879.37248600000021</v>
      </c>
      <c r="AF156" s="16">
        <f t="shared" si="573"/>
        <v>521.01043800000002</v>
      </c>
      <c r="AG156" s="16">
        <f t="shared" si="573"/>
        <v>414.91826900000007</v>
      </c>
      <c r="AH156" s="16">
        <f t="shared" ref="AH156:AI156" si="574">AH154-AH155</f>
        <v>470.09675499999997</v>
      </c>
      <c r="AI156" s="16">
        <f t="shared" si="574"/>
        <v>537.42866800000002</v>
      </c>
      <c r="AJ156" s="16">
        <f t="shared" ref="AJ156:AM156" si="575">AJ154-AJ155</f>
        <v>567.08784500000002</v>
      </c>
      <c r="AK156" s="16">
        <f t="shared" si="575"/>
        <v>663.48789599999986</v>
      </c>
      <c r="AL156" s="16">
        <f t="shared" si="575"/>
        <v>752.89466299999992</v>
      </c>
      <c r="AM156" s="16">
        <f t="shared" si="575"/>
        <v>835.6</v>
      </c>
      <c r="AN156" s="16">
        <f t="shared" ref="AN156:AP156" si="576">AN154-AN155</f>
        <v>859.68904099999997</v>
      </c>
      <c r="AO156" s="16">
        <f t="shared" si="576"/>
        <v>939.75615600000015</v>
      </c>
      <c r="AP156" s="16">
        <f t="shared" si="576"/>
        <v>970.92324200000019</v>
      </c>
    </row>
    <row r="157" spans="2:42" ht="13.5" customHeight="1">
      <c r="B157" s="35" t="s">
        <v>258</v>
      </c>
      <c r="C157" s="43">
        <f t="shared" ref="C157:G157" si="577">C140</f>
        <v>6.3293161397578803</v>
      </c>
      <c r="D157" s="43">
        <f t="shared" si="577"/>
        <v>6.2023271628488779</v>
      </c>
      <c r="E157" s="43">
        <f t="shared" si="577"/>
        <v>5.8952673125221606</v>
      </c>
      <c r="F157" s="43">
        <f t="shared" si="577"/>
        <v>6.6602032680873382</v>
      </c>
      <c r="G157" s="43">
        <f t="shared" si="577"/>
        <v>6.8839873160940392</v>
      </c>
      <c r="H157" s="43">
        <f t="shared" ref="H157:I157" si="578">H140</f>
        <v>6.2008906042019163</v>
      </c>
      <c r="I157" s="43">
        <f t="shared" si="578"/>
        <v>5.2621946169848375</v>
      </c>
      <c r="J157" s="43">
        <f t="shared" ref="J157:K157" si="579">J140</f>
        <v>4.1468140410958894</v>
      </c>
      <c r="K157" s="43">
        <f t="shared" si="579"/>
        <v>5.52426412375595</v>
      </c>
      <c r="L157" s="43">
        <f>L140</f>
        <v>4.9470287814973792</v>
      </c>
      <c r="M157" s="43"/>
      <c r="N157" s="62"/>
      <c r="O157" s="62"/>
      <c r="P157" s="62"/>
      <c r="Q157" s="43">
        <f t="shared" ref="Q157:W157" si="580">Q140</f>
        <v>5.8967246838980385</v>
      </c>
      <c r="R157" s="43">
        <f t="shared" si="580"/>
        <v>6.5776954414573234</v>
      </c>
      <c r="S157" s="43">
        <f t="shared" si="580"/>
        <v>6.8822645463072467</v>
      </c>
      <c r="T157" s="43">
        <f t="shared" si="580"/>
        <v>6.7780902425078136</v>
      </c>
      <c r="U157" s="43">
        <f t="shared" si="580"/>
        <v>6.6602032680873382</v>
      </c>
      <c r="V157" s="43">
        <f t="shared" si="580"/>
        <v>6.557239917066128</v>
      </c>
      <c r="W157" s="43">
        <f t="shared" si="580"/>
        <v>7.1276542478367793</v>
      </c>
      <c r="X157" s="43">
        <f t="shared" ref="X157:AA157" si="581">X140</f>
        <v>7.0032987500170831</v>
      </c>
      <c r="Y157" s="43">
        <f t="shared" si="581"/>
        <v>6.8842098960801366</v>
      </c>
      <c r="Z157" s="43">
        <f t="shared" si="581"/>
        <v>6.782123951939572</v>
      </c>
      <c r="AA157" s="43">
        <f t="shared" si="581"/>
        <v>6.6479642959970402</v>
      </c>
      <c r="AB157" s="43">
        <f t="shared" ref="AB157:AC157" si="582">AB140</f>
        <v>6.4406010757226531</v>
      </c>
      <c r="AC157" s="43">
        <f t="shared" si="582"/>
        <v>6.202285753263757</v>
      </c>
      <c r="AD157" s="43">
        <f t="shared" ref="AD157:AG157" si="583">AD140</f>
        <v>5.9359098072199936</v>
      </c>
      <c r="AE157" s="43">
        <f t="shared" si="583"/>
        <v>5.6983489854989067</v>
      </c>
      <c r="AF157" s="43">
        <f t="shared" si="583"/>
        <v>5.4785075613782972</v>
      </c>
      <c r="AG157" s="43">
        <f t="shared" si="583"/>
        <v>5.2621946169848366</v>
      </c>
      <c r="AH157" s="43">
        <f t="shared" ref="AH157" si="584">AH140</f>
        <v>5.0096457009472344</v>
      </c>
      <c r="AI157" s="43">
        <f>AI140</f>
        <v>4.8038038742472278</v>
      </c>
      <c r="AJ157" s="43">
        <f>AJ140</f>
        <v>4.2922589808191987</v>
      </c>
      <c r="AK157" s="43">
        <f t="shared" ref="AK157:AL157" si="585">AK140</f>
        <v>4.1442007818836704</v>
      </c>
      <c r="AL157" s="43">
        <f t="shared" si="585"/>
        <v>3.8314757219967803</v>
      </c>
      <c r="AM157" s="43">
        <f>AM140</f>
        <v>4.216111135753458</v>
      </c>
      <c r="AN157" s="43">
        <f>AN140</f>
        <v>6.5462001069274027</v>
      </c>
      <c r="AO157" s="43">
        <f t="shared" ref="AO157:AP157" si="586">AO140</f>
        <v>5.52426412375595</v>
      </c>
      <c r="AP157" s="43">
        <f t="shared" si="586"/>
        <v>4.9470287814973792</v>
      </c>
    </row>
    <row r="158" spans="2:42" ht="13.5" customHeight="1">
      <c r="B158" s="35" t="s">
        <v>259</v>
      </c>
      <c r="C158" s="43">
        <f t="shared" ref="C158:G158" si="587">C139</f>
        <v>5.3396535047379423</v>
      </c>
      <c r="D158" s="43">
        <f t="shared" si="587"/>
        <v>5.6308087493940571</v>
      </c>
      <c r="E158" s="43">
        <f t="shared" si="587"/>
        <v>5.2768701645393996</v>
      </c>
      <c r="F158" s="43">
        <f t="shared" si="587"/>
        <v>5.7050069709310343</v>
      </c>
      <c r="G158" s="43">
        <f t="shared" si="587"/>
        <v>3.5497596051539686</v>
      </c>
      <c r="H158" s="43">
        <f t="shared" ref="H158:I158" si="588">H139</f>
        <v>5.2751045649499888</v>
      </c>
      <c r="I158" s="43">
        <f t="shared" si="588"/>
        <v>2.3833837468507797</v>
      </c>
      <c r="J158" s="43">
        <f t="shared" ref="J158:K158" si="589">J139</f>
        <v>3.2460268884540109</v>
      </c>
      <c r="K158" s="43">
        <f t="shared" si="589"/>
        <v>4.0664481003894428</v>
      </c>
      <c r="L158" s="43">
        <f>L139</f>
        <v>4.0806361386716512</v>
      </c>
      <c r="M158" s="43"/>
      <c r="N158" s="69"/>
      <c r="O158" s="69"/>
      <c r="P158" s="69"/>
      <c r="Q158" s="43">
        <f t="shared" ref="Q158:W158" si="590">Q139</f>
        <v>5.2781746617104934</v>
      </c>
      <c r="R158" s="43">
        <f t="shared" si="590"/>
        <v>5.5730696227814693</v>
      </c>
      <c r="S158" s="43">
        <f t="shared" si="590"/>
        <v>5.7033727199543378</v>
      </c>
      <c r="T158" s="43">
        <f t="shared" si="590"/>
        <v>5.6765807230109138</v>
      </c>
      <c r="U158" s="43">
        <f t="shared" si="590"/>
        <v>5.7050069709310343</v>
      </c>
      <c r="V158" s="43">
        <f t="shared" si="590"/>
        <v>5.7838822690180116</v>
      </c>
      <c r="W158" s="43">
        <f t="shared" si="590"/>
        <v>4.1282509552781379</v>
      </c>
      <c r="X158" s="43">
        <f t="shared" ref="X158:AA158" si="591">X139</f>
        <v>4.2031214447230782</v>
      </c>
      <c r="Y158" s="43">
        <f t="shared" si="591"/>
        <v>3.5498743795437639</v>
      </c>
      <c r="Z158" s="43">
        <f t="shared" si="591"/>
        <v>4.2961877988182691</v>
      </c>
      <c r="AA158" s="43">
        <f t="shared" si="591"/>
        <v>4.5239986423021339</v>
      </c>
      <c r="AB158" s="43">
        <f t="shared" ref="AB158:AC158" si="592">AB139</f>
        <v>4.5709093800236147</v>
      </c>
      <c r="AC158" s="43">
        <f t="shared" si="592"/>
        <v>5.276291419815629</v>
      </c>
      <c r="AD158" s="43">
        <f t="shared" ref="AD158:AG158" si="593">AD139</f>
        <v>5.3097466328569656</v>
      </c>
      <c r="AE158" s="43">
        <f t="shared" si="593"/>
        <v>5.3875773149039263</v>
      </c>
      <c r="AF158" s="43">
        <f t="shared" si="593"/>
        <v>3.0718691728332512</v>
      </c>
      <c r="AG158" s="43">
        <f t="shared" si="593"/>
        <v>2.3833837468507793</v>
      </c>
      <c r="AH158" s="43">
        <f t="shared" ref="AH158" si="594">AH139</f>
        <v>2.573345717446649</v>
      </c>
      <c r="AI158" s="43">
        <f>AI139</f>
        <v>2.8234757414535649</v>
      </c>
      <c r="AJ158" s="43">
        <f>AJ139</f>
        <v>2.8694207708924089</v>
      </c>
      <c r="AK158" s="43">
        <f t="shared" ref="AK158:AL158" si="595">AK139</f>
        <v>3.2439812916210449</v>
      </c>
      <c r="AL158" s="43">
        <f t="shared" si="595"/>
        <v>3.5987650474639321</v>
      </c>
      <c r="AM158" s="43">
        <f>AM139</f>
        <v>3.9109485624284956</v>
      </c>
      <c r="AN158" s="43">
        <f>AN139</f>
        <v>3.8899225617719506</v>
      </c>
      <c r="AO158" s="43">
        <f t="shared" ref="AO158:AP158" si="596">AO139</f>
        <v>4.0664481003894428</v>
      </c>
      <c r="AP158" s="43">
        <f t="shared" si="596"/>
        <v>4.0806361386716512</v>
      </c>
    </row>
    <row r="159" spans="2:42" ht="13.5" customHeight="1">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K159" s="16"/>
      <c r="AL159" s="16"/>
      <c r="AM159" s="16"/>
      <c r="AO159" s="16"/>
      <c r="AP159" s="16"/>
    </row>
    <row r="160" spans="2:42" ht="13.5" customHeight="1">
      <c r="B160" s="61" t="s">
        <v>260</v>
      </c>
      <c r="C160" s="60"/>
      <c r="D160" s="60"/>
      <c r="E160" s="60"/>
      <c r="F160" s="60"/>
      <c r="G160" s="60"/>
      <c r="H160" s="60"/>
      <c r="I160" s="60"/>
      <c r="J160" s="60"/>
      <c r="K160" s="60"/>
      <c r="L160" s="60"/>
      <c r="M160" s="149"/>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row>
    <row r="161" spans="2:42" s="59" customFormat="1" ht="13.5" customHeight="1">
      <c r="B161" s="58" t="s">
        <v>261</v>
      </c>
      <c r="C161" s="57">
        <f t="shared" ref="C161:J161" si="597">C3</f>
        <v>43100</v>
      </c>
      <c r="D161" s="57">
        <f t="shared" si="597"/>
        <v>43465</v>
      </c>
      <c r="E161" s="57">
        <f t="shared" si="597"/>
        <v>43830</v>
      </c>
      <c r="F161" s="57">
        <f t="shared" si="597"/>
        <v>44196</v>
      </c>
      <c r="G161" s="57">
        <f t="shared" si="597"/>
        <v>44561</v>
      </c>
      <c r="H161" s="57">
        <f t="shared" si="597"/>
        <v>44926</v>
      </c>
      <c r="I161" s="57">
        <f t="shared" si="597"/>
        <v>45291</v>
      </c>
      <c r="J161" s="57">
        <f t="shared" si="597"/>
        <v>45657</v>
      </c>
      <c r="K161" s="57">
        <f t="shared" ref="K161" si="598">K3</f>
        <v>46022</v>
      </c>
      <c r="L161" s="57" t="str">
        <f>L2</f>
        <v>LTM</v>
      </c>
      <c r="M161" s="145"/>
      <c r="N161" s="57">
        <f t="shared" ref="N161:AN161" si="599">N3</f>
        <v>43555</v>
      </c>
      <c r="O161" s="57">
        <f t="shared" si="599"/>
        <v>43646</v>
      </c>
      <c r="P161" s="57">
        <f t="shared" si="599"/>
        <v>43738</v>
      </c>
      <c r="Q161" s="57">
        <f t="shared" si="599"/>
        <v>43830</v>
      </c>
      <c r="R161" s="57">
        <f t="shared" si="599"/>
        <v>43921</v>
      </c>
      <c r="S161" s="57">
        <f t="shared" si="599"/>
        <v>44012</v>
      </c>
      <c r="T161" s="57">
        <f t="shared" si="599"/>
        <v>44104</v>
      </c>
      <c r="U161" s="57">
        <f t="shared" si="599"/>
        <v>44196</v>
      </c>
      <c r="V161" s="57">
        <f t="shared" si="599"/>
        <v>44286</v>
      </c>
      <c r="W161" s="57">
        <f t="shared" si="599"/>
        <v>44377</v>
      </c>
      <c r="X161" s="57">
        <f t="shared" si="599"/>
        <v>44469</v>
      </c>
      <c r="Y161" s="57">
        <f t="shared" si="599"/>
        <v>44561</v>
      </c>
      <c r="Z161" s="57">
        <f t="shared" si="599"/>
        <v>44651</v>
      </c>
      <c r="AA161" s="57">
        <f t="shared" si="599"/>
        <v>44742</v>
      </c>
      <c r="AB161" s="57">
        <f t="shared" si="599"/>
        <v>44834</v>
      </c>
      <c r="AC161" s="57">
        <f t="shared" si="599"/>
        <v>44926</v>
      </c>
      <c r="AD161" s="57">
        <f t="shared" si="599"/>
        <v>45016</v>
      </c>
      <c r="AE161" s="57">
        <f t="shared" si="599"/>
        <v>45107</v>
      </c>
      <c r="AF161" s="57">
        <f t="shared" si="599"/>
        <v>45199</v>
      </c>
      <c r="AG161" s="57">
        <f t="shared" si="599"/>
        <v>45291</v>
      </c>
      <c r="AH161" s="57">
        <f t="shared" si="599"/>
        <v>45382</v>
      </c>
      <c r="AI161" s="57">
        <f t="shared" si="599"/>
        <v>45473</v>
      </c>
      <c r="AJ161" s="57">
        <f t="shared" si="599"/>
        <v>45565</v>
      </c>
      <c r="AK161" s="57">
        <f t="shared" si="599"/>
        <v>45657</v>
      </c>
      <c r="AL161" s="57">
        <f t="shared" si="599"/>
        <v>45747</v>
      </c>
      <c r="AM161" s="57">
        <f t="shared" si="599"/>
        <v>45838</v>
      </c>
      <c r="AN161" s="57">
        <f t="shared" si="599"/>
        <v>45930</v>
      </c>
      <c r="AO161" s="57">
        <f t="shared" ref="AO161:AP161" si="600">AO3</f>
        <v>46022</v>
      </c>
      <c r="AP161" s="57">
        <f t="shared" si="600"/>
        <v>46112</v>
      </c>
    </row>
    <row r="162" spans="2:42" s="39" customFormat="1" ht="13.5" customHeight="1">
      <c r="B162" s="58"/>
      <c r="C162" s="57" t="s">
        <v>154</v>
      </c>
      <c r="D162" s="57" t="s">
        <v>154</v>
      </c>
      <c r="E162" s="57" t="s">
        <v>154</v>
      </c>
      <c r="F162" s="57" t="s">
        <v>154</v>
      </c>
      <c r="G162" s="57" t="s">
        <v>154</v>
      </c>
      <c r="H162" s="57" t="s">
        <v>154</v>
      </c>
      <c r="I162" s="57" t="s">
        <v>154</v>
      </c>
      <c r="J162" s="57" t="s">
        <v>154</v>
      </c>
      <c r="K162" s="57" t="s">
        <v>154</v>
      </c>
      <c r="L162" s="57" t="s">
        <v>154</v>
      </c>
      <c r="M162" s="145"/>
      <c r="N162" s="57" t="s">
        <v>154</v>
      </c>
      <c r="O162" s="57" t="s">
        <v>154</v>
      </c>
      <c r="P162" s="57" t="s">
        <v>154</v>
      </c>
      <c r="Q162" s="57" t="s">
        <v>154</v>
      </c>
      <c r="R162" s="57" t="s">
        <v>154</v>
      </c>
      <c r="S162" s="57" t="s">
        <v>154</v>
      </c>
      <c r="T162" s="57" t="s">
        <v>154</v>
      </c>
      <c r="U162" s="57" t="s">
        <v>154</v>
      </c>
      <c r="V162" s="57" t="s">
        <v>154</v>
      </c>
      <c r="W162" s="57" t="s">
        <v>154</v>
      </c>
      <c r="X162" s="57" t="s">
        <v>154</v>
      </c>
      <c r="Y162" s="57" t="s">
        <v>154</v>
      </c>
      <c r="Z162" s="57" t="s">
        <v>154</v>
      </c>
      <c r="AA162" s="57" t="s">
        <v>154</v>
      </c>
      <c r="AB162" s="57" t="s">
        <v>154</v>
      </c>
      <c r="AC162" s="57" t="s">
        <v>154</v>
      </c>
      <c r="AD162" s="57" t="s">
        <v>154</v>
      </c>
      <c r="AE162" s="57" t="s">
        <v>154</v>
      </c>
      <c r="AF162" s="57" t="s">
        <v>154</v>
      </c>
      <c r="AG162" s="57" t="s">
        <v>154</v>
      </c>
      <c r="AH162" s="57" t="s">
        <v>154</v>
      </c>
      <c r="AI162" s="57" t="s">
        <v>154</v>
      </c>
      <c r="AJ162" s="57" t="s">
        <v>154</v>
      </c>
      <c r="AK162" s="57" t="s">
        <v>154</v>
      </c>
      <c r="AL162" s="57" t="s">
        <v>154</v>
      </c>
      <c r="AM162" s="57" t="s">
        <v>154</v>
      </c>
      <c r="AN162" s="57" t="s">
        <v>154</v>
      </c>
      <c r="AO162" s="57" t="s">
        <v>154</v>
      </c>
      <c r="AP162" s="57" t="s">
        <v>154</v>
      </c>
    </row>
    <row r="163" spans="2:42" ht="13.5" customHeight="1"/>
    <row r="164" spans="2:42" s="39" customFormat="1" ht="13.5" customHeight="1">
      <c r="B164" s="39" t="str">
        <f t="shared" ref="B164:L164" si="601">B7</f>
        <v>Rental Income</v>
      </c>
      <c r="C164" s="68">
        <f t="shared" si="601"/>
        <v>109.42728200000001</v>
      </c>
      <c r="D164" s="68">
        <f t="shared" si="601"/>
        <v>132.66926599999999</v>
      </c>
      <c r="E164" s="68">
        <f t="shared" si="601"/>
        <v>144.29240200000001</v>
      </c>
      <c r="F164" s="68">
        <f t="shared" si="601"/>
        <v>149.535887</v>
      </c>
      <c r="G164" s="68">
        <f t="shared" si="601"/>
        <v>160.698385</v>
      </c>
      <c r="H164" s="68">
        <f t="shared" si="601"/>
        <v>178.02546100000001</v>
      </c>
      <c r="I164" s="68">
        <f t="shared" si="601"/>
        <v>213.448296</v>
      </c>
      <c r="J164" s="68">
        <f t="shared" si="601"/>
        <v>251.950504</v>
      </c>
      <c r="K164" s="68">
        <f t="shared" ref="K164" si="602">K7</f>
        <v>283.19337000000002</v>
      </c>
      <c r="L164" s="68">
        <f t="shared" si="601"/>
        <v>292.90351399999997</v>
      </c>
      <c r="M164" s="68"/>
      <c r="N164" s="55">
        <f t="shared" ref="N164:AN164" si="603">N7</f>
        <v>36.290385000000001</v>
      </c>
      <c r="O164" s="55">
        <f t="shared" si="603"/>
        <v>35.928051000000004</v>
      </c>
      <c r="P164" s="55">
        <f t="shared" si="603"/>
        <v>35.825569000000002</v>
      </c>
      <c r="Q164" s="55">
        <f t="shared" si="603"/>
        <v>36.248397000000011</v>
      </c>
      <c r="R164" s="55">
        <f t="shared" si="603"/>
        <v>37.695132999999998</v>
      </c>
      <c r="S164" s="55">
        <f t="shared" si="603"/>
        <v>36.538805000000004</v>
      </c>
      <c r="T164" s="55">
        <f t="shared" si="603"/>
        <v>37.457861000000001</v>
      </c>
      <c r="U164" s="55">
        <f t="shared" si="603"/>
        <v>37.844087999999999</v>
      </c>
      <c r="V164" s="55">
        <f t="shared" si="603"/>
        <v>38.352404</v>
      </c>
      <c r="W164" s="55">
        <f t="shared" si="603"/>
        <v>39.756847</v>
      </c>
      <c r="X164" s="55">
        <f t="shared" si="603"/>
        <v>41.002130000000001</v>
      </c>
      <c r="Y164" s="55">
        <f t="shared" si="603"/>
        <v>41.587004000000007</v>
      </c>
      <c r="Z164" s="55">
        <f t="shared" si="603"/>
        <v>41.988045</v>
      </c>
      <c r="AA164" s="55">
        <f t="shared" si="603"/>
        <v>41.340864000000003</v>
      </c>
      <c r="AB164" s="55">
        <f t="shared" si="603"/>
        <v>45.508043000000001</v>
      </c>
      <c r="AC164" s="55">
        <f t="shared" si="603"/>
        <v>49.18850900000001</v>
      </c>
      <c r="AD164" s="55">
        <f t="shared" si="603"/>
        <v>49.610889</v>
      </c>
      <c r="AE164" s="55">
        <f t="shared" si="603"/>
        <v>48.693742</v>
      </c>
      <c r="AF164" s="55">
        <f t="shared" si="603"/>
        <v>51.613070999999998</v>
      </c>
      <c r="AG164" s="55">
        <f t="shared" si="603"/>
        <v>63.530594000000008</v>
      </c>
      <c r="AH164" s="55">
        <f t="shared" si="603"/>
        <v>60.176392999999997</v>
      </c>
      <c r="AI164" s="55">
        <f t="shared" si="603"/>
        <v>57.668018000000004</v>
      </c>
      <c r="AJ164" s="55">
        <f t="shared" si="603"/>
        <v>58.377122</v>
      </c>
      <c r="AK164" s="55">
        <f t="shared" si="603"/>
        <v>75.728970999999973</v>
      </c>
      <c r="AL164" s="55">
        <f t="shared" si="603"/>
        <v>67.039010000000005</v>
      </c>
      <c r="AM164" s="55">
        <f t="shared" si="603"/>
        <v>62.2</v>
      </c>
      <c r="AN164" s="55">
        <f t="shared" si="603"/>
        <v>72.420924999999997</v>
      </c>
      <c r="AO164" s="55">
        <f t="shared" ref="AO164:AP164" si="604">AO7</f>
        <v>81.533434999999997</v>
      </c>
      <c r="AP164" s="55">
        <f t="shared" si="604"/>
        <v>76.749154000000004</v>
      </c>
    </row>
    <row r="165" spans="2:42" s="51" customFormat="1" ht="13.5" customHeight="1">
      <c r="B165" s="56" t="s">
        <v>262</v>
      </c>
      <c r="C165" s="67"/>
      <c r="D165" s="67">
        <f t="shared" ref="D165:K165" si="605">D164/C164-1</f>
        <v>0.21239661239141427</v>
      </c>
      <c r="E165" s="67">
        <f t="shared" si="605"/>
        <v>8.7609861352515583E-2</v>
      </c>
      <c r="F165" s="67">
        <f t="shared" si="605"/>
        <v>3.6339300803932773E-2</v>
      </c>
      <c r="G165" s="67">
        <f t="shared" si="605"/>
        <v>7.4647619537643095E-2</v>
      </c>
      <c r="H165" s="67">
        <f t="shared" si="605"/>
        <v>0.10782358515924106</v>
      </c>
      <c r="I165" s="67">
        <f t="shared" si="605"/>
        <v>0.19897622958549732</v>
      </c>
      <c r="J165" s="67">
        <f t="shared" si="605"/>
        <v>0.1803818944518536</v>
      </c>
      <c r="K165" s="67">
        <f t="shared" si="605"/>
        <v>0.12400398294103043</v>
      </c>
      <c r="L165" s="67"/>
      <c r="M165" s="150"/>
      <c r="N165" s="67"/>
      <c r="O165" s="67"/>
      <c r="P165" s="67"/>
      <c r="Q165" s="67"/>
      <c r="R165" s="67">
        <f t="shared" ref="R165:AH165" si="606">R164/N164-1</f>
        <v>3.870854497685805E-2</v>
      </c>
      <c r="S165" s="67">
        <f t="shared" si="606"/>
        <v>1.6999363533524159E-2</v>
      </c>
      <c r="T165" s="67">
        <f t="shared" si="606"/>
        <v>4.5562207260406717E-2</v>
      </c>
      <c r="U165" s="67">
        <f t="shared" si="606"/>
        <v>4.4021008708329479E-2</v>
      </c>
      <c r="V165" s="67">
        <f t="shared" si="606"/>
        <v>1.7436495050966005E-2</v>
      </c>
      <c r="W165" s="67">
        <f t="shared" si="606"/>
        <v>8.807190054518732E-2</v>
      </c>
      <c r="X165" s="67">
        <f t="shared" si="606"/>
        <v>9.46201653105605E-2</v>
      </c>
      <c r="Y165" s="67">
        <f t="shared" si="606"/>
        <v>9.8903585680278683E-2</v>
      </c>
      <c r="Z165" s="67">
        <f t="shared" si="606"/>
        <v>9.4795648272791411E-2</v>
      </c>
      <c r="AA165" s="67">
        <f t="shared" si="606"/>
        <v>3.9842621322561111E-2</v>
      </c>
      <c r="AB165" s="67">
        <f t="shared" si="606"/>
        <v>0.10989460791427175</v>
      </c>
      <c r="AC165" s="67">
        <f t="shared" si="606"/>
        <v>0.18278558849779136</v>
      </c>
      <c r="AD165" s="67">
        <f t="shared" si="606"/>
        <v>0.18154796204491075</v>
      </c>
      <c r="AE165" s="67">
        <f>AE164/AA164-1</f>
        <v>0.17785980476847296</v>
      </c>
      <c r="AF165" s="67">
        <f t="shared" si="606"/>
        <v>0.13415272548634971</v>
      </c>
      <c r="AG165" s="67">
        <f t="shared" si="606"/>
        <v>0.29157389178029347</v>
      </c>
      <c r="AH165" s="67">
        <f t="shared" si="606"/>
        <v>0.21296743946676711</v>
      </c>
      <c r="AI165" s="67">
        <f>AI164/AE164-1</f>
        <v>0.18430039736933757</v>
      </c>
      <c r="AJ165" s="67">
        <f>AJ164/AF164-1</f>
        <v>0.13105306212064005</v>
      </c>
      <c r="AK165" s="67">
        <f t="shared" ref="AK165:AL165" si="607">AK164/AG164-1</f>
        <v>0.19200791668971284</v>
      </c>
      <c r="AL165" s="67">
        <f t="shared" si="607"/>
        <v>0.11404168076341836</v>
      </c>
      <c r="AM165" s="67">
        <f>AM164/AI164-1</f>
        <v>7.858744165613607E-2</v>
      </c>
      <c r="AN165" s="67">
        <f>AN164/AJ164-1</f>
        <v>0.24057032136664769</v>
      </c>
      <c r="AO165" s="67">
        <f t="shared" ref="AO165:AP165" si="608">AO164/AK164-1</f>
        <v>7.6647865715751218E-2</v>
      </c>
      <c r="AP165" s="67">
        <f t="shared" si="608"/>
        <v>0.14484318906260696</v>
      </c>
    </row>
    <row r="166" spans="2:42" ht="13.5" customHeight="1">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row>
    <row r="167" spans="2:42" s="39" customFormat="1" ht="13.5" customHeight="1" thickBot="1">
      <c r="B167" s="46" t="str">
        <f t="shared" ref="B167:H167" si="609">B63</f>
        <v xml:space="preserve">Adj. EBITDA </v>
      </c>
      <c r="C167" s="54">
        <f t="shared" si="609"/>
        <v>91.952252999999999</v>
      </c>
      <c r="D167" s="54">
        <f t="shared" si="609"/>
        <v>112.82820199999999</v>
      </c>
      <c r="E167" s="54">
        <f t="shared" si="609"/>
        <v>121.384119</v>
      </c>
      <c r="F167" s="54">
        <f t="shared" si="609"/>
        <v>126.19619899999999</v>
      </c>
      <c r="G167" s="54">
        <f t="shared" si="609"/>
        <v>135.80990000000003</v>
      </c>
      <c r="H167" s="54">
        <f t="shared" si="609"/>
        <v>150.301559</v>
      </c>
      <c r="I167" s="54">
        <f t="shared" ref="I167:J167" si="610">I63</f>
        <v>174.08789899999999</v>
      </c>
      <c r="J167" s="54">
        <f t="shared" si="610"/>
        <v>204.4</v>
      </c>
      <c r="K167" s="54">
        <f t="shared" ref="K167" si="611">K63</f>
        <v>231.1</v>
      </c>
      <c r="L167" s="54">
        <f t="shared" ref="L167" si="612">L63</f>
        <v>237.93428500000002</v>
      </c>
      <c r="M167" s="68"/>
      <c r="N167" s="54">
        <f t="shared" ref="N167:AD167" si="613">N63</f>
        <v>31.106779000000003</v>
      </c>
      <c r="O167" s="54">
        <f t="shared" si="613"/>
        <v>30.259368000000006</v>
      </c>
      <c r="P167" s="54">
        <f t="shared" si="613"/>
        <v>30.219965000000006</v>
      </c>
      <c r="Q167" s="54">
        <f t="shared" si="613"/>
        <v>29.768007000000015</v>
      </c>
      <c r="R167" s="54">
        <f t="shared" si="613"/>
        <v>31.463224000000004</v>
      </c>
      <c r="S167" s="54">
        <f t="shared" si="613"/>
        <v>30.683254999999999</v>
      </c>
      <c r="T167" s="54">
        <f t="shared" si="613"/>
        <v>32.091332000000001</v>
      </c>
      <c r="U167" s="54">
        <f t="shared" si="613"/>
        <v>31.958387999999999</v>
      </c>
      <c r="V167" s="54">
        <f t="shared" si="613"/>
        <v>33.434681000000005</v>
      </c>
      <c r="W167" s="54">
        <f t="shared" si="613"/>
        <v>33.68708199999999</v>
      </c>
      <c r="X167" s="54">
        <f t="shared" si="613"/>
        <v>34.383433000000011</v>
      </c>
      <c r="Y167" s="54">
        <f t="shared" si="613"/>
        <v>34.30031300000001</v>
      </c>
      <c r="Z167" s="54">
        <f t="shared" si="613"/>
        <v>35.406055999999992</v>
      </c>
      <c r="AA167" s="54">
        <f t="shared" si="613"/>
        <v>36.395062000000003</v>
      </c>
      <c r="AB167" s="54">
        <f t="shared" si="613"/>
        <v>38.679195999999997</v>
      </c>
      <c r="AC167" s="54">
        <f t="shared" si="613"/>
        <v>39.787436000000007</v>
      </c>
      <c r="AD167" s="54">
        <f t="shared" si="613"/>
        <v>41.986781000000008</v>
      </c>
      <c r="AE167" s="54">
        <f t="shared" ref="AE167:AH167" si="614">AE63</f>
        <v>42.768836000000007</v>
      </c>
      <c r="AF167" s="54">
        <f t="shared" si="614"/>
        <v>45.063922000000005</v>
      </c>
      <c r="AG167" s="54">
        <f t="shared" si="614"/>
        <v>44.268360000000008</v>
      </c>
      <c r="AH167" s="54">
        <f t="shared" si="614"/>
        <v>50.578088999999999</v>
      </c>
      <c r="AI167" s="54">
        <f t="shared" ref="AI167:AL167" si="615">AI63</f>
        <v>50.432566999999999</v>
      </c>
      <c r="AJ167" s="54">
        <f t="shared" si="615"/>
        <v>52.352454000000002</v>
      </c>
      <c r="AK167" s="54">
        <f t="shared" si="615"/>
        <v>51.165780999999967</v>
      </c>
      <c r="AL167" s="54">
        <f t="shared" si="615"/>
        <v>55.258372000000001</v>
      </c>
      <c r="AM167" s="54">
        <f t="shared" ref="AM167:AP167" si="616">AM63</f>
        <v>54.879999999999995</v>
      </c>
      <c r="AN167" s="54">
        <f t="shared" si="616"/>
        <v>59.7</v>
      </c>
      <c r="AO167" s="54">
        <f t="shared" si="616"/>
        <v>61.261628000000002</v>
      </c>
      <c r="AP167" s="54">
        <f t="shared" si="616"/>
        <v>62.092657000000003</v>
      </c>
    </row>
    <row r="168" spans="2:42" s="51" customFormat="1" ht="13.5" customHeight="1" thickTop="1">
      <c r="B168" s="53" t="str">
        <f t="shared" ref="B168:H169" si="617">B64</f>
        <v xml:space="preserve">% growth </v>
      </c>
      <c r="C168" s="67">
        <f t="shared" si="617"/>
        <v>0</v>
      </c>
      <c r="D168" s="67">
        <f t="shared" si="617"/>
        <v>0.22703031539640461</v>
      </c>
      <c r="E168" s="67">
        <f t="shared" si="617"/>
        <v>7.5831368827449896E-2</v>
      </c>
      <c r="F168" s="67">
        <f t="shared" si="617"/>
        <v>3.9643406729343189E-2</v>
      </c>
      <c r="G168" s="67">
        <f t="shared" si="617"/>
        <v>7.6180590827462424E-2</v>
      </c>
      <c r="H168" s="67">
        <f t="shared" si="617"/>
        <v>0.1067054684525941</v>
      </c>
      <c r="I168" s="67">
        <f t="shared" ref="I168:J168" si="618">I64</f>
        <v>0.15825744029707622</v>
      </c>
      <c r="J168" s="67">
        <f t="shared" si="618"/>
        <v>0.17411951763516886</v>
      </c>
      <c r="K168" s="67">
        <f t="shared" ref="K168" si="619">K64</f>
        <v>0.13062622309197636</v>
      </c>
      <c r="L168" s="67"/>
      <c r="M168" s="150"/>
      <c r="N168" s="67"/>
      <c r="O168" s="67"/>
      <c r="P168" s="67"/>
      <c r="Q168" s="67"/>
      <c r="R168" s="67">
        <f t="shared" ref="R168:AD168" si="620">R64</f>
        <v>1.145875630517712E-2</v>
      </c>
      <c r="S168" s="67">
        <f t="shared" si="620"/>
        <v>1.400845516667748E-2</v>
      </c>
      <c r="T168" s="67">
        <f t="shared" si="620"/>
        <v>6.1924856630376501E-2</v>
      </c>
      <c r="U168" s="67">
        <f t="shared" si="620"/>
        <v>7.3581714758397698E-2</v>
      </c>
      <c r="V168" s="67">
        <f t="shared" si="620"/>
        <v>6.2659090498799586E-2</v>
      </c>
      <c r="W168" s="67">
        <f t="shared" si="620"/>
        <v>9.7897925106054995E-2</v>
      </c>
      <c r="X168" s="67">
        <f t="shared" si="620"/>
        <v>7.1424302363018333E-2</v>
      </c>
      <c r="Y168" s="67">
        <f t="shared" si="620"/>
        <v>7.3280448312975421E-2</v>
      </c>
      <c r="Z168" s="67">
        <f t="shared" si="620"/>
        <v>5.8961980226459598E-2</v>
      </c>
      <c r="AA168" s="67">
        <f t="shared" si="620"/>
        <v>8.0386303568828366E-2</v>
      </c>
      <c r="AB168" s="67">
        <f t="shared" si="620"/>
        <v>0.12493700090971105</v>
      </c>
      <c r="AC168" s="67">
        <f t="shared" si="620"/>
        <v>0.15997297167521451</v>
      </c>
      <c r="AD168" s="67">
        <f t="shared" si="620"/>
        <v>0.18586438997893517</v>
      </c>
      <c r="AE168" s="67">
        <f t="shared" ref="AE168:AH168" si="621">AE64</f>
        <v>0.17512743899158645</v>
      </c>
      <c r="AF168" s="67">
        <f t="shared" si="621"/>
        <v>0.16506873617538509</v>
      </c>
      <c r="AG168" s="67">
        <f t="shared" si="621"/>
        <v>0.11262158235077036</v>
      </c>
      <c r="AH168" s="67">
        <f t="shared" si="621"/>
        <v>0.20461935388664321</v>
      </c>
      <c r="AI168" s="67">
        <f t="shared" ref="AI168:AL168" si="622">AI64</f>
        <v>0.17918960899473602</v>
      </c>
      <c r="AJ168" s="67">
        <f t="shared" si="622"/>
        <v>0.16173763126964391</v>
      </c>
      <c r="AK168" s="67">
        <f t="shared" si="622"/>
        <v>0.15580927325972671</v>
      </c>
      <c r="AL168" s="67">
        <f t="shared" si="622"/>
        <v>9.2535781650429749E-2</v>
      </c>
      <c r="AM168" s="67">
        <f t="shared" ref="AM168:AP168" si="623">AM64</f>
        <v>8.8185735221449235E-2</v>
      </c>
      <c r="AN168" s="67">
        <f t="shared" si="623"/>
        <v>0.14034769029165273</v>
      </c>
      <c r="AO168" s="67">
        <f t="shared" si="623"/>
        <v>0.19731638612142044</v>
      </c>
      <c r="AP168" s="67">
        <f t="shared" si="623"/>
        <v>0.12367872509888644</v>
      </c>
    </row>
    <row r="169" spans="2:42" s="51" customFormat="1" ht="13.5" customHeight="1">
      <c r="B169" s="53" t="str">
        <f t="shared" si="617"/>
        <v>% margin</v>
      </c>
      <c r="C169" s="67">
        <f t="shared" si="617"/>
        <v>0.84030464176200592</v>
      </c>
      <c r="D169" s="67">
        <f t="shared" si="617"/>
        <v>0.85044717138934045</v>
      </c>
      <c r="E169" s="67">
        <f t="shared" si="617"/>
        <v>0.84123708052209145</v>
      </c>
      <c r="F169" s="67">
        <f t="shared" si="617"/>
        <v>0.84391915233030312</v>
      </c>
      <c r="G169" s="67">
        <f t="shared" si="617"/>
        <v>0.84512299236859179</v>
      </c>
      <c r="H169" s="67">
        <f t="shared" si="617"/>
        <v>0.84427001708480331</v>
      </c>
      <c r="I169" s="67">
        <f t="shared" ref="I169:J169" si="624">I65</f>
        <v>0.81559751125865154</v>
      </c>
      <c r="J169" s="67">
        <f t="shared" si="624"/>
        <v>0.81127045493030647</v>
      </c>
      <c r="K169" s="67">
        <f t="shared" ref="K169" si="625">K65</f>
        <v>0.81605017801087643</v>
      </c>
      <c r="L169" s="67">
        <f>L65</f>
        <v>0.81232990943222361</v>
      </c>
      <c r="M169" s="150"/>
      <c r="N169" s="67">
        <f>N65</f>
        <v>0.8571631025683526</v>
      </c>
      <c r="O169" s="67">
        <f>O65</f>
        <v>0.84222124935193399</v>
      </c>
      <c r="P169" s="67">
        <f>P65</f>
        <v>0.8435306358986232</v>
      </c>
      <c r="Q169" s="67">
        <f>Q65</f>
        <v>0.82122271503481947</v>
      </c>
      <c r="R169" s="67">
        <f t="shared" ref="R169:AD169" si="626">R65</f>
        <v>0.83467603098787324</v>
      </c>
      <c r="S169" s="67">
        <f t="shared" si="626"/>
        <v>0.83974434850838708</v>
      </c>
      <c r="T169" s="67">
        <f t="shared" si="626"/>
        <v>0.85673156830818509</v>
      </c>
      <c r="U169" s="67">
        <f t="shared" si="626"/>
        <v>0.84447504719891786</v>
      </c>
      <c r="V169" s="67">
        <f t="shared" si="626"/>
        <v>0.8717753651114023</v>
      </c>
      <c r="W169" s="67">
        <f t="shared" si="626"/>
        <v>0.8473278074591778</v>
      </c>
      <c r="X169" s="67">
        <f t="shared" si="626"/>
        <v>0.83857675198825066</v>
      </c>
      <c r="Y169" s="67">
        <f t="shared" si="626"/>
        <v>0.82478442063294588</v>
      </c>
      <c r="Z169" s="67">
        <f t="shared" si="626"/>
        <v>0.84324135596215521</v>
      </c>
      <c r="AA169" s="67">
        <f t="shared" si="626"/>
        <v>0.88036529667110974</v>
      </c>
      <c r="AB169" s="67">
        <f t="shared" si="626"/>
        <v>0.84994197619088996</v>
      </c>
      <c r="AC169" s="67">
        <f t="shared" si="626"/>
        <v>0.80887664230684442</v>
      </c>
      <c r="AD169" s="67">
        <f t="shared" si="626"/>
        <v>0.8463218830849818</v>
      </c>
      <c r="AE169" s="67">
        <f t="shared" ref="AE169:AH169" si="627">AE65</f>
        <v>0.87832305021865043</v>
      </c>
      <c r="AF169" s="67">
        <f t="shared" si="627"/>
        <v>0.87311065059469151</v>
      </c>
      <c r="AG169" s="67">
        <f t="shared" si="627"/>
        <v>0.6968038107750103</v>
      </c>
      <c r="AH169" s="67">
        <f t="shared" si="627"/>
        <v>0.84049718633019432</v>
      </c>
      <c r="AI169" s="67">
        <f t="shared" ref="AI169:AL169" si="628">AI65</f>
        <v>0.87453269158652192</v>
      </c>
      <c r="AJ169" s="67">
        <f t="shared" si="628"/>
        <v>0.89679744746580692</v>
      </c>
      <c r="AK169" s="67">
        <f t="shared" si="628"/>
        <v>0.67564342053452686</v>
      </c>
      <c r="AL169" s="67">
        <f t="shared" si="628"/>
        <v>0.8242718978099467</v>
      </c>
      <c r="AM169" s="67">
        <f t="shared" ref="AM169:AP169" si="629">AM65</f>
        <v>0.88231511254019279</v>
      </c>
      <c r="AN169" s="67">
        <f t="shared" si="629"/>
        <v>0.82434738302500288</v>
      </c>
      <c r="AO169" s="67">
        <f t="shared" si="629"/>
        <v>0.75136817184263127</v>
      </c>
      <c r="AP169" s="67">
        <f t="shared" si="629"/>
        <v>0.80903376472397337</v>
      </c>
    </row>
    <row r="170" spans="2:42" ht="13.5" customHeight="1">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row>
    <row r="171" spans="2:42" s="39" customFormat="1" ht="13.5" customHeight="1">
      <c r="B171" s="39" t="str">
        <f t="shared" ref="B171:H180" si="630">B71</f>
        <v xml:space="preserve">Adj. EBITDA </v>
      </c>
      <c r="C171" s="49">
        <f t="shared" si="630"/>
        <v>91.952252999999999</v>
      </c>
      <c r="D171" s="49">
        <f t="shared" si="630"/>
        <v>112.82820199999999</v>
      </c>
      <c r="E171" s="49">
        <f t="shared" si="630"/>
        <v>121.384119</v>
      </c>
      <c r="F171" s="49">
        <f t="shared" si="630"/>
        <v>126.19619899999999</v>
      </c>
      <c r="G171" s="49">
        <f t="shared" si="630"/>
        <v>135.80990000000003</v>
      </c>
      <c r="H171" s="49">
        <f t="shared" si="630"/>
        <v>150.301559</v>
      </c>
      <c r="I171" s="49">
        <f t="shared" ref="I171:J171" si="631">I71</f>
        <v>174.08789899999999</v>
      </c>
      <c r="J171" s="49">
        <f t="shared" si="631"/>
        <v>204.4</v>
      </c>
      <c r="K171" s="49">
        <f t="shared" ref="K171" si="632">K71</f>
        <v>231.1</v>
      </c>
      <c r="L171" s="49">
        <f t="shared" ref="L171" si="633">L71</f>
        <v>237.93428500000002</v>
      </c>
      <c r="M171" s="18"/>
      <c r="N171" s="49">
        <f t="shared" ref="N171:AD171" si="634">N71</f>
        <v>31.106779000000003</v>
      </c>
      <c r="O171" s="49">
        <f t="shared" si="634"/>
        <v>30.259368000000006</v>
      </c>
      <c r="P171" s="49">
        <f t="shared" si="634"/>
        <v>30.219965000000006</v>
      </c>
      <c r="Q171" s="49">
        <f t="shared" si="634"/>
        <v>29.798006999999984</v>
      </c>
      <c r="R171" s="49">
        <f t="shared" si="634"/>
        <v>31.463224000000004</v>
      </c>
      <c r="S171" s="49">
        <f t="shared" si="634"/>
        <v>30.683254999999999</v>
      </c>
      <c r="T171" s="49">
        <f t="shared" si="634"/>
        <v>32.091332000000001</v>
      </c>
      <c r="U171" s="49">
        <f t="shared" si="634"/>
        <v>31.958387999999999</v>
      </c>
      <c r="V171" s="49">
        <f t="shared" si="634"/>
        <v>33.434681000000005</v>
      </c>
      <c r="W171" s="49">
        <f t="shared" si="634"/>
        <v>33.68708199999999</v>
      </c>
      <c r="X171" s="49">
        <f t="shared" si="634"/>
        <v>34.383433000000011</v>
      </c>
      <c r="Y171" s="49">
        <f t="shared" si="634"/>
        <v>34.30031300000001</v>
      </c>
      <c r="Z171" s="49">
        <f t="shared" si="634"/>
        <v>35.406055999999992</v>
      </c>
      <c r="AA171" s="49">
        <f t="shared" si="634"/>
        <v>36.395062000000003</v>
      </c>
      <c r="AB171" s="49">
        <f t="shared" si="634"/>
        <v>38.679195999999997</v>
      </c>
      <c r="AC171" s="49">
        <f t="shared" si="634"/>
        <v>39.787436000000007</v>
      </c>
      <c r="AD171" s="49">
        <f t="shared" si="634"/>
        <v>41.986781000000008</v>
      </c>
      <c r="AE171" s="49">
        <f t="shared" ref="AE171:AH171" si="635">AE71</f>
        <v>42.768836000000007</v>
      </c>
      <c r="AF171" s="49">
        <f t="shared" si="635"/>
        <v>45.063922000000005</v>
      </c>
      <c r="AG171" s="49">
        <f t="shared" si="635"/>
        <v>44.268360000000008</v>
      </c>
      <c r="AH171" s="49">
        <f t="shared" si="635"/>
        <v>50.578088999999999</v>
      </c>
      <c r="AI171" s="49">
        <f t="shared" ref="AI171:AL171" si="636">AI71</f>
        <v>50.432566999999999</v>
      </c>
      <c r="AJ171" s="49">
        <f t="shared" si="636"/>
        <v>52.352454000000002</v>
      </c>
      <c r="AK171" s="49">
        <f t="shared" si="636"/>
        <v>51.165780999999967</v>
      </c>
      <c r="AL171" s="49">
        <f t="shared" si="636"/>
        <v>55.258372000000001</v>
      </c>
      <c r="AM171" s="49">
        <f t="shared" ref="AM171:AP171" si="637">AM71</f>
        <v>54.879999999999995</v>
      </c>
      <c r="AN171" s="49">
        <f t="shared" si="637"/>
        <v>59.7</v>
      </c>
      <c r="AO171" s="49">
        <f t="shared" si="637"/>
        <v>61.261628000000002</v>
      </c>
      <c r="AP171" s="49">
        <f t="shared" si="637"/>
        <v>62.092657000000003</v>
      </c>
    </row>
    <row r="172" spans="2:42" ht="13.5" customHeight="1">
      <c r="B172" s="35" t="str">
        <f t="shared" si="630"/>
        <v>Working Capital</v>
      </c>
      <c r="C172" s="23">
        <f t="shared" si="630"/>
        <v>-7.6464749999999979</v>
      </c>
      <c r="D172" s="23">
        <f t="shared" si="630"/>
        <v>-13.363503</v>
      </c>
      <c r="E172" s="23">
        <f t="shared" si="630"/>
        <v>-3.1140050000000006</v>
      </c>
      <c r="F172" s="23">
        <f t="shared" si="630"/>
        <v>-2.5933130000000002</v>
      </c>
      <c r="G172" s="23">
        <f t="shared" si="630"/>
        <v>3.4481169999999981</v>
      </c>
      <c r="H172" s="23">
        <f t="shared" si="630"/>
        <v>-38.411423999999997</v>
      </c>
      <c r="I172" s="23">
        <f t="shared" ref="I172:J172" si="638">I72</f>
        <v>-0.25040599999999991</v>
      </c>
      <c r="J172" s="23">
        <f t="shared" si="638"/>
        <v>-3.3218970000000017</v>
      </c>
      <c r="K172" s="23">
        <f t="shared" ref="K172" si="639">K72</f>
        <v>1.0600949999999996</v>
      </c>
      <c r="L172" s="23">
        <f t="shared" ref="L172" si="640">L72</f>
        <v>-5.7172690000000017</v>
      </c>
      <c r="M172" s="151"/>
      <c r="N172" s="23">
        <f t="shared" ref="N172:AD172" si="641">N72</f>
        <v>-4.4415770000000006</v>
      </c>
      <c r="O172" s="23">
        <f t="shared" si="641"/>
        <v>8.6519480000000009</v>
      </c>
      <c r="P172" s="23">
        <f t="shared" si="641"/>
        <v>4.3381160000000012</v>
      </c>
      <c r="Q172" s="23">
        <f t="shared" si="641"/>
        <v>-11.662492000000002</v>
      </c>
      <c r="R172" s="23">
        <f t="shared" si="641"/>
        <v>-1.3644430000000001</v>
      </c>
      <c r="S172" s="23">
        <f t="shared" si="641"/>
        <v>-13.114181</v>
      </c>
      <c r="T172" s="23">
        <f t="shared" si="641"/>
        <v>1.9302200000000025</v>
      </c>
      <c r="U172" s="23">
        <f t="shared" si="641"/>
        <v>9.9550909999999977</v>
      </c>
      <c r="V172" s="23">
        <f t="shared" si="641"/>
        <v>-5.7709800000000007</v>
      </c>
      <c r="W172" s="23">
        <f t="shared" si="641"/>
        <v>13.087354000000001</v>
      </c>
      <c r="X172" s="23">
        <f t="shared" si="641"/>
        <v>0.31843899999999969</v>
      </c>
      <c r="Y172" s="23">
        <f t="shared" si="641"/>
        <v>-4.1866960000000022</v>
      </c>
      <c r="Z172" s="23">
        <f t="shared" si="641"/>
        <v>-3.9120249999999994</v>
      </c>
      <c r="AA172" s="23">
        <f t="shared" si="641"/>
        <v>-22.380161999999999</v>
      </c>
      <c r="AB172" s="23">
        <f t="shared" si="641"/>
        <v>37.729968</v>
      </c>
      <c r="AC172" s="23">
        <f t="shared" si="641"/>
        <v>-49.849204999999998</v>
      </c>
      <c r="AD172" s="23">
        <f t="shared" si="641"/>
        <v>11.729298999999997</v>
      </c>
      <c r="AE172" s="23">
        <f t="shared" ref="AE172:AH172" si="642">AE72</f>
        <v>-12.877492999999998</v>
      </c>
      <c r="AF172" s="23">
        <f t="shared" si="642"/>
        <v>19.134553999999998</v>
      </c>
      <c r="AG172" s="23">
        <f t="shared" si="642"/>
        <v>-18.236765999999996</v>
      </c>
      <c r="AH172" s="23">
        <f t="shared" si="642"/>
        <v>-13.86359</v>
      </c>
      <c r="AI172" s="23">
        <f t="shared" ref="AI172:AL172" si="643">AI72</f>
        <v>6.9629329999999996</v>
      </c>
      <c r="AJ172" s="23">
        <f t="shared" si="643"/>
        <v>3.4752880000000008</v>
      </c>
      <c r="AK172" s="23">
        <f t="shared" si="643"/>
        <v>0.10347199999999823</v>
      </c>
      <c r="AL172" s="23">
        <f t="shared" si="643"/>
        <v>-21.199902000000002</v>
      </c>
      <c r="AM172" s="23">
        <f t="shared" ref="AM172:AP172" si="644">AM72</f>
        <v>6.0999020000000019</v>
      </c>
      <c r="AN172" s="23">
        <f t="shared" si="644"/>
        <v>3.632125000000002</v>
      </c>
      <c r="AO172" s="23">
        <f t="shared" si="644"/>
        <v>12.527969999999996</v>
      </c>
      <c r="AP172" s="23">
        <f t="shared" si="644"/>
        <v>-27.977266</v>
      </c>
    </row>
    <row r="173" spans="2:42" ht="13.5" customHeight="1">
      <c r="B173" s="35" t="str">
        <f t="shared" si="630"/>
        <v>Taxes</v>
      </c>
      <c r="C173" s="23">
        <f t="shared" si="630"/>
        <v>-2.2420429999999998</v>
      </c>
      <c r="D173" s="23">
        <f t="shared" si="630"/>
        <v>-12.542218</v>
      </c>
      <c r="E173" s="23">
        <f t="shared" si="630"/>
        <v>-16.091645</v>
      </c>
      <c r="F173" s="23">
        <f t="shared" si="630"/>
        <v>-24.092663000000002</v>
      </c>
      <c r="G173" s="23">
        <f t="shared" si="630"/>
        <v>-27.06222</v>
      </c>
      <c r="H173" s="23">
        <f t="shared" si="630"/>
        <v>-54.995604999999998</v>
      </c>
      <c r="I173" s="23">
        <f t="shared" ref="I173:J173" si="645">I73</f>
        <v>-64.103701000000001</v>
      </c>
      <c r="J173" s="23">
        <f t="shared" si="645"/>
        <v>-75.011589999999998</v>
      </c>
      <c r="K173" s="23">
        <f t="shared" ref="K173" si="646">K73</f>
        <v>-40.119390000000003</v>
      </c>
      <c r="L173" s="23">
        <f t="shared" ref="L173" si="647">L73</f>
        <v>-50.081178000000001</v>
      </c>
      <c r="M173" s="151"/>
      <c r="N173" s="23">
        <f t="shared" ref="N173:AD173" si="648">N73</f>
        <v>-0.51744599999999996</v>
      </c>
      <c r="O173" s="23">
        <f t="shared" si="648"/>
        <v>-13.533312</v>
      </c>
      <c r="P173" s="23">
        <f t="shared" si="648"/>
        <v>-1.3927029999999987</v>
      </c>
      <c r="Q173" s="23">
        <f t="shared" si="648"/>
        <v>-0.64818400000000054</v>
      </c>
      <c r="R173" s="23">
        <f t="shared" si="648"/>
        <v>-16.558043999999999</v>
      </c>
      <c r="S173" s="23">
        <f t="shared" si="648"/>
        <v>7.5786209999999983</v>
      </c>
      <c r="T173" s="23">
        <f t="shared" si="648"/>
        <v>-8.8096719999999991</v>
      </c>
      <c r="U173" s="23">
        <f t="shared" si="648"/>
        <v>-6.3035680000000021</v>
      </c>
      <c r="V173" s="23">
        <f t="shared" si="648"/>
        <v>-5.1661239999999999</v>
      </c>
      <c r="W173" s="23">
        <f t="shared" si="648"/>
        <v>-19.546748000000001</v>
      </c>
      <c r="X173" s="23">
        <f t="shared" si="648"/>
        <v>-3.9121120000000005</v>
      </c>
      <c r="Y173" s="23">
        <f t="shared" si="648"/>
        <v>1.5627640000000014</v>
      </c>
      <c r="Z173" s="23">
        <f t="shared" si="648"/>
        <v>-36.277915</v>
      </c>
      <c r="AA173" s="23">
        <f t="shared" si="648"/>
        <v>-12.623263000000001</v>
      </c>
      <c r="AB173" s="23">
        <f t="shared" si="648"/>
        <v>-6.9698489999999964</v>
      </c>
      <c r="AC173" s="23">
        <f t="shared" si="648"/>
        <v>0.87542200000000037</v>
      </c>
      <c r="AD173" s="23">
        <f t="shared" si="648"/>
        <v>-22.492445</v>
      </c>
      <c r="AE173" s="23">
        <f t="shared" ref="AE173:AH173" si="649">AE73</f>
        <v>-13.261512999999997</v>
      </c>
      <c r="AF173" s="23">
        <f t="shared" si="649"/>
        <v>-5.6673410000000004</v>
      </c>
      <c r="AG173" s="23">
        <f t="shared" si="649"/>
        <v>-22.682402000000003</v>
      </c>
      <c r="AH173" s="23">
        <f t="shared" si="649"/>
        <v>-40.402140000000003</v>
      </c>
      <c r="AI173" s="23">
        <f t="shared" ref="AI173:AL173" si="650">AI73</f>
        <v>-22.594673999999998</v>
      </c>
      <c r="AJ173" s="23">
        <f t="shared" si="650"/>
        <v>-16.684139000000002</v>
      </c>
      <c r="AK173" s="23">
        <f t="shared" si="650"/>
        <v>4.6693630000000041</v>
      </c>
      <c r="AL173" s="23">
        <f t="shared" si="650"/>
        <v>-8.3735590000000002</v>
      </c>
      <c r="AM173" s="23">
        <f t="shared" ref="AM173:AP173" si="651">AM73</f>
        <v>-5.8264409999999991</v>
      </c>
      <c r="AN173" s="23">
        <f t="shared" si="651"/>
        <v>-6.108588000000001</v>
      </c>
      <c r="AO173" s="23">
        <f t="shared" si="651"/>
        <v>-19.810802000000002</v>
      </c>
      <c r="AP173" s="23">
        <f t="shared" si="651"/>
        <v>-18.335346999999999</v>
      </c>
    </row>
    <row r="174" spans="2:42" ht="13.5" customHeight="1">
      <c r="B174" s="35" t="str">
        <f t="shared" si="630"/>
        <v>Cash interest paid</v>
      </c>
      <c r="C174" s="23">
        <f t="shared" si="630"/>
        <v>-15.907052</v>
      </c>
      <c r="D174" s="23">
        <f t="shared" si="630"/>
        <v>-32.288117999999997</v>
      </c>
      <c r="E174" s="23">
        <f t="shared" si="630"/>
        <v>-38.606428999999999</v>
      </c>
      <c r="F174" s="23">
        <f t="shared" si="630"/>
        <v>-37.986843999999998</v>
      </c>
      <c r="G174" s="23">
        <f t="shared" si="630"/>
        <v>-44.474122999999999</v>
      </c>
      <c r="H174" s="23">
        <f t="shared" si="630"/>
        <v>-44.844369999999998</v>
      </c>
      <c r="I174" s="23">
        <f t="shared" ref="I174:J174" si="652">I74</f>
        <v>-45.034413999999998</v>
      </c>
      <c r="J174" s="23">
        <f t="shared" si="652"/>
        <v>-42.087710000000001</v>
      </c>
      <c r="K174" s="23">
        <f t="shared" ref="K174" si="653">K74</f>
        <v>-45.884169999999997</v>
      </c>
      <c r="L174" s="23">
        <f t="shared" ref="L174" si="654">L74</f>
        <v>-55.233534999999996</v>
      </c>
      <c r="M174" s="151"/>
      <c r="N174" s="23">
        <f t="shared" ref="N174:AD174" si="655">N74</f>
        <v>-9.1640139999999999</v>
      </c>
      <c r="O174" s="23">
        <f t="shared" si="655"/>
        <v>-10.624536000000001</v>
      </c>
      <c r="P174" s="23">
        <f t="shared" si="655"/>
        <v>-13.130314</v>
      </c>
      <c r="Q174" s="23">
        <f t="shared" si="655"/>
        <v>-5.6875649999999993</v>
      </c>
      <c r="R174" s="23">
        <f t="shared" si="655"/>
        <v>-8.4570430000000005</v>
      </c>
      <c r="S174" s="23">
        <f t="shared" si="655"/>
        <v>-10.316975999999999</v>
      </c>
      <c r="T174" s="23">
        <f t="shared" si="655"/>
        <v>-9.6284919999999996</v>
      </c>
      <c r="U174" s="23">
        <f t="shared" si="655"/>
        <v>-9.5843330000000009</v>
      </c>
      <c r="V174" s="23">
        <f t="shared" si="655"/>
        <v>-10.415163</v>
      </c>
      <c r="W174" s="23">
        <f t="shared" si="655"/>
        <v>-12.124095000000001</v>
      </c>
      <c r="X174" s="23">
        <f t="shared" si="655"/>
        <v>-7.1751569999999987</v>
      </c>
      <c r="Y174" s="23">
        <f t="shared" si="655"/>
        <v>-14.759708</v>
      </c>
      <c r="Z174" s="23">
        <f t="shared" si="655"/>
        <v>-7.4675289999999999</v>
      </c>
      <c r="AA174" s="23">
        <f t="shared" si="655"/>
        <v>-14.697390000000002</v>
      </c>
      <c r="AB174" s="23">
        <f t="shared" si="655"/>
        <v>-7.0032179999999995</v>
      </c>
      <c r="AC174" s="23">
        <f t="shared" si="655"/>
        <v>-15.676232999999996</v>
      </c>
      <c r="AD174" s="23">
        <f t="shared" si="655"/>
        <v>-7.0982399999999997</v>
      </c>
      <c r="AE174" s="23">
        <f t="shared" ref="AE174:AH174" si="656">AE74</f>
        <v>-15.901899999999998</v>
      </c>
      <c r="AF174" s="23">
        <f t="shared" si="656"/>
        <v>-6.676960000000002</v>
      </c>
      <c r="AG174" s="23">
        <f t="shared" si="656"/>
        <v>-15.357313999999999</v>
      </c>
      <c r="AH174" s="23">
        <f t="shared" si="656"/>
        <v>-6.4270360000000002</v>
      </c>
      <c r="AI174" s="23">
        <f t="shared" ref="AI174:AL174" si="657">AI74</f>
        <v>-14.12256</v>
      </c>
      <c r="AJ174" s="23">
        <f t="shared" si="657"/>
        <v>-6.8665009999999995</v>
      </c>
      <c r="AK174" s="23">
        <f t="shared" si="657"/>
        <v>-14.671613000000001</v>
      </c>
      <c r="AL174" s="23">
        <f t="shared" si="657"/>
        <v>-6.6697699999999998</v>
      </c>
      <c r="AM174" s="23">
        <f t="shared" ref="AM174:AP174" si="658">AM74</f>
        <v>-14.130230000000001</v>
      </c>
      <c r="AN174" s="23">
        <f t="shared" si="658"/>
        <v>-6.7848569999999988</v>
      </c>
      <c r="AO174" s="23">
        <f t="shared" si="658"/>
        <v>-18.299312999999998</v>
      </c>
      <c r="AP174" s="23">
        <f t="shared" si="658"/>
        <v>-16.019134999999999</v>
      </c>
    </row>
    <row r="175" spans="2:42" s="39" customFormat="1" ht="13.5" customHeight="1" thickBot="1">
      <c r="B175" s="46" t="str">
        <f t="shared" si="630"/>
        <v xml:space="preserve">Net cash from operations </v>
      </c>
      <c r="C175" s="45">
        <f t="shared" si="630"/>
        <v>66.156683000000015</v>
      </c>
      <c r="D175" s="45">
        <f t="shared" si="630"/>
        <v>54.634362999999993</v>
      </c>
      <c r="E175" s="45">
        <f t="shared" si="630"/>
        <v>63.572039999999994</v>
      </c>
      <c r="F175" s="45">
        <f t="shared" si="630"/>
        <v>61.523378999999998</v>
      </c>
      <c r="G175" s="45">
        <f t="shared" si="630"/>
        <v>67.721674000000036</v>
      </c>
      <c r="H175" s="45">
        <f t="shared" si="630"/>
        <v>12.050160000000005</v>
      </c>
      <c r="I175" s="45">
        <f t="shared" ref="I175:J175" si="659">I75</f>
        <v>64.699377999999996</v>
      </c>
      <c r="J175" s="45">
        <f t="shared" si="659"/>
        <v>83.978802999999999</v>
      </c>
      <c r="K175" s="45">
        <f t="shared" ref="K175" si="660">K75</f>
        <v>146.15653499999996</v>
      </c>
      <c r="L175" s="45">
        <f t="shared" ref="L175" si="661">L75</f>
        <v>126.90230300000002</v>
      </c>
      <c r="M175" s="47"/>
      <c r="N175" s="45">
        <f t="shared" ref="N175:AD175" si="662">N75</f>
        <v>16.983741999999999</v>
      </c>
      <c r="O175" s="45">
        <f t="shared" si="662"/>
        <v>14.753468000000003</v>
      </c>
      <c r="P175" s="45">
        <f t="shared" si="662"/>
        <v>20.035064000000013</v>
      </c>
      <c r="Q175" s="45">
        <f t="shared" si="662"/>
        <v>11.799765999999984</v>
      </c>
      <c r="R175" s="45">
        <f t="shared" si="662"/>
        <v>5.083694000000003</v>
      </c>
      <c r="S175" s="45">
        <f t="shared" si="662"/>
        <v>14.830719</v>
      </c>
      <c r="T175" s="45">
        <f t="shared" si="662"/>
        <v>15.583388000000008</v>
      </c>
      <c r="U175" s="45">
        <f t="shared" si="662"/>
        <v>26.025577999999996</v>
      </c>
      <c r="V175" s="45">
        <f t="shared" si="662"/>
        <v>12.082414000000004</v>
      </c>
      <c r="W175" s="45">
        <f t="shared" si="662"/>
        <v>15.103592999999993</v>
      </c>
      <c r="X175" s="45">
        <f t="shared" si="662"/>
        <v>23.61460300000001</v>
      </c>
      <c r="Y175" s="45">
        <f t="shared" si="662"/>
        <v>16.91667300000001</v>
      </c>
      <c r="Z175" s="45">
        <f t="shared" si="662"/>
        <v>-12.251413000000007</v>
      </c>
      <c r="AA175" s="45">
        <f t="shared" si="662"/>
        <v>-13.305752999999999</v>
      </c>
      <c r="AB175" s="45">
        <f t="shared" si="662"/>
        <v>62.436097000000011</v>
      </c>
      <c r="AC175" s="45">
        <f t="shared" si="662"/>
        <v>-24.862579999999987</v>
      </c>
      <c r="AD175" s="45">
        <f t="shared" si="662"/>
        <v>24.125395000000005</v>
      </c>
      <c r="AE175" s="45">
        <f t="shared" ref="AE175:AH175" si="663">AE75</f>
        <v>0.72793000000001484</v>
      </c>
      <c r="AF175" s="45">
        <f t="shared" si="663"/>
        <v>51.854174999999998</v>
      </c>
      <c r="AG175" s="45">
        <f t="shared" si="663"/>
        <v>-12.00812199999999</v>
      </c>
      <c r="AH175" s="45">
        <f t="shared" si="663"/>
        <v>-10.114677000000007</v>
      </c>
      <c r="AI175" s="45">
        <f t="shared" ref="AI175:AL175" si="664">AI75</f>
        <v>20.678266000000001</v>
      </c>
      <c r="AJ175" s="45">
        <f t="shared" si="664"/>
        <v>32.277101999999999</v>
      </c>
      <c r="AK175" s="45">
        <f t="shared" si="664"/>
        <v>41.267002999999967</v>
      </c>
      <c r="AL175" s="45">
        <f t="shared" si="664"/>
        <v>19.015141</v>
      </c>
      <c r="AM175" s="45">
        <f t="shared" ref="AM175:AP175" si="665">AM75</f>
        <v>41.023230999999996</v>
      </c>
      <c r="AN175" s="45">
        <f t="shared" si="665"/>
        <v>50.438680000000005</v>
      </c>
      <c r="AO175" s="45">
        <f t="shared" si="665"/>
        <v>35.679482999999998</v>
      </c>
      <c r="AP175" s="45">
        <f t="shared" si="665"/>
        <v>-0.23909099999999484</v>
      </c>
    </row>
    <row r="176" spans="2:42" ht="13.5" customHeight="1" thickTop="1">
      <c r="B176" s="35" t="str">
        <f t="shared" si="630"/>
        <v>Net Capex</v>
      </c>
      <c r="C176" s="48">
        <f t="shared" si="630"/>
        <v>-196.47036699999998</v>
      </c>
      <c r="D176" s="48">
        <f t="shared" si="630"/>
        <v>-139.093018</v>
      </c>
      <c r="E176" s="48">
        <f t="shared" si="630"/>
        <v>1.2753080000000021</v>
      </c>
      <c r="F176" s="48">
        <f t="shared" si="630"/>
        <v>-73.345549000000005</v>
      </c>
      <c r="G176" s="48">
        <f t="shared" si="630"/>
        <v>15.952125999999994</v>
      </c>
      <c r="H176" s="48">
        <f t="shared" si="630"/>
        <v>-262.15760299999999</v>
      </c>
      <c r="I176" s="48">
        <f t="shared" ref="I176:J176" si="666">I76</f>
        <v>-223.07246500000002</v>
      </c>
      <c r="J176" s="48">
        <f t="shared" si="666"/>
        <v>-226.66518500000001</v>
      </c>
      <c r="K176" s="48">
        <f t="shared" ref="K176" si="667">K76</f>
        <v>-332.27149900000001</v>
      </c>
      <c r="L176" s="48">
        <f t="shared" ref="L176" si="668">L76</f>
        <v>-289.05288400000001</v>
      </c>
      <c r="M176" s="151"/>
      <c r="N176" s="48">
        <f t="shared" ref="N176:AD176" si="669">N76</f>
        <v>-20.497951</v>
      </c>
      <c r="O176" s="48">
        <f t="shared" si="669"/>
        <v>91.622642000000013</v>
      </c>
      <c r="P176" s="48">
        <f t="shared" si="669"/>
        <v>-37.08691000000001</v>
      </c>
      <c r="Q176" s="48">
        <f t="shared" si="669"/>
        <v>-32.762473</v>
      </c>
      <c r="R176" s="48">
        <f t="shared" si="669"/>
        <v>-12.021969</v>
      </c>
      <c r="S176" s="48">
        <f t="shared" si="669"/>
        <v>-21.641853000000005</v>
      </c>
      <c r="T176" s="48">
        <f t="shared" si="669"/>
        <v>-14.838223999999995</v>
      </c>
      <c r="U176" s="48">
        <f t="shared" si="669"/>
        <v>-24.843503000000005</v>
      </c>
      <c r="V176" s="48">
        <f t="shared" si="669"/>
        <v>-18.118631999999998</v>
      </c>
      <c r="W176" s="48">
        <f t="shared" si="669"/>
        <v>-14.233018000000001</v>
      </c>
      <c r="X176" s="48">
        <f t="shared" si="669"/>
        <v>-30.459146000000004</v>
      </c>
      <c r="Y176" s="48">
        <f t="shared" si="669"/>
        <v>78.762922000000003</v>
      </c>
      <c r="Z176" s="48">
        <f t="shared" si="669"/>
        <v>-80.640628000000007</v>
      </c>
      <c r="AA176" s="48">
        <f t="shared" si="669"/>
        <v>-13.594445999999991</v>
      </c>
      <c r="AB176" s="48">
        <f t="shared" si="669"/>
        <v>-74.077689000000007</v>
      </c>
      <c r="AC176" s="48">
        <f t="shared" si="669"/>
        <v>-93.844839999999976</v>
      </c>
      <c r="AD176" s="48">
        <f t="shared" si="669"/>
        <v>-54.322607999999995</v>
      </c>
      <c r="AE176" s="48">
        <f t="shared" ref="AE176:AH176" si="670">AE76</f>
        <v>-35.059153999999999</v>
      </c>
      <c r="AF176" s="48">
        <f t="shared" si="670"/>
        <v>-106.394341</v>
      </c>
      <c r="AG176" s="48">
        <f t="shared" si="670"/>
        <v>-27.296362000000045</v>
      </c>
      <c r="AH176" s="48">
        <f t="shared" si="670"/>
        <v>-47.635565999999997</v>
      </c>
      <c r="AI176" s="48">
        <f t="shared" ref="AI176:AL176" si="671">AI76</f>
        <v>-53.647311999999999</v>
      </c>
      <c r="AJ176" s="48">
        <f t="shared" si="671"/>
        <v>-70.440837000000002</v>
      </c>
      <c r="AK176" s="48">
        <f t="shared" si="671"/>
        <v>-54.94147000000001</v>
      </c>
      <c r="AL176" s="48">
        <f t="shared" si="671"/>
        <v>-58.956631999999999</v>
      </c>
      <c r="AM176" s="48">
        <f t="shared" ref="AM176:AP176" si="672">AM76</f>
        <v>-111.543368</v>
      </c>
      <c r="AN176" s="48">
        <f t="shared" si="672"/>
        <v>-50.982118</v>
      </c>
      <c r="AO176" s="48">
        <f t="shared" si="672"/>
        <v>-110.78938099999999</v>
      </c>
      <c r="AP176" s="48">
        <f t="shared" si="672"/>
        <v>-15.738016999999999</v>
      </c>
    </row>
    <row r="177" spans="2:42" ht="13.5" customHeight="1">
      <c r="B177" s="35" t="str">
        <f t="shared" si="630"/>
        <v>Purchase of intangible assets</v>
      </c>
      <c r="C177" s="48">
        <f t="shared" si="630"/>
        <v>0</v>
      </c>
      <c r="D177" s="48">
        <f t="shared" si="630"/>
        <v>0</v>
      </c>
      <c r="E177" s="48">
        <f t="shared" si="630"/>
        <v>0</v>
      </c>
      <c r="F177" s="48">
        <f t="shared" si="630"/>
        <v>0</v>
      </c>
      <c r="G177" s="48">
        <f t="shared" si="630"/>
        <v>0</v>
      </c>
      <c r="H177" s="48">
        <f t="shared" si="630"/>
        <v>0</v>
      </c>
      <c r="I177" s="48">
        <f t="shared" ref="I177:J177" si="673">I77</f>
        <v>0</v>
      </c>
      <c r="J177" s="48">
        <f t="shared" si="673"/>
        <v>0</v>
      </c>
      <c r="K177" s="48">
        <f t="shared" ref="K177" si="674">K77</f>
        <v>0</v>
      </c>
      <c r="L177" s="48">
        <f t="shared" ref="L177" si="675">L77</f>
        <v>0</v>
      </c>
      <c r="M177" s="151"/>
      <c r="N177" s="48">
        <f t="shared" ref="N177:AD177" si="676">N77</f>
        <v>0</v>
      </c>
      <c r="O177" s="48">
        <f t="shared" si="676"/>
        <v>0</v>
      </c>
      <c r="P177" s="48">
        <f t="shared" si="676"/>
        <v>0</v>
      </c>
      <c r="Q177" s="48">
        <f t="shared" si="676"/>
        <v>0</v>
      </c>
      <c r="R177" s="48">
        <f t="shared" si="676"/>
        <v>0</v>
      </c>
      <c r="S177" s="48">
        <f t="shared" si="676"/>
        <v>0</v>
      </c>
      <c r="T177" s="48">
        <f t="shared" si="676"/>
        <v>0</v>
      </c>
      <c r="U177" s="48">
        <f t="shared" si="676"/>
        <v>0</v>
      </c>
      <c r="V177" s="48">
        <f t="shared" si="676"/>
        <v>0</v>
      </c>
      <c r="W177" s="48">
        <f t="shared" si="676"/>
        <v>0</v>
      </c>
      <c r="X177" s="48">
        <f t="shared" si="676"/>
        <v>0</v>
      </c>
      <c r="Y177" s="48">
        <f t="shared" si="676"/>
        <v>0</v>
      </c>
      <c r="Z177" s="48">
        <f t="shared" si="676"/>
        <v>0</v>
      </c>
      <c r="AA177" s="48">
        <f t="shared" si="676"/>
        <v>0</v>
      </c>
      <c r="AB177" s="48">
        <f t="shared" si="676"/>
        <v>0</v>
      </c>
      <c r="AC177" s="48">
        <f t="shared" si="676"/>
        <v>0</v>
      </c>
      <c r="AD177" s="48">
        <f t="shared" si="676"/>
        <v>0</v>
      </c>
      <c r="AE177" s="48">
        <f t="shared" ref="AE177:AH177" si="677">AE77</f>
        <v>0</v>
      </c>
      <c r="AF177" s="48">
        <f t="shared" si="677"/>
        <v>0</v>
      </c>
      <c r="AG177" s="48">
        <f t="shared" si="677"/>
        <v>0</v>
      </c>
      <c r="AH177" s="48">
        <f t="shared" si="677"/>
        <v>0</v>
      </c>
      <c r="AI177" s="48">
        <f t="shared" ref="AI177:AL177" si="678">AI77</f>
        <v>0</v>
      </c>
      <c r="AJ177" s="48">
        <f t="shared" si="678"/>
        <v>0</v>
      </c>
      <c r="AK177" s="48">
        <f t="shared" si="678"/>
        <v>0</v>
      </c>
      <c r="AL177" s="48">
        <f t="shared" si="678"/>
        <v>0</v>
      </c>
      <c r="AM177" s="48">
        <f t="shared" ref="AM177:AP177" si="679">AM77</f>
        <v>0</v>
      </c>
      <c r="AN177" s="48">
        <f t="shared" si="679"/>
        <v>0</v>
      </c>
      <c r="AO177" s="48">
        <f t="shared" si="679"/>
        <v>0</v>
      </c>
      <c r="AP177" s="48">
        <f t="shared" si="679"/>
        <v>0</v>
      </c>
    </row>
    <row r="178" spans="2:42" ht="13.5" customHeight="1">
      <c r="B178" s="35" t="str">
        <f t="shared" si="630"/>
        <v>Disposals/ Acquistion, of subsidiaries, businesses</v>
      </c>
      <c r="C178" s="48">
        <f t="shared" si="630"/>
        <v>0</v>
      </c>
      <c r="D178" s="48">
        <f t="shared" si="630"/>
        <v>0</v>
      </c>
      <c r="E178" s="48">
        <f t="shared" si="630"/>
        <v>0</v>
      </c>
      <c r="F178" s="48">
        <f t="shared" si="630"/>
        <v>0</v>
      </c>
      <c r="G178" s="48">
        <f t="shared" si="630"/>
        <v>0</v>
      </c>
      <c r="H178" s="48">
        <f t="shared" si="630"/>
        <v>0</v>
      </c>
      <c r="I178" s="48">
        <f t="shared" ref="I178:J178" si="680">I78</f>
        <v>0</v>
      </c>
      <c r="J178" s="48">
        <f t="shared" si="680"/>
        <v>0</v>
      </c>
      <c r="K178" s="48">
        <f t="shared" ref="K178" si="681">K78</f>
        <v>0</v>
      </c>
      <c r="L178" s="48">
        <f t="shared" ref="L178" si="682">L78</f>
        <v>0</v>
      </c>
      <c r="M178" s="151"/>
      <c r="N178" s="48">
        <f t="shared" ref="N178:AD178" si="683">N78</f>
        <v>0</v>
      </c>
      <c r="O178" s="48">
        <f t="shared" si="683"/>
        <v>0</v>
      </c>
      <c r="P178" s="48">
        <f t="shared" si="683"/>
        <v>0</v>
      </c>
      <c r="Q178" s="48">
        <f t="shared" si="683"/>
        <v>0</v>
      </c>
      <c r="R178" s="48">
        <f t="shared" si="683"/>
        <v>0</v>
      </c>
      <c r="S178" s="48">
        <f t="shared" si="683"/>
        <v>0</v>
      </c>
      <c r="T178" s="48">
        <f t="shared" si="683"/>
        <v>0</v>
      </c>
      <c r="U178" s="48">
        <f t="shared" si="683"/>
        <v>0</v>
      </c>
      <c r="V178" s="48">
        <f t="shared" si="683"/>
        <v>0</v>
      </c>
      <c r="W178" s="48">
        <f t="shared" si="683"/>
        <v>0</v>
      </c>
      <c r="X178" s="48">
        <f t="shared" si="683"/>
        <v>0</v>
      </c>
      <c r="Y178" s="48">
        <f t="shared" si="683"/>
        <v>0</v>
      </c>
      <c r="Z178" s="48">
        <f t="shared" si="683"/>
        <v>0</v>
      </c>
      <c r="AA178" s="48">
        <f t="shared" si="683"/>
        <v>0</v>
      </c>
      <c r="AB178" s="48">
        <f t="shared" si="683"/>
        <v>0</v>
      </c>
      <c r="AC178" s="48">
        <f t="shared" si="683"/>
        <v>0</v>
      </c>
      <c r="AD178" s="48">
        <f t="shared" si="683"/>
        <v>0</v>
      </c>
      <c r="AE178" s="48">
        <f t="shared" ref="AE178:AH178" si="684">AE78</f>
        <v>0</v>
      </c>
      <c r="AF178" s="48">
        <f t="shared" si="684"/>
        <v>0</v>
      </c>
      <c r="AG178" s="48">
        <f t="shared" si="684"/>
        <v>0</v>
      </c>
      <c r="AH178" s="48">
        <f t="shared" si="684"/>
        <v>0</v>
      </c>
      <c r="AI178" s="48">
        <f t="shared" ref="AI178:AL178" si="685">AI78</f>
        <v>0</v>
      </c>
      <c r="AJ178" s="48">
        <f t="shared" si="685"/>
        <v>0</v>
      </c>
      <c r="AK178" s="48">
        <f t="shared" si="685"/>
        <v>0</v>
      </c>
      <c r="AL178" s="48">
        <f t="shared" si="685"/>
        <v>0</v>
      </c>
      <c r="AM178" s="48">
        <f t="shared" ref="AM178:AP178" si="686">AM78</f>
        <v>0</v>
      </c>
      <c r="AN178" s="48">
        <f t="shared" si="686"/>
        <v>0</v>
      </c>
      <c r="AO178" s="48">
        <f t="shared" si="686"/>
        <v>0</v>
      </c>
      <c r="AP178" s="48">
        <f t="shared" si="686"/>
        <v>0</v>
      </c>
    </row>
    <row r="179" spans="2:42" s="39" customFormat="1" ht="13.5" customHeight="1" thickBot="1">
      <c r="B179" s="46" t="str">
        <f t="shared" si="630"/>
        <v xml:space="preserve">Free cash flow </v>
      </c>
      <c r="C179" s="45">
        <f t="shared" si="630"/>
        <v>-130.31368399999997</v>
      </c>
      <c r="D179" s="45">
        <f t="shared" si="630"/>
        <v>-84.458655000000007</v>
      </c>
      <c r="E179" s="45">
        <f t="shared" si="630"/>
        <v>64.847347999999997</v>
      </c>
      <c r="F179" s="45">
        <f t="shared" si="630"/>
        <v>-11.822170000000007</v>
      </c>
      <c r="G179" s="45">
        <f t="shared" si="630"/>
        <v>83.673800000000028</v>
      </c>
      <c r="H179" s="45">
        <f t="shared" si="630"/>
        <v>-250.10744299999999</v>
      </c>
      <c r="I179" s="45">
        <f t="shared" ref="I179:J179" si="687">I79</f>
        <v>-158.37308700000003</v>
      </c>
      <c r="J179" s="45">
        <f t="shared" si="687"/>
        <v>-142.68638200000001</v>
      </c>
      <c r="K179" s="45">
        <f t="shared" ref="K179" si="688">K79</f>
        <v>-186.11496400000004</v>
      </c>
      <c r="L179" s="45">
        <f t="shared" ref="L179" si="689">L79</f>
        <v>-162.15058099999999</v>
      </c>
      <c r="M179" s="47"/>
      <c r="N179" s="45">
        <f t="shared" ref="N179:AD179" si="690">N79</f>
        <v>-3.514209000000001</v>
      </c>
      <c r="O179" s="45">
        <f t="shared" si="690"/>
        <v>106.37611000000001</v>
      </c>
      <c r="P179" s="45">
        <f t="shared" si="690"/>
        <v>-17.051845999999998</v>
      </c>
      <c r="Q179" s="45">
        <f t="shared" si="690"/>
        <v>-20.962707000000016</v>
      </c>
      <c r="R179" s="45">
        <f t="shared" si="690"/>
        <v>-6.9382749999999973</v>
      </c>
      <c r="S179" s="45">
        <f t="shared" si="690"/>
        <v>-6.8111340000000045</v>
      </c>
      <c r="T179" s="45">
        <f t="shared" si="690"/>
        <v>0.74516400000001326</v>
      </c>
      <c r="U179" s="45">
        <f t="shared" si="690"/>
        <v>1.1820749999999904</v>
      </c>
      <c r="V179" s="45">
        <f t="shared" si="690"/>
        <v>-6.0362179999999945</v>
      </c>
      <c r="W179" s="45">
        <f t="shared" si="690"/>
        <v>0.87057499999999166</v>
      </c>
      <c r="X179" s="45">
        <f t="shared" si="690"/>
        <v>-6.8445429999999945</v>
      </c>
      <c r="Y179" s="45">
        <f t="shared" si="690"/>
        <v>95.679595000000006</v>
      </c>
      <c r="Z179" s="45">
        <f t="shared" si="690"/>
        <v>-92.892041000000006</v>
      </c>
      <c r="AA179" s="45">
        <f t="shared" si="690"/>
        <v>-26.90019899999999</v>
      </c>
      <c r="AB179" s="45">
        <f t="shared" si="690"/>
        <v>-11.641591999999996</v>
      </c>
      <c r="AC179" s="45">
        <f t="shared" si="690"/>
        <v>-118.70741999999996</v>
      </c>
      <c r="AD179" s="45">
        <f t="shared" si="690"/>
        <v>-30.197212999999991</v>
      </c>
      <c r="AE179" s="45">
        <f t="shared" ref="AE179:AH179" si="691">AE79</f>
        <v>-34.331223999999985</v>
      </c>
      <c r="AF179" s="45">
        <f t="shared" si="691"/>
        <v>-54.540165999999999</v>
      </c>
      <c r="AG179" s="45">
        <f t="shared" si="691"/>
        <v>-39.304484000000031</v>
      </c>
      <c r="AH179" s="45">
        <f t="shared" si="691"/>
        <v>-57.750243000000005</v>
      </c>
      <c r="AI179" s="45">
        <f t="shared" ref="AI179:AL179" si="692">AI79</f>
        <v>-32.969045999999999</v>
      </c>
      <c r="AJ179" s="45">
        <f t="shared" si="692"/>
        <v>-38.163735000000003</v>
      </c>
      <c r="AK179" s="45">
        <f t="shared" si="692"/>
        <v>-13.674467000000043</v>
      </c>
      <c r="AL179" s="45">
        <f t="shared" si="692"/>
        <v>-39.941490999999999</v>
      </c>
      <c r="AM179" s="45">
        <f t="shared" ref="AM179:AP179" si="693">AM79</f>
        <v>-70.520137000000005</v>
      </c>
      <c r="AN179" s="45">
        <f t="shared" si="693"/>
        <v>-0.54343799999999476</v>
      </c>
      <c r="AO179" s="45">
        <f t="shared" si="693"/>
        <v>-75.109897999999987</v>
      </c>
      <c r="AP179" s="45">
        <f t="shared" si="693"/>
        <v>-15.977107999999994</v>
      </c>
    </row>
    <row r="180" spans="2:42" s="39" customFormat="1" ht="13.5" customHeight="1" thickTop="1">
      <c r="B180" s="35" t="str">
        <f t="shared" si="630"/>
        <v xml:space="preserve">Other Investing </v>
      </c>
      <c r="C180" s="48">
        <f t="shared" si="630"/>
        <v>-9.6419999999999978E-3</v>
      </c>
      <c r="D180" s="48">
        <f t="shared" si="630"/>
        <v>0.38785599999999998</v>
      </c>
      <c r="E180" s="48">
        <f t="shared" si="630"/>
        <v>-1.0174000000000002E-2</v>
      </c>
      <c r="F180" s="48">
        <f t="shared" si="630"/>
        <v>0.43198999999999999</v>
      </c>
      <c r="G180" s="48">
        <f t="shared" si="630"/>
        <v>0.76180700000000001</v>
      </c>
      <c r="H180" s="48">
        <f t="shared" si="630"/>
        <v>0</v>
      </c>
      <c r="I180" s="48">
        <f t="shared" ref="I180:J180" si="694">I80</f>
        <v>0</v>
      </c>
      <c r="J180" s="48">
        <f t="shared" si="694"/>
        <v>0</v>
      </c>
      <c r="K180" s="48">
        <f t="shared" ref="K180" si="695">K80</f>
        <v>-3.521881</v>
      </c>
      <c r="L180" s="48">
        <f t="shared" ref="L180" si="696">L80</f>
        <v>-3.521881</v>
      </c>
      <c r="M180" s="151"/>
      <c r="N180" s="48">
        <f t="shared" ref="N180:AD180" si="697">N80</f>
        <v>-8.2729999999999991E-3</v>
      </c>
      <c r="O180" s="48">
        <f t="shared" si="697"/>
        <v>4.4216000000000005E-2</v>
      </c>
      <c r="P180" s="48">
        <f t="shared" si="697"/>
        <v>2.2073999999999993E-2</v>
      </c>
      <c r="Q180" s="48">
        <f t="shared" si="697"/>
        <v>-6.8191000000000002E-2</v>
      </c>
      <c r="R180" s="48">
        <f t="shared" si="697"/>
        <v>0.25004199999999999</v>
      </c>
      <c r="S180" s="48">
        <f t="shared" si="697"/>
        <v>0.18736600000000003</v>
      </c>
      <c r="T180" s="48">
        <f t="shared" si="697"/>
        <v>6.8409999999999971E-2</v>
      </c>
      <c r="U180" s="48">
        <f t="shared" si="697"/>
        <v>-7.3828000000000005E-2</v>
      </c>
      <c r="V180" s="48">
        <f t="shared" si="697"/>
        <v>3.8377999999999995E-2</v>
      </c>
      <c r="W180" s="48">
        <f t="shared" si="697"/>
        <v>-1.4640999999999994E-2</v>
      </c>
      <c r="X180" s="48">
        <f t="shared" si="697"/>
        <v>0.71415299999999993</v>
      </c>
      <c r="Y180" s="48">
        <f t="shared" si="697"/>
        <v>2.3917000000000077E-2</v>
      </c>
      <c r="Z180" s="48">
        <f t="shared" si="697"/>
        <v>3.7774000000000002E-2</v>
      </c>
      <c r="AA180" s="48">
        <f t="shared" si="697"/>
        <v>0.132774</v>
      </c>
      <c r="AB180" s="48">
        <f t="shared" si="697"/>
        <v>-0.17054800000000001</v>
      </c>
      <c r="AC180" s="48">
        <f t="shared" si="697"/>
        <v>0</v>
      </c>
      <c r="AD180" s="48">
        <f t="shared" si="697"/>
        <v>0</v>
      </c>
      <c r="AE180" s="48">
        <f t="shared" ref="AE180:AH180" si="698">AE80</f>
        <v>0</v>
      </c>
      <c r="AF180" s="48">
        <f t="shared" si="698"/>
        <v>0</v>
      </c>
      <c r="AG180" s="48">
        <f t="shared" si="698"/>
        <v>0</v>
      </c>
      <c r="AH180" s="48">
        <f t="shared" si="698"/>
        <v>15.147041</v>
      </c>
      <c r="AI180" s="48">
        <f t="shared" ref="AI180:AL180" si="699">AI80</f>
        <v>-15.147041</v>
      </c>
      <c r="AJ180" s="48">
        <f t="shared" si="699"/>
        <v>28.444282999999999</v>
      </c>
      <c r="AK180" s="48">
        <f t="shared" si="699"/>
        <v>-28.444282999999999</v>
      </c>
      <c r="AL180" s="48">
        <f t="shared" si="699"/>
        <v>0</v>
      </c>
      <c r="AM180" s="48">
        <f t="shared" ref="AM180:AP180" si="700">AM80</f>
        <v>-0.5</v>
      </c>
      <c r="AN180" s="48">
        <f t="shared" si="700"/>
        <v>-2.9422679999999999</v>
      </c>
      <c r="AO180" s="48">
        <f t="shared" si="700"/>
        <v>-7.9613000000000156E-2</v>
      </c>
      <c r="AP180" s="48">
        <f t="shared" si="700"/>
        <v>0</v>
      </c>
    </row>
    <row r="181" spans="2:42" ht="13.5" customHeight="1">
      <c r="B181" s="35" t="str">
        <f t="shared" ref="B181:H188" si="701">B81</f>
        <v>Equity Issuance / Repurchase of treasury shares</v>
      </c>
      <c r="C181" s="48">
        <f t="shared" si="701"/>
        <v>0</v>
      </c>
      <c r="D181" s="48">
        <f t="shared" si="701"/>
        <v>0</v>
      </c>
      <c r="E181" s="48">
        <f t="shared" si="701"/>
        <v>0</v>
      </c>
      <c r="F181" s="48">
        <f t="shared" si="701"/>
        <v>0</v>
      </c>
      <c r="G181" s="48">
        <f t="shared" si="701"/>
        <v>229.215419</v>
      </c>
      <c r="H181" s="48">
        <f t="shared" si="701"/>
        <v>-15.603308</v>
      </c>
      <c r="I181" s="48">
        <f t="shared" ref="I181:J181" si="702">I81</f>
        <v>594.375</v>
      </c>
      <c r="J181" s="48">
        <f t="shared" si="702"/>
        <v>-44.165790000000001</v>
      </c>
      <c r="K181" s="48">
        <f t="shared" ref="K181" si="703">K81</f>
        <v>-36.415844999999997</v>
      </c>
      <c r="L181" s="48">
        <f t="shared" ref="L181" si="704">L81</f>
        <v>-0.50806099999999788</v>
      </c>
      <c r="M181" s="151"/>
      <c r="N181" s="48">
        <f t="shared" ref="N181:AD181" si="705">N81</f>
        <v>0</v>
      </c>
      <c r="O181" s="48">
        <f t="shared" si="705"/>
        <v>0</v>
      </c>
      <c r="P181" s="48">
        <f t="shared" si="705"/>
        <v>0</v>
      </c>
      <c r="Q181" s="48">
        <f t="shared" si="705"/>
        <v>0</v>
      </c>
      <c r="R181" s="48">
        <f t="shared" si="705"/>
        <v>0</v>
      </c>
      <c r="S181" s="48">
        <f t="shared" si="705"/>
        <v>0</v>
      </c>
      <c r="T181" s="48">
        <f t="shared" si="705"/>
        <v>0</v>
      </c>
      <c r="U181" s="48">
        <f t="shared" si="705"/>
        <v>0</v>
      </c>
      <c r="V181" s="48">
        <f t="shared" si="705"/>
        <v>0</v>
      </c>
      <c r="W181" s="48">
        <f t="shared" si="705"/>
        <v>223.195449</v>
      </c>
      <c r="X181" s="48">
        <f t="shared" si="705"/>
        <v>0</v>
      </c>
      <c r="Y181" s="48">
        <f t="shared" si="705"/>
        <v>6.0199700000000007</v>
      </c>
      <c r="Z181" s="48">
        <f t="shared" si="705"/>
        <v>0</v>
      </c>
      <c r="AA181" s="48">
        <f t="shared" si="705"/>
        <v>-15.489262</v>
      </c>
      <c r="AB181" s="48">
        <f t="shared" si="705"/>
        <v>-0.11404600000000009</v>
      </c>
      <c r="AC181" s="48">
        <f t="shared" si="705"/>
        <v>0</v>
      </c>
      <c r="AD181" s="48">
        <f t="shared" si="705"/>
        <v>0</v>
      </c>
      <c r="AE181" s="48">
        <f t="shared" ref="AE181:AH181" si="706">AE81</f>
        <v>0</v>
      </c>
      <c r="AF181" s="48">
        <f t="shared" si="706"/>
        <v>444.01813700000002</v>
      </c>
      <c r="AG181" s="48">
        <f t="shared" si="706"/>
        <v>150.35686299999998</v>
      </c>
      <c r="AH181" s="48">
        <f t="shared" si="706"/>
        <v>0</v>
      </c>
      <c r="AI181" s="48">
        <f t="shared" ref="AI181:AL181" si="707">AI81</f>
        <v>0</v>
      </c>
      <c r="AJ181" s="48">
        <f t="shared" si="707"/>
        <v>-14.336805999999999</v>
      </c>
      <c r="AK181" s="48">
        <f t="shared" si="707"/>
        <v>-29.828984000000002</v>
      </c>
      <c r="AL181" s="48">
        <f t="shared" si="707"/>
        <v>-35.907783999999999</v>
      </c>
      <c r="AM181" s="48">
        <f t="shared" ref="AM181:AP181" si="708">AM81</f>
        <v>-0.4922159999999991</v>
      </c>
      <c r="AN181" s="48">
        <f t="shared" si="708"/>
        <v>-1.5844999999998777E-2</v>
      </c>
      <c r="AO181" s="48">
        <f t="shared" si="708"/>
        <v>0</v>
      </c>
      <c r="AP181" s="48">
        <f t="shared" si="708"/>
        <v>0</v>
      </c>
    </row>
    <row r="182" spans="2:42" ht="13.5" customHeight="1">
      <c r="B182" s="35" t="str">
        <f t="shared" si="701"/>
        <v>Dividends</v>
      </c>
      <c r="C182" s="48">
        <f t="shared" si="701"/>
        <v>-39.110027000000002</v>
      </c>
      <c r="D182" s="48">
        <f t="shared" si="701"/>
        <v>-47.897981000000001</v>
      </c>
      <c r="E182" s="48">
        <f t="shared" si="701"/>
        <v>-39.444747999999997</v>
      </c>
      <c r="F182" s="48">
        <f t="shared" si="701"/>
        <v>-53.975583</v>
      </c>
      <c r="G182" s="48">
        <f t="shared" si="701"/>
        <v>-55.367252000000001</v>
      </c>
      <c r="H182" s="48">
        <f t="shared" si="701"/>
        <v>-57.018814999999996</v>
      </c>
      <c r="I182" s="48">
        <f t="shared" ref="I182:J182" si="709">I82</f>
        <v>-59.509926</v>
      </c>
      <c r="J182" s="48">
        <f t="shared" si="709"/>
        <v>-63.670175999999998</v>
      </c>
      <c r="K182" s="48">
        <f t="shared" ref="K182" si="710">K82</f>
        <v>-68.325102000000001</v>
      </c>
      <c r="L182" s="48">
        <f t="shared" ref="L182" si="711">L82</f>
        <v>-69.537972999999994</v>
      </c>
      <c r="M182" s="151"/>
      <c r="N182" s="48">
        <f t="shared" ref="N182:AD182" si="712">N82</f>
        <v>0</v>
      </c>
      <c r="O182" s="48">
        <f t="shared" si="712"/>
        <v>-13.19698</v>
      </c>
      <c r="P182" s="48">
        <f t="shared" si="712"/>
        <v>-13.370396</v>
      </c>
      <c r="Q182" s="48">
        <f t="shared" si="712"/>
        <v>-12.877371999999998</v>
      </c>
      <c r="R182" s="48">
        <f t="shared" si="712"/>
        <v>-13.371919999999999</v>
      </c>
      <c r="S182" s="48">
        <f t="shared" si="712"/>
        <v>-13.534555000000001</v>
      </c>
      <c r="T182" s="48">
        <f t="shared" si="712"/>
        <v>-13.534553000000002</v>
      </c>
      <c r="U182" s="48">
        <f t="shared" si="712"/>
        <v>-13.534554999999997</v>
      </c>
      <c r="V182" s="48">
        <f t="shared" si="712"/>
        <v>-13.534554999999999</v>
      </c>
      <c r="W182" s="48">
        <f t="shared" si="712"/>
        <v>-14.134918000000001</v>
      </c>
      <c r="X182" s="48">
        <f t="shared" si="712"/>
        <v>-13.753547000000003</v>
      </c>
      <c r="Y182" s="48">
        <f t="shared" si="712"/>
        <v>-13.944232</v>
      </c>
      <c r="Z182" s="48">
        <f t="shared" si="712"/>
        <v>-13.944232</v>
      </c>
      <c r="AA182" s="48">
        <f t="shared" si="712"/>
        <v>-14.358195000000002</v>
      </c>
      <c r="AB182" s="48">
        <f t="shared" si="712"/>
        <v>-14.358193999999997</v>
      </c>
      <c r="AC182" s="48">
        <f t="shared" si="712"/>
        <v>-14.358193999999997</v>
      </c>
      <c r="AD182" s="48">
        <f t="shared" si="712"/>
        <v>-14.358193999999999</v>
      </c>
      <c r="AE182" s="48">
        <f t="shared" ref="AE182:AH182" si="713">AE82</f>
        <v>-14.998211</v>
      </c>
      <c r="AF182" s="48">
        <f t="shared" si="713"/>
        <v>-15.076760000000005</v>
      </c>
      <c r="AG182" s="48">
        <f t="shared" si="713"/>
        <v>-15.076760999999998</v>
      </c>
      <c r="AH182" s="48">
        <f t="shared" si="713"/>
        <v>-15.155312</v>
      </c>
      <c r="AI182" s="48">
        <f t="shared" ref="AI182:AL182" si="714">AI82</f>
        <v>-16.171621000000002</v>
      </c>
      <c r="AJ182" s="48">
        <f t="shared" si="714"/>
        <v>-16.171621999999999</v>
      </c>
      <c r="AK182" s="48">
        <f t="shared" si="714"/>
        <v>-16.171620999999995</v>
      </c>
      <c r="AL182" s="48">
        <f t="shared" si="714"/>
        <v>-16.171621999999999</v>
      </c>
      <c r="AM182" s="48">
        <f t="shared" ref="AM182:AP182" si="715">AM82</f>
        <v>-17.428378000000002</v>
      </c>
      <c r="AN182" s="48">
        <f t="shared" si="715"/>
        <v>-17.340609000000001</v>
      </c>
      <c r="AO182" s="48">
        <f t="shared" si="715"/>
        <v>-17.384492999999999</v>
      </c>
      <c r="AP182" s="48">
        <f t="shared" si="715"/>
        <v>-17.384492999999999</v>
      </c>
    </row>
    <row r="183" spans="2:42" ht="13.5" customHeight="1">
      <c r="B183" s="35" t="str">
        <f t="shared" si="701"/>
        <v>Net Change in debt</v>
      </c>
      <c r="C183" s="48">
        <f t="shared" si="701"/>
        <v>243</v>
      </c>
      <c r="D183" s="48">
        <f t="shared" si="701"/>
        <v>116.47698099999999</v>
      </c>
      <c r="E183" s="48">
        <f t="shared" si="701"/>
        <v>14.454952</v>
      </c>
      <c r="F183" s="48">
        <f t="shared" si="701"/>
        <v>123.670176</v>
      </c>
      <c r="G183" s="48">
        <f t="shared" si="701"/>
        <v>96.935322999999997</v>
      </c>
      <c r="H183" s="48">
        <f t="shared" si="701"/>
        <v>-0.64797099999999996</v>
      </c>
      <c r="I183" s="48">
        <f t="shared" ref="I183:J183" si="716">I83</f>
        <v>-0.60627900000000001</v>
      </c>
      <c r="J183" s="48">
        <f t="shared" si="716"/>
        <v>-70.403816000000006</v>
      </c>
      <c r="K183" s="48">
        <f t="shared" ref="K183" si="717">K83</f>
        <v>435.57097400000004</v>
      </c>
      <c r="L183" s="48">
        <f t="shared" ref="L183" si="718">L83</f>
        <v>380.42043700000005</v>
      </c>
      <c r="M183" s="151"/>
      <c r="N183" s="48">
        <f t="shared" ref="N183:AD183" si="719">N83</f>
        <v>-0.452764</v>
      </c>
      <c r="O183" s="48">
        <f t="shared" si="719"/>
        <v>-2.0610989999999907</v>
      </c>
      <c r="P183" s="48">
        <f t="shared" si="719"/>
        <v>16.679847999999993</v>
      </c>
      <c r="Q183" s="48">
        <f t="shared" si="719"/>
        <v>0.28896699999999775</v>
      </c>
      <c r="R183" s="48">
        <f t="shared" si="719"/>
        <v>84.862776999999994</v>
      </c>
      <c r="S183" s="48">
        <f t="shared" si="719"/>
        <v>39.668082999999996</v>
      </c>
      <c r="T183" s="48">
        <f t="shared" si="719"/>
        <v>6.6316000000014697E-2</v>
      </c>
      <c r="U183" s="48">
        <f t="shared" si="719"/>
        <v>-0.92700000000000671</v>
      </c>
      <c r="V183" s="48">
        <f t="shared" si="719"/>
        <v>-0.12611700000000001</v>
      </c>
      <c r="W183" s="48">
        <f t="shared" si="719"/>
        <v>89.627679000000015</v>
      </c>
      <c r="X183" s="48">
        <f t="shared" si="719"/>
        <v>-0.12611400000002318</v>
      </c>
      <c r="Y183" s="48">
        <f t="shared" si="719"/>
        <v>7.5598750000000052</v>
      </c>
      <c r="Z183" s="48">
        <f t="shared" si="719"/>
        <v>-0.51133699999999993</v>
      </c>
      <c r="AA183" s="48">
        <f t="shared" si="719"/>
        <v>-0.49711100000000008</v>
      </c>
      <c r="AB183" s="48">
        <f t="shared" si="719"/>
        <v>-2.5705629999999999</v>
      </c>
      <c r="AC183" s="48">
        <f t="shared" si="719"/>
        <v>2.9310399999999999</v>
      </c>
      <c r="AD183" s="48">
        <f t="shared" si="719"/>
        <v>-1.3647690000000001</v>
      </c>
      <c r="AE183" s="48">
        <f t="shared" ref="AE183:AH183" si="720">AE83</f>
        <v>-1.3376799999999995</v>
      </c>
      <c r="AF183" s="48">
        <f t="shared" si="720"/>
        <v>-1.3123590000000005</v>
      </c>
      <c r="AG183" s="48">
        <f t="shared" si="720"/>
        <v>3.4085290000000006</v>
      </c>
      <c r="AH183" s="48">
        <f t="shared" si="720"/>
        <v>-1.2955319999999999</v>
      </c>
      <c r="AI183" s="48">
        <f t="shared" ref="AI183:AL183" si="721">AI83</f>
        <v>-1.157192</v>
      </c>
      <c r="AJ183" s="48">
        <f t="shared" si="721"/>
        <v>-66.499711000000019</v>
      </c>
      <c r="AK183" s="48">
        <f t="shared" si="721"/>
        <v>-1.4513809999999836</v>
      </c>
      <c r="AL183" s="48">
        <f t="shared" si="721"/>
        <v>-45.673498000000002</v>
      </c>
      <c r="AM183" s="48">
        <f t="shared" ref="AM183:AP183" si="722">AM83</f>
        <v>97.873498000000012</v>
      </c>
      <c r="AN183" s="48">
        <f t="shared" si="722"/>
        <v>548.53527999999994</v>
      </c>
      <c r="AO183" s="48">
        <f t="shared" si="722"/>
        <v>-165.16430599999995</v>
      </c>
      <c r="AP183" s="48">
        <f t="shared" si="722"/>
        <v>-100.82403499999999</v>
      </c>
    </row>
    <row r="184" spans="2:42" ht="13.5" customHeight="1">
      <c r="B184" s="35" t="str">
        <f t="shared" si="701"/>
        <v>Other financing activities</v>
      </c>
      <c r="C184" s="48">
        <f t="shared" si="701"/>
        <v>-29.277385000000002</v>
      </c>
      <c r="D184" s="48">
        <f t="shared" si="701"/>
        <v>-9.6785980000000009</v>
      </c>
      <c r="E184" s="48">
        <f t="shared" si="701"/>
        <v>-30.884673999999997</v>
      </c>
      <c r="F184" s="48">
        <f t="shared" si="701"/>
        <v>-14.171767000000001</v>
      </c>
      <c r="G184" s="48">
        <f t="shared" si="701"/>
        <v>-13.766192</v>
      </c>
      <c r="H184" s="48">
        <f t="shared" si="701"/>
        <v>-1.667278</v>
      </c>
      <c r="I184" s="48">
        <f t="shared" ref="I184:J184" si="723">I84</f>
        <v>-44.482776999999999</v>
      </c>
      <c r="J184" s="48">
        <f t="shared" si="723"/>
        <v>-5.5631620000000002</v>
      </c>
      <c r="K184" s="48">
        <f t="shared" ref="K184" si="724">K84</f>
        <v>-5.3507059999999997</v>
      </c>
      <c r="L184" s="48">
        <f t="shared" ref="L184" si="725">L84</f>
        <v>-5.3507059999999997</v>
      </c>
      <c r="M184" s="151"/>
      <c r="N184" s="48">
        <f t="shared" ref="N184:AD184" si="726">N84</f>
        <v>-1.7625810000000002</v>
      </c>
      <c r="O184" s="48">
        <f t="shared" si="726"/>
        <v>-18.684759999999997</v>
      </c>
      <c r="P184" s="48">
        <f t="shared" si="726"/>
        <v>-7.4430490000000029</v>
      </c>
      <c r="Q184" s="48">
        <f t="shared" si="726"/>
        <v>-2.9942839999999968</v>
      </c>
      <c r="R184" s="48">
        <f t="shared" si="726"/>
        <v>-14.242138000000001</v>
      </c>
      <c r="S184" s="48">
        <f t="shared" si="726"/>
        <v>-0.55375399999999964</v>
      </c>
      <c r="T184" s="48">
        <f t="shared" si="726"/>
        <v>0.36829499999999982</v>
      </c>
      <c r="U184" s="48">
        <f t="shared" si="726"/>
        <v>0.25582999999999956</v>
      </c>
      <c r="V184" s="48">
        <f t="shared" si="726"/>
        <v>0</v>
      </c>
      <c r="W184" s="48">
        <f t="shared" si="726"/>
        <v>0</v>
      </c>
      <c r="X184" s="48">
        <f t="shared" si="726"/>
        <v>0</v>
      </c>
      <c r="Y184" s="48">
        <f t="shared" si="726"/>
        <v>-13.766192</v>
      </c>
      <c r="Z184" s="48">
        <f t="shared" si="726"/>
        <v>-6.0421209999999999</v>
      </c>
      <c r="AA184" s="48">
        <f t="shared" si="726"/>
        <v>6.0421209999999999</v>
      </c>
      <c r="AB184" s="48">
        <f t="shared" si="726"/>
        <v>0</v>
      </c>
      <c r="AC184" s="48">
        <f t="shared" si="726"/>
        <v>-1.667278</v>
      </c>
      <c r="AD184" s="48">
        <f t="shared" si="726"/>
        <v>0</v>
      </c>
      <c r="AE184" s="48">
        <f t="shared" ref="AE184:AH184" si="727">AE84</f>
        <v>0</v>
      </c>
      <c r="AF184" s="48">
        <f t="shared" si="727"/>
        <v>-21.340299999999999</v>
      </c>
      <c r="AG184" s="48">
        <f t="shared" si="727"/>
        <v>-23.142477</v>
      </c>
      <c r="AH184" s="48">
        <f t="shared" si="727"/>
        <v>0</v>
      </c>
      <c r="AI184" s="48">
        <f t="shared" ref="AI184:AL184" si="728">AI84</f>
        <v>0</v>
      </c>
      <c r="AJ184" s="48">
        <f t="shared" si="728"/>
        <v>0</v>
      </c>
      <c r="AK184" s="48">
        <f t="shared" si="728"/>
        <v>-5.5631620000000002</v>
      </c>
      <c r="AL184" s="48">
        <f t="shared" si="728"/>
        <v>0</v>
      </c>
      <c r="AM184" s="48">
        <f t="shared" ref="AM184:AP184" si="729">AM84</f>
        <v>0</v>
      </c>
      <c r="AN184" s="48">
        <f t="shared" si="729"/>
        <v>-4.2914450000000004</v>
      </c>
      <c r="AO184" s="48">
        <f t="shared" si="729"/>
        <v>-1.0592609999999993</v>
      </c>
      <c r="AP184" s="48">
        <f t="shared" si="729"/>
        <v>0</v>
      </c>
    </row>
    <row r="185" spans="2:42" s="39" customFormat="1" ht="13.5" customHeight="1" thickBot="1">
      <c r="B185" s="46" t="str">
        <f t="shared" si="701"/>
        <v>Cash flow after financing activities</v>
      </c>
      <c r="C185" s="45">
        <f t="shared" si="701"/>
        <v>44.289262000000015</v>
      </c>
      <c r="D185" s="45">
        <f t="shared" si="701"/>
        <v>-25.170397000000015</v>
      </c>
      <c r="E185" s="45">
        <f t="shared" si="701"/>
        <v>8.9627039999999951</v>
      </c>
      <c r="F185" s="45">
        <f t="shared" si="701"/>
        <v>44.132645999999994</v>
      </c>
      <c r="G185" s="45">
        <f t="shared" si="701"/>
        <v>341.45290499999999</v>
      </c>
      <c r="H185" s="45">
        <f t="shared" si="701"/>
        <v>-325.04481500000003</v>
      </c>
      <c r="I185" s="45">
        <f t="shared" ref="I185:J185" si="730">I85</f>
        <v>331.40293099999997</v>
      </c>
      <c r="J185" s="45">
        <f t="shared" si="730"/>
        <v>-326.48932599999995</v>
      </c>
      <c r="K185" s="45">
        <f t="shared" ref="K185" si="731">K85</f>
        <v>135.84247599999998</v>
      </c>
      <c r="L185" s="45">
        <f t="shared" ref="L185" si="732">L85</f>
        <v>139.35123500000006</v>
      </c>
      <c r="M185" s="47"/>
      <c r="N185" s="45">
        <f t="shared" ref="N185:AD185" si="733">N85</f>
        <v>-5.7378270000000011</v>
      </c>
      <c r="O185" s="45">
        <f t="shared" si="733"/>
        <v>72.477487000000039</v>
      </c>
      <c r="P185" s="45">
        <f t="shared" si="733"/>
        <v>-21.163369000000007</v>
      </c>
      <c r="Q185" s="45">
        <f t="shared" si="733"/>
        <v>-36.61358700000001</v>
      </c>
      <c r="R185" s="45">
        <f t="shared" si="733"/>
        <v>50.560485999999997</v>
      </c>
      <c r="S185" s="45">
        <f t="shared" si="733"/>
        <v>18.956005999999988</v>
      </c>
      <c r="T185" s="45">
        <f t="shared" si="733"/>
        <v>-12.286367999999975</v>
      </c>
      <c r="U185" s="45">
        <f t="shared" si="733"/>
        <v>-13.097478000000015</v>
      </c>
      <c r="V185" s="45">
        <f t="shared" si="733"/>
        <v>-19.658511999999995</v>
      </c>
      <c r="W185" s="45">
        <f t="shared" si="733"/>
        <v>299.54414400000002</v>
      </c>
      <c r="X185" s="45">
        <f t="shared" si="733"/>
        <v>-20.010051000000018</v>
      </c>
      <c r="Y185" s="45">
        <f t="shared" si="733"/>
        <v>81.572933000000006</v>
      </c>
      <c r="Z185" s="45">
        <f t="shared" si="733"/>
        <v>-113.351957</v>
      </c>
      <c r="AA185" s="45">
        <f t="shared" si="733"/>
        <v>-51.069871999999982</v>
      </c>
      <c r="AB185" s="45">
        <f t="shared" si="733"/>
        <v>-28.854942999999992</v>
      </c>
      <c r="AC185" s="45">
        <f t="shared" si="733"/>
        <v>-131.80185199999997</v>
      </c>
      <c r="AD185" s="45">
        <f t="shared" si="733"/>
        <v>-45.920175999999991</v>
      </c>
      <c r="AE185" s="45">
        <f t="shared" ref="AE185:AH185" si="734">AE85</f>
        <v>-50.667114999999981</v>
      </c>
      <c r="AF185" s="45">
        <f t="shared" si="734"/>
        <v>351.74855200000002</v>
      </c>
      <c r="AG185" s="45">
        <f t="shared" si="734"/>
        <v>76.241669999999942</v>
      </c>
      <c r="AH185" s="45">
        <f t="shared" si="734"/>
        <v>-59.054046000000007</v>
      </c>
      <c r="AI185" s="45">
        <f t="shared" ref="AI185:AL185" si="735">AI85</f>
        <v>-65.444900000000004</v>
      </c>
      <c r="AJ185" s="45">
        <f t="shared" si="735"/>
        <v>-106.72759100000002</v>
      </c>
      <c r="AK185" s="45">
        <f t="shared" si="735"/>
        <v>-95.13389800000003</v>
      </c>
      <c r="AL185" s="45">
        <f t="shared" si="735"/>
        <v>-137.69439500000001</v>
      </c>
      <c r="AM185" s="45">
        <f t="shared" ref="AM185:AP185" si="736">AM85</f>
        <v>8.9327670000000126</v>
      </c>
      <c r="AN185" s="45">
        <f t="shared" si="736"/>
        <v>523.40167499999995</v>
      </c>
      <c r="AO185" s="45">
        <f t="shared" si="736"/>
        <v>-258.79757099999995</v>
      </c>
      <c r="AP185" s="45">
        <f t="shared" si="736"/>
        <v>-134.18563599999999</v>
      </c>
    </row>
    <row r="186" spans="2:42" s="39" customFormat="1" ht="13.5" customHeight="1" thickTop="1">
      <c r="B186" s="35" t="str">
        <f t="shared" si="701"/>
        <v>Balancing figure</v>
      </c>
      <c r="C186" s="48">
        <f t="shared" si="701"/>
        <v>0.10079199999998334</v>
      </c>
      <c r="D186" s="48">
        <f t="shared" si="701"/>
        <v>0.34998800000001529</v>
      </c>
      <c r="E186" s="48">
        <f t="shared" si="701"/>
        <v>1.0508430000000042</v>
      </c>
      <c r="F186" s="48">
        <f t="shared" si="701"/>
        <v>5.9490000000068655E-3</v>
      </c>
      <c r="G186" s="48">
        <f t="shared" si="701"/>
        <v>-5.0275719999999655</v>
      </c>
      <c r="H186" s="48">
        <f t="shared" si="701"/>
        <v>8.3203380000000546</v>
      </c>
      <c r="I186" s="48">
        <f t="shared" ref="I186:J186" si="737">I86</f>
        <v>35.062443000000023</v>
      </c>
      <c r="J186" s="48">
        <f t="shared" si="737"/>
        <v>3.6423149999999751</v>
      </c>
      <c r="K186" s="48">
        <f t="shared" ref="K186" si="738">K86</f>
        <v>15.211095000000038</v>
      </c>
      <c r="L186" s="48">
        <f t="shared" ref="L186" si="739">L86</f>
        <v>26.260598000000002</v>
      </c>
      <c r="M186" s="151"/>
      <c r="N186" s="48">
        <f t="shared" ref="N186:AD186" si="740">N86</f>
        <v>0.4132200000000007</v>
      </c>
      <c r="O186" s="48">
        <f t="shared" si="740"/>
        <v>-0.22479300000004576</v>
      </c>
      <c r="P186" s="48">
        <f t="shared" si="740"/>
        <v>-0.247045999999985</v>
      </c>
      <c r="Q186" s="48">
        <f t="shared" si="740"/>
        <v>1.1094620000000344</v>
      </c>
      <c r="R186" s="48">
        <f t="shared" si="740"/>
        <v>0.18504899999999935</v>
      </c>
      <c r="S186" s="48">
        <f t="shared" si="740"/>
        <v>0.35581700000001693</v>
      </c>
      <c r="T186" s="48">
        <f t="shared" si="740"/>
        <v>-0.53834400000003679</v>
      </c>
      <c r="U186" s="48">
        <f t="shared" si="740"/>
        <v>3.4270000000273804E-3</v>
      </c>
      <c r="V186" s="48">
        <f t="shared" si="740"/>
        <v>7.05489999999942E-2</v>
      </c>
      <c r="W186" s="48">
        <f t="shared" si="740"/>
        <v>-5.6510569999999882</v>
      </c>
      <c r="X186" s="48">
        <f t="shared" si="740"/>
        <v>0.63168199999999231</v>
      </c>
      <c r="Y186" s="48">
        <f t="shared" si="740"/>
        <v>-7.8745999999964233E-2</v>
      </c>
      <c r="Z186" s="48">
        <f t="shared" si="740"/>
        <v>2.6638999999992308E-2</v>
      </c>
      <c r="AA186" s="48">
        <f t="shared" si="740"/>
        <v>8.8275769999999874</v>
      </c>
      <c r="AB186" s="48">
        <f t="shared" si="740"/>
        <v>0.60417899999999936</v>
      </c>
      <c r="AC186" s="48">
        <f t="shared" si="740"/>
        <v>-1.1380569999999235</v>
      </c>
      <c r="AD186" s="48">
        <f t="shared" si="740"/>
        <v>0.49581799999999276</v>
      </c>
      <c r="AE186" s="48">
        <f t="shared" ref="AE186:AH186" si="741">AE86</f>
        <v>4.0558339999999777</v>
      </c>
      <c r="AF186" s="48">
        <f t="shared" si="741"/>
        <v>18.011485999999984</v>
      </c>
      <c r="AG186" s="48">
        <f t="shared" si="741"/>
        <v>12.499305000000071</v>
      </c>
      <c r="AH186" s="48">
        <f t="shared" si="741"/>
        <v>3.7350170000000049</v>
      </c>
      <c r="AI186" s="48">
        <f t="shared" ref="AI186:AL186" si="742">AI86</f>
        <v>2.8745850000000086</v>
      </c>
      <c r="AJ186" s="48">
        <f t="shared" si="742"/>
        <v>2.3797890000000255</v>
      </c>
      <c r="AK186" s="48">
        <f t="shared" si="742"/>
        <v>-5.3470760000000634</v>
      </c>
      <c r="AL186" s="48">
        <f t="shared" si="742"/>
        <v>0.20770100000001035</v>
      </c>
      <c r="AM186" s="48">
        <f t="shared" ref="AM186:AP186" si="743">AM86</f>
        <v>8.7539269999999867</v>
      </c>
      <c r="AN186" s="48">
        <f t="shared" si="743"/>
        <v>-0.78002799999993511</v>
      </c>
      <c r="AO186" s="48">
        <f t="shared" si="743"/>
        <v>7.0294949999999758</v>
      </c>
      <c r="AP186" s="48">
        <f t="shared" si="743"/>
        <v>11.257203999999975</v>
      </c>
    </row>
    <row r="187" spans="2:42" ht="13.5" customHeight="1">
      <c r="B187" s="35" t="str">
        <f t="shared" si="701"/>
        <v xml:space="preserve">FX </v>
      </c>
      <c r="C187" s="48">
        <f t="shared" si="701"/>
        <v>-4.1090960000000001</v>
      </c>
      <c r="D187" s="48">
        <f t="shared" si="701"/>
        <v>-1.697905</v>
      </c>
      <c r="E187" s="48">
        <f t="shared" si="701"/>
        <v>0.56665100000000002</v>
      </c>
      <c r="F187" s="48">
        <f t="shared" si="701"/>
        <v>1.3399540000000001</v>
      </c>
      <c r="G187" s="48">
        <f t="shared" si="701"/>
        <v>-4.1463429999999999</v>
      </c>
      <c r="H187" s="48">
        <f t="shared" si="701"/>
        <v>3.05043</v>
      </c>
      <c r="I187" s="48">
        <f t="shared" ref="I187:J187" si="744">I87</f>
        <v>-4.4463229999999996</v>
      </c>
      <c r="J187" s="48">
        <f t="shared" si="744"/>
        <v>5.8017690000000002</v>
      </c>
      <c r="K187" s="48">
        <f t="shared" ref="K187" si="745">K87</f>
        <v>1.726818</v>
      </c>
      <c r="L187" s="48">
        <f t="shared" ref="L187" si="746">L87</f>
        <v>-8.8878389999999996</v>
      </c>
      <c r="M187" s="151"/>
      <c r="N187" s="48">
        <f t="shared" ref="N187:AD187" si="747">N87</f>
        <v>0.36466100000000001</v>
      </c>
      <c r="O187" s="48">
        <f t="shared" si="747"/>
        <v>-0.721943</v>
      </c>
      <c r="P187" s="48">
        <f t="shared" si="747"/>
        <v>0.45184800000000003</v>
      </c>
      <c r="Q187" s="48">
        <f t="shared" si="747"/>
        <v>0.47208499999999998</v>
      </c>
      <c r="R187" s="48">
        <f t="shared" si="747"/>
        <v>-3.5355530000000002</v>
      </c>
      <c r="S187" s="48">
        <f t="shared" si="747"/>
        <v>2.3979080000000002</v>
      </c>
      <c r="T187" s="48">
        <f t="shared" si="747"/>
        <v>5.4349949999999998</v>
      </c>
      <c r="U187" s="48">
        <f t="shared" si="747"/>
        <v>-2.9573959999999997</v>
      </c>
      <c r="V187" s="48">
        <f t="shared" si="747"/>
        <v>-1.8347420000000001</v>
      </c>
      <c r="W187" s="48">
        <f t="shared" si="747"/>
        <v>0.4236540000000002</v>
      </c>
      <c r="X187" s="48">
        <f t="shared" si="747"/>
        <v>-0.33610999999999991</v>
      </c>
      <c r="Y187" s="48">
        <f t="shared" si="747"/>
        <v>-2.3991449999999999</v>
      </c>
      <c r="Z187" s="48">
        <f t="shared" si="747"/>
        <v>3.0087229999999998</v>
      </c>
      <c r="AA187" s="48">
        <f t="shared" si="747"/>
        <v>-1.8772159999999998</v>
      </c>
      <c r="AB187" s="48">
        <f t="shared" si="747"/>
        <v>0.56087400000000009</v>
      </c>
      <c r="AC187" s="48">
        <f t="shared" si="747"/>
        <v>1.3580489999999998</v>
      </c>
      <c r="AD187" s="48">
        <f t="shared" si="747"/>
        <v>4.4900120000000001</v>
      </c>
      <c r="AE187" s="48">
        <f t="shared" ref="AE187:AH187" si="748">AE87</f>
        <v>-0.87678199999999995</v>
      </c>
      <c r="AF187" s="48">
        <f t="shared" si="748"/>
        <v>-12.302057</v>
      </c>
      <c r="AG187" s="48">
        <f t="shared" si="748"/>
        <v>4.2425040000000003</v>
      </c>
      <c r="AH187" s="48">
        <f t="shared" si="748"/>
        <v>-0.78575799999999996</v>
      </c>
      <c r="AI187" s="48">
        <f t="shared" ref="AI187:AL187" si="749">AI87</f>
        <v>-5.5495590000000004</v>
      </c>
      <c r="AJ187" s="48">
        <f t="shared" si="749"/>
        <v>8.6039340000000006</v>
      </c>
      <c r="AK187" s="48">
        <f t="shared" si="749"/>
        <v>3.5331519999999994</v>
      </c>
      <c r="AL187" s="48">
        <f t="shared" si="749"/>
        <v>2.0510079999999999</v>
      </c>
      <c r="AM187" s="48">
        <f t="shared" ref="AM187:AP187" si="750">AM87</f>
        <v>-1.151008</v>
      </c>
      <c r="AN187" s="48">
        <f t="shared" si="750"/>
        <v>-0.79417199999999988</v>
      </c>
      <c r="AO187" s="48">
        <f t="shared" si="750"/>
        <v>1.6209899999999999</v>
      </c>
      <c r="AP187" s="48">
        <f t="shared" si="750"/>
        <v>-8.5636489999999998</v>
      </c>
    </row>
    <row r="188" spans="2:42" s="39" customFormat="1" ht="13.5" customHeight="1" thickBot="1">
      <c r="B188" s="46" t="str">
        <f t="shared" si="701"/>
        <v xml:space="preserve">Net change in cash </v>
      </c>
      <c r="C188" s="45">
        <f t="shared" si="701"/>
        <v>40.280957999999998</v>
      </c>
      <c r="D188" s="45">
        <f t="shared" si="701"/>
        <v>-26.518314</v>
      </c>
      <c r="E188" s="45">
        <f t="shared" si="701"/>
        <v>10.580197999999999</v>
      </c>
      <c r="F188" s="45">
        <f t="shared" si="701"/>
        <v>45.478549000000001</v>
      </c>
      <c r="G188" s="45">
        <f t="shared" si="701"/>
        <v>332.27899000000002</v>
      </c>
      <c r="H188" s="45">
        <f t="shared" si="701"/>
        <v>-313.67404699999997</v>
      </c>
      <c r="I188" s="45">
        <f t="shared" ref="I188:J188" si="751">I88</f>
        <v>362.01905099999999</v>
      </c>
      <c r="J188" s="45">
        <f t="shared" si="751"/>
        <v>-317.04524199999997</v>
      </c>
      <c r="K188" s="45">
        <f t="shared" ref="K188" si="752">K88</f>
        <v>152.78038900000001</v>
      </c>
      <c r="L188" s="45">
        <f t="shared" ref="L188" si="753">L88</f>
        <v>156.72399400000006</v>
      </c>
      <c r="M188" s="47"/>
      <c r="N188" s="45">
        <f t="shared" ref="N188:AD188" si="754">N88</f>
        <v>-4.9599460000000004</v>
      </c>
      <c r="O188" s="45">
        <f t="shared" si="754"/>
        <v>71.530750999999995</v>
      </c>
      <c r="P188" s="45">
        <f t="shared" si="754"/>
        <v>-20.958566999999995</v>
      </c>
      <c r="Q188" s="45">
        <f t="shared" si="754"/>
        <v>-35.032039999999974</v>
      </c>
      <c r="R188" s="45">
        <f t="shared" si="754"/>
        <v>47.209981999999997</v>
      </c>
      <c r="S188" s="45">
        <f t="shared" si="754"/>
        <v>21.709731000000005</v>
      </c>
      <c r="T188" s="45">
        <f t="shared" si="754"/>
        <v>-7.3897170000000125</v>
      </c>
      <c r="U188" s="45">
        <f t="shared" si="754"/>
        <v>-16.051446999999989</v>
      </c>
      <c r="V188" s="45">
        <f t="shared" si="754"/>
        <v>-21.422705000000001</v>
      </c>
      <c r="W188" s="45">
        <f t="shared" si="754"/>
        <v>294.31674100000004</v>
      </c>
      <c r="X188" s="45">
        <f t="shared" si="754"/>
        <v>-19.714479000000029</v>
      </c>
      <c r="Y188" s="45">
        <f t="shared" si="754"/>
        <v>79.095042000000035</v>
      </c>
      <c r="Z188" s="45">
        <f t="shared" si="754"/>
        <v>-110.31659500000001</v>
      </c>
      <c r="AA188" s="45">
        <f t="shared" si="754"/>
        <v>-44.119510999999996</v>
      </c>
      <c r="AB188" s="45">
        <f t="shared" si="754"/>
        <v>-27.689889999999991</v>
      </c>
      <c r="AC188" s="45">
        <f t="shared" si="754"/>
        <v>-131.58185999999989</v>
      </c>
      <c r="AD188" s="45">
        <f t="shared" si="754"/>
        <v>-40.934345999999998</v>
      </c>
      <c r="AE188" s="45">
        <f t="shared" ref="AE188:AH188" si="755">AE88</f>
        <v>-47.488063000000004</v>
      </c>
      <c r="AF188" s="45">
        <f t="shared" si="755"/>
        <v>357.45798100000002</v>
      </c>
      <c r="AG188" s="45">
        <f t="shared" si="755"/>
        <v>92.983479000000017</v>
      </c>
      <c r="AH188" s="45">
        <f t="shared" si="755"/>
        <v>-56.104787000000002</v>
      </c>
      <c r="AI188" s="45">
        <f t="shared" ref="AI188:AL188" si="756">AI88</f>
        <v>-68.119873999999996</v>
      </c>
      <c r="AJ188" s="45">
        <f t="shared" si="756"/>
        <v>-95.743867999999992</v>
      </c>
      <c r="AK188" s="45">
        <f t="shared" si="756"/>
        <v>-96.947822000000087</v>
      </c>
      <c r="AL188" s="45">
        <f t="shared" si="756"/>
        <v>-135.435686</v>
      </c>
      <c r="AM188" s="45">
        <f t="shared" ref="AM188:AP188" si="757">AM88</f>
        <v>16.535685999999998</v>
      </c>
      <c r="AN188" s="45">
        <f t="shared" si="757"/>
        <v>521.82747500000005</v>
      </c>
      <c r="AO188" s="45">
        <f t="shared" si="757"/>
        <v>-250.14708599999997</v>
      </c>
      <c r="AP188" s="45">
        <f t="shared" si="757"/>
        <v>-131.49208100000001</v>
      </c>
    </row>
    <row r="189" spans="2:42" ht="13.5" customHeight="1" thickTop="1">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row>
    <row r="190" spans="2:42" s="39" customFormat="1" ht="13.5" customHeight="1">
      <c r="B190" s="39" t="str">
        <f>+B126</f>
        <v>Total debt</v>
      </c>
      <c r="C190" s="47">
        <f t="shared" ref="C190:D190" si="758">C126</f>
        <v>581.99487899999997</v>
      </c>
      <c r="D190" s="47">
        <f t="shared" si="758"/>
        <v>699.79742199999998</v>
      </c>
      <c r="E190" s="47">
        <f t="shared" ref="E190:F192" si="759">E126</f>
        <v>715.59182900000008</v>
      </c>
      <c r="F190" s="47">
        <f t="shared" si="759"/>
        <v>840.49233700000002</v>
      </c>
      <c r="G190" s="47">
        <f t="shared" ref="G190:H190" si="760">G126</f>
        <v>934.91362900000001</v>
      </c>
      <c r="H190" s="47">
        <f t="shared" si="760"/>
        <v>932.00352499999997</v>
      </c>
      <c r="I190" s="47">
        <f t="shared" ref="I190:J190" si="761">I126</f>
        <v>916.08440500000006</v>
      </c>
      <c r="J190" s="47">
        <f t="shared" si="761"/>
        <v>847.60878999999989</v>
      </c>
      <c r="K190" s="47">
        <f t="shared" ref="K190" si="762">K126</f>
        <v>1276.6574390000001</v>
      </c>
      <c r="L190" s="47">
        <f>L126</f>
        <v>1177.0677560000001</v>
      </c>
      <c r="M190" s="47"/>
      <c r="N190" s="47">
        <f t="shared" ref="N190:U192" si="763">N126</f>
        <v>701.50010899999995</v>
      </c>
      <c r="O190" s="47">
        <f t="shared" si="763"/>
        <v>698.92508700000008</v>
      </c>
      <c r="P190" s="47">
        <f t="shared" si="763"/>
        <v>715.64017100000001</v>
      </c>
      <c r="Q190" s="47">
        <f t="shared" si="763"/>
        <v>715.59182900000008</v>
      </c>
      <c r="R190" s="47">
        <f t="shared" si="763"/>
        <v>800.57502199999999</v>
      </c>
      <c r="S190" s="47">
        <f t="shared" si="763"/>
        <v>840.56160199999988</v>
      </c>
      <c r="T190" s="47">
        <f t="shared" si="763"/>
        <v>840.52262500000006</v>
      </c>
      <c r="U190" s="47">
        <f t="shared" si="763"/>
        <v>840.49233700000002</v>
      </c>
      <c r="V190" s="47">
        <f t="shared" ref="V190:Y190" si="764">V126</f>
        <v>840.42606999999998</v>
      </c>
      <c r="W190" s="47">
        <f t="shared" si="764"/>
        <v>934.94497799999999</v>
      </c>
      <c r="X190" s="47">
        <f t="shared" si="764"/>
        <v>934.68535099999997</v>
      </c>
      <c r="Y190" s="47">
        <f t="shared" si="764"/>
        <v>934.91362900000001</v>
      </c>
      <c r="Z190" s="47">
        <f t="shared" ref="Z190:AA190" si="765">Z126</f>
        <v>934.41990499999997</v>
      </c>
      <c r="AA190" s="47">
        <f t="shared" si="765"/>
        <v>933.93835999999999</v>
      </c>
      <c r="AB190" s="47">
        <f t="shared" ref="AB190:AC190" si="766">AB126</f>
        <v>932.47426200000007</v>
      </c>
      <c r="AC190" s="47">
        <f t="shared" si="766"/>
        <v>932.00352499999997</v>
      </c>
      <c r="AD190" s="47">
        <f t="shared" ref="AD190:AG190" si="767">AD126</f>
        <v>931.03840100000002</v>
      </c>
      <c r="AE190" s="47">
        <f t="shared" si="767"/>
        <v>930.09733700000015</v>
      </c>
      <c r="AF190" s="47">
        <f t="shared" si="767"/>
        <v>929.19309499999997</v>
      </c>
      <c r="AG190" s="47">
        <f t="shared" si="767"/>
        <v>916.08440500000006</v>
      </c>
      <c r="AH190" s="47">
        <f t="shared" ref="AH190:AI190" si="768">AH126</f>
        <v>915.15810399999998</v>
      </c>
      <c r="AI190" s="47">
        <f t="shared" si="768"/>
        <v>914.37014299999998</v>
      </c>
      <c r="AJ190" s="47">
        <f t="shared" ref="AJ190:AM190" si="769">AJ126</f>
        <v>848.28545200000008</v>
      </c>
      <c r="AK190" s="47">
        <f t="shared" si="769"/>
        <v>847.60878999999989</v>
      </c>
      <c r="AL190" s="47">
        <f t="shared" si="769"/>
        <v>801.57987099999991</v>
      </c>
      <c r="AM190" s="47">
        <f t="shared" si="769"/>
        <v>900.80000000000007</v>
      </c>
      <c r="AN190" s="47">
        <f t="shared" ref="AN190:AP190" si="770">AN126</f>
        <v>1446.73741</v>
      </c>
      <c r="AO190" s="47">
        <f t="shared" si="770"/>
        <v>1276.6574390000001</v>
      </c>
      <c r="AP190" s="47">
        <f t="shared" si="770"/>
        <v>1177.0677560000001</v>
      </c>
    </row>
    <row r="191" spans="2:42" ht="13.5" customHeight="1">
      <c r="B191" s="35" t="str">
        <f>+B127</f>
        <v>Cash and cash equivalents</v>
      </c>
      <c r="C191" s="44">
        <f t="shared" ref="C191:D191" si="771">C127</f>
        <v>91.001709000000005</v>
      </c>
      <c r="D191" s="44">
        <f t="shared" si="771"/>
        <v>64.483395000000002</v>
      </c>
      <c r="E191" s="44">
        <f t="shared" si="759"/>
        <v>75.063592999999997</v>
      </c>
      <c r="F191" s="44">
        <f t="shared" si="759"/>
        <v>120.542142</v>
      </c>
      <c r="G191" s="44">
        <f t="shared" ref="G191:H191" si="772">G127</f>
        <v>452.82113199999998</v>
      </c>
      <c r="H191" s="44">
        <f t="shared" si="772"/>
        <v>139.147085</v>
      </c>
      <c r="I191" s="44">
        <f t="shared" ref="I191:J191" si="773">I127</f>
        <v>501.16613599999999</v>
      </c>
      <c r="J191" s="44">
        <f t="shared" si="773"/>
        <v>184.12089399999999</v>
      </c>
      <c r="K191" s="44">
        <f t="shared" ref="K191" si="774">K127</f>
        <v>336.90128299999998</v>
      </c>
      <c r="L191" s="44">
        <f>L127</f>
        <v>206.14451399999999</v>
      </c>
      <c r="M191" s="44"/>
      <c r="N191" s="44">
        <f t="shared" si="763"/>
        <v>59.523448999999999</v>
      </c>
      <c r="O191" s="44">
        <f t="shared" si="763"/>
        <v>131.05420000000001</v>
      </c>
      <c r="P191" s="44">
        <f t="shared" si="763"/>
        <v>110.09563300000001</v>
      </c>
      <c r="Q191" s="44">
        <f t="shared" si="763"/>
        <v>75.063592999999997</v>
      </c>
      <c r="R191" s="44">
        <f t="shared" si="763"/>
        <v>122.27357499999999</v>
      </c>
      <c r="S191" s="44">
        <f t="shared" si="763"/>
        <v>143.983306</v>
      </c>
      <c r="T191" s="44">
        <f t="shared" si="763"/>
        <v>136.59358900000001</v>
      </c>
      <c r="U191" s="44">
        <f t="shared" si="763"/>
        <v>120.542142</v>
      </c>
      <c r="V191" s="44">
        <f t="shared" ref="V191:Y191" si="775">V127</f>
        <v>99.119437000000005</v>
      </c>
      <c r="W191" s="44">
        <f t="shared" si="775"/>
        <v>393.43617799999998</v>
      </c>
      <c r="X191" s="44">
        <f t="shared" si="775"/>
        <v>373.721699</v>
      </c>
      <c r="Y191" s="44">
        <f t="shared" si="775"/>
        <v>452.82113199999998</v>
      </c>
      <c r="Z191" s="44">
        <f t="shared" ref="Z191:AA191" si="776">Z127</f>
        <v>342.50453700000003</v>
      </c>
      <c r="AA191" s="44">
        <f t="shared" si="776"/>
        <v>298.38502599999998</v>
      </c>
      <c r="AB191" s="44">
        <f t="shared" ref="AB191:AC191" si="777">AB127</f>
        <v>270.69513599999999</v>
      </c>
      <c r="AC191" s="44">
        <f t="shared" si="777"/>
        <v>139.147085</v>
      </c>
      <c r="AD191" s="44">
        <f t="shared" ref="AD191:AG191" si="778">AD127</f>
        <v>98.212738999999999</v>
      </c>
      <c r="AE191" s="44">
        <f t="shared" si="778"/>
        <v>50.724851000000001</v>
      </c>
      <c r="AF191" s="44">
        <f t="shared" si="778"/>
        <v>408.18265700000001</v>
      </c>
      <c r="AG191" s="44">
        <f t="shared" si="778"/>
        <v>501.16613599999999</v>
      </c>
      <c r="AH191" s="44">
        <f t="shared" ref="AH191:AI191" si="779">AH127</f>
        <v>445.06134900000001</v>
      </c>
      <c r="AI191" s="44">
        <f t="shared" si="779"/>
        <v>376.94147500000003</v>
      </c>
      <c r="AJ191" s="44">
        <f t="shared" ref="AJ191:AM191" si="780">AJ127</f>
        <v>281.197607</v>
      </c>
      <c r="AK191" s="44">
        <f t="shared" si="780"/>
        <v>184.12089399999999</v>
      </c>
      <c r="AL191" s="44">
        <f t="shared" si="780"/>
        <v>48.685208000000003</v>
      </c>
      <c r="AM191" s="44">
        <f t="shared" si="780"/>
        <v>65.2</v>
      </c>
      <c r="AN191" s="44">
        <f t="shared" ref="AN191:AP191" si="781">AN127</f>
        <v>587.04836899999998</v>
      </c>
      <c r="AO191" s="44">
        <f t="shared" si="781"/>
        <v>336.90128299999998</v>
      </c>
      <c r="AP191" s="44">
        <f t="shared" si="781"/>
        <v>206.14451399999999</v>
      </c>
    </row>
    <row r="192" spans="2:42" s="39" customFormat="1" ht="13.5" customHeight="1" thickBot="1">
      <c r="B192" s="46" t="str">
        <f>+B128</f>
        <v xml:space="preserve">Net debt </v>
      </c>
      <c r="C192" s="45">
        <f t="shared" ref="C192:D192" si="782">C128</f>
        <v>490.99316999999996</v>
      </c>
      <c r="D192" s="45">
        <f t="shared" si="782"/>
        <v>635.31402700000001</v>
      </c>
      <c r="E192" s="45">
        <f t="shared" si="759"/>
        <v>640.52823600000011</v>
      </c>
      <c r="F192" s="45">
        <f t="shared" si="759"/>
        <v>719.95019500000001</v>
      </c>
      <c r="G192" s="45">
        <f t="shared" ref="G192:H192" si="783">G128</f>
        <v>482.09249700000004</v>
      </c>
      <c r="H192" s="45">
        <f t="shared" si="783"/>
        <v>792.85644000000002</v>
      </c>
      <c r="I192" s="45">
        <f t="shared" ref="I192:J192" si="784">I128</f>
        <v>414.91826900000007</v>
      </c>
      <c r="J192" s="45">
        <f t="shared" si="784"/>
        <v>663.48789599999986</v>
      </c>
      <c r="K192" s="45">
        <f t="shared" ref="K192" si="785">K128</f>
        <v>939.75615600000015</v>
      </c>
      <c r="L192" s="45">
        <f>L128</f>
        <v>970.92324200000019</v>
      </c>
      <c r="M192" s="47"/>
      <c r="N192" s="45">
        <f t="shared" si="763"/>
        <v>641.97665999999992</v>
      </c>
      <c r="O192" s="45">
        <f t="shared" si="763"/>
        <v>567.87088700000004</v>
      </c>
      <c r="P192" s="45">
        <f t="shared" si="763"/>
        <v>605.54453799999999</v>
      </c>
      <c r="Q192" s="45">
        <f t="shared" si="763"/>
        <v>640.52823600000011</v>
      </c>
      <c r="R192" s="45">
        <f t="shared" si="763"/>
        <v>678.30144700000005</v>
      </c>
      <c r="S192" s="45">
        <f t="shared" si="763"/>
        <v>696.57829599999991</v>
      </c>
      <c r="T192" s="45">
        <f t="shared" si="763"/>
        <v>703.929036</v>
      </c>
      <c r="U192" s="45">
        <f t="shared" si="763"/>
        <v>719.95019500000001</v>
      </c>
      <c r="V192" s="45">
        <f t="shared" ref="V192:Y192" si="786">V128</f>
        <v>741.30663299999992</v>
      </c>
      <c r="W192" s="45">
        <f t="shared" si="786"/>
        <v>541.50880000000006</v>
      </c>
      <c r="X192" s="45">
        <f t="shared" si="786"/>
        <v>560.96365199999991</v>
      </c>
      <c r="Y192" s="45">
        <f t="shared" si="786"/>
        <v>482.09249700000004</v>
      </c>
      <c r="Z192" s="45">
        <f t="shared" ref="Z192:AA192" si="787">Z128</f>
        <v>591.91536799999994</v>
      </c>
      <c r="AA192" s="45">
        <f t="shared" si="787"/>
        <v>635.55333399999995</v>
      </c>
      <c r="AB192" s="45">
        <f t="shared" ref="AB192:AC192" si="788">AB128</f>
        <v>661.77912600000013</v>
      </c>
      <c r="AC192" s="45">
        <f t="shared" si="788"/>
        <v>792.85644000000002</v>
      </c>
      <c r="AD192" s="45">
        <f t="shared" ref="AD192:AG192" si="789">AD128</f>
        <v>832.82566199999997</v>
      </c>
      <c r="AE192" s="45">
        <f t="shared" si="789"/>
        <v>879.37248600000021</v>
      </c>
      <c r="AF192" s="45">
        <f t="shared" si="789"/>
        <v>521.01043800000002</v>
      </c>
      <c r="AG192" s="45">
        <f t="shared" si="789"/>
        <v>414.91826900000007</v>
      </c>
      <c r="AH192" s="45">
        <f t="shared" ref="AH192:AI192" si="790">AH128</f>
        <v>470.09675499999997</v>
      </c>
      <c r="AI192" s="45">
        <f t="shared" si="790"/>
        <v>537.42866800000002</v>
      </c>
      <c r="AJ192" s="45">
        <f t="shared" ref="AJ192:AM192" si="791">AJ128</f>
        <v>567.08784500000002</v>
      </c>
      <c r="AK192" s="45">
        <f t="shared" si="791"/>
        <v>663.48789599999986</v>
      </c>
      <c r="AL192" s="45">
        <f t="shared" si="791"/>
        <v>752.89466299999992</v>
      </c>
      <c r="AM192" s="45">
        <f t="shared" si="791"/>
        <v>835.6</v>
      </c>
      <c r="AN192" s="45">
        <f t="shared" ref="AN192:AP192" si="792">AN128</f>
        <v>859.68904099999997</v>
      </c>
      <c r="AO192" s="45">
        <f t="shared" si="792"/>
        <v>939.75615600000015</v>
      </c>
      <c r="AP192" s="45">
        <f t="shared" si="792"/>
        <v>970.92324200000019</v>
      </c>
    </row>
    <row r="193" spans="2:42" ht="13.5" customHeight="1" thickTop="1">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K193" s="37"/>
      <c r="AL193" s="37"/>
      <c r="AM193" s="37"/>
      <c r="AO193" s="37"/>
      <c r="AP193" s="37"/>
    </row>
    <row r="194" spans="2:42" ht="13.5" customHeight="1">
      <c r="B194" s="39" t="str">
        <f t="shared" ref="B194:F194" si="793">B130</f>
        <v>Company reported net debt</v>
      </c>
      <c r="C194" s="66">
        <f t="shared" si="793"/>
        <v>490.99316999999996</v>
      </c>
      <c r="D194" s="66">
        <f t="shared" si="793"/>
        <v>635.31402700000001</v>
      </c>
      <c r="E194" s="66">
        <f t="shared" si="793"/>
        <v>640.52823600000011</v>
      </c>
      <c r="F194" s="66">
        <f t="shared" si="793"/>
        <v>719.95019500000001</v>
      </c>
      <c r="G194" s="66">
        <f t="shared" ref="G194:H194" si="794">G130</f>
        <v>482.09249700000004</v>
      </c>
      <c r="H194" s="66">
        <f t="shared" si="794"/>
        <v>792.85644000000002</v>
      </c>
      <c r="I194" s="66">
        <f t="shared" ref="I194:J194" si="795">I130</f>
        <v>414.91826900000007</v>
      </c>
      <c r="J194" s="66">
        <f t="shared" si="795"/>
        <v>663.48789599999986</v>
      </c>
      <c r="K194" s="66">
        <f t="shared" ref="K194" si="796">K130</f>
        <v>939.75615600000015</v>
      </c>
      <c r="L194" s="66">
        <f>L130</f>
        <v>970.92324200000019</v>
      </c>
      <c r="M194" s="47"/>
      <c r="N194" s="66">
        <f t="shared" ref="N194:U194" si="797">N130</f>
        <v>641.97665999999992</v>
      </c>
      <c r="O194" s="66">
        <f t="shared" si="797"/>
        <v>567.87088700000004</v>
      </c>
      <c r="P194" s="66">
        <f t="shared" si="797"/>
        <v>605.54453799999999</v>
      </c>
      <c r="Q194" s="66">
        <f t="shared" si="797"/>
        <v>640.52823600000011</v>
      </c>
      <c r="R194" s="66">
        <f t="shared" si="797"/>
        <v>678.30144700000005</v>
      </c>
      <c r="S194" s="66">
        <f t="shared" si="797"/>
        <v>696.57829599999991</v>
      </c>
      <c r="T194" s="66">
        <f t="shared" si="797"/>
        <v>703.929036</v>
      </c>
      <c r="U194" s="66">
        <f t="shared" si="797"/>
        <v>719.95019500000001</v>
      </c>
      <c r="V194" s="66">
        <f t="shared" ref="V194:Y194" si="798">V130</f>
        <v>741.30663299999992</v>
      </c>
      <c r="W194" s="66">
        <f t="shared" si="798"/>
        <v>541.50880000000006</v>
      </c>
      <c r="X194" s="66">
        <f t="shared" si="798"/>
        <v>560.96365199999991</v>
      </c>
      <c r="Y194" s="66">
        <f t="shared" si="798"/>
        <v>482.09249700000004</v>
      </c>
      <c r="Z194" s="66">
        <f t="shared" ref="Z194:AA194" si="799">Z130</f>
        <v>591.91536799999994</v>
      </c>
      <c r="AA194" s="66">
        <f t="shared" si="799"/>
        <v>635.55333399999995</v>
      </c>
      <c r="AB194" s="66">
        <f t="shared" ref="AB194:AC194" si="800">AB130</f>
        <v>661.77912600000013</v>
      </c>
      <c r="AC194" s="66">
        <f t="shared" si="800"/>
        <v>792.85644000000002</v>
      </c>
      <c r="AD194" s="66">
        <f t="shared" ref="AD194:AG194" si="801">AD130</f>
        <v>832.82566199999997</v>
      </c>
      <c r="AE194" s="66">
        <f t="shared" si="801"/>
        <v>879.37248600000021</v>
      </c>
      <c r="AF194" s="66">
        <f t="shared" si="801"/>
        <v>521.01043800000002</v>
      </c>
      <c r="AG194" s="66">
        <f t="shared" si="801"/>
        <v>414.91826900000007</v>
      </c>
      <c r="AH194" s="66">
        <f t="shared" ref="AH194:AI194" si="802">AH130</f>
        <v>470.09675499999997</v>
      </c>
      <c r="AI194" s="66">
        <f t="shared" si="802"/>
        <v>537.42866800000002</v>
      </c>
      <c r="AJ194" s="66">
        <f t="shared" ref="AJ194:AM194" si="803">AJ130</f>
        <v>567.08784500000002</v>
      </c>
      <c r="AK194" s="66">
        <f t="shared" si="803"/>
        <v>663.48789599999986</v>
      </c>
      <c r="AL194" s="66">
        <f t="shared" si="803"/>
        <v>752.89466299999992</v>
      </c>
      <c r="AM194" s="66">
        <f t="shared" si="803"/>
        <v>835.6</v>
      </c>
      <c r="AN194" s="66">
        <f t="shared" ref="AN194:AP194" si="804">AN130</f>
        <v>859.68904099999997</v>
      </c>
      <c r="AO194" s="66">
        <f t="shared" si="804"/>
        <v>939.75615600000015</v>
      </c>
      <c r="AP194" s="66">
        <f t="shared" si="804"/>
        <v>970.92324200000019</v>
      </c>
    </row>
    <row r="195" spans="2:42" ht="13.5" customHeight="1">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row>
    <row r="196" spans="2:42" ht="13.5" customHeight="1">
      <c r="B196" s="39" t="str">
        <f>+B136</f>
        <v>Net Leverage excluding lease obligations</v>
      </c>
      <c r="C196" s="41">
        <f t="shared" ref="C196:D196" si="805">C136</f>
        <v>5.3396535047379423</v>
      </c>
      <c r="D196" s="41">
        <f t="shared" si="805"/>
        <v>5.6308087493940571</v>
      </c>
      <c r="E196" s="41">
        <f t="shared" ref="E196:F197" si="806">E136</f>
        <v>5.2672787450885572</v>
      </c>
      <c r="F196" s="41">
        <f t="shared" si="806"/>
        <v>5.6992121450504234</v>
      </c>
      <c r="G196" s="41">
        <f t="shared" ref="G196:H196" si="807">G136</f>
        <v>3.5395953019625224</v>
      </c>
      <c r="H196" s="41">
        <f t="shared" si="807"/>
        <v>5.2650984212346064</v>
      </c>
      <c r="I196" s="41">
        <f t="shared" ref="I196:J196" si="808">I136</f>
        <v>2.3782274378531048</v>
      </c>
      <c r="J196" s="41">
        <f t="shared" si="808"/>
        <v>3.2432963796477488</v>
      </c>
      <c r="K196" s="41">
        <f t="shared" ref="K196" si="809">K136</f>
        <v>4.0601475984422333</v>
      </c>
      <c r="L196" s="41">
        <f>L136</f>
        <v>4.0748224620087861</v>
      </c>
      <c r="M196" s="41"/>
      <c r="N196" s="38"/>
      <c r="O196" s="38"/>
      <c r="P196" s="38"/>
      <c r="Q196" s="41">
        <f t="shared" ref="Q196:U197" si="810">Q136</f>
        <v>5.2685808711610349</v>
      </c>
      <c r="R196" s="41">
        <f t="shared" si="810"/>
        <v>5.5643870486049165</v>
      </c>
      <c r="S196" s="41">
        <f t="shared" si="810"/>
        <v>5.6955946033605196</v>
      </c>
      <c r="T196" s="41">
        <f t="shared" si="810"/>
        <v>5.6697894771356596</v>
      </c>
      <c r="U196" s="41">
        <f t="shared" si="810"/>
        <v>5.6992121450504234</v>
      </c>
      <c r="V196" s="41">
        <f t="shared" ref="V196:Y196" si="811">V136</f>
        <v>5.7790174847232905</v>
      </c>
      <c r="W196" s="41">
        <f t="shared" si="811"/>
        <v>4.1243408218537869</v>
      </c>
      <c r="X196" s="41">
        <f t="shared" si="811"/>
        <v>4.2001290928917356</v>
      </c>
      <c r="Y196" s="41">
        <f t="shared" si="811"/>
        <v>3.5397097477098667</v>
      </c>
      <c r="Z196" s="41">
        <f t="shared" ref="Z196:AA196" si="812">Z136</f>
        <v>4.2870778598825039</v>
      </c>
      <c r="AA196" s="41">
        <f t="shared" si="812"/>
        <v>4.5159706030679567</v>
      </c>
      <c r="AB196" s="41">
        <f t="shared" ref="AB196:AC196" si="813">AB136</f>
        <v>4.5639099628985598</v>
      </c>
      <c r="AC196" s="41">
        <f t="shared" si="813"/>
        <v>5.2662830248007308</v>
      </c>
      <c r="AD196" s="41">
        <f t="shared" ref="AD196:AG196" si="814">AD136</f>
        <v>5.3011227300743595</v>
      </c>
      <c r="AE196" s="41">
        <f t="shared" si="814"/>
        <v>5.3802148627421502</v>
      </c>
      <c r="AF196" s="41">
        <f t="shared" si="814"/>
        <v>3.0656826289131089</v>
      </c>
      <c r="AG196" s="41">
        <f t="shared" si="814"/>
        <v>2.3782274378531043</v>
      </c>
      <c r="AH196" s="41">
        <f t="shared" ref="AH196:AI196" si="815">AH136</f>
        <v>2.5692625871755612</v>
      </c>
      <c r="AI196" s="41">
        <f t="shared" si="815"/>
        <v>2.8195570092545275</v>
      </c>
      <c r="AJ196" s="41">
        <f t="shared" ref="AJ196:AM196" si="816">AJ136</f>
        <v>2.8671885859068902</v>
      </c>
      <c r="AK196" s="41">
        <f t="shared" si="816"/>
        <v>3.2412525035399518</v>
      </c>
      <c r="AL196" s="41">
        <f t="shared" si="816"/>
        <v>3.5969528611589472</v>
      </c>
      <c r="AM196" s="41">
        <f t="shared" si="816"/>
        <v>3.9090763994019624</v>
      </c>
      <c r="AN196" s="41">
        <f t="shared" ref="AN196:AP196" si="817">AN136</f>
        <v>3.8831036853864016</v>
      </c>
      <c r="AO196" s="41">
        <f t="shared" si="817"/>
        <v>4.0601475984422333</v>
      </c>
      <c r="AP196" s="41">
        <f t="shared" si="817"/>
        <v>4.0748224620087861</v>
      </c>
    </row>
    <row r="197" spans="2:42" ht="13.5" customHeight="1">
      <c r="B197" s="35" t="str">
        <f>+B137</f>
        <v>Gross Leverage  excluding lease obligations</v>
      </c>
      <c r="C197" s="43">
        <f t="shared" ref="C197:D197" si="818">C137</f>
        <v>6.3293161397578803</v>
      </c>
      <c r="D197" s="43">
        <f t="shared" si="818"/>
        <v>6.2023271628488779</v>
      </c>
      <c r="E197" s="43">
        <f t="shared" si="806"/>
        <v>5.8856758930713173</v>
      </c>
      <c r="F197" s="43">
        <f t="shared" si="806"/>
        <v>6.6544084422067273</v>
      </c>
      <c r="G197" s="43">
        <f t="shared" ref="G197:H197" si="819">G137</f>
        <v>6.8738230129025926</v>
      </c>
      <c r="H197" s="43">
        <f t="shared" si="819"/>
        <v>6.1908844604865347</v>
      </c>
      <c r="I197" s="43">
        <f t="shared" ref="I197:J197" si="820">I137</f>
        <v>5.2570383079871625</v>
      </c>
      <c r="J197" s="43">
        <f t="shared" si="820"/>
        <v>4.1440835322896277</v>
      </c>
      <c r="K197" s="43">
        <f t="shared" ref="K197" si="821">K137</f>
        <v>5.5179636218087413</v>
      </c>
      <c r="L197" s="43">
        <f>L137</f>
        <v>4.9412151048345141</v>
      </c>
      <c r="M197" s="43"/>
      <c r="N197" s="38"/>
      <c r="O197" s="38"/>
      <c r="P197" s="38"/>
      <c r="Q197" s="43">
        <f t="shared" si="810"/>
        <v>5.88713089334858</v>
      </c>
      <c r="R197" s="43">
        <f t="shared" si="810"/>
        <v>6.5690128672807706</v>
      </c>
      <c r="S197" s="43">
        <f t="shared" si="810"/>
        <v>6.8744864297134285</v>
      </c>
      <c r="T197" s="43">
        <f t="shared" si="810"/>
        <v>6.7712989966325594</v>
      </c>
      <c r="U197" s="43">
        <f t="shared" si="810"/>
        <v>6.6544084422067273</v>
      </c>
      <c r="V197" s="43">
        <f t="shared" ref="V197:Y197" si="822">V137</f>
        <v>6.5523751327714068</v>
      </c>
      <c r="W197" s="43">
        <f t="shared" si="822"/>
        <v>7.1237441144124283</v>
      </c>
      <c r="X197" s="43">
        <f t="shared" si="822"/>
        <v>7.0003063981857405</v>
      </c>
      <c r="Y197" s="43">
        <f t="shared" si="822"/>
        <v>6.8740452642462397</v>
      </c>
      <c r="Z197" s="43">
        <f t="shared" ref="Z197:AA197" si="823">Z137</f>
        <v>6.7730140130038068</v>
      </c>
      <c r="AA197" s="43">
        <f t="shared" si="823"/>
        <v>6.639936256762863</v>
      </c>
      <c r="AB197" s="43">
        <f t="shared" ref="AB197:AC197" si="824">AB137</f>
        <v>6.4336016585975981</v>
      </c>
      <c r="AC197" s="43">
        <f t="shared" si="824"/>
        <v>6.1922773582488588</v>
      </c>
      <c r="AD197" s="43">
        <f t="shared" ref="AD197:AG197" si="825">AD137</f>
        <v>5.9272859044373876</v>
      </c>
      <c r="AE197" s="43">
        <f t="shared" si="825"/>
        <v>5.6909865333371306</v>
      </c>
      <c r="AF197" s="43">
        <f t="shared" si="825"/>
        <v>5.4723210174581549</v>
      </c>
      <c r="AG197" s="43">
        <f t="shared" si="825"/>
        <v>5.2570383079871617</v>
      </c>
      <c r="AH197" s="43">
        <f t="shared" ref="AH197:AI197" si="826">AH137</f>
        <v>5.0055625706761466</v>
      </c>
      <c r="AI197" s="43">
        <f t="shared" si="826"/>
        <v>4.7998851420481898</v>
      </c>
      <c r="AJ197" s="43">
        <f t="shared" ref="AJ197:AM197" si="827">AJ137</f>
        <v>4.29002679583368</v>
      </c>
      <c r="AK197" s="43">
        <f t="shared" si="827"/>
        <v>4.1414719938025764</v>
      </c>
      <c r="AL197" s="43">
        <f t="shared" si="827"/>
        <v>3.8296635356917954</v>
      </c>
      <c r="AM197" s="43">
        <f t="shared" si="827"/>
        <v>4.2142389727269238</v>
      </c>
      <c r="AN197" s="43">
        <f t="shared" ref="AN197:AP197" si="828">AN137</f>
        <v>6.5393812305418537</v>
      </c>
      <c r="AO197" s="43">
        <f t="shared" si="828"/>
        <v>5.5179636218087413</v>
      </c>
      <c r="AP197" s="43">
        <f t="shared" si="828"/>
        <v>4.9412151048345141</v>
      </c>
    </row>
    <row r="198" spans="2:42" ht="13.5" customHeight="1">
      <c r="C198" s="37"/>
      <c r="D198" s="37"/>
      <c r="E198" s="37"/>
      <c r="F198" s="37"/>
      <c r="G198" s="37"/>
      <c r="H198" s="37"/>
      <c r="I198" s="37"/>
      <c r="J198" s="37"/>
      <c r="K198" s="37"/>
      <c r="L198" s="37"/>
      <c r="M198" s="37"/>
      <c r="N198" s="38"/>
      <c r="O198" s="38"/>
      <c r="P198" s="38"/>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row>
    <row r="199" spans="2:42" s="39" customFormat="1" ht="13.5" customHeight="1">
      <c r="B199" s="39" t="str">
        <f>+B139</f>
        <v>Net Leverage including lease obligations</v>
      </c>
      <c r="C199" s="41">
        <f t="shared" ref="C199:D199" si="829">C139</f>
        <v>5.3396535047379423</v>
      </c>
      <c r="D199" s="41">
        <f t="shared" si="829"/>
        <v>5.6308087493940571</v>
      </c>
      <c r="E199" s="41">
        <f t="shared" ref="E199:F200" si="830">E139</f>
        <v>5.2768701645393996</v>
      </c>
      <c r="F199" s="41">
        <f t="shared" si="830"/>
        <v>5.7050069709310343</v>
      </c>
      <c r="G199" s="41">
        <f t="shared" ref="G199:H199" si="831">G139</f>
        <v>3.5497596051539686</v>
      </c>
      <c r="H199" s="41">
        <f t="shared" si="831"/>
        <v>5.2751045649499888</v>
      </c>
      <c r="I199" s="41">
        <f t="shared" ref="I199:J199" si="832">I139</f>
        <v>2.3833837468507797</v>
      </c>
      <c r="J199" s="41">
        <f t="shared" si="832"/>
        <v>3.2460268884540109</v>
      </c>
      <c r="K199" s="41">
        <f t="shared" ref="K199" si="833">K139</f>
        <v>4.0664481003894428</v>
      </c>
      <c r="L199" s="41">
        <f>L139</f>
        <v>4.0806361386716512</v>
      </c>
      <c r="M199" s="41"/>
      <c r="N199" s="38"/>
      <c r="O199" s="38"/>
      <c r="P199" s="38"/>
      <c r="Q199" s="41">
        <f t="shared" ref="Q199:U200" si="834">Q139</f>
        <v>5.2781746617104934</v>
      </c>
      <c r="R199" s="41">
        <f t="shared" si="834"/>
        <v>5.5730696227814693</v>
      </c>
      <c r="S199" s="41">
        <f t="shared" si="834"/>
        <v>5.7033727199543378</v>
      </c>
      <c r="T199" s="41">
        <f t="shared" si="834"/>
        <v>5.6765807230109138</v>
      </c>
      <c r="U199" s="41">
        <f t="shared" si="834"/>
        <v>5.7050069709310343</v>
      </c>
      <c r="V199" s="41">
        <f t="shared" ref="V199:Y199" si="835">V139</f>
        <v>5.7838822690180116</v>
      </c>
      <c r="W199" s="41">
        <f t="shared" si="835"/>
        <v>4.1282509552781379</v>
      </c>
      <c r="X199" s="41">
        <f t="shared" si="835"/>
        <v>4.2031214447230782</v>
      </c>
      <c r="Y199" s="41">
        <f t="shared" si="835"/>
        <v>3.5498743795437639</v>
      </c>
      <c r="Z199" s="41">
        <f t="shared" ref="Z199:AA199" si="836">Z139</f>
        <v>4.2961877988182691</v>
      </c>
      <c r="AA199" s="41">
        <f t="shared" si="836"/>
        <v>4.5239986423021339</v>
      </c>
      <c r="AB199" s="41">
        <f t="shared" ref="AB199:AC199" si="837">AB139</f>
        <v>4.5709093800236147</v>
      </c>
      <c r="AC199" s="41">
        <f t="shared" si="837"/>
        <v>5.276291419815629</v>
      </c>
      <c r="AD199" s="41">
        <f t="shared" ref="AD199:AG199" si="838">AD139</f>
        <v>5.3097466328569656</v>
      </c>
      <c r="AE199" s="41">
        <f t="shared" si="838"/>
        <v>5.3875773149039263</v>
      </c>
      <c r="AF199" s="41">
        <f t="shared" si="838"/>
        <v>3.0718691728332512</v>
      </c>
      <c r="AG199" s="41">
        <f t="shared" si="838"/>
        <v>2.3833837468507793</v>
      </c>
      <c r="AH199" s="41">
        <f t="shared" ref="AH199:AI199" si="839">AH139</f>
        <v>2.573345717446649</v>
      </c>
      <c r="AI199" s="41">
        <f t="shared" si="839"/>
        <v>2.8234757414535649</v>
      </c>
      <c r="AJ199" s="41">
        <f t="shared" ref="AJ199:AM199" si="840">AJ139</f>
        <v>2.8694207708924089</v>
      </c>
      <c r="AK199" s="41">
        <f t="shared" si="840"/>
        <v>3.2439812916210449</v>
      </c>
      <c r="AL199" s="41">
        <f t="shared" si="840"/>
        <v>3.5987650474639321</v>
      </c>
      <c r="AM199" s="41">
        <f t="shared" si="840"/>
        <v>3.9109485624284956</v>
      </c>
      <c r="AN199" s="41">
        <f t="shared" ref="AN199:AP199" si="841">AN139</f>
        <v>3.8899225617719506</v>
      </c>
      <c r="AO199" s="41">
        <f t="shared" si="841"/>
        <v>4.0664481003894428</v>
      </c>
      <c r="AP199" s="41">
        <f t="shared" si="841"/>
        <v>4.0806361386716512</v>
      </c>
    </row>
    <row r="200" spans="2:42" ht="13.5" customHeight="1">
      <c r="B200" s="35" t="str">
        <f>+B140</f>
        <v>Gross Leverage  including lease obligations</v>
      </c>
      <c r="C200" s="43">
        <f t="shared" ref="C200:D200" si="842">C140</f>
        <v>6.3293161397578803</v>
      </c>
      <c r="D200" s="43">
        <f t="shared" si="842"/>
        <v>6.2023271628488779</v>
      </c>
      <c r="E200" s="43">
        <f t="shared" si="830"/>
        <v>5.8952673125221606</v>
      </c>
      <c r="F200" s="43">
        <f t="shared" si="830"/>
        <v>6.6602032680873382</v>
      </c>
      <c r="G200" s="43">
        <f t="shared" ref="G200:H200" si="843">G140</f>
        <v>6.8839873160940392</v>
      </c>
      <c r="H200" s="43">
        <f t="shared" si="843"/>
        <v>6.2008906042019163</v>
      </c>
      <c r="I200" s="43">
        <f t="shared" ref="I200:J200" si="844">I140</f>
        <v>5.2621946169848375</v>
      </c>
      <c r="J200" s="43">
        <f t="shared" si="844"/>
        <v>4.1468140410958894</v>
      </c>
      <c r="K200" s="43">
        <f t="shared" ref="K200" si="845">K140</f>
        <v>5.52426412375595</v>
      </c>
      <c r="L200" s="43">
        <f>L140</f>
        <v>4.9470287814973792</v>
      </c>
      <c r="M200" s="43"/>
      <c r="N200" s="38"/>
      <c r="O200" s="38"/>
      <c r="P200" s="38"/>
      <c r="Q200" s="43">
        <f t="shared" si="834"/>
        <v>5.8967246838980385</v>
      </c>
      <c r="R200" s="43">
        <f t="shared" si="834"/>
        <v>6.5776954414573234</v>
      </c>
      <c r="S200" s="43">
        <f t="shared" si="834"/>
        <v>6.8822645463072467</v>
      </c>
      <c r="T200" s="43">
        <f t="shared" si="834"/>
        <v>6.7780902425078136</v>
      </c>
      <c r="U200" s="43">
        <f t="shared" si="834"/>
        <v>6.6602032680873382</v>
      </c>
      <c r="V200" s="43">
        <f t="shared" ref="V200:Y200" si="846">V140</f>
        <v>6.557239917066128</v>
      </c>
      <c r="W200" s="43">
        <f t="shared" si="846"/>
        <v>7.1276542478367793</v>
      </c>
      <c r="X200" s="43">
        <f t="shared" si="846"/>
        <v>7.0032987500170831</v>
      </c>
      <c r="Y200" s="43">
        <f t="shared" si="846"/>
        <v>6.8842098960801366</v>
      </c>
      <c r="Z200" s="43">
        <f t="shared" ref="Z200:AA200" si="847">Z140</f>
        <v>6.782123951939572</v>
      </c>
      <c r="AA200" s="43">
        <f t="shared" si="847"/>
        <v>6.6479642959970402</v>
      </c>
      <c r="AB200" s="43">
        <f t="shared" ref="AB200:AC200" si="848">AB140</f>
        <v>6.4406010757226531</v>
      </c>
      <c r="AC200" s="43">
        <f t="shared" si="848"/>
        <v>6.202285753263757</v>
      </c>
      <c r="AD200" s="43">
        <f t="shared" ref="AD200:AG200" si="849">AD140</f>
        <v>5.9359098072199936</v>
      </c>
      <c r="AE200" s="43">
        <f t="shared" si="849"/>
        <v>5.6983489854989067</v>
      </c>
      <c r="AF200" s="43">
        <f t="shared" si="849"/>
        <v>5.4785075613782972</v>
      </c>
      <c r="AG200" s="43">
        <f t="shared" si="849"/>
        <v>5.2621946169848366</v>
      </c>
      <c r="AH200" s="43">
        <f t="shared" ref="AH200:AI200" si="850">AH140</f>
        <v>5.0096457009472344</v>
      </c>
      <c r="AI200" s="43">
        <f t="shared" si="850"/>
        <v>4.8038038742472278</v>
      </c>
      <c r="AJ200" s="43">
        <f t="shared" ref="AJ200:AM200" si="851">AJ140</f>
        <v>4.2922589808191987</v>
      </c>
      <c r="AK200" s="43">
        <f t="shared" si="851"/>
        <v>4.1442007818836704</v>
      </c>
      <c r="AL200" s="43">
        <f t="shared" si="851"/>
        <v>3.8314757219967803</v>
      </c>
      <c r="AM200" s="43">
        <f t="shared" si="851"/>
        <v>4.216111135753458</v>
      </c>
      <c r="AN200" s="43">
        <f t="shared" ref="AN200:AP200" si="852">AN140</f>
        <v>6.5462001069274027</v>
      </c>
      <c r="AO200" s="43">
        <f t="shared" si="852"/>
        <v>5.52426412375595</v>
      </c>
      <c r="AP200" s="43">
        <f t="shared" si="852"/>
        <v>4.9470287814973792</v>
      </c>
    </row>
    <row r="201" spans="2:42" ht="13.5" customHeight="1">
      <c r="C201" s="43"/>
      <c r="D201" s="43"/>
      <c r="E201" s="43"/>
      <c r="F201" s="43"/>
      <c r="G201" s="43"/>
      <c r="H201" s="43"/>
      <c r="I201" s="43"/>
      <c r="J201" s="43"/>
      <c r="K201" s="43"/>
      <c r="L201" s="43"/>
      <c r="M201" s="43"/>
      <c r="N201" s="38"/>
      <c r="O201" s="38"/>
      <c r="P201" s="38"/>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row>
    <row r="202" spans="2:42" ht="13.5" customHeight="1">
      <c r="B202" s="39" t="str">
        <f>+B142</f>
        <v>Company reported net leverage</v>
      </c>
      <c r="C202" s="41">
        <f t="shared" ref="C202:G202" si="853">C142</f>
        <v>5.3396535047379423</v>
      </c>
      <c r="D202" s="41">
        <f t="shared" si="853"/>
        <v>5.6308087493940571</v>
      </c>
      <c r="E202" s="41">
        <f t="shared" si="853"/>
        <v>5.2768701645393996</v>
      </c>
      <c r="F202" s="41">
        <f t="shared" si="853"/>
        <v>5.7050069709310343</v>
      </c>
      <c r="G202" s="41">
        <f t="shared" si="853"/>
        <v>3.5497596051539686</v>
      </c>
      <c r="H202" s="41">
        <f t="shared" ref="H202:I202" si="854">H142</f>
        <v>5.2751045649499888</v>
      </c>
      <c r="I202" s="41">
        <f t="shared" si="854"/>
        <v>2.3833837468507797</v>
      </c>
      <c r="J202" s="41">
        <f t="shared" ref="J202:K202" si="855">J142</f>
        <v>3.2460268884540109</v>
      </c>
      <c r="K202" s="41">
        <f t="shared" si="855"/>
        <v>4.0664481003894428</v>
      </c>
      <c r="L202" s="41">
        <f>L142</f>
        <v>4.0806361386716512</v>
      </c>
      <c r="M202" s="41"/>
      <c r="N202" s="38"/>
      <c r="O202" s="38"/>
      <c r="P202" s="38"/>
      <c r="Q202" s="41">
        <f t="shared" ref="Q202:W202" si="856">Q142</f>
        <v>5.2768701645393996</v>
      </c>
      <c r="R202" s="41">
        <f t="shared" si="856"/>
        <v>5.5730696227814693</v>
      </c>
      <c r="S202" s="41">
        <f t="shared" si="856"/>
        <v>5.7033727199543378</v>
      </c>
      <c r="T202" s="41">
        <f t="shared" si="856"/>
        <v>5.6765807230109138</v>
      </c>
      <c r="U202" s="41">
        <f t="shared" si="856"/>
        <v>5.7050069709310343</v>
      </c>
      <c r="V202" s="41">
        <f t="shared" si="856"/>
        <v>5.7838822690180116</v>
      </c>
      <c r="W202" s="41">
        <f t="shared" si="856"/>
        <v>4.1282509552781379</v>
      </c>
      <c r="X202" s="41">
        <f t="shared" ref="X202:AA202" si="857">X142</f>
        <v>4.2031214447230782</v>
      </c>
      <c r="Y202" s="41">
        <f t="shared" si="857"/>
        <v>3.5497596051539686</v>
      </c>
      <c r="Z202" s="41">
        <f t="shared" si="857"/>
        <v>4.2961877988182691</v>
      </c>
      <c r="AA202" s="41">
        <f t="shared" si="857"/>
        <v>4.5239986423021339</v>
      </c>
      <c r="AB202" s="41">
        <f t="shared" ref="AB202:AC202" si="858">AB142</f>
        <v>4.5709093800236147</v>
      </c>
      <c r="AC202" s="41">
        <f t="shared" si="858"/>
        <v>5.2751045649499888</v>
      </c>
      <c r="AD202" s="41">
        <f t="shared" ref="AD202:AG202" si="859">AD142</f>
        <v>5.3097466328569656</v>
      </c>
      <c r="AE202" s="41">
        <f t="shared" si="859"/>
        <v>5.3875773149039263</v>
      </c>
      <c r="AF202" s="41">
        <f t="shared" si="859"/>
        <v>3.0718691728332512</v>
      </c>
      <c r="AG202" s="41">
        <f t="shared" si="859"/>
        <v>2.3833837468507793</v>
      </c>
      <c r="AH202" s="41">
        <f t="shared" ref="AH202:AI202" si="860">AH142</f>
        <v>2.573345717446649</v>
      </c>
      <c r="AI202" s="41">
        <f t="shared" si="860"/>
        <v>2.8234757414535649</v>
      </c>
      <c r="AJ202" s="41">
        <f t="shared" ref="AJ202:AM202" si="861">AJ142</f>
        <v>2.8694207708924089</v>
      </c>
      <c r="AK202" s="41">
        <f t="shared" si="861"/>
        <v>3.2439812916210449</v>
      </c>
      <c r="AL202" s="41">
        <f t="shared" si="861"/>
        <v>3.5987650474639321</v>
      </c>
      <c r="AM202" s="41">
        <f t="shared" si="861"/>
        <v>3.9109485624284956</v>
      </c>
      <c r="AN202" s="41">
        <f t="shared" ref="AN202:AP202" si="862">AN142</f>
        <v>3.8899225617719506</v>
      </c>
      <c r="AO202" s="41">
        <f t="shared" si="862"/>
        <v>4.0664481003894428</v>
      </c>
      <c r="AP202" s="41">
        <f t="shared" si="862"/>
        <v>4.0806361386716512</v>
      </c>
    </row>
    <row r="203" spans="2:42" ht="13.5" customHeight="1">
      <c r="C203" s="43"/>
      <c r="D203" s="43"/>
      <c r="E203" s="43"/>
      <c r="F203" s="43"/>
      <c r="G203" s="43"/>
      <c r="H203" s="43"/>
      <c r="I203" s="43"/>
      <c r="J203" s="43"/>
      <c r="K203" s="43"/>
      <c r="L203" s="43"/>
      <c r="M203" s="43"/>
      <c r="N203" s="38"/>
      <c r="O203" s="38"/>
      <c r="P203" s="38"/>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row>
    <row r="204" spans="2:42" s="39" customFormat="1" ht="13.5" customHeight="1">
      <c r="B204" s="39" t="str">
        <f>+B144</f>
        <v>EBITDA - Capex / Interest</v>
      </c>
      <c r="C204" s="41">
        <f t="shared" ref="C204:D204" si="863">C144</f>
        <v>-6.5705521048148947</v>
      </c>
      <c r="D204" s="41">
        <f t="shared" si="863"/>
        <v>-0.81345143746067861</v>
      </c>
      <c r="E204" s="41">
        <f t="shared" ref="E204:F205" si="864">E144</f>
        <v>3.1771761900071098</v>
      </c>
      <c r="F204" s="41">
        <f t="shared" si="864"/>
        <v>1.3912882575872845</v>
      </c>
      <c r="G204" s="41">
        <f t="shared" ref="G204:H204" si="865">G144</f>
        <v>3.4123669172745692</v>
      </c>
      <c r="H204" s="41">
        <f t="shared" si="865"/>
        <v>-2.4943163210900274</v>
      </c>
      <c r="I204" s="41">
        <f t="shared" ref="I204:J204" si="866">I144</f>
        <v>-1.0877140757288422</v>
      </c>
      <c r="J204" s="41">
        <f t="shared" si="866"/>
        <v>-0.52901868502705429</v>
      </c>
      <c r="K204" s="41">
        <f t="shared" ref="K204" si="867">K144</f>
        <v>-2.204932529018178</v>
      </c>
      <c r="L204" s="41">
        <f>L144</f>
        <v>-0.92549931848468492</v>
      </c>
      <c r="M204" s="41"/>
      <c r="N204" s="38"/>
      <c r="O204" s="38"/>
      <c r="P204" s="38"/>
      <c r="Q204" s="41">
        <f t="shared" ref="Q204:U205" si="868">Q144</f>
        <v>3.1763991173594435</v>
      </c>
      <c r="R204" s="41">
        <f t="shared" si="868"/>
        <v>3.4687001064764575</v>
      </c>
      <c r="S204" s="41">
        <f t="shared" si="868"/>
        <v>0.49535264221029762</v>
      </c>
      <c r="T204" s="41">
        <f t="shared" si="868"/>
        <v>1.253775409594277</v>
      </c>
      <c r="U204" s="41">
        <f t="shared" si="868"/>
        <v>1.3912882575872845</v>
      </c>
      <c r="V204" s="41">
        <f t="shared" ref="V204:Y204" si="869">V144</f>
        <v>1.219814442691699</v>
      </c>
      <c r="W204" s="41">
        <f t="shared" si="869"/>
        <v>1.4164109129597204</v>
      </c>
      <c r="X204" s="41">
        <f t="shared" si="869"/>
        <v>1.1656677968468609</v>
      </c>
      <c r="Y204" s="41">
        <f t="shared" si="869"/>
        <v>3.4122681857043027</v>
      </c>
      <c r="Z204" s="41">
        <f t="shared" ref="Z204:AA204" si="870">Z144</f>
        <v>2.1963574623416875</v>
      </c>
      <c r="AA204" s="41">
        <f t="shared" si="870"/>
        <v>2.1440822930107779</v>
      </c>
      <c r="AB204" s="41">
        <f t="shared" ref="AB204:AC204" si="871">AB144</f>
        <v>1.2573069769300083</v>
      </c>
      <c r="AC204" s="41">
        <f t="shared" si="871"/>
        <v>-2.495070239586374</v>
      </c>
      <c r="AD204" s="41">
        <f t="shared" ref="AD204:AG204" si="872">AD144</f>
        <v>-1.776075641098888</v>
      </c>
      <c r="AE204" s="41">
        <f t="shared" si="872"/>
        <v>-2.0596078016547907</v>
      </c>
      <c r="AF204" s="41">
        <f t="shared" si="872"/>
        <v>-2.6461995196692594</v>
      </c>
      <c r="AG204" s="41">
        <f t="shared" si="872"/>
        <v>-1.0877140757288415</v>
      </c>
      <c r="AH204" s="41">
        <f t="shared" ref="AH204:AI204" si="873">AH144</f>
        <v>-0.75977856426530099</v>
      </c>
      <c r="AI204" s="41">
        <f t="shared" si="873"/>
        <v>-1.0480645136292213</v>
      </c>
      <c r="AJ204" s="41">
        <f t="shared" ref="AJ204" si="874">AJ144</f>
        <v>-3.2464256825344318E-2</v>
      </c>
      <c r="AK204" s="41">
        <f>AK144</f>
        <v>-0.52595624708495714</v>
      </c>
      <c r="AL204" s="41">
        <f t="shared" ref="AL204:AN204" si="875">AL144</f>
        <v>-0.67981987148540368</v>
      </c>
      <c r="AM204" s="41">
        <f t="shared" si="875"/>
        <v>-1.9421200481438554</v>
      </c>
      <c r="AN204" s="41">
        <f t="shared" si="875"/>
        <v>-1.3115017652918006</v>
      </c>
      <c r="AO204" s="41">
        <f>AO144</f>
        <v>-2.204932529018178</v>
      </c>
      <c r="AP204" s="41">
        <f t="shared" ref="AP204" si="876">AP144</f>
        <v>-0.92549931848468492</v>
      </c>
    </row>
    <row r="205" spans="2:42" ht="12.75" customHeight="1">
      <c r="B205" s="35" t="str">
        <f>+B145</f>
        <v>EBITDA/Interest</v>
      </c>
      <c r="C205" s="43">
        <f t="shared" ref="C205:D205" si="877">C145</f>
        <v>5.7805967441358712</v>
      </c>
      <c r="D205" s="43">
        <f t="shared" si="877"/>
        <v>3.4944186589010857</v>
      </c>
      <c r="E205" s="43">
        <f t="shared" si="864"/>
        <v>3.1441426245354109</v>
      </c>
      <c r="F205" s="43">
        <f t="shared" si="864"/>
        <v>3.322102752205474</v>
      </c>
      <c r="G205" s="43">
        <f t="shared" ref="G205:H205" si="878">G145</f>
        <v>3.0536835993370803</v>
      </c>
      <c r="H205" s="43">
        <f t="shared" si="878"/>
        <v>3.3516260569609964</v>
      </c>
      <c r="I205" s="43">
        <f t="shared" ref="I205:J205" si="879">I145</f>
        <v>3.8656636899949448</v>
      </c>
      <c r="J205" s="43">
        <f t="shared" si="879"/>
        <v>4.8565246244093583</v>
      </c>
      <c r="K205" s="43">
        <f t="shared" ref="K205" si="880">K145</f>
        <v>5.0365954097023007</v>
      </c>
      <c r="L205" s="43">
        <f>L145</f>
        <v>4.307786655335387</v>
      </c>
      <c r="M205" s="43"/>
      <c r="N205" s="69"/>
      <c r="O205" s="69"/>
      <c r="P205" s="69"/>
      <c r="Q205" s="43">
        <f t="shared" si="868"/>
        <v>3.1433655518877446</v>
      </c>
      <c r="R205" s="43">
        <f t="shared" si="868"/>
        <v>3.2114064533587796</v>
      </c>
      <c r="S205" s="43">
        <f t="shared" si="868"/>
        <v>3.248956756586221</v>
      </c>
      <c r="T205" s="43">
        <f t="shared" si="868"/>
        <v>3.6375928877365968</v>
      </c>
      <c r="U205" s="43">
        <f t="shared" si="868"/>
        <v>3.322102752205474</v>
      </c>
      <c r="V205" s="43">
        <f t="shared" ref="V205:Y205" si="881">V145</f>
        <v>3.2086061211621071</v>
      </c>
      <c r="W205" s="43">
        <f t="shared" si="881"/>
        <v>3.141675183008235</v>
      </c>
      <c r="X205" s="43">
        <f t="shared" si="881"/>
        <v>3.3961281412832793</v>
      </c>
      <c r="Y205" s="43">
        <f t="shared" si="881"/>
        <v>3.0535848677668138</v>
      </c>
      <c r="Z205" s="43">
        <f t="shared" ref="Z205:AA205" si="882">Z145</f>
        <v>3.3178071953061092</v>
      </c>
      <c r="AA205" s="43">
        <f t="shared" si="882"/>
        <v>3.1856134261337883</v>
      </c>
      <c r="AB205" s="43">
        <f t="shared" ref="AB205:AC205" si="883">AB145</f>
        <v>3.2958736537155415</v>
      </c>
      <c r="AC205" s="43">
        <f t="shared" si="883"/>
        <v>3.3508721384646503</v>
      </c>
      <c r="AD205" s="43">
        <f t="shared" ref="AD205:AG205" si="884">AD145</f>
        <v>3.5266596816316089</v>
      </c>
      <c r="AE205" s="43">
        <f t="shared" si="884"/>
        <v>3.5731985647594797</v>
      </c>
      <c r="AF205" s="43">
        <f t="shared" si="884"/>
        <v>3.7396804993361799</v>
      </c>
      <c r="AG205" s="43">
        <f t="shared" si="884"/>
        <v>3.8656636899949453</v>
      </c>
      <c r="AH205" s="43">
        <f t="shared" ref="AH205:AI205" si="885">AH145</f>
        <v>4.1178085850866077</v>
      </c>
      <c r="AI205" s="43">
        <f t="shared" si="885"/>
        <v>4.4698365366980504</v>
      </c>
      <c r="AJ205" s="43">
        <f t="shared" ref="AJ205:AM205" si="886">AJ145</f>
        <v>4.6204280972588325</v>
      </c>
      <c r="AK205" s="43">
        <f t="shared" si="886"/>
        <v>4.8595870623514559</v>
      </c>
      <c r="AL205" s="43">
        <f t="shared" si="886"/>
        <v>4.9422863128957486</v>
      </c>
      <c r="AM205" s="43">
        <f t="shared" si="886"/>
        <v>5.0464365748554592</v>
      </c>
      <c r="AN205" s="43">
        <f t="shared" ref="AN205:AP205" si="887">AN145</f>
        <v>5.230066614650962</v>
      </c>
      <c r="AO205" s="43">
        <f t="shared" si="887"/>
        <v>5.0365954097023007</v>
      </c>
      <c r="AP205" s="43">
        <f t="shared" si="887"/>
        <v>4.307786655335387</v>
      </c>
    </row>
    <row r="206" spans="2:42" ht="13.5" customHeight="1">
      <c r="C206" s="37"/>
      <c r="D206" s="37"/>
      <c r="E206" s="37"/>
      <c r="F206" s="37"/>
      <c r="G206" s="37"/>
      <c r="H206" s="37"/>
      <c r="I206" s="37"/>
      <c r="J206" s="37"/>
      <c r="K206" s="37"/>
      <c r="L206" s="37"/>
      <c r="M206" s="37"/>
      <c r="N206" s="38"/>
      <c r="O206" s="38"/>
      <c r="P206" s="38"/>
      <c r="Q206" s="37"/>
      <c r="R206" s="37"/>
      <c r="S206" s="37"/>
      <c r="T206" s="37"/>
      <c r="U206" s="37"/>
      <c r="V206" s="37"/>
      <c r="W206" s="37"/>
      <c r="X206" s="37"/>
      <c r="Y206" s="37"/>
      <c r="Z206" s="37"/>
      <c r="AA206" s="37"/>
      <c r="AB206" s="37"/>
      <c r="AC206" s="37"/>
      <c r="AD206" s="37"/>
      <c r="AE206" s="37"/>
      <c r="AF206" s="37"/>
      <c r="AG206" s="37"/>
      <c r="AH206" s="37"/>
      <c r="AI206" s="37"/>
      <c r="AK206" s="37"/>
      <c r="AL206" s="37"/>
      <c r="AM206" s="37"/>
      <c r="AO206" s="37"/>
      <c r="AP206" s="37"/>
    </row>
    <row r="207" spans="2:42" s="39" customFormat="1" ht="13.5" customHeight="1">
      <c r="B207" s="74" t="str">
        <f t="shared" ref="B207:F207" si="888">+B147</f>
        <v xml:space="preserve">Gearing (Net debt / Equity) </v>
      </c>
      <c r="C207" s="198">
        <f t="shared" si="888"/>
        <v>0.48026777059389358</v>
      </c>
      <c r="D207" s="198">
        <f t="shared" si="888"/>
        <v>0.60293430076468002</v>
      </c>
      <c r="E207" s="198">
        <f t="shared" si="888"/>
        <v>0.57646821640490153</v>
      </c>
      <c r="F207" s="198">
        <f t="shared" si="888"/>
        <v>0.64938645552247842</v>
      </c>
      <c r="G207" s="198">
        <f t="shared" ref="G207:H207" si="889">+G147</f>
        <v>0.33164221011742873</v>
      </c>
      <c r="H207" s="198">
        <f t="shared" si="889"/>
        <v>0.48365209772750645</v>
      </c>
      <c r="I207" s="198">
        <f t="shared" ref="I207:J207" si="890">+I147</f>
        <v>0.16683696697918474</v>
      </c>
      <c r="J207" s="198">
        <f t="shared" si="890"/>
        <v>0.25545448601378551</v>
      </c>
      <c r="K207" s="198">
        <f t="shared" ref="K207" si="891">+K147</f>
        <v>0.34200849792692462</v>
      </c>
      <c r="L207" s="198">
        <f>+L147</f>
        <v>0.3396413353579209</v>
      </c>
      <c r="M207" s="199"/>
      <c r="N207" s="200"/>
      <c r="O207" s="200"/>
      <c r="P207" s="200"/>
      <c r="Q207" s="198">
        <f t="shared" ref="Q207:W207" si="892">+Q147</f>
        <v>0.57646821640490153</v>
      </c>
      <c r="R207" s="198">
        <f t="shared" si="892"/>
        <v>0.66640036285584459</v>
      </c>
      <c r="S207" s="198">
        <f t="shared" si="892"/>
        <v>0.67788054536299625</v>
      </c>
      <c r="T207" s="198">
        <f t="shared" si="892"/>
        <v>0.66160842477548809</v>
      </c>
      <c r="U207" s="198">
        <f t="shared" si="892"/>
        <v>0.64938645552247842</v>
      </c>
      <c r="V207" s="198">
        <f t="shared" si="892"/>
        <v>0.69424905533361103</v>
      </c>
      <c r="W207" s="198">
        <f t="shared" si="892"/>
        <v>0.38577606754386196</v>
      </c>
      <c r="X207" s="198">
        <f t="shared" ref="X207:AA207" si="893">+X147</f>
        <v>0.39810934351528815</v>
      </c>
      <c r="Y207" s="198">
        <f t="shared" si="893"/>
        <v>0.33164221011742873</v>
      </c>
      <c r="Z207" s="198">
        <f t="shared" si="893"/>
        <v>0.40903521693903105</v>
      </c>
      <c r="AA207" s="198">
        <f t="shared" si="893"/>
        <v>0.42661668040023276</v>
      </c>
      <c r="AB207" s="198">
        <f t="shared" ref="AB207:AC207" si="894">+AB147</f>
        <v>0.42598829635744834</v>
      </c>
      <c r="AC207" s="198">
        <f t="shared" si="894"/>
        <v>0.48365209772750645</v>
      </c>
      <c r="AD207" s="198">
        <f t="shared" ref="AD207:AG207" si="895">+AD147</f>
        <v>0.50738948215670476</v>
      </c>
      <c r="AE207" s="198">
        <f t="shared" si="895"/>
        <v>0.50489448655143021</v>
      </c>
      <c r="AF207" s="198">
        <f t="shared" si="895"/>
        <v>0.23461747316613821</v>
      </c>
      <c r="AG207" s="198">
        <f t="shared" si="895"/>
        <v>0.16683696697918474</v>
      </c>
      <c r="AH207" s="198">
        <f t="shared" ref="AH207:AK207" si="896">+AH147</f>
        <v>0.18446477562798805</v>
      </c>
      <c r="AI207" s="198">
        <f t="shared" si="896"/>
        <v>0.20198582766759265</v>
      </c>
      <c r="AJ207" s="198">
        <f t="shared" si="896"/>
        <v>0.21069077734062694</v>
      </c>
      <c r="AK207" s="198">
        <f t="shared" si="896"/>
        <v>0.25545448601378551</v>
      </c>
      <c r="AL207" s="198">
        <f t="shared" ref="AL207:AO207" si="897">+AL147</f>
        <v>0.30039617393250245</v>
      </c>
      <c r="AM207" s="198">
        <f t="shared" si="897"/>
        <v>0.32857536078015021</v>
      </c>
      <c r="AN207" s="198">
        <f t="shared" si="897"/>
        <v>0.33411621149919846</v>
      </c>
      <c r="AO207" s="198">
        <f t="shared" si="897"/>
        <v>0.34200849792692462</v>
      </c>
      <c r="AP207" s="198">
        <f t="shared" ref="AP207" si="898">+AP147</f>
        <v>0.3396413353579209</v>
      </c>
    </row>
    <row r="208" spans="2:42" ht="13.5" customHeight="1">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K208" s="16"/>
      <c r="AL208" s="16"/>
      <c r="AM208" s="16"/>
      <c r="AO208" s="16"/>
      <c r="AP208" s="16"/>
    </row>
    <row r="209" spans="2:42" ht="13.5" customHeight="1">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K209" s="16"/>
      <c r="AL209" s="16"/>
      <c r="AM209" s="16"/>
      <c r="AO209" s="16"/>
      <c r="AP209" s="16"/>
    </row>
    <row r="210" spans="2:42" ht="13.5" customHeight="1">
      <c r="B210" s="201" t="s">
        <v>263</v>
      </c>
      <c r="C210" s="202">
        <v>1</v>
      </c>
      <c r="D210" s="202">
        <v>1</v>
      </c>
      <c r="E210" s="202">
        <v>1</v>
      </c>
      <c r="F210" s="202">
        <v>1</v>
      </c>
      <c r="G210" s="202">
        <v>1</v>
      </c>
      <c r="H210" s="202">
        <v>1</v>
      </c>
      <c r="I210" s="202">
        <v>1</v>
      </c>
      <c r="J210" s="202">
        <v>1</v>
      </c>
      <c r="K210" s="202">
        <v>1</v>
      </c>
      <c r="L210" s="203">
        <v>1</v>
      </c>
      <c r="M210" s="16"/>
      <c r="N210" s="202">
        <v>1</v>
      </c>
      <c r="O210" s="202">
        <v>1</v>
      </c>
      <c r="P210" s="202">
        <v>1</v>
      </c>
      <c r="Q210" s="202">
        <v>1</v>
      </c>
      <c r="R210" s="202">
        <v>1</v>
      </c>
      <c r="S210" s="202">
        <v>1</v>
      </c>
      <c r="T210" s="202">
        <v>1</v>
      </c>
      <c r="U210" s="202">
        <v>1</v>
      </c>
      <c r="V210" s="202">
        <v>1</v>
      </c>
      <c r="W210" s="202">
        <v>1</v>
      </c>
      <c r="X210" s="202">
        <v>1</v>
      </c>
      <c r="Y210" s="202">
        <v>1</v>
      </c>
      <c r="Z210" s="202">
        <v>1</v>
      </c>
      <c r="AA210" s="202">
        <v>1</v>
      </c>
      <c r="AB210" s="202">
        <v>1</v>
      </c>
      <c r="AC210" s="202">
        <v>1</v>
      </c>
      <c r="AD210" s="202">
        <v>1</v>
      </c>
      <c r="AE210" s="202">
        <v>1</v>
      </c>
      <c r="AF210" s="202">
        <v>1</v>
      </c>
      <c r="AG210" s="202">
        <v>1</v>
      </c>
      <c r="AH210" s="202">
        <v>1</v>
      </c>
      <c r="AI210" s="202">
        <v>1</v>
      </c>
      <c r="AJ210" s="202">
        <v>1</v>
      </c>
      <c r="AK210" s="202">
        <v>1</v>
      </c>
      <c r="AL210" s="202">
        <v>1</v>
      </c>
      <c r="AM210" s="202">
        <v>1</v>
      </c>
      <c r="AN210" s="202">
        <v>1</v>
      </c>
      <c r="AO210" s="202">
        <v>1</v>
      </c>
      <c r="AP210" s="202">
        <v>1</v>
      </c>
    </row>
    <row r="211" spans="2:42" ht="13.5" customHeight="1">
      <c r="B211" s="201" t="s">
        <v>264</v>
      </c>
      <c r="C211" s="202">
        <v>1</v>
      </c>
      <c r="D211" s="202">
        <v>1</v>
      </c>
      <c r="E211" s="202">
        <v>1</v>
      </c>
      <c r="F211" s="202">
        <v>1</v>
      </c>
      <c r="G211" s="202">
        <v>1</v>
      </c>
      <c r="H211" s="202">
        <v>1</v>
      </c>
      <c r="I211" s="202">
        <v>1</v>
      </c>
      <c r="J211" s="202">
        <v>1</v>
      </c>
      <c r="K211" s="202">
        <v>1</v>
      </c>
      <c r="L211" s="203">
        <v>1</v>
      </c>
      <c r="M211" s="16"/>
      <c r="N211" s="202">
        <v>1</v>
      </c>
      <c r="O211" s="202">
        <v>1</v>
      </c>
      <c r="P211" s="202">
        <v>1</v>
      </c>
      <c r="Q211" s="202">
        <v>1</v>
      </c>
      <c r="R211" s="202">
        <v>1</v>
      </c>
      <c r="S211" s="202">
        <v>1</v>
      </c>
      <c r="T211" s="202">
        <v>1</v>
      </c>
      <c r="U211" s="202">
        <v>1</v>
      </c>
      <c r="V211" s="202">
        <v>1</v>
      </c>
      <c r="W211" s="202">
        <v>1</v>
      </c>
      <c r="X211" s="202">
        <v>1</v>
      </c>
      <c r="Y211" s="202">
        <v>1</v>
      </c>
      <c r="Z211" s="202">
        <v>1</v>
      </c>
      <c r="AA211" s="202">
        <v>1</v>
      </c>
      <c r="AB211" s="202">
        <v>1</v>
      </c>
      <c r="AC211" s="202">
        <v>1</v>
      </c>
      <c r="AD211" s="202">
        <v>1</v>
      </c>
      <c r="AE211" s="202">
        <v>1</v>
      </c>
      <c r="AF211" s="202">
        <v>1</v>
      </c>
      <c r="AG211" s="202">
        <v>1</v>
      </c>
      <c r="AH211" s="202">
        <v>1</v>
      </c>
      <c r="AI211" s="202">
        <v>1</v>
      </c>
      <c r="AJ211" s="202">
        <v>1</v>
      </c>
      <c r="AK211" s="202">
        <v>1</v>
      </c>
      <c r="AL211" s="202">
        <v>1</v>
      </c>
      <c r="AM211" s="202">
        <v>1</v>
      </c>
      <c r="AN211" s="202">
        <v>1</v>
      </c>
      <c r="AO211" s="202">
        <v>1</v>
      </c>
      <c r="AP211" s="202">
        <v>1</v>
      </c>
    </row>
    <row r="212" spans="2:42" ht="13.5" customHeight="1">
      <c r="B212" s="201" t="s">
        <v>265</v>
      </c>
      <c r="C212" s="202">
        <v>1</v>
      </c>
      <c r="D212" s="202">
        <v>1</v>
      </c>
      <c r="E212" s="202">
        <v>1</v>
      </c>
      <c r="F212" s="202">
        <v>1</v>
      </c>
      <c r="G212" s="202">
        <v>1</v>
      </c>
      <c r="H212" s="202">
        <v>1</v>
      </c>
      <c r="I212" s="202">
        <v>1</v>
      </c>
      <c r="J212" s="202">
        <v>1</v>
      </c>
      <c r="K212" s="202">
        <v>1</v>
      </c>
      <c r="L212" s="203">
        <v>1</v>
      </c>
      <c r="M212" s="16"/>
      <c r="N212" s="202">
        <v>1</v>
      </c>
      <c r="O212" s="202">
        <v>1</v>
      </c>
      <c r="P212" s="202">
        <v>1</v>
      </c>
      <c r="Q212" s="202">
        <v>1</v>
      </c>
      <c r="R212" s="202">
        <v>1</v>
      </c>
      <c r="S212" s="202">
        <v>1</v>
      </c>
      <c r="T212" s="202">
        <v>1</v>
      </c>
      <c r="U212" s="202">
        <v>1</v>
      </c>
      <c r="V212" s="202">
        <v>1</v>
      </c>
      <c r="W212" s="202">
        <v>1</v>
      </c>
      <c r="X212" s="202">
        <v>1</v>
      </c>
      <c r="Y212" s="202">
        <v>1</v>
      </c>
      <c r="Z212" s="202">
        <v>1</v>
      </c>
      <c r="AA212" s="202">
        <v>1</v>
      </c>
      <c r="AB212" s="202">
        <v>1</v>
      </c>
      <c r="AC212" s="202">
        <v>1</v>
      </c>
      <c r="AD212" s="202">
        <v>1</v>
      </c>
      <c r="AE212" s="202">
        <v>1</v>
      </c>
      <c r="AF212" s="202">
        <v>1</v>
      </c>
      <c r="AG212" s="202">
        <v>1</v>
      </c>
      <c r="AH212" s="202">
        <v>1</v>
      </c>
      <c r="AI212" s="202">
        <v>1</v>
      </c>
      <c r="AJ212" s="202">
        <v>1</v>
      </c>
      <c r="AK212" s="202">
        <v>1</v>
      </c>
      <c r="AL212" s="202">
        <v>1</v>
      </c>
      <c r="AM212" s="202">
        <v>1</v>
      </c>
      <c r="AN212" s="202">
        <v>1</v>
      </c>
      <c r="AO212" s="202">
        <v>1</v>
      </c>
      <c r="AP212" s="202">
        <v>1</v>
      </c>
    </row>
    <row r="213" spans="2:42" ht="13.5" customHeight="1">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K213" s="16"/>
      <c r="AL213" s="16"/>
      <c r="AM213" s="16"/>
      <c r="AO213" s="16"/>
      <c r="AP213" s="16"/>
    </row>
    <row r="214" spans="2:42" ht="13.5" customHeight="1">
      <c r="B214" s="58" t="s">
        <v>266</v>
      </c>
      <c r="C214" s="57">
        <f t="shared" ref="C214:J214" si="899">C3</f>
        <v>43100</v>
      </c>
      <c r="D214" s="57">
        <f t="shared" si="899"/>
        <v>43465</v>
      </c>
      <c r="E214" s="57">
        <f t="shared" si="899"/>
        <v>43830</v>
      </c>
      <c r="F214" s="57">
        <f t="shared" si="899"/>
        <v>44196</v>
      </c>
      <c r="G214" s="57">
        <f t="shared" si="899"/>
        <v>44561</v>
      </c>
      <c r="H214" s="57">
        <f t="shared" si="899"/>
        <v>44926</v>
      </c>
      <c r="I214" s="57">
        <f t="shared" si="899"/>
        <v>45291</v>
      </c>
      <c r="J214" s="57">
        <f t="shared" si="899"/>
        <v>45657</v>
      </c>
      <c r="K214" s="57">
        <f t="shared" ref="K214" si="900">K3</f>
        <v>46022</v>
      </c>
      <c r="L214" s="57" t="str">
        <f>L2</f>
        <v>LTM</v>
      </c>
      <c r="M214" s="145"/>
      <c r="N214" s="57">
        <f t="shared" ref="N214:AN214" si="901">N3</f>
        <v>43555</v>
      </c>
      <c r="O214" s="57">
        <f t="shared" si="901"/>
        <v>43646</v>
      </c>
      <c r="P214" s="57">
        <f t="shared" si="901"/>
        <v>43738</v>
      </c>
      <c r="Q214" s="57">
        <f t="shared" si="901"/>
        <v>43830</v>
      </c>
      <c r="R214" s="57">
        <f t="shared" si="901"/>
        <v>43921</v>
      </c>
      <c r="S214" s="57">
        <f t="shared" si="901"/>
        <v>44012</v>
      </c>
      <c r="T214" s="57">
        <f t="shared" si="901"/>
        <v>44104</v>
      </c>
      <c r="U214" s="57">
        <f t="shared" si="901"/>
        <v>44196</v>
      </c>
      <c r="V214" s="57">
        <f t="shared" si="901"/>
        <v>44286</v>
      </c>
      <c r="W214" s="57">
        <f t="shared" si="901"/>
        <v>44377</v>
      </c>
      <c r="X214" s="57">
        <f t="shared" si="901"/>
        <v>44469</v>
      </c>
      <c r="Y214" s="57">
        <f t="shared" si="901"/>
        <v>44561</v>
      </c>
      <c r="Z214" s="57">
        <f t="shared" si="901"/>
        <v>44651</v>
      </c>
      <c r="AA214" s="57">
        <f t="shared" si="901"/>
        <v>44742</v>
      </c>
      <c r="AB214" s="57">
        <f t="shared" si="901"/>
        <v>44834</v>
      </c>
      <c r="AC214" s="57">
        <f t="shared" si="901"/>
        <v>44926</v>
      </c>
      <c r="AD214" s="57">
        <f t="shared" si="901"/>
        <v>45016</v>
      </c>
      <c r="AE214" s="57">
        <f t="shared" si="901"/>
        <v>45107</v>
      </c>
      <c r="AF214" s="57">
        <f t="shared" si="901"/>
        <v>45199</v>
      </c>
      <c r="AG214" s="57">
        <f t="shared" si="901"/>
        <v>45291</v>
      </c>
      <c r="AH214" s="57">
        <f t="shared" si="901"/>
        <v>45382</v>
      </c>
      <c r="AI214" s="57">
        <f t="shared" si="901"/>
        <v>45473</v>
      </c>
      <c r="AJ214" s="57">
        <f t="shared" si="901"/>
        <v>45565</v>
      </c>
      <c r="AK214" s="57">
        <f t="shared" si="901"/>
        <v>45657</v>
      </c>
      <c r="AL214" s="57">
        <f t="shared" si="901"/>
        <v>45747</v>
      </c>
      <c r="AM214" s="57">
        <f t="shared" si="901"/>
        <v>45838</v>
      </c>
      <c r="AN214" s="57">
        <f t="shared" si="901"/>
        <v>45930</v>
      </c>
      <c r="AO214" s="57">
        <f t="shared" ref="AO214:AP214" si="902">AO3</f>
        <v>46022</v>
      </c>
      <c r="AP214" s="57">
        <f t="shared" si="902"/>
        <v>46112</v>
      </c>
    </row>
    <row r="215" spans="2:42" ht="13.5" customHeight="1">
      <c r="B215" s="35" t="s">
        <v>254</v>
      </c>
      <c r="C215" s="16">
        <f t="shared" ref="C215:D215" si="903">C151*C$210</f>
        <v>109.42728200000001</v>
      </c>
      <c r="D215" s="16">
        <f t="shared" si="903"/>
        <v>132.66926599999999</v>
      </c>
      <c r="E215" s="16">
        <f t="shared" ref="E215:F216" si="904">E151*E$210</f>
        <v>144.29240200000001</v>
      </c>
      <c r="F215" s="16">
        <f t="shared" si="904"/>
        <v>149.535887</v>
      </c>
      <c r="G215" s="16">
        <f t="shared" ref="G215:H215" si="905">G151*G$210</f>
        <v>160.698385</v>
      </c>
      <c r="H215" s="16">
        <f t="shared" si="905"/>
        <v>178.02546100000001</v>
      </c>
      <c r="I215" s="16">
        <f t="shared" ref="I215:J215" si="906">I151*I$210</f>
        <v>213.448296</v>
      </c>
      <c r="J215" s="16">
        <f t="shared" si="906"/>
        <v>251.950504</v>
      </c>
      <c r="K215" s="16">
        <f t="shared" ref="K215" si="907">K151*K$210</f>
        <v>283.19337000000002</v>
      </c>
      <c r="L215" s="16">
        <f>L151*L$210</f>
        <v>292.90351399999997</v>
      </c>
      <c r="M215" s="16"/>
      <c r="N215" s="64"/>
      <c r="O215" s="64"/>
      <c r="P215" s="64"/>
      <c r="Q215" s="16">
        <f t="shared" ref="Q215:U216" si="908">Q151*Q$212</f>
        <v>144.29240200000001</v>
      </c>
      <c r="R215" s="16">
        <f t="shared" si="908"/>
        <v>145.69715000000002</v>
      </c>
      <c r="S215" s="16">
        <f t="shared" si="908"/>
        <v>146.30790400000001</v>
      </c>
      <c r="T215" s="16">
        <f t="shared" si="908"/>
        <v>147.94019600000001</v>
      </c>
      <c r="U215" s="16">
        <f t="shared" si="908"/>
        <v>149.535887</v>
      </c>
      <c r="V215" s="16">
        <f t="shared" ref="V215:Y215" si="909">V151*V$212</f>
        <v>150.19315800000001</v>
      </c>
      <c r="W215" s="16">
        <f t="shared" si="909"/>
        <v>153.41120000000001</v>
      </c>
      <c r="X215" s="16">
        <f t="shared" si="909"/>
        <v>156.95546899999999</v>
      </c>
      <c r="Y215" s="16">
        <f t="shared" si="909"/>
        <v>160.698385</v>
      </c>
      <c r="Z215" s="16">
        <f t="shared" ref="Z215:AA215" si="910">Z151*Z$212</f>
        <v>164.33402599999999</v>
      </c>
      <c r="AA215" s="16">
        <f t="shared" si="910"/>
        <v>165.91804300000001</v>
      </c>
      <c r="AB215" s="16">
        <f t="shared" ref="AB215:AC215" si="911">AB151*AB$212</f>
        <v>170.42395600000003</v>
      </c>
      <c r="AC215" s="16">
        <f t="shared" si="911"/>
        <v>178.02546100000001</v>
      </c>
      <c r="AD215" s="16">
        <f t="shared" ref="AD215:AG215" si="912">AD151*AD$212</f>
        <v>185.64830499999999</v>
      </c>
      <c r="AE215" s="16">
        <f t="shared" si="912"/>
        <v>193.00118300000003</v>
      </c>
      <c r="AF215" s="16">
        <f t="shared" si="912"/>
        <v>199.106211</v>
      </c>
      <c r="AG215" s="16">
        <f t="shared" si="912"/>
        <v>213.448296</v>
      </c>
      <c r="AH215" s="16">
        <f t="shared" ref="AH215:AI215" si="913">AH151*AH$212</f>
        <v>224.0138</v>
      </c>
      <c r="AI215" s="16">
        <f t="shared" si="913"/>
        <v>232.98807599999998</v>
      </c>
      <c r="AJ215" s="16">
        <f t="shared" ref="AJ215:AM215" si="914">AJ151*AJ$212</f>
        <v>239.75212699999997</v>
      </c>
      <c r="AK215" s="16">
        <f t="shared" si="914"/>
        <v>251.950504</v>
      </c>
      <c r="AL215" s="16">
        <f t="shared" si="914"/>
        <v>258.81312099999997</v>
      </c>
      <c r="AM215" s="16">
        <f t="shared" si="914"/>
        <v>263.34510299999999</v>
      </c>
      <c r="AN215" s="16">
        <f t="shared" ref="AN215:AP215" si="915">AN151*AN$212</f>
        <v>277.38890599999996</v>
      </c>
      <c r="AO215" s="16">
        <f t="shared" si="915"/>
        <v>283.19337000000002</v>
      </c>
      <c r="AP215" s="16">
        <f t="shared" si="915"/>
        <v>292.90351399999997</v>
      </c>
    </row>
    <row r="216" spans="2:42" ht="13.5" customHeight="1">
      <c r="B216" s="35" t="s">
        <v>255</v>
      </c>
      <c r="C216" s="16">
        <f t="shared" ref="C216:D216" si="916">C152*C$210</f>
        <v>91.952252999999999</v>
      </c>
      <c r="D216" s="16">
        <f t="shared" si="916"/>
        <v>112.82820199999999</v>
      </c>
      <c r="E216" s="16">
        <f t="shared" si="904"/>
        <v>121.384119</v>
      </c>
      <c r="F216" s="16">
        <f t="shared" si="904"/>
        <v>126.19619899999999</v>
      </c>
      <c r="G216" s="16">
        <f t="shared" ref="G216:H216" si="917">G152*G$210</f>
        <v>135.80990000000003</v>
      </c>
      <c r="H216" s="16">
        <f t="shared" si="917"/>
        <v>150.301559</v>
      </c>
      <c r="I216" s="16">
        <f t="shared" ref="I216:J216" si="918">I152*I$210</f>
        <v>174.08789899999999</v>
      </c>
      <c r="J216" s="16">
        <f t="shared" si="918"/>
        <v>204.4</v>
      </c>
      <c r="K216" s="16">
        <f t="shared" ref="K216" si="919">K152*K$210</f>
        <v>231.1</v>
      </c>
      <c r="L216" s="16">
        <f>L152*L$210</f>
        <v>237.93428500000002</v>
      </c>
      <c r="M216" s="16"/>
      <c r="N216" s="64"/>
      <c r="O216" s="64"/>
      <c r="P216" s="64"/>
      <c r="Q216" s="16">
        <f t="shared" si="908"/>
        <v>121.35411900000003</v>
      </c>
      <c r="R216" s="16">
        <f t="shared" si="908"/>
        <v>121.71056400000003</v>
      </c>
      <c r="S216" s="16">
        <f t="shared" si="908"/>
        <v>122.13445100000003</v>
      </c>
      <c r="T216" s="16">
        <f t="shared" si="908"/>
        <v>124.00581800000003</v>
      </c>
      <c r="U216" s="16">
        <f t="shared" si="908"/>
        <v>126.19619899999999</v>
      </c>
      <c r="V216" s="16">
        <f t="shared" ref="V216:Y216" si="920">V152*V$212</f>
        <v>128.16765599999999</v>
      </c>
      <c r="W216" s="16">
        <f t="shared" si="920"/>
        <v>131.17148300000002</v>
      </c>
      <c r="X216" s="16">
        <f t="shared" si="920"/>
        <v>133.463584</v>
      </c>
      <c r="Y216" s="16">
        <f t="shared" si="920"/>
        <v>135.805509</v>
      </c>
      <c r="Z216" s="16">
        <f t="shared" ref="Z216:AA216" si="921">Z152*Z$212</f>
        <v>137.776884</v>
      </c>
      <c r="AA216" s="16">
        <f t="shared" si="921"/>
        <v>140.48486400000002</v>
      </c>
      <c r="AB216" s="16">
        <f t="shared" ref="AB216:AC216" si="922">AB152*AB$212</f>
        <v>144.78062699999998</v>
      </c>
      <c r="AC216" s="16">
        <f t="shared" si="922"/>
        <v>150.26775000000001</v>
      </c>
      <c r="AD216" s="16">
        <f t="shared" ref="AD216:AG216" si="923">AD152*AD$212</f>
        <v>156.84847500000001</v>
      </c>
      <c r="AE216" s="16">
        <f t="shared" si="923"/>
        <v>163.22224900000003</v>
      </c>
      <c r="AF216" s="16">
        <f t="shared" si="923"/>
        <v>169.60697500000003</v>
      </c>
      <c r="AG216" s="16">
        <f t="shared" si="923"/>
        <v>174.08789900000002</v>
      </c>
      <c r="AH216" s="16">
        <f t="shared" ref="AH216:AI216" si="924">AH152*AH$212</f>
        <v>182.67920700000002</v>
      </c>
      <c r="AI216" s="16">
        <f t="shared" si="924"/>
        <v>190.34293800000003</v>
      </c>
      <c r="AJ216" s="16">
        <f t="shared" ref="AJ216:AM216" si="925">AJ152*AJ$212</f>
        <v>197.63147000000001</v>
      </c>
      <c r="AK216" s="16">
        <f t="shared" si="925"/>
        <v>204.52889099999999</v>
      </c>
      <c r="AL216" s="16">
        <f t="shared" si="925"/>
        <v>209.20917399999996</v>
      </c>
      <c r="AM216" s="16">
        <f t="shared" si="925"/>
        <v>213.65660699999998</v>
      </c>
      <c r="AN216" s="16">
        <f t="shared" ref="AN216:AP216" si="926">AN152*AN$212</f>
        <v>221.00415299999997</v>
      </c>
      <c r="AO216" s="16">
        <f t="shared" si="926"/>
        <v>231.1</v>
      </c>
      <c r="AP216" s="16">
        <f t="shared" si="926"/>
        <v>237.93428500000002</v>
      </c>
    </row>
    <row r="217" spans="2:42" ht="13.5" customHeight="1">
      <c r="B217" s="35" t="s">
        <v>256</v>
      </c>
      <c r="C217" s="36">
        <f t="shared" ref="C217:G217" si="927">C216/C215</f>
        <v>0.84030464176200592</v>
      </c>
      <c r="D217" s="36">
        <f t="shared" si="927"/>
        <v>0.85044717138934045</v>
      </c>
      <c r="E217" s="36">
        <f t="shared" si="927"/>
        <v>0.84123708052209145</v>
      </c>
      <c r="F217" s="36">
        <f t="shared" si="927"/>
        <v>0.84391915233030312</v>
      </c>
      <c r="G217" s="36">
        <f t="shared" si="927"/>
        <v>0.84512299236859179</v>
      </c>
      <c r="H217" s="36">
        <f t="shared" ref="H217:I217" si="928">H216/H215</f>
        <v>0.84427001708480331</v>
      </c>
      <c r="I217" s="36">
        <f t="shared" si="928"/>
        <v>0.81559751125865154</v>
      </c>
      <c r="J217" s="36">
        <f t="shared" ref="J217:K217" si="929">J216/J215</f>
        <v>0.81127045493030647</v>
      </c>
      <c r="K217" s="36">
        <f t="shared" si="929"/>
        <v>0.81605017801087643</v>
      </c>
      <c r="L217" s="36">
        <f>L216/L215</f>
        <v>0.81232990943222361</v>
      </c>
      <c r="M217" s="36"/>
      <c r="N217" s="63"/>
      <c r="O217" s="63"/>
      <c r="P217" s="63"/>
      <c r="Q217" s="36">
        <f t="shared" ref="Q217:W217" si="930">Q216/Q215</f>
        <v>0.84102916936679739</v>
      </c>
      <c r="R217" s="36">
        <f t="shared" si="930"/>
        <v>0.83536681396993706</v>
      </c>
      <c r="S217" s="36">
        <f t="shared" si="930"/>
        <v>0.83477684841961797</v>
      </c>
      <c r="T217" s="36">
        <f t="shared" si="930"/>
        <v>0.83821585581784697</v>
      </c>
      <c r="U217" s="36">
        <f t="shared" si="930"/>
        <v>0.84391915233030312</v>
      </c>
      <c r="V217" s="36">
        <f t="shared" si="930"/>
        <v>0.85335216135478009</v>
      </c>
      <c r="W217" s="36">
        <f t="shared" si="930"/>
        <v>0.85503198593062313</v>
      </c>
      <c r="X217" s="36">
        <f t="shared" ref="X217:AA217" si="931">X216/X215</f>
        <v>0.85032770664397817</v>
      </c>
      <c r="Y217" s="36">
        <f t="shared" si="931"/>
        <v>0.84509566788739043</v>
      </c>
      <c r="Z217" s="36">
        <f t="shared" si="931"/>
        <v>0.83839535459321124</v>
      </c>
      <c r="AA217" s="36">
        <f t="shared" si="931"/>
        <v>0.84671239763839312</v>
      </c>
      <c r="AB217" s="36">
        <f t="shared" ref="AB217:AC217" si="932">AB216/AB215</f>
        <v>0.84953213385094728</v>
      </c>
      <c r="AC217" s="36">
        <f t="shared" si="932"/>
        <v>0.84408010604730299</v>
      </c>
      <c r="AD217" s="36">
        <f t="shared" ref="AD217:AG217" si="933">AD216/AD215</f>
        <v>0.84486887720305348</v>
      </c>
      <c r="AE217" s="36">
        <f t="shared" si="933"/>
        <v>0.84570595093191736</v>
      </c>
      <c r="AF217" s="36">
        <f t="shared" si="933"/>
        <v>0.85184170874508802</v>
      </c>
      <c r="AG217" s="36">
        <f t="shared" si="933"/>
        <v>0.81559751125865165</v>
      </c>
      <c r="AH217" s="36">
        <f t="shared" ref="AH217:AI217" si="934">AH216/AH215</f>
        <v>0.81548193459510088</v>
      </c>
      <c r="AI217" s="36">
        <f t="shared" si="934"/>
        <v>0.81696428962313095</v>
      </c>
      <c r="AJ217" s="36">
        <f t="shared" ref="AJ217:AM217" si="935">AJ216/AJ215</f>
        <v>0.82431581514186125</v>
      </c>
      <c r="AK217" s="36">
        <f t="shared" si="935"/>
        <v>0.81178202763190344</v>
      </c>
      <c r="AL217" s="36">
        <f t="shared" si="935"/>
        <v>0.80834067914199759</v>
      </c>
      <c r="AM217" s="36">
        <f t="shared" si="935"/>
        <v>0.81131794199340013</v>
      </c>
      <c r="AN217" s="36">
        <f t="shared" ref="AN217:AP217" si="936">AN216/AN215</f>
        <v>0.79673032417525735</v>
      </c>
      <c r="AO217" s="36">
        <f t="shared" si="936"/>
        <v>0.81605017801087643</v>
      </c>
      <c r="AP217" s="36">
        <f t="shared" si="936"/>
        <v>0.81232990943222361</v>
      </c>
    </row>
    <row r="218" spans="2:42" ht="13.5" customHeight="1">
      <c r="B218" s="35" t="s">
        <v>234</v>
      </c>
      <c r="C218" s="16">
        <f t="shared" ref="C218:D218" si="937">C154*C$211</f>
        <v>581.99487899999997</v>
      </c>
      <c r="D218" s="16">
        <f t="shared" si="937"/>
        <v>699.79742199999998</v>
      </c>
      <c r="E218" s="16">
        <f t="shared" ref="E218:F220" si="938">E154*E$211</f>
        <v>715.59182900000008</v>
      </c>
      <c r="F218" s="16">
        <f t="shared" si="938"/>
        <v>840.49233700000002</v>
      </c>
      <c r="G218" s="16">
        <f t="shared" ref="G218:H218" si="939">G154*G$211</f>
        <v>934.91362900000001</v>
      </c>
      <c r="H218" s="16">
        <f t="shared" si="939"/>
        <v>932.00352499999997</v>
      </c>
      <c r="I218" s="16">
        <f t="shared" ref="I218:J218" si="940">I154*I$211</f>
        <v>916.08440500000006</v>
      </c>
      <c r="J218" s="16">
        <f t="shared" si="940"/>
        <v>847.60878999999989</v>
      </c>
      <c r="K218" s="16">
        <f t="shared" ref="K218" si="941">K154*K$211</f>
        <v>1276.6574390000001</v>
      </c>
      <c r="L218" s="16">
        <f>L154*L$211</f>
        <v>1177.0677560000001</v>
      </c>
      <c r="M218" s="16"/>
      <c r="N218" s="16">
        <f t="shared" ref="N218:U220" si="942">N154*N$211</f>
        <v>701.50010899999995</v>
      </c>
      <c r="O218" s="16">
        <f t="shared" si="942"/>
        <v>698.92508700000008</v>
      </c>
      <c r="P218" s="16">
        <f t="shared" si="942"/>
        <v>715.64017100000001</v>
      </c>
      <c r="Q218" s="16">
        <f t="shared" si="942"/>
        <v>715.59182900000008</v>
      </c>
      <c r="R218" s="16">
        <f t="shared" si="942"/>
        <v>800.57502199999999</v>
      </c>
      <c r="S218" s="16">
        <f t="shared" si="942"/>
        <v>840.56160199999988</v>
      </c>
      <c r="T218" s="16">
        <f t="shared" si="942"/>
        <v>840.52262500000006</v>
      </c>
      <c r="U218" s="16">
        <f t="shared" si="942"/>
        <v>840.49233700000002</v>
      </c>
      <c r="V218" s="16">
        <f t="shared" ref="V218:Y218" si="943">V154*V$211</f>
        <v>840.42606999999998</v>
      </c>
      <c r="W218" s="16">
        <f t="shared" si="943"/>
        <v>934.94497799999999</v>
      </c>
      <c r="X218" s="16">
        <f t="shared" si="943"/>
        <v>934.68535099999997</v>
      </c>
      <c r="Y218" s="16">
        <f t="shared" si="943"/>
        <v>934.91362900000001</v>
      </c>
      <c r="Z218" s="16">
        <f t="shared" ref="Z218:AA218" si="944">Z154*Z$211</f>
        <v>934.41990499999997</v>
      </c>
      <c r="AA218" s="16">
        <f t="shared" si="944"/>
        <v>933.93835999999999</v>
      </c>
      <c r="AB218" s="16">
        <f t="shared" ref="AB218:AC218" si="945">AB154*AB$211</f>
        <v>932.47426200000007</v>
      </c>
      <c r="AC218" s="16">
        <f t="shared" si="945"/>
        <v>932.00352499999997</v>
      </c>
      <c r="AD218" s="16">
        <f t="shared" ref="AD218:AG218" si="946">AD154*AD$211</f>
        <v>931.03840100000002</v>
      </c>
      <c r="AE218" s="16">
        <f t="shared" si="946"/>
        <v>930.09733700000015</v>
      </c>
      <c r="AF218" s="16">
        <f t="shared" si="946"/>
        <v>929.19309499999997</v>
      </c>
      <c r="AG218" s="16">
        <f t="shared" si="946"/>
        <v>916.08440500000006</v>
      </c>
      <c r="AH218" s="16">
        <f t="shared" ref="AH218:AI218" si="947">AH154*AH$211</f>
        <v>915.15810399999998</v>
      </c>
      <c r="AI218" s="16">
        <f t="shared" si="947"/>
        <v>914.37014299999998</v>
      </c>
      <c r="AJ218" s="16">
        <f t="shared" ref="AJ218:AM218" si="948">AJ154*AJ$211</f>
        <v>848.28545200000008</v>
      </c>
      <c r="AK218" s="16">
        <f t="shared" si="948"/>
        <v>847.60878999999989</v>
      </c>
      <c r="AL218" s="16">
        <f t="shared" si="948"/>
        <v>801.57987099999991</v>
      </c>
      <c r="AM218" s="16">
        <f t="shared" si="948"/>
        <v>900.80000000000007</v>
      </c>
      <c r="AN218" s="16">
        <f t="shared" ref="AN218:AP218" si="949">AN154*AN$211</f>
        <v>1446.73741</v>
      </c>
      <c r="AO218" s="16">
        <f t="shared" si="949"/>
        <v>1276.6574390000001</v>
      </c>
      <c r="AP218" s="16">
        <f t="shared" si="949"/>
        <v>1177.0677560000001</v>
      </c>
    </row>
    <row r="219" spans="2:42" ht="13.5" customHeight="1">
      <c r="B219" s="35" t="s">
        <v>257</v>
      </c>
      <c r="C219" s="16">
        <f t="shared" ref="C219:D219" si="950">C155*C$211</f>
        <v>91.001709000000005</v>
      </c>
      <c r="D219" s="16">
        <f t="shared" si="950"/>
        <v>64.483395000000002</v>
      </c>
      <c r="E219" s="16">
        <f t="shared" si="938"/>
        <v>75.063592999999997</v>
      </c>
      <c r="F219" s="16">
        <f t="shared" si="938"/>
        <v>120.542142</v>
      </c>
      <c r="G219" s="16">
        <f t="shared" ref="G219:H219" si="951">G155*G$211</f>
        <v>452.82113199999998</v>
      </c>
      <c r="H219" s="16">
        <f t="shared" si="951"/>
        <v>139.147085</v>
      </c>
      <c r="I219" s="16">
        <f t="shared" ref="I219:J219" si="952">I155*I$211</f>
        <v>501.16613599999999</v>
      </c>
      <c r="J219" s="16">
        <f t="shared" si="952"/>
        <v>184.12089399999999</v>
      </c>
      <c r="K219" s="16">
        <f t="shared" ref="K219" si="953">K155*K$211</f>
        <v>336.90128299999998</v>
      </c>
      <c r="L219" s="16">
        <f>L155*L$211</f>
        <v>206.14451399999999</v>
      </c>
      <c r="M219" s="16"/>
      <c r="N219" s="16">
        <f t="shared" si="942"/>
        <v>59.523448999999999</v>
      </c>
      <c r="O219" s="16">
        <f t="shared" si="942"/>
        <v>131.05420000000001</v>
      </c>
      <c r="P219" s="16">
        <f t="shared" si="942"/>
        <v>110.09563300000001</v>
      </c>
      <c r="Q219" s="16">
        <f t="shared" si="942"/>
        <v>75.063592999999997</v>
      </c>
      <c r="R219" s="16">
        <f t="shared" si="942"/>
        <v>122.27357499999999</v>
      </c>
      <c r="S219" s="16">
        <f t="shared" si="942"/>
        <v>143.983306</v>
      </c>
      <c r="T219" s="16">
        <f t="shared" si="942"/>
        <v>136.59358900000001</v>
      </c>
      <c r="U219" s="16">
        <f t="shared" si="942"/>
        <v>120.542142</v>
      </c>
      <c r="V219" s="16">
        <f t="shared" ref="V219:Y219" si="954">V155*V$211</f>
        <v>99.119437000000005</v>
      </c>
      <c r="W219" s="16">
        <f t="shared" si="954"/>
        <v>393.43617799999998</v>
      </c>
      <c r="X219" s="16">
        <f t="shared" si="954"/>
        <v>373.721699</v>
      </c>
      <c r="Y219" s="16">
        <f t="shared" si="954"/>
        <v>452.82113199999998</v>
      </c>
      <c r="Z219" s="16">
        <f t="shared" ref="Z219:AA219" si="955">Z155*Z$211</f>
        <v>342.50453700000003</v>
      </c>
      <c r="AA219" s="16">
        <f t="shared" si="955"/>
        <v>298.38502599999998</v>
      </c>
      <c r="AB219" s="16">
        <f t="shared" ref="AB219:AC219" si="956">AB155*AB$211</f>
        <v>270.69513599999999</v>
      </c>
      <c r="AC219" s="16">
        <f t="shared" si="956"/>
        <v>139.147085</v>
      </c>
      <c r="AD219" s="16">
        <f t="shared" ref="AD219:AG219" si="957">AD155*AD$211</f>
        <v>98.212738999999999</v>
      </c>
      <c r="AE219" s="16">
        <f t="shared" si="957"/>
        <v>50.724851000000001</v>
      </c>
      <c r="AF219" s="16">
        <f t="shared" si="957"/>
        <v>408.18265700000001</v>
      </c>
      <c r="AG219" s="16">
        <f t="shared" si="957"/>
        <v>501.16613599999999</v>
      </c>
      <c r="AH219" s="16">
        <f t="shared" ref="AH219:AI219" si="958">AH155*AH$211</f>
        <v>445.06134900000001</v>
      </c>
      <c r="AI219" s="16">
        <f t="shared" si="958"/>
        <v>376.94147500000003</v>
      </c>
      <c r="AJ219" s="16">
        <f t="shared" ref="AJ219:AM219" si="959">AJ155*AJ$211</f>
        <v>281.197607</v>
      </c>
      <c r="AK219" s="16">
        <f t="shared" si="959"/>
        <v>184.12089399999999</v>
      </c>
      <c r="AL219" s="16">
        <f t="shared" si="959"/>
        <v>48.685208000000003</v>
      </c>
      <c r="AM219" s="16">
        <f t="shared" si="959"/>
        <v>65.2</v>
      </c>
      <c r="AN219" s="16">
        <f t="shared" ref="AN219:AP219" si="960">AN155*AN$211</f>
        <v>587.04836899999998</v>
      </c>
      <c r="AO219" s="16">
        <f t="shared" si="960"/>
        <v>336.90128299999998</v>
      </c>
      <c r="AP219" s="16">
        <f t="shared" si="960"/>
        <v>206.14451399999999</v>
      </c>
    </row>
    <row r="220" spans="2:42" ht="13.5" customHeight="1">
      <c r="B220" s="35" t="s">
        <v>42</v>
      </c>
      <c r="C220" s="16">
        <f t="shared" ref="C220:D220" si="961">C156*C$211</f>
        <v>490.99316999999996</v>
      </c>
      <c r="D220" s="16">
        <f t="shared" si="961"/>
        <v>635.31402700000001</v>
      </c>
      <c r="E220" s="16">
        <f t="shared" si="938"/>
        <v>640.52823600000011</v>
      </c>
      <c r="F220" s="16">
        <f t="shared" si="938"/>
        <v>719.95019500000001</v>
      </c>
      <c r="G220" s="16">
        <f t="shared" ref="G220:H220" si="962">G156*G$211</f>
        <v>482.09249700000004</v>
      </c>
      <c r="H220" s="16">
        <f t="shared" si="962"/>
        <v>792.85644000000002</v>
      </c>
      <c r="I220" s="16">
        <f t="shared" ref="I220:J220" si="963">I156*I$211</f>
        <v>414.91826900000007</v>
      </c>
      <c r="J220" s="16">
        <f t="shared" si="963"/>
        <v>663.48789599999986</v>
      </c>
      <c r="K220" s="16">
        <f t="shared" ref="K220" si="964">K156*K$211</f>
        <v>939.75615600000015</v>
      </c>
      <c r="L220" s="16">
        <f>L156*L$211</f>
        <v>970.92324200000019</v>
      </c>
      <c r="M220" s="16"/>
      <c r="N220" s="16">
        <f t="shared" si="942"/>
        <v>641.97665999999992</v>
      </c>
      <c r="O220" s="16">
        <f t="shared" si="942"/>
        <v>567.87088700000004</v>
      </c>
      <c r="P220" s="16">
        <f t="shared" si="942"/>
        <v>605.54453799999999</v>
      </c>
      <c r="Q220" s="16">
        <f t="shared" si="942"/>
        <v>640.52823600000011</v>
      </c>
      <c r="R220" s="16">
        <f t="shared" si="942"/>
        <v>678.30144700000005</v>
      </c>
      <c r="S220" s="16">
        <f t="shared" si="942"/>
        <v>696.57829599999991</v>
      </c>
      <c r="T220" s="16">
        <f t="shared" si="942"/>
        <v>703.929036</v>
      </c>
      <c r="U220" s="16">
        <f t="shared" si="942"/>
        <v>719.95019500000001</v>
      </c>
      <c r="V220" s="16">
        <f t="shared" ref="V220:Y220" si="965">V156*V$211</f>
        <v>741.30663299999992</v>
      </c>
      <c r="W220" s="16">
        <f t="shared" si="965"/>
        <v>541.50880000000006</v>
      </c>
      <c r="X220" s="16">
        <f t="shared" si="965"/>
        <v>560.96365199999991</v>
      </c>
      <c r="Y220" s="16">
        <f t="shared" si="965"/>
        <v>482.09249700000004</v>
      </c>
      <c r="Z220" s="16">
        <f t="shared" ref="Z220:AA220" si="966">Z156*Z$211</f>
        <v>591.91536799999994</v>
      </c>
      <c r="AA220" s="16">
        <f t="shared" si="966"/>
        <v>635.55333399999995</v>
      </c>
      <c r="AB220" s="16">
        <f t="shared" ref="AB220:AC220" si="967">AB156*AB$211</f>
        <v>661.77912600000013</v>
      </c>
      <c r="AC220" s="16">
        <f t="shared" si="967"/>
        <v>792.85644000000002</v>
      </c>
      <c r="AD220" s="16">
        <f t="shared" ref="AD220:AG220" si="968">AD156*AD$211</f>
        <v>832.82566199999997</v>
      </c>
      <c r="AE220" s="16">
        <f t="shared" si="968"/>
        <v>879.37248600000021</v>
      </c>
      <c r="AF220" s="16">
        <f t="shared" si="968"/>
        <v>521.01043800000002</v>
      </c>
      <c r="AG220" s="16">
        <f t="shared" si="968"/>
        <v>414.91826900000007</v>
      </c>
      <c r="AH220" s="16">
        <f t="shared" ref="AH220:AI220" si="969">AH156*AH$211</f>
        <v>470.09675499999997</v>
      </c>
      <c r="AI220" s="16">
        <f t="shared" si="969"/>
        <v>537.42866800000002</v>
      </c>
      <c r="AJ220" s="16">
        <f t="shared" ref="AJ220:AM220" si="970">AJ156*AJ$211</f>
        <v>567.08784500000002</v>
      </c>
      <c r="AK220" s="16">
        <f t="shared" si="970"/>
        <v>663.48789599999986</v>
      </c>
      <c r="AL220" s="16">
        <f t="shared" si="970"/>
        <v>752.89466299999992</v>
      </c>
      <c r="AM220" s="16">
        <f t="shared" si="970"/>
        <v>835.6</v>
      </c>
      <c r="AN220" s="16">
        <f t="shared" ref="AN220:AP220" si="971">AN156*AN$211</f>
        <v>859.68904099999997</v>
      </c>
      <c r="AO220" s="16">
        <f t="shared" si="971"/>
        <v>939.75615600000015</v>
      </c>
      <c r="AP220" s="16">
        <f t="shared" si="971"/>
        <v>970.92324200000019</v>
      </c>
    </row>
    <row r="221" spans="2:42" ht="13.5" customHeight="1">
      <c r="B221" s="35" t="s">
        <v>258</v>
      </c>
      <c r="C221" s="43">
        <f t="shared" ref="C221:G221" si="972">C218/C216</f>
        <v>6.3293161397578803</v>
      </c>
      <c r="D221" s="43">
        <f t="shared" si="972"/>
        <v>6.2023271628488779</v>
      </c>
      <c r="E221" s="43">
        <f t="shared" si="972"/>
        <v>5.8952673125221606</v>
      </c>
      <c r="F221" s="43">
        <f t="shared" si="972"/>
        <v>6.6602032680873382</v>
      </c>
      <c r="G221" s="43">
        <f t="shared" si="972"/>
        <v>6.8839873160940392</v>
      </c>
      <c r="H221" s="43">
        <f t="shared" ref="H221:I221" si="973">H218/H216</f>
        <v>6.2008906042019163</v>
      </c>
      <c r="I221" s="43">
        <f t="shared" si="973"/>
        <v>5.2621946169848375</v>
      </c>
      <c r="J221" s="43">
        <f t="shared" ref="J221:K221" si="974">J218/J216</f>
        <v>4.1468140410958894</v>
      </c>
      <c r="K221" s="43">
        <f t="shared" si="974"/>
        <v>5.52426412375595</v>
      </c>
      <c r="L221" s="43">
        <f>L218/L216</f>
        <v>4.9470287814973792</v>
      </c>
      <c r="M221" s="43"/>
      <c r="N221" s="62"/>
      <c r="O221" s="62"/>
      <c r="P221" s="62"/>
      <c r="Q221" s="43">
        <f t="shared" ref="Q221:W221" si="975">Q218/Q216</f>
        <v>5.8967246838980385</v>
      </c>
      <c r="R221" s="43">
        <f t="shared" si="975"/>
        <v>6.5776954414573234</v>
      </c>
      <c r="S221" s="43">
        <f t="shared" si="975"/>
        <v>6.8822645463072467</v>
      </c>
      <c r="T221" s="43">
        <f t="shared" si="975"/>
        <v>6.7780902425078136</v>
      </c>
      <c r="U221" s="43">
        <f t="shared" si="975"/>
        <v>6.6602032680873382</v>
      </c>
      <c r="V221" s="43">
        <f t="shared" si="975"/>
        <v>6.557239917066128</v>
      </c>
      <c r="W221" s="43">
        <f t="shared" si="975"/>
        <v>7.1276542478367793</v>
      </c>
      <c r="X221" s="43">
        <f t="shared" ref="X221:AA221" si="976">X218/X216</f>
        <v>7.0032987500170831</v>
      </c>
      <c r="Y221" s="43">
        <f t="shared" si="976"/>
        <v>6.8842098960801366</v>
      </c>
      <c r="Z221" s="43">
        <f t="shared" si="976"/>
        <v>6.782123951939572</v>
      </c>
      <c r="AA221" s="43">
        <f t="shared" si="976"/>
        <v>6.6479642959970402</v>
      </c>
      <c r="AB221" s="43">
        <f t="shared" ref="AB221:AC221" si="977">AB218/AB216</f>
        <v>6.4406010757226531</v>
      </c>
      <c r="AC221" s="43">
        <f t="shared" si="977"/>
        <v>6.202285753263757</v>
      </c>
      <c r="AD221" s="43">
        <f t="shared" ref="AD221:AG221" si="978">AD218/AD216</f>
        <v>5.9359098072199936</v>
      </c>
      <c r="AE221" s="43">
        <f t="shared" si="978"/>
        <v>5.6983489854989067</v>
      </c>
      <c r="AF221" s="43">
        <f t="shared" si="978"/>
        <v>5.4785075613782972</v>
      </c>
      <c r="AG221" s="43">
        <f t="shared" si="978"/>
        <v>5.2621946169848366</v>
      </c>
      <c r="AH221" s="43">
        <f t="shared" ref="AH221:AI221" si="979">AH218/AH216</f>
        <v>5.0096457009472344</v>
      </c>
      <c r="AI221" s="43">
        <f t="shared" si="979"/>
        <v>4.8038038742472278</v>
      </c>
      <c r="AJ221" s="43">
        <f t="shared" ref="AJ221:AM221" si="980">AJ218/AJ216</f>
        <v>4.2922589808191987</v>
      </c>
      <c r="AK221" s="43">
        <f t="shared" si="980"/>
        <v>4.1442007818836704</v>
      </c>
      <c r="AL221" s="43">
        <f t="shared" si="980"/>
        <v>3.8314757219967803</v>
      </c>
      <c r="AM221" s="43">
        <f t="shared" si="980"/>
        <v>4.216111135753458</v>
      </c>
      <c r="AN221" s="43">
        <f t="shared" ref="AN221:AP221" si="981">AN218/AN216</f>
        <v>6.5462001069274027</v>
      </c>
      <c r="AO221" s="43">
        <f t="shared" si="981"/>
        <v>5.52426412375595</v>
      </c>
      <c r="AP221" s="43">
        <f t="shared" si="981"/>
        <v>4.9470287814973792</v>
      </c>
    </row>
    <row r="222" spans="2:42" ht="13.5" customHeight="1">
      <c r="B222" s="35" t="s">
        <v>259</v>
      </c>
      <c r="C222" s="43">
        <f t="shared" ref="C222:G222" si="982">C220/C216</f>
        <v>5.3396535047379423</v>
      </c>
      <c r="D222" s="43">
        <f t="shared" si="982"/>
        <v>5.6308087493940571</v>
      </c>
      <c r="E222" s="43">
        <f t="shared" si="982"/>
        <v>5.2768701645393996</v>
      </c>
      <c r="F222" s="43">
        <f t="shared" si="982"/>
        <v>5.7050069709310343</v>
      </c>
      <c r="G222" s="43">
        <f t="shared" si="982"/>
        <v>3.5497596051539686</v>
      </c>
      <c r="H222" s="43">
        <f t="shared" ref="H222:I222" si="983">H220/H216</f>
        <v>5.2751045649499888</v>
      </c>
      <c r="I222" s="43">
        <f t="shared" si="983"/>
        <v>2.3833837468507797</v>
      </c>
      <c r="J222" s="43">
        <f t="shared" ref="J222:K222" si="984">J220/J216</f>
        <v>3.2460268884540109</v>
      </c>
      <c r="K222" s="43">
        <f t="shared" si="984"/>
        <v>4.0664481003894428</v>
      </c>
      <c r="L222" s="43">
        <f>L220/L216</f>
        <v>4.0806361386716512</v>
      </c>
      <c r="M222" s="43"/>
      <c r="N222" s="62"/>
      <c r="O222" s="62"/>
      <c r="P222" s="62"/>
      <c r="Q222" s="43">
        <f t="shared" ref="Q222:W222" si="985">Q220/Q216</f>
        <v>5.2781746617104934</v>
      </c>
      <c r="R222" s="43">
        <f t="shared" si="985"/>
        <v>5.5730696227814693</v>
      </c>
      <c r="S222" s="43">
        <f t="shared" si="985"/>
        <v>5.7033727199543378</v>
      </c>
      <c r="T222" s="43">
        <f t="shared" si="985"/>
        <v>5.6765807230109138</v>
      </c>
      <c r="U222" s="43">
        <f t="shared" si="985"/>
        <v>5.7050069709310343</v>
      </c>
      <c r="V222" s="43">
        <f t="shared" si="985"/>
        <v>5.7838822690180116</v>
      </c>
      <c r="W222" s="43">
        <f t="shared" si="985"/>
        <v>4.1282509552781379</v>
      </c>
      <c r="X222" s="43">
        <f t="shared" ref="X222:AA222" si="986">X220/X216</f>
        <v>4.2031214447230782</v>
      </c>
      <c r="Y222" s="43">
        <f t="shared" si="986"/>
        <v>3.5498743795437639</v>
      </c>
      <c r="Z222" s="43">
        <f t="shared" si="986"/>
        <v>4.2961877988182691</v>
      </c>
      <c r="AA222" s="43">
        <f t="shared" si="986"/>
        <v>4.5239986423021339</v>
      </c>
      <c r="AB222" s="43">
        <f t="shared" ref="AB222:AC222" si="987">AB220/AB216</f>
        <v>4.5709093800236147</v>
      </c>
      <c r="AC222" s="43">
        <f t="shared" si="987"/>
        <v>5.276291419815629</v>
      </c>
      <c r="AD222" s="43">
        <f t="shared" ref="AD222:AG222" si="988">AD220/AD216</f>
        <v>5.3097466328569656</v>
      </c>
      <c r="AE222" s="43">
        <f t="shared" si="988"/>
        <v>5.3875773149039263</v>
      </c>
      <c r="AF222" s="43">
        <f t="shared" si="988"/>
        <v>3.0718691728332512</v>
      </c>
      <c r="AG222" s="43">
        <f t="shared" si="988"/>
        <v>2.3833837468507793</v>
      </c>
      <c r="AH222" s="43">
        <f t="shared" ref="AH222:AI222" si="989">AH220/AH216</f>
        <v>2.573345717446649</v>
      </c>
      <c r="AI222" s="43">
        <f t="shared" si="989"/>
        <v>2.8234757414535649</v>
      </c>
      <c r="AJ222" s="43">
        <f t="shared" ref="AJ222:AM222" si="990">AJ220/AJ216</f>
        <v>2.8694207708924089</v>
      </c>
      <c r="AK222" s="43">
        <f t="shared" si="990"/>
        <v>3.2439812916210449</v>
      </c>
      <c r="AL222" s="43">
        <f t="shared" si="990"/>
        <v>3.5987650474639321</v>
      </c>
      <c r="AM222" s="43">
        <f t="shared" si="990"/>
        <v>3.9109485624284956</v>
      </c>
      <c r="AN222" s="43">
        <f t="shared" ref="AN222:AP222" si="991">AN220/AN216</f>
        <v>3.8899225617719506</v>
      </c>
      <c r="AO222" s="43">
        <f t="shared" si="991"/>
        <v>4.0664481003894428</v>
      </c>
      <c r="AP222" s="43">
        <f t="shared" si="991"/>
        <v>4.0806361386716512</v>
      </c>
    </row>
    <row r="223" spans="2:42" ht="13.5" customHeight="1">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K223" s="16"/>
      <c r="AL223" s="16"/>
      <c r="AM223" s="16"/>
      <c r="AO223" s="16"/>
      <c r="AP223" s="16"/>
    </row>
    <row r="224" spans="2:42" ht="13.5" customHeight="1">
      <c r="B224" s="61" t="s">
        <v>260</v>
      </c>
      <c r="C224" s="60"/>
      <c r="D224" s="60"/>
      <c r="E224" s="60"/>
      <c r="F224" s="60"/>
      <c r="G224" s="60"/>
      <c r="H224" s="60"/>
      <c r="I224" s="60"/>
      <c r="J224" s="60"/>
      <c r="K224" s="60"/>
      <c r="L224" s="60"/>
      <c r="M224" s="149"/>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row>
    <row r="225" spans="2:42" s="59" customFormat="1" ht="13.5" customHeight="1">
      <c r="B225" s="58" t="s">
        <v>267</v>
      </c>
      <c r="C225" s="57">
        <f t="shared" ref="C225:J225" si="992">C3</f>
        <v>43100</v>
      </c>
      <c r="D225" s="57">
        <f t="shared" si="992"/>
        <v>43465</v>
      </c>
      <c r="E225" s="57">
        <f t="shared" si="992"/>
        <v>43830</v>
      </c>
      <c r="F225" s="57">
        <f t="shared" si="992"/>
        <v>44196</v>
      </c>
      <c r="G225" s="57">
        <f t="shared" si="992"/>
        <v>44561</v>
      </c>
      <c r="H225" s="57">
        <f t="shared" si="992"/>
        <v>44926</v>
      </c>
      <c r="I225" s="57">
        <f t="shared" si="992"/>
        <v>45291</v>
      </c>
      <c r="J225" s="57">
        <f t="shared" si="992"/>
        <v>45657</v>
      </c>
      <c r="K225" s="57">
        <f t="shared" ref="K225" si="993">K3</f>
        <v>46022</v>
      </c>
      <c r="L225" s="57" t="str">
        <f>L2</f>
        <v>LTM</v>
      </c>
      <c r="M225" s="145"/>
      <c r="N225" s="57">
        <f t="shared" ref="N225:AN225" si="994">N3</f>
        <v>43555</v>
      </c>
      <c r="O225" s="57">
        <f t="shared" si="994"/>
        <v>43646</v>
      </c>
      <c r="P225" s="57">
        <f t="shared" si="994"/>
        <v>43738</v>
      </c>
      <c r="Q225" s="57">
        <f t="shared" si="994"/>
        <v>43830</v>
      </c>
      <c r="R225" s="57">
        <f t="shared" si="994"/>
        <v>43921</v>
      </c>
      <c r="S225" s="57">
        <f t="shared" si="994"/>
        <v>44012</v>
      </c>
      <c r="T225" s="57">
        <f t="shared" si="994"/>
        <v>44104</v>
      </c>
      <c r="U225" s="57">
        <f t="shared" si="994"/>
        <v>44196</v>
      </c>
      <c r="V225" s="57">
        <f t="shared" si="994"/>
        <v>44286</v>
      </c>
      <c r="W225" s="57">
        <f t="shared" si="994"/>
        <v>44377</v>
      </c>
      <c r="X225" s="57">
        <f t="shared" si="994"/>
        <v>44469</v>
      </c>
      <c r="Y225" s="57">
        <f t="shared" si="994"/>
        <v>44561</v>
      </c>
      <c r="Z225" s="57">
        <f t="shared" si="994"/>
        <v>44651</v>
      </c>
      <c r="AA225" s="57">
        <f t="shared" si="994"/>
        <v>44742</v>
      </c>
      <c r="AB225" s="57">
        <f t="shared" si="994"/>
        <v>44834</v>
      </c>
      <c r="AC225" s="57">
        <f t="shared" si="994"/>
        <v>44926</v>
      </c>
      <c r="AD225" s="57">
        <f t="shared" si="994"/>
        <v>45016</v>
      </c>
      <c r="AE225" s="57">
        <f t="shared" si="994"/>
        <v>45107</v>
      </c>
      <c r="AF225" s="57">
        <f t="shared" si="994"/>
        <v>45199</v>
      </c>
      <c r="AG225" s="57">
        <f t="shared" si="994"/>
        <v>45291</v>
      </c>
      <c r="AH225" s="57">
        <f t="shared" si="994"/>
        <v>45382</v>
      </c>
      <c r="AI225" s="57">
        <f t="shared" si="994"/>
        <v>45473</v>
      </c>
      <c r="AJ225" s="57">
        <f t="shared" si="994"/>
        <v>45565</v>
      </c>
      <c r="AK225" s="57">
        <f t="shared" si="994"/>
        <v>45657</v>
      </c>
      <c r="AL225" s="57">
        <f t="shared" si="994"/>
        <v>45747</v>
      </c>
      <c r="AM225" s="57">
        <f t="shared" si="994"/>
        <v>45838</v>
      </c>
      <c r="AN225" s="57">
        <f t="shared" si="994"/>
        <v>45930</v>
      </c>
      <c r="AO225" s="57">
        <f t="shared" ref="AO225:AP225" si="995">AO3</f>
        <v>46022</v>
      </c>
      <c r="AP225" s="57">
        <f t="shared" si="995"/>
        <v>46112</v>
      </c>
    </row>
    <row r="226" spans="2:42" s="39" customFormat="1" ht="13.5" customHeight="1">
      <c r="B226" s="58"/>
      <c r="C226" s="57" t="s">
        <v>154</v>
      </c>
      <c r="D226" s="57" t="s">
        <v>154</v>
      </c>
      <c r="E226" s="57" t="s">
        <v>154</v>
      </c>
      <c r="F226" s="57" t="s">
        <v>154</v>
      </c>
      <c r="G226" s="57" t="s">
        <v>154</v>
      </c>
      <c r="H226" s="57" t="s">
        <v>154</v>
      </c>
      <c r="I226" s="57" t="s">
        <v>154</v>
      </c>
      <c r="J226" s="57" t="s">
        <v>154</v>
      </c>
      <c r="K226" s="57" t="s">
        <v>154</v>
      </c>
      <c r="L226" s="57" t="s">
        <v>154</v>
      </c>
      <c r="M226" s="145"/>
      <c r="N226" s="57" t="s">
        <v>154</v>
      </c>
      <c r="O226" s="57" t="s">
        <v>154</v>
      </c>
      <c r="P226" s="57" t="s">
        <v>154</v>
      </c>
      <c r="Q226" s="57" t="s">
        <v>154</v>
      </c>
      <c r="R226" s="57" t="s">
        <v>154</v>
      </c>
      <c r="S226" s="57" t="s">
        <v>154</v>
      </c>
      <c r="T226" s="57" t="s">
        <v>154</v>
      </c>
      <c r="U226" s="57" t="s">
        <v>154</v>
      </c>
      <c r="V226" s="57" t="s">
        <v>154</v>
      </c>
      <c r="W226" s="57"/>
      <c r="X226" s="57" t="s">
        <v>154</v>
      </c>
      <c r="Y226" s="57" t="s">
        <v>154</v>
      </c>
      <c r="Z226" s="57" t="s">
        <v>154</v>
      </c>
      <c r="AA226" s="57" t="s">
        <v>154</v>
      </c>
      <c r="AB226" s="57" t="s">
        <v>154</v>
      </c>
      <c r="AC226" s="57" t="s">
        <v>154</v>
      </c>
      <c r="AD226" s="57" t="s">
        <v>154</v>
      </c>
      <c r="AE226" s="57" t="s">
        <v>154</v>
      </c>
      <c r="AF226" s="57" t="s">
        <v>154</v>
      </c>
      <c r="AG226" s="57" t="s">
        <v>154</v>
      </c>
      <c r="AH226" s="57" t="s">
        <v>154</v>
      </c>
      <c r="AI226" s="57" t="s">
        <v>154</v>
      </c>
      <c r="AJ226" s="57" t="s">
        <v>154</v>
      </c>
      <c r="AK226" s="57" t="s">
        <v>154</v>
      </c>
      <c r="AL226" s="57" t="s">
        <v>154</v>
      </c>
      <c r="AM226" s="57" t="s">
        <v>154</v>
      </c>
      <c r="AN226" s="57" t="s">
        <v>154</v>
      </c>
      <c r="AO226" s="57" t="s">
        <v>154</v>
      </c>
      <c r="AP226" s="57" t="s">
        <v>154</v>
      </c>
    </row>
    <row r="227" spans="2:42" ht="13.5" customHeight="1"/>
    <row r="228" spans="2:42" s="39" customFormat="1" ht="13.5" customHeight="1">
      <c r="B228" s="39" t="str">
        <f>B7</f>
        <v>Rental Income</v>
      </c>
      <c r="C228" s="55">
        <f t="shared" ref="C228:L228" si="996">C7*C$210</f>
        <v>109.42728200000001</v>
      </c>
      <c r="D228" s="55">
        <f t="shared" si="996"/>
        <v>132.66926599999999</v>
      </c>
      <c r="E228" s="55">
        <f t="shared" si="996"/>
        <v>144.29240200000001</v>
      </c>
      <c r="F228" s="55">
        <f t="shared" si="996"/>
        <v>149.535887</v>
      </c>
      <c r="G228" s="55">
        <f t="shared" si="996"/>
        <v>160.698385</v>
      </c>
      <c r="H228" s="55">
        <f t="shared" si="996"/>
        <v>178.02546100000001</v>
      </c>
      <c r="I228" s="55">
        <f t="shared" si="996"/>
        <v>213.448296</v>
      </c>
      <c r="J228" s="55">
        <f t="shared" si="996"/>
        <v>251.950504</v>
      </c>
      <c r="K228" s="55">
        <f t="shared" ref="K228" si="997">K7*K$210</f>
        <v>283.19337000000002</v>
      </c>
      <c r="L228" s="55">
        <f t="shared" si="996"/>
        <v>292.90351399999997</v>
      </c>
      <c r="M228" s="55"/>
      <c r="N228" s="55">
        <f t="shared" ref="N228:AN228" si="998">N7*N$210</f>
        <v>36.290385000000001</v>
      </c>
      <c r="O228" s="55">
        <f t="shared" si="998"/>
        <v>35.928051000000004</v>
      </c>
      <c r="P228" s="55">
        <f t="shared" si="998"/>
        <v>35.825569000000002</v>
      </c>
      <c r="Q228" s="55">
        <f t="shared" si="998"/>
        <v>36.248397000000011</v>
      </c>
      <c r="R228" s="55">
        <f t="shared" si="998"/>
        <v>37.695132999999998</v>
      </c>
      <c r="S228" s="55">
        <f t="shared" si="998"/>
        <v>36.538805000000004</v>
      </c>
      <c r="T228" s="55">
        <f t="shared" si="998"/>
        <v>37.457861000000001</v>
      </c>
      <c r="U228" s="55">
        <f t="shared" si="998"/>
        <v>37.844087999999999</v>
      </c>
      <c r="V228" s="55">
        <f t="shared" si="998"/>
        <v>38.352404</v>
      </c>
      <c r="W228" s="55">
        <f t="shared" si="998"/>
        <v>39.756847</v>
      </c>
      <c r="X228" s="55">
        <f t="shared" si="998"/>
        <v>41.002130000000001</v>
      </c>
      <c r="Y228" s="55">
        <f t="shared" si="998"/>
        <v>41.587004000000007</v>
      </c>
      <c r="Z228" s="55">
        <f t="shared" si="998"/>
        <v>41.988045</v>
      </c>
      <c r="AA228" s="55">
        <f t="shared" si="998"/>
        <v>41.340864000000003</v>
      </c>
      <c r="AB228" s="55">
        <f t="shared" si="998"/>
        <v>45.508043000000001</v>
      </c>
      <c r="AC228" s="55">
        <f t="shared" si="998"/>
        <v>49.18850900000001</v>
      </c>
      <c r="AD228" s="55">
        <f t="shared" si="998"/>
        <v>49.610889</v>
      </c>
      <c r="AE228" s="55">
        <f t="shared" si="998"/>
        <v>48.693742</v>
      </c>
      <c r="AF228" s="55">
        <f t="shared" si="998"/>
        <v>51.613070999999998</v>
      </c>
      <c r="AG228" s="55">
        <f t="shared" si="998"/>
        <v>63.530594000000008</v>
      </c>
      <c r="AH228" s="55">
        <f t="shared" si="998"/>
        <v>60.176392999999997</v>
      </c>
      <c r="AI228" s="55">
        <f t="shared" si="998"/>
        <v>57.668018000000004</v>
      </c>
      <c r="AJ228" s="55">
        <f t="shared" si="998"/>
        <v>58.377122</v>
      </c>
      <c r="AK228" s="55">
        <f t="shared" si="998"/>
        <v>75.728970999999973</v>
      </c>
      <c r="AL228" s="55">
        <f t="shared" si="998"/>
        <v>67.039010000000005</v>
      </c>
      <c r="AM228" s="55">
        <f t="shared" si="998"/>
        <v>62.2</v>
      </c>
      <c r="AN228" s="55">
        <f t="shared" si="998"/>
        <v>72.420924999999997</v>
      </c>
      <c r="AO228" s="55">
        <f t="shared" ref="AO228:AP228" si="999">AO7*AO$210</f>
        <v>81.533434999999997</v>
      </c>
      <c r="AP228" s="55">
        <f t="shared" si="999"/>
        <v>76.749154000000004</v>
      </c>
    </row>
    <row r="229" spans="2:42" s="51" customFormat="1" ht="13.5" customHeight="1">
      <c r="B229" s="56" t="s">
        <v>262</v>
      </c>
      <c r="C229" s="52"/>
      <c r="D229" s="52">
        <f t="shared" ref="D229:K229" si="1000">D228/C228-1</f>
        <v>0.21239661239141427</v>
      </c>
      <c r="E229" s="52">
        <f t="shared" si="1000"/>
        <v>8.7609861352515583E-2</v>
      </c>
      <c r="F229" s="52">
        <f t="shared" si="1000"/>
        <v>3.6339300803932773E-2</v>
      </c>
      <c r="G229" s="52">
        <f t="shared" si="1000"/>
        <v>7.4647619537643095E-2</v>
      </c>
      <c r="H229" s="52">
        <f t="shared" si="1000"/>
        <v>0.10782358515924106</v>
      </c>
      <c r="I229" s="52">
        <f t="shared" si="1000"/>
        <v>0.19897622958549732</v>
      </c>
      <c r="J229" s="52">
        <f t="shared" si="1000"/>
        <v>0.1803818944518536</v>
      </c>
      <c r="K229" s="52">
        <f t="shared" si="1000"/>
        <v>0.12400398294103043</v>
      </c>
      <c r="L229" s="52"/>
      <c r="M229" s="152"/>
      <c r="N229" s="52"/>
      <c r="O229" s="52"/>
      <c r="P229" s="52"/>
      <c r="Q229" s="52"/>
      <c r="R229" s="52">
        <f t="shared" ref="R229:AP229" si="1001">R228/N228-1</f>
        <v>3.870854497685805E-2</v>
      </c>
      <c r="S229" s="52">
        <f t="shared" si="1001"/>
        <v>1.6999363533524159E-2</v>
      </c>
      <c r="T229" s="52">
        <f t="shared" si="1001"/>
        <v>4.5562207260406717E-2</v>
      </c>
      <c r="U229" s="52">
        <f t="shared" si="1001"/>
        <v>4.4021008708329479E-2</v>
      </c>
      <c r="V229" s="52">
        <f t="shared" si="1001"/>
        <v>1.7436495050966005E-2</v>
      </c>
      <c r="W229" s="52">
        <f t="shared" si="1001"/>
        <v>8.807190054518732E-2</v>
      </c>
      <c r="X229" s="52">
        <f t="shared" si="1001"/>
        <v>9.46201653105605E-2</v>
      </c>
      <c r="Y229" s="52">
        <f t="shared" si="1001"/>
        <v>9.8903585680278683E-2</v>
      </c>
      <c r="Z229" s="52">
        <f t="shared" si="1001"/>
        <v>9.4795648272791411E-2</v>
      </c>
      <c r="AA229" s="52">
        <f t="shared" si="1001"/>
        <v>3.9842621322561111E-2</v>
      </c>
      <c r="AB229" s="52">
        <f t="shared" si="1001"/>
        <v>0.10989460791427175</v>
      </c>
      <c r="AC229" s="52">
        <f t="shared" si="1001"/>
        <v>0.18278558849779136</v>
      </c>
      <c r="AD229" s="52">
        <f t="shared" si="1001"/>
        <v>0.18154796204491075</v>
      </c>
      <c r="AE229" s="52">
        <f t="shared" si="1001"/>
        <v>0.17785980476847296</v>
      </c>
      <c r="AF229" s="52">
        <f t="shared" si="1001"/>
        <v>0.13415272548634971</v>
      </c>
      <c r="AG229" s="52">
        <f t="shared" si="1001"/>
        <v>0.29157389178029347</v>
      </c>
      <c r="AH229" s="52">
        <f t="shared" si="1001"/>
        <v>0.21296743946676711</v>
      </c>
      <c r="AI229" s="52">
        <f t="shared" si="1001"/>
        <v>0.18430039736933757</v>
      </c>
      <c r="AJ229" s="52">
        <f t="shared" si="1001"/>
        <v>0.13105306212064005</v>
      </c>
      <c r="AK229" s="52">
        <f t="shared" si="1001"/>
        <v>0.19200791668971284</v>
      </c>
      <c r="AL229" s="52">
        <f t="shared" si="1001"/>
        <v>0.11404168076341836</v>
      </c>
      <c r="AM229" s="52">
        <f>AM228/AI228-1</f>
        <v>7.858744165613607E-2</v>
      </c>
      <c r="AN229" s="52">
        <f t="shared" si="1001"/>
        <v>0.24057032136664769</v>
      </c>
      <c r="AO229" s="52">
        <f t="shared" si="1001"/>
        <v>7.6647865715751218E-2</v>
      </c>
      <c r="AP229" s="52">
        <f t="shared" si="1001"/>
        <v>0.14484318906260696</v>
      </c>
    </row>
    <row r="230" spans="2:42" ht="13.5" customHeight="1">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row>
    <row r="231" spans="2:42" s="39" customFormat="1" ht="13.5" customHeight="1" thickBot="1">
      <c r="B231" s="46" t="str">
        <f>B63</f>
        <v xml:space="preserve">Adj. EBITDA </v>
      </c>
      <c r="C231" s="54">
        <f t="shared" ref="C231:H231" si="1002">C63*C$210</f>
        <v>91.952252999999999</v>
      </c>
      <c r="D231" s="54">
        <f t="shared" si="1002"/>
        <v>112.82820199999999</v>
      </c>
      <c r="E231" s="54">
        <f t="shared" si="1002"/>
        <v>121.384119</v>
      </c>
      <c r="F231" s="54">
        <f t="shared" si="1002"/>
        <v>126.19619899999999</v>
      </c>
      <c r="G231" s="54">
        <f t="shared" si="1002"/>
        <v>135.80990000000003</v>
      </c>
      <c r="H231" s="54">
        <f t="shared" si="1002"/>
        <v>150.301559</v>
      </c>
      <c r="I231" s="54">
        <f t="shared" ref="I231:J231" si="1003">I63*I$210</f>
        <v>174.08789899999999</v>
      </c>
      <c r="J231" s="54">
        <f t="shared" si="1003"/>
        <v>204.4</v>
      </c>
      <c r="K231" s="54">
        <f t="shared" ref="K231" si="1004">K63*K$210</f>
        <v>231.1</v>
      </c>
      <c r="L231" s="54">
        <f t="shared" ref="L231" si="1005">L63*L$210</f>
        <v>237.93428500000002</v>
      </c>
      <c r="M231" s="68"/>
      <c r="N231" s="54">
        <f t="shared" ref="N231:AD231" si="1006">N63*N$210</f>
        <v>31.106779000000003</v>
      </c>
      <c r="O231" s="54">
        <f t="shared" si="1006"/>
        <v>30.259368000000006</v>
      </c>
      <c r="P231" s="54">
        <f t="shared" si="1006"/>
        <v>30.219965000000006</v>
      </c>
      <c r="Q231" s="54">
        <f t="shared" si="1006"/>
        <v>29.768007000000015</v>
      </c>
      <c r="R231" s="54">
        <f t="shared" si="1006"/>
        <v>31.463224000000004</v>
      </c>
      <c r="S231" s="54">
        <f t="shared" si="1006"/>
        <v>30.683254999999999</v>
      </c>
      <c r="T231" s="54">
        <f t="shared" si="1006"/>
        <v>32.091332000000001</v>
      </c>
      <c r="U231" s="54">
        <f t="shared" si="1006"/>
        <v>31.958387999999999</v>
      </c>
      <c r="V231" s="54">
        <f t="shared" si="1006"/>
        <v>33.434681000000005</v>
      </c>
      <c r="W231" s="54">
        <f t="shared" si="1006"/>
        <v>33.68708199999999</v>
      </c>
      <c r="X231" s="54">
        <f t="shared" si="1006"/>
        <v>34.383433000000011</v>
      </c>
      <c r="Y231" s="54">
        <f t="shared" si="1006"/>
        <v>34.30031300000001</v>
      </c>
      <c r="Z231" s="54">
        <f t="shared" si="1006"/>
        <v>35.406055999999992</v>
      </c>
      <c r="AA231" s="54">
        <f t="shared" si="1006"/>
        <v>36.395062000000003</v>
      </c>
      <c r="AB231" s="54">
        <f t="shared" si="1006"/>
        <v>38.679195999999997</v>
      </c>
      <c r="AC231" s="54">
        <f t="shared" si="1006"/>
        <v>39.787436000000007</v>
      </c>
      <c r="AD231" s="54">
        <f t="shared" si="1006"/>
        <v>41.986781000000008</v>
      </c>
      <c r="AE231" s="54">
        <f t="shared" ref="AE231:AH231" si="1007">AE63*AE$210</f>
        <v>42.768836000000007</v>
      </c>
      <c r="AF231" s="54">
        <f t="shared" si="1007"/>
        <v>45.063922000000005</v>
      </c>
      <c r="AG231" s="54">
        <f t="shared" si="1007"/>
        <v>44.268360000000008</v>
      </c>
      <c r="AH231" s="54">
        <f t="shared" si="1007"/>
        <v>50.578088999999999</v>
      </c>
      <c r="AI231" s="54">
        <f t="shared" ref="AI231:AL231" si="1008">AI63*AI$210</f>
        <v>50.432566999999999</v>
      </c>
      <c r="AJ231" s="54">
        <f t="shared" si="1008"/>
        <v>52.352454000000002</v>
      </c>
      <c r="AK231" s="54">
        <f t="shared" si="1008"/>
        <v>51.165780999999967</v>
      </c>
      <c r="AL231" s="54">
        <f t="shared" si="1008"/>
        <v>55.258372000000001</v>
      </c>
      <c r="AM231" s="54">
        <f t="shared" ref="AM231:AP231" si="1009">AM63*AM$210</f>
        <v>54.879999999999995</v>
      </c>
      <c r="AN231" s="54">
        <f t="shared" si="1009"/>
        <v>59.7</v>
      </c>
      <c r="AO231" s="54">
        <f t="shared" si="1009"/>
        <v>61.261628000000002</v>
      </c>
      <c r="AP231" s="54">
        <f t="shared" si="1009"/>
        <v>62.092657000000003</v>
      </c>
    </row>
    <row r="232" spans="2:42" s="51" customFormat="1" ht="13.5" customHeight="1" thickTop="1">
      <c r="B232" s="53" t="str">
        <f>B64</f>
        <v xml:space="preserve">% growth </v>
      </c>
      <c r="C232" s="52"/>
      <c r="D232" s="52">
        <f t="shared" ref="D232:K232" si="1010">D231/C231-1</f>
        <v>0.22703031539640461</v>
      </c>
      <c r="E232" s="52">
        <f t="shared" si="1010"/>
        <v>7.5831368827449896E-2</v>
      </c>
      <c r="F232" s="52">
        <f t="shared" si="1010"/>
        <v>3.9643406729343189E-2</v>
      </c>
      <c r="G232" s="52">
        <f t="shared" si="1010"/>
        <v>7.6180590827462424E-2</v>
      </c>
      <c r="H232" s="52">
        <f t="shared" si="1010"/>
        <v>0.1067054684525941</v>
      </c>
      <c r="I232" s="52">
        <f t="shared" si="1010"/>
        <v>0.15825744029707622</v>
      </c>
      <c r="J232" s="52">
        <f t="shared" si="1010"/>
        <v>0.17411951763516886</v>
      </c>
      <c r="K232" s="52">
        <f t="shared" si="1010"/>
        <v>0.13062622309197636</v>
      </c>
      <c r="L232" s="52"/>
      <c r="M232" s="152"/>
      <c r="N232" s="52"/>
      <c r="O232" s="52"/>
      <c r="P232" s="52"/>
      <c r="Q232" s="52"/>
      <c r="R232" s="52">
        <f t="shared" ref="R232:AP232" si="1011">R231/N231-1</f>
        <v>1.145875630517712E-2</v>
      </c>
      <c r="S232" s="52">
        <f t="shared" si="1011"/>
        <v>1.400845516667748E-2</v>
      </c>
      <c r="T232" s="52">
        <f t="shared" si="1011"/>
        <v>6.1924856630376501E-2</v>
      </c>
      <c r="U232" s="52">
        <f t="shared" si="1011"/>
        <v>7.3581714758397698E-2</v>
      </c>
      <c r="V232" s="52">
        <f t="shared" si="1011"/>
        <v>6.2659090498799586E-2</v>
      </c>
      <c r="W232" s="52">
        <f t="shared" si="1011"/>
        <v>9.7897925106054995E-2</v>
      </c>
      <c r="X232" s="52">
        <f t="shared" si="1011"/>
        <v>7.1424302363018333E-2</v>
      </c>
      <c r="Y232" s="52">
        <f t="shared" si="1011"/>
        <v>7.3280448312975421E-2</v>
      </c>
      <c r="Z232" s="52">
        <f t="shared" si="1011"/>
        <v>5.8961980226459598E-2</v>
      </c>
      <c r="AA232" s="52">
        <f t="shared" si="1011"/>
        <v>8.0386303568828366E-2</v>
      </c>
      <c r="AB232" s="52">
        <f t="shared" si="1011"/>
        <v>0.12493700090971105</v>
      </c>
      <c r="AC232" s="52">
        <f t="shared" si="1011"/>
        <v>0.15997297167521451</v>
      </c>
      <c r="AD232" s="52">
        <f t="shared" si="1011"/>
        <v>0.18586438997893517</v>
      </c>
      <c r="AE232" s="52">
        <f t="shared" si="1011"/>
        <v>0.17512743899158645</v>
      </c>
      <c r="AF232" s="52">
        <f t="shared" si="1011"/>
        <v>0.16506873617538509</v>
      </c>
      <c r="AG232" s="52">
        <f t="shared" si="1011"/>
        <v>0.11262158235077036</v>
      </c>
      <c r="AH232" s="52">
        <f t="shared" si="1011"/>
        <v>0.20461935388664321</v>
      </c>
      <c r="AI232" s="52">
        <f t="shared" si="1011"/>
        <v>0.17918960899473602</v>
      </c>
      <c r="AJ232" s="52">
        <f t="shared" si="1011"/>
        <v>0.16173763126964391</v>
      </c>
      <c r="AK232" s="52">
        <f t="shared" si="1011"/>
        <v>0.15580927325972671</v>
      </c>
      <c r="AL232" s="52">
        <f t="shared" si="1011"/>
        <v>9.2535781650429749E-2</v>
      </c>
      <c r="AM232" s="52">
        <f>AM231/AI231-1</f>
        <v>8.8185735221449235E-2</v>
      </c>
      <c r="AN232" s="52">
        <f t="shared" si="1011"/>
        <v>0.14034769029165273</v>
      </c>
      <c r="AO232" s="52">
        <f t="shared" si="1011"/>
        <v>0.19731638612142044</v>
      </c>
      <c r="AP232" s="52">
        <f t="shared" si="1011"/>
        <v>0.12367872509888644</v>
      </c>
    </row>
    <row r="233" spans="2:42" s="51" customFormat="1" ht="13.5" customHeight="1">
      <c r="B233" s="53" t="str">
        <f>B65</f>
        <v>% margin</v>
      </c>
      <c r="C233" s="52">
        <f t="shared" ref="C233:G233" si="1012">C231/C228</f>
        <v>0.84030464176200592</v>
      </c>
      <c r="D233" s="52">
        <f t="shared" si="1012"/>
        <v>0.85044717138934045</v>
      </c>
      <c r="E233" s="52">
        <f t="shared" si="1012"/>
        <v>0.84123708052209145</v>
      </c>
      <c r="F233" s="52">
        <f t="shared" si="1012"/>
        <v>0.84391915233030312</v>
      </c>
      <c r="G233" s="52">
        <f t="shared" si="1012"/>
        <v>0.84512299236859179</v>
      </c>
      <c r="H233" s="52">
        <f t="shared" ref="H233:I233" si="1013">H231/H228</f>
        <v>0.84427001708480331</v>
      </c>
      <c r="I233" s="52">
        <f t="shared" si="1013"/>
        <v>0.81559751125865154</v>
      </c>
      <c r="J233" s="52">
        <f t="shared" ref="J233:K233" si="1014">J231/J228</f>
        <v>0.81127045493030647</v>
      </c>
      <c r="K233" s="52">
        <f t="shared" si="1014"/>
        <v>0.81605017801087643</v>
      </c>
      <c r="L233" s="52">
        <f>L231/L228</f>
        <v>0.81232990943222361</v>
      </c>
      <c r="M233" s="152"/>
      <c r="N233" s="52">
        <f t="shared" ref="N233:U233" si="1015">N231/N228</f>
        <v>0.8571631025683526</v>
      </c>
      <c r="O233" s="52">
        <f t="shared" si="1015"/>
        <v>0.84222124935193399</v>
      </c>
      <c r="P233" s="52">
        <f t="shared" si="1015"/>
        <v>0.8435306358986232</v>
      </c>
      <c r="Q233" s="52">
        <f t="shared" si="1015"/>
        <v>0.82122271503481947</v>
      </c>
      <c r="R233" s="52">
        <f t="shared" si="1015"/>
        <v>0.83467603098787324</v>
      </c>
      <c r="S233" s="52">
        <f t="shared" si="1015"/>
        <v>0.83974434850838708</v>
      </c>
      <c r="T233" s="52">
        <f t="shared" si="1015"/>
        <v>0.85673156830818509</v>
      </c>
      <c r="U233" s="52">
        <f t="shared" si="1015"/>
        <v>0.84447504719891786</v>
      </c>
      <c r="V233" s="52">
        <f t="shared" ref="V233:Y233" si="1016">V231/V228</f>
        <v>0.8717753651114023</v>
      </c>
      <c r="W233" s="52">
        <f t="shared" si="1016"/>
        <v>0.8473278074591778</v>
      </c>
      <c r="X233" s="52">
        <f t="shared" si="1016"/>
        <v>0.83857675198825066</v>
      </c>
      <c r="Y233" s="52">
        <f t="shared" si="1016"/>
        <v>0.82478442063294588</v>
      </c>
      <c r="Z233" s="52">
        <f t="shared" ref="Z233:AA233" si="1017">Z231/Z228</f>
        <v>0.84324135596215521</v>
      </c>
      <c r="AA233" s="52">
        <f t="shared" si="1017"/>
        <v>0.88036529667110974</v>
      </c>
      <c r="AB233" s="52">
        <f t="shared" ref="AB233:AC233" si="1018">AB231/AB228</f>
        <v>0.84994197619088996</v>
      </c>
      <c r="AC233" s="52">
        <f t="shared" si="1018"/>
        <v>0.80887664230684442</v>
      </c>
      <c r="AD233" s="52">
        <f t="shared" ref="AD233:AG233" si="1019">AD231/AD228</f>
        <v>0.8463218830849818</v>
      </c>
      <c r="AE233" s="52">
        <f t="shared" si="1019"/>
        <v>0.87832305021865043</v>
      </c>
      <c r="AF233" s="52">
        <f t="shared" si="1019"/>
        <v>0.87311065059469151</v>
      </c>
      <c r="AG233" s="52">
        <f t="shared" si="1019"/>
        <v>0.6968038107750103</v>
      </c>
      <c r="AH233" s="52">
        <f t="shared" ref="AH233:AI233" si="1020">AH231/AH228</f>
        <v>0.84049718633019432</v>
      </c>
      <c r="AI233" s="52">
        <f t="shared" si="1020"/>
        <v>0.87453269158652192</v>
      </c>
      <c r="AJ233" s="52">
        <f t="shared" ref="AJ233:AM233" si="1021">AJ231/AJ228</f>
        <v>0.89679744746580692</v>
      </c>
      <c r="AK233" s="52">
        <f t="shared" si="1021"/>
        <v>0.67564342053452686</v>
      </c>
      <c r="AL233" s="52">
        <f t="shared" si="1021"/>
        <v>0.8242718978099467</v>
      </c>
      <c r="AM233" s="52">
        <f t="shared" si="1021"/>
        <v>0.88231511254019279</v>
      </c>
      <c r="AN233" s="52">
        <f t="shared" ref="AN233:AP233" si="1022">AN231/AN228</f>
        <v>0.82434738302500288</v>
      </c>
      <c r="AO233" s="52">
        <f t="shared" si="1022"/>
        <v>0.75136817184263127</v>
      </c>
      <c r="AP233" s="52">
        <f t="shared" si="1022"/>
        <v>0.80903376472397337</v>
      </c>
    </row>
    <row r="234" spans="2:42" ht="13.5" customHeight="1">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row>
    <row r="235" spans="2:42" s="39" customFormat="1" ht="13.5" customHeight="1">
      <c r="B235" s="39" t="str">
        <f t="shared" ref="B235:B252" si="1023">B71</f>
        <v xml:space="preserve">Adj. EBITDA </v>
      </c>
      <c r="C235" s="49">
        <f t="shared" ref="C235:H244" si="1024">C71*C$210</f>
        <v>91.952252999999999</v>
      </c>
      <c r="D235" s="49">
        <f t="shared" si="1024"/>
        <v>112.82820199999999</v>
      </c>
      <c r="E235" s="49">
        <f t="shared" si="1024"/>
        <v>121.384119</v>
      </c>
      <c r="F235" s="49">
        <f t="shared" si="1024"/>
        <v>126.19619899999999</v>
      </c>
      <c r="G235" s="49">
        <f t="shared" si="1024"/>
        <v>135.80990000000003</v>
      </c>
      <c r="H235" s="49">
        <f t="shared" si="1024"/>
        <v>150.301559</v>
      </c>
      <c r="I235" s="49">
        <f t="shared" ref="I235:J235" si="1025">I71*I$210</f>
        <v>174.08789899999999</v>
      </c>
      <c r="J235" s="49">
        <f t="shared" si="1025"/>
        <v>204.4</v>
      </c>
      <c r="K235" s="49">
        <f t="shared" ref="K235" si="1026">K71*K$210</f>
        <v>231.1</v>
      </c>
      <c r="L235" s="49">
        <f t="shared" ref="L235" si="1027">L71*L$210</f>
        <v>237.93428500000002</v>
      </c>
      <c r="M235" s="18"/>
      <c r="N235" s="49">
        <f t="shared" ref="N235:AD235" si="1028">N71*N$210</f>
        <v>31.106779000000003</v>
      </c>
      <c r="O235" s="49">
        <f t="shared" si="1028"/>
        <v>30.259368000000006</v>
      </c>
      <c r="P235" s="49">
        <f t="shared" si="1028"/>
        <v>30.219965000000006</v>
      </c>
      <c r="Q235" s="49">
        <f t="shared" si="1028"/>
        <v>29.798006999999984</v>
      </c>
      <c r="R235" s="49">
        <f t="shared" si="1028"/>
        <v>31.463224000000004</v>
      </c>
      <c r="S235" s="49">
        <f t="shared" si="1028"/>
        <v>30.683254999999999</v>
      </c>
      <c r="T235" s="49">
        <f t="shared" si="1028"/>
        <v>32.091332000000001</v>
      </c>
      <c r="U235" s="49">
        <f t="shared" si="1028"/>
        <v>31.958387999999999</v>
      </c>
      <c r="V235" s="49">
        <f t="shared" si="1028"/>
        <v>33.434681000000005</v>
      </c>
      <c r="W235" s="49">
        <f t="shared" si="1028"/>
        <v>33.68708199999999</v>
      </c>
      <c r="X235" s="49">
        <f t="shared" si="1028"/>
        <v>34.383433000000011</v>
      </c>
      <c r="Y235" s="49">
        <f t="shared" si="1028"/>
        <v>34.30031300000001</v>
      </c>
      <c r="Z235" s="49">
        <f t="shared" si="1028"/>
        <v>35.406055999999992</v>
      </c>
      <c r="AA235" s="49">
        <f t="shared" si="1028"/>
        <v>36.395062000000003</v>
      </c>
      <c r="AB235" s="49">
        <f t="shared" si="1028"/>
        <v>38.679195999999997</v>
      </c>
      <c r="AC235" s="49">
        <f t="shared" si="1028"/>
        <v>39.787436000000007</v>
      </c>
      <c r="AD235" s="49">
        <f t="shared" si="1028"/>
        <v>41.986781000000008</v>
      </c>
      <c r="AE235" s="49">
        <f t="shared" ref="AE235:AH235" si="1029">AE71*AE$210</f>
        <v>42.768836000000007</v>
      </c>
      <c r="AF235" s="49">
        <f t="shared" si="1029"/>
        <v>45.063922000000005</v>
      </c>
      <c r="AG235" s="49">
        <f t="shared" si="1029"/>
        <v>44.268360000000008</v>
      </c>
      <c r="AH235" s="49">
        <f t="shared" si="1029"/>
        <v>50.578088999999999</v>
      </c>
      <c r="AI235" s="49">
        <f t="shared" ref="AI235:AL235" si="1030">AI71*AI$210</f>
        <v>50.432566999999999</v>
      </c>
      <c r="AJ235" s="49">
        <f t="shared" si="1030"/>
        <v>52.352454000000002</v>
      </c>
      <c r="AK235" s="49">
        <f t="shared" si="1030"/>
        <v>51.165780999999967</v>
      </c>
      <c r="AL235" s="49">
        <f t="shared" si="1030"/>
        <v>55.258372000000001</v>
      </c>
      <c r="AM235" s="49">
        <f t="shared" ref="AM235:AP235" si="1031">AM71*AM$210</f>
        <v>54.879999999999995</v>
      </c>
      <c r="AN235" s="49">
        <f t="shared" si="1031"/>
        <v>59.7</v>
      </c>
      <c r="AO235" s="49">
        <f t="shared" si="1031"/>
        <v>61.261628000000002</v>
      </c>
      <c r="AP235" s="49">
        <f t="shared" si="1031"/>
        <v>62.092657000000003</v>
      </c>
    </row>
    <row r="236" spans="2:42" ht="13.5" customHeight="1">
      <c r="B236" s="35" t="str">
        <f t="shared" si="1023"/>
        <v>Working Capital</v>
      </c>
      <c r="C236" s="23">
        <f t="shared" si="1024"/>
        <v>-7.6464749999999979</v>
      </c>
      <c r="D236" s="23">
        <f t="shared" si="1024"/>
        <v>-13.363503</v>
      </c>
      <c r="E236" s="23">
        <f t="shared" si="1024"/>
        <v>-3.1140050000000006</v>
      </c>
      <c r="F236" s="23">
        <f t="shared" si="1024"/>
        <v>-2.5933130000000002</v>
      </c>
      <c r="G236" s="23">
        <f t="shared" si="1024"/>
        <v>3.4481169999999981</v>
      </c>
      <c r="H236" s="23">
        <f t="shared" si="1024"/>
        <v>-38.411423999999997</v>
      </c>
      <c r="I236" s="23">
        <f t="shared" ref="I236:J236" si="1032">I72*I$210</f>
        <v>-0.25040599999999991</v>
      </c>
      <c r="J236" s="23">
        <f t="shared" si="1032"/>
        <v>-3.3218970000000017</v>
      </c>
      <c r="K236" s="23">
        <f t="shared" ref="K236" si="1033">K72*K$210</f>
        <v>1.0600949999999996</v>
      </c>
      <c r="L236" s="23">
        <f t="shared" ref="L236" si="1034">L72*L$210</f>
        <v>-5.7172690000000017</v>
      </c>
      <c r="M236" s="151"/>
      <c r="N236" s="23">
        <f t="shared" ref="N236:AD236" si="1035">N72*N$210</f>
        <v>-4.4415770000000006</v>
      </c>
      <c r="O236" s="23">
        <f t="shared" si="1035"/>
        <v>8.6519480000000009</v>
      </c>
      <c r="P236" s="23">
        <f t="shared" si="1035"/>
        <v>4.3381160000000012</v>
      </c>
      <c r="Q236" s="23">
        <f t="shared" si="1035"/>
        <v>-11.662492000000002</v>
      </c>
      <c r="R236" s="23">
        <f t="shared" si="1035"/>
        <v>-1.3644430000000001</v>
      </c>
      <c r="S236" s="23">
        <f t="shared" si="1035"/>
        <v>-13.114181</v>
      </c>
      <c r="T236" s="23">
        <f t="shared" si="1035"/>
        <v>1.9302200000000025</v>
      </c>
      <c r="U236" s="23">
        <f t="shared" si="1035"/>
        <v>9.9550909999999977</v>
      </c>
      <c r="V236" s="23">
        <f t="shared" si="1035"/>
        <v>-5.7709800000000007</v>
      </c>
      <c r="W236" s="23">
        <f t="shared" si="1035"/>
        <v>13.087354000000001</v>
      </c>
      <c r="X236" s="23">
        <f t="shared" si="1035"/>
        <v>0.31843899999999969</v>
      </c>
      <c r="Y236" s="23">
        <f t="shared" si="1035"/>
        <v>-4.1866960000000022</v>
      </c>
      <c r="Z236" s="23">
        <f t="shared" si="1035"/>
        <v>-3.9120249999999994</v>
      </c>
      <c r="AA236" s="23">
        <f t="shared" si="1035"/>
        <v>-22.380161999999999</v>
      </c>
      <c r="AB236" s="23">
        <f t="shared" si="1035"/>
        <v>37.729968</v>
      </c>
      <c r="AC236" s="23">
        <f t="shared" si="1035"/>
        <v>-49.849204999999998</v>
      </c>
      <c r="AD236" s="23">
        <f t="shared" si="1035"/>
        <v>11.729298999999997</v>
      </c>
      <c r="AE236" s="23">
        <f t="shared" ref="AE236:AH236" si="1036">AE72*AE$210</f>
        <v>-12.877492999999998</v>
      </c>
      <c r="AF236" s="23">
        <f t="shared" si="1036"/>
        <v>19.134553999999998</v>
      </c>
      <c r="AG236" s="23">
        <f t="shared" si="1036"/>
        <v>-18.236765999999996</v>
      </c>
      <c r="AH236" s="23">
        <f t="shared" si="1036"/>
        <v>-13.86359</v>
      </c>
      <c r="AI236" s="23">
        <f t="shared" ref="AI236:AL236" si="1037">AI72*AI$210</f>
        <v>6.9629329999999996</v>
      </c>
      <c r="AJ236" s="23">
        <f t="shared" si="1037"/>
        <v>3.4752880000000008</v>
      </c>
      <c r="AK236" s="23">
        <f t="shared" si="1037"/>
        <v>0.10347199999999823</v>
      </c>
      <c r="AL236" s="23">
        <f t="shared" si="1037"/>
        <v>-21.199902000000002</v>
      </c>
      <c r="AM236" s="23">
        <f t="shared" ref="AM236:AP236" si="1038">AM72*AM$210</f>
        <v>6.0999020000000019</v>
      </c>
      <c r="AN236" s="23">
        <f t="shared" si="1038"/>
        <v>3.632125000000002</v>
      </c>
      <c r="AO236" s="23">
        <f t="shared" si="1038"/>
        <v>12.527969999999996</v>
      </c>
      <c r="AP236" s="23">
        <f t="shared" si="1038"/>
        <v>-27.977266</v>
      </c>
    </row>
    <row r="237" spans="2:42" ht="13.5" customHeight="1">
      <c r="B237" s="35" t="str">
        <f t="shared" si="1023"/>
        <v>Taxes</v>
      </c>
      <c r="C237" s="23">
        <f t="shared" si="1024"/>
        <v>-2.2420429999999998</v>
      </c>
      <c r="D237" s="23">
        <f t="shared" si="1024"/>
        <v>-12.542218</v>
      </c>
      <c r="E237" s="23">
        <f t="shared" si="1024"/>
        <v>-16.091645</v>
      </c>
      <c r="F237" s="23">
        <f t="shared" si="1024"/>
        <v>-24.092663000000002</v>
      </c>
      <c r="G237" s="23">
        <f t="shared" si="1024"/>
        <v>-27.06222</v>
      </c>
      <c r="H237" s="23">
        <f t="shared" si="1024"/>
        <v>-54.995604999999998</v>
      </c>
      <c r="I237" s="23">
        <f t="shared" ref="I237:J237" si="1039">I73*I$210</f>
        <v>-64.103701000000001</v>
      </c>
      <c r="J237" s="23">
        <f t="shared" si="1039"/>
        <v>-75.011589999999998</v>
      </c>
      <c r="K237" s="23">
        <f t="shared" ref="K237" si="1040">K73*K$210</f>
        <v>-40.119390000000003</v>
      </c>
      <c r="L237" s="23">
        <f t="shared" ref="L237" si="1041">L73*L$210</f>
        <v>-50.081178000000001</v>
      </c>
      <c r="M237" s="151"/>
      <c r="N237" s="23">
        <f t="shared" ref="N237:AD237" si="1042">N73*N$210</f>
        <v>-0.51744599999999996</v>
      </c>
      <c r="O237" s="23">
        <f t="shared" si="1042"/>
        <v>-13.533312</v>
      </c>
      <c r="P237" s="23">
        <f t="shared" si="1042"/>
        <v>-1.3927029999999987</v>
      </c>
      <c r="Q237" s="23">
        <f t="shared" si="1042"/>
        <v>-0.64818400000000054</v>
      </c>
      <c r="R237" s="23">
        <f t="shared" si="1042"/>
        <v>-16.558043999999999</v>
      </c>
      <c r="S237" s="23">
        <f t="shared" si="1042"/>
        <v>7.5786209999999983</v>
      </c>
      <c r="T237" s="23">
        <f t="shared" si="1042"/>
        <v>-8.8096719999999991</v>
      </c>
      <c r="U237" s="23">
        <f t="shared" si="1042"/>
        <v>-6.3035680000000021</v>
      </c>
      <c r="V237" s="23">
        <f t="shared" si="1042"/>
        <v>-5.1661239999999999</v>
      </c>
      <c r="W237" s="23">
        <f t="shared" si="1042"/>
        <v>-19.546748000000001</v>
      </c>
      <c r="X237" s="23">
        <f t="shared" si="1042"/>
        <v>-3.9121120000000005</v>
      </c>
      <c r="Y237" s="23">
        <f t="shared" si="1042"/>
        <v>1.5627640000000014</v>
      </c>
      <c r="Z237" s="23">
        <f t="shared" si="1042"/>
        <v>-36.277915</v>
      </c>
      <c r="AA237" s="23">
        <f t="shared" si="1042"/>
        <v>-12.623263000000001</v>
      </c>
      <c r="AB237" s="23">
        <f t="shared" si="1042"/>
        <v>-6.9698489999999964</v>
      </c>
      <c r="AC237" s="23">
        <f t="shared" si="1042"/>
        <v>0.87542200000000037</v>
      </c>
      <c r="AD237" s="23">
        <f t="shared" si="1042"/>
        <v>-22.492445</v>
      </c>
      <c r="AE237" s="23">
        <f t="shared" ref="AE237:AH237" si="1043">AE73*AE$210</f>
        <v>-13.261512999999997</v>
      </c>
      <c r="AF237" s="23">
        <f t="shared" si="1043"/>
        <v>-5.6673410000000004</v>
      </c>
      <c r="AG237" s="23">
        <f t="shared" si="1043"/>
        <v>-22.682402000000003</v>
      </c>
      <c r="AH237" s="23">
        <f t="shared" si="1043"/>
        <v>-40.402140000000003</v>
      </c>
      <c r="AI237" s="23">
        <f t="shared" ref="AI237:AL237" si="1044">AI73*AI$210</f>
        <v>-22.594673999999998</v>
      </c>
      <c r="AJ237" s="23">
        <f t="shared" si="1044"/>
        <v>-16.684139000000002</v>
      </c>
      <c r="AK237" s="23">
        <f t="shared" si="1044"/>
        <v>4.6693630000000041</v>
      </c>
      <c r="AL237" s="23">
        <f t="shared" si="1044"/>
        <v>-8.3735590000000002</v>
      </c>
      <c r="AM237" s="23">
        <f t="shared" ref="AM237:AP237" si="1045">AM73*AM$210</f>
        <v>-5.8264409999999991</v>
      </c>
      <c r="AN237" s="23">
        <f t="shared" si="1045"/>
        <v>-6.108588000000001</v>
      </c>
      <c r="AO237" s="23">
        <f t="shared" si="1045"/>
        <v>-19.810802000000002</v>
      </c>
      <c r="AP237" s="23">
        <f t="shared" si="1045"/>
        <v>-18.335346999999999</v>
      </c>
    </row>
    <row r="238" spans="2:42" ht="13.5" customHeight="1">
      <c r="B238" s="35" t="str">
        <f t="shared" si="1023"/>
        <v>Cash interest paid</v>
      </c>
      <c r="C238" s="23">
        <f t="shared" si="1024"/>
        <v>-15.907052</v>
      </c>
      <c r="D238" s="23">
        <f t="shared" si="1024"/>
        <v>-32.288117999999997</v>
      </c>
      <c r="E238" s="23">
        <f t="shared" si="1024"/>
        <v>-38.606428999999999</v>
      </c>
      <c r="F238" s="23">
        <f t="shared" si="1024"/>
        <v>-37.986843999999998</v>
      </c>
      <c r="G238" s="23">
        <f t="shared" si="1024"/>
        <v>-44.474122999999999</v>
      </c>
      <c r="H238" s="23">
        <f t="shared" si="1024"/>
        <v>-44.844369999999998</v>
      </c>
      <c r="I238" s="23">
        <f t="shared" ref="I238:J238" si="1046">I74*I$210</f>
        <v>-45.034413999999998</v>
      </c>
      <c r="J238" s="23">
        <f t="shared" si="1046"/>
        <v>-42.087710000000001</v>
      </c>
      <c r="K238" s="23">
        <f t="shared" ref="K238" si="1047">K74*K$210</f>
        <v>-45.884169999999997</v>
      </c>
      <c r="L238" s="23">
        <f t="shared" ref="L238" si="1048">L74*L$210</f>
        <v>-55.233534999999996</v>
      </c>
      <c r="M238" s="151"/>
      <c r="N238" s="23">
        <f t="shared" ref="N238:AD238" si="1049">N74*N$210</f>
        <v>-9.1640139999999999</v>
      </c>
      <c r="O238" s="23">
        <f t="shared" si="1049"/>
        <v>-10.624536000000001</v>
      </c>
      <c r="P238" s="23">
        <f t="shared" si="1049"/>
        <v>-13.130314</v>
      </c>
      <c r="Q238" s="23">
        <f t="shared" si="1049"/>
        <v>-5.6875649999999993</v>
      </c>
      <c r="R238" s="23">
        <f t="shared" si="1049"/>
        <v>-8.4570430000000005</v>
      </c>
      <c r="S238" s="23">
        <f t="shared" si="1049"/>
        <v>-10.316975999999999</v>
      </c>
      <c r="T238" s="23">
        <f t="shared" si="1049"/>
        <v>-9.6284919999999996</v>
      </c>
      <c r="U238" s="23">
        <f t="shared" si="1049"/>
        <v>-9.5843330000000009</v>
      </c>
      <c r="V238" s="23">
        <f t="shared" si="1049"/>
        <v>-10.415163</v>
      </c>
      <c r="W238" s="23">
        <f t="shared" si="1049"/>
        <v>-12.124095000000001</v>
      </c>
      <c r="X238" s="23">
        <f t="shared" si="1049"/>
        <v>-7.1751569999999987</v>
      </c>
      <c r="Y238" s="23">
        <f t="shared" si="1049"/>
        <v>-14.759708</v>
      </c>
      <c r="Z238" s="23">
        <f t="shared" si="1049"/>
        <v>-7.4675289999999999</v>
      </c>
      <c r="AA238" s="23">
        <f t="shared" si="1049"/>
        <v>-14.697390000000002</v>
      </c>
      <c r="AB238" s="23">
        <f t="shared" si="1049"/>
        <v>-7.0032179999999995</v>
      </c>
      <c r="AC238" s="23">
        <f t="shared" si="1049"/>
        <v>-15.676232999999996</v>
      </c>
      <c r="AD238" s="23">
        <f t="shared" si="1049"/>
        <v>-7.0982399999999997</v>
      </c>
      <c r="AE238" s="23">
        <f t="shared" ref="AE238:AH238" si="1050">AE74*AE$210</f>
        <v>-15.901899999999998</v>
      </c>
      <c r="AF238" s="23">
        <f t="shared" si="1050"/>
        <v>-6.676960000000002</v>
      </c>
      <c r="AG238" s="23">
        <f t="shared" si="1050"/>
        <v>-15.357313999999999</v>
      </c>
      <c r="AH238" s="23">
        <f t="shared" si="1050"/>
        <v>-6.4270360000000002</v>
      </c>
      <c r="AI238" s="23">
        <f t="shared" ref="AI238:AL238" si="1051">AI74*AI$210</f>
        <v>-14.12256</v>
      </c>
      <c r="AJ238" s="23">
        <f t="shared" si="1051"/>
        <v>-6.8665009999999995</v>
      </c>
      <c r="AK238" s="23">
        <f t="shared" si="1051"/>
        <v>-14.671613000000001</v>
      </c>
      <c r="AL238" s="23">
        <f t="shared" si="1051"/>
        <v>-6.6697699999999998</v>
      </c>
      <c r="AM238" s="23">
        <f t="shared" ref="AM238:AP238" si="1052">AM74*AM$210</f>
        <v>-14.130230000000001</v>
      </c>
      <c r="AN238" s="23">
        <f t="shared" si="1052"/>
        <v>-6.7848569999999988</v>
      </c>
      <c r="AO238" s="23">
        <f t="shared" si="1052"/>
        <v>-18.299312999999998</v>
      </c>
      <c r="AP238" s="23">
        <f t="shared" si="1052"/>
        <v>-16.019134999999999</v>
      </c>
    </row>
    <row r="239" spans="2:42" s="39" customFormat="1" ht="13.5" customHeight="1" thickBot="1">
      <c r="B239" s="46" t="str">
        <f t="shared" si="1023"/>
        <v xml:space="preserve">Net cash from operations </v>
      </c>
      <c r="C239" s="45">
        <f t="shared" si="1024"/>
        <v>66.156683000000015</v>
      </c>
      <c r="D239" s="45">
        <f t="shared" si="1024"/>
        <v>54.634362999999993</v>
      </c>
      <c r="E239" s="45">
        <f t="shared" si="1024"/>
        <v>63.572039999999994</v>
      </c>
      <c r="F239" s="45">
        <f t="shared" si="1024"/>
        <v>61.523378999999998</v>
      </c>
      <c r="G239" s="45">
        <f t="shared" si="1024"/>
        <v>67.721674000000036</v>
      </c>
      <c r="H239" s="45">
        <f t="shared" si="1024"/>
        <v>12.050160000000005</v>
      </c>
      <c r="I239" s="45">
        <f t="shared" ref="I239:J239" si="1053">I75*I$210</f>
        <v>64.699377999999996</v>
      </c>
      <c r="J239" s="45">
        <f t="shared" si="1053"/>
        <v>83.978802999999999</v>
      </c>
      <c r="K239" s="45">
        <f t="shared" ref="K239" si="1054">K75*K$210</f>
        <v>146.15653499999996</v>
      </c>
      <c r="L239" s="45">
        <f t="shared" ref="L239" si="1055">L75*L$210</f>
        <v>126.90230300000002</v>
      </c>
      <c r="M239" s="47"/>
      <c r="N239" s="45">
        <f t="shared" ref="N239:AD239" si="1056">N75*N$210</f>
        <v>16.983741999999999</v>
      </c>
      <c r="O239" s="45">
        <f t="shared" si="1056"/>
        <v>14.753468000000003</v>
      </c>
      <c r="P239" s="45">
        <f t="shared" si="1056"/>
        <v>20.035064000000013</v>
      </c>
      <c r="Q239" s="45">
        <f t="shared" si="1056"/>
        <v>11.799765999999984</v>
      </c>
      <c r="R239" s="45">
        <f t="shared" si="1056"/>
        <v>5.083694000000003</v>
      </c>
      <c r="S239" s="45">
        <f t="shared" si="1056"/>
        <v>14.830719</v>
      </c>
      <c r="T239" s="45">
        <f t="shared" si="1056"/>
        <v>15.583388000000008</v>
      </c>
      <c r="U239" s="45">
        <f t="shared" si="1056"/>
        <v>26.025577999999996</v>
      </c>
      <c r="V239" s="45">
        <f t="shared" si="1056"/>
        <v>12.082414000000004</v>
      </c>
      <c r="W239" s="45">
        <f t="shared" si="1056"/>
        <v>15.103592999999993</v>
      </c>
      <c r="X239" s="45">
        <f t="shared" si="1056"/>
        <v>23.61460300000001</v>
      </c>
      <c r="Y239" s="45">
        <f t="shared" si="1056"/>
        <v>16.91667300000001</v>
      </c>
      <c r="Z239" s="45">
        <f t="shared" si="1056"/>
        <v>-12.251413000000007</v>
      </c>
      <c r="AA239" s="45">
        <f t="shared" si="1056"/>
        <v>-13.305752999999999</v>
      </c>
      <c r="AB239" s="45">
        <f t="shared" si="1056"/>
        <v>62.436097000000011</v>
      </c>
      <c r="AC239" s="45">
        <f t="shared" si="1056"/>
        <v>-24.862579999999987</v>
      </c>
      <c r="AD239" s="45">
        <f t="shared" si="1056"/>
        <v>24.125395000000005</v>
      </c>
      <c r="AE239" s="45">
        <f t="shared" ref="AE239:AH239" si="1057">AE75*AE$210</f>
        <v>0.72793000000001484</v>
      </c>
      <c r="AF239" s="45">
        <f t="shared" si="1057"/>
        <v>51.854174999999998</v>
      </c>
      <c r="AG239" s="45">
        <f t="shared" si="1057"/>
        <v>-12.00812199999999</v>
      </c>
      <c r="AH239" s="45">
        <f t="shared" si="1057"/>
        <v>-10.114677000000007</v>
      </c>
      <c r="AI239" s="45">
        <f t="shared" ref="AI239:AL239" si="1058">AI75*AI$210</f>
        <v>20.678266000000001</v>
      </c>
      <c r="AJ239" s="45">
        <f t="shared" si="1058"/>
        <v>32.277101999999999</v>
      </c>
      <c r="AK239" s="45">
        <f t="shared" si="1058"/>
        <v>41.267002999999967</v>
      </c>
      <c r="AL239" s="45">
        <f t="shared" si="1058"/>
        <v>19.015141</v>
      </c>
      <c r="AM239" s="45">
        <f t="shared" ref="AM239:AP239" si="1059">AM75*AM$210</f>
        <v>41.023230999999996</v>
      </c>
      <c r="AN239" s="45">
        <f t="shared" si="1059"/>
        <v>50.438680000000005</v>
      </c>
      <c r="AO239" s="45">
        <f t="shared" si="1059"/>
        <v>35.679482999999998</v>
      </c>
      <c r="AP239" s="45">
        <f t="shared" si="1059"/>
        <v>-0.23909099999999484</v>
      </c>
    </row>
    <row r="240" spans="2:42" ht="13.5" customHeight="1" thickTop="1">
      <c r="B240" s="35" t="str">
        <f t="shared" si="1023"/>
        <v>Net Capex</v>
      </c>
      <c r="C240" s="48">
        <f t="shared" si="1024"/>
        <v>-196.47036699999998</v>
      </c>
      <c r="D240" s="48">
        <f t="shared" si="1024"/>
        <v>-139.093018</v>
      </c>
      <c r="E240" s="48">
        <f t="shared" si="1024"/>
        <v>1.2753080000000021</v>
      </c>
      <c r="F240" s="48">
        <f t="shared" si="1024"/>
        <v>-73.345549000000005</v>
      </c>
      <c r="G240" s="48">
        <f t="shared" si="1024"/>
        <v>15.952125999999994</v>
      </c>
      <c r="H240" s="48">
        <f t="shared" si="1024"/>
        <v>-262.15760299999999</v>
      </c>
      <c r="I240" s="48">
        <f t="shared" ref="I240:J240" si="1060">I76*I$210</f>
        <v>-223.07246500000002</v>
      </c>
      <c r="J240" s="48">
        <f t="shared" si="1060"/>
        <v>-226.66518500000001</v>
      </c>
      <c r="K240" s="48">
        <f t="shared" ref="K240" si="1061">K76*K$210</f>
        <v>-332.27149900000001</v>
      </c>
      <c r="L240" s="48">
        <f t="shared" ref="L240" si="1062">L76*L$210</f>
        <v>-289.05288400000001</v>
      </c>
      <c r="M240" s="151"/>
      <c r="N240" s="48">
        <f t="shared" ref="N240:AD240" si="1063">N76*N$210</f>
        <v>-20.497951</v>
      </c>
      <c r="O240" s="48">
        <f t="shared" si="1063"/>
        <v>91.622642000000013</v>
      </c>
      <c r="P240" s="48">
        <f t="shared" si="1063"/>
        <v>-37.08691000000001</v>
      </c>
      <c r="Q240" s="48">
        <f t="shared" si="1063"/>
        <v>-32.762473</v>
      </c>
      <c r="R240" s="48">
        <f t="shared" si="1063"/>
        <v>-12.021969</v>
      </c>
      <c r="S240" s="48">
        <f t="shared" si="1063"/>
        <v>-21.641853000000005</v>
      </c>
      <c r="T240" s="48">
        <f t="shared" si="1063"/>
        <v>-14.838223999999995</v>
      </c>
      <c r="U240" s="48">
        <f t="shared" si="1063"/>
        <v>-24.843503000000005</v>
      </c>
      <c r="V240" s="48">
        <f t="shared" si="1063"/>
        <v>-18.118631999999998</v>
      </c>
      <c r="W240" s="48">
        <f t="shared" si="1063"/>
        <v>-14.233018000000001</v>
      </c>
      <c r="X240" s="48">
        <f t="shared" si="1063"/>
        <v>-30.459146000000004</v>
      </c>
      <c r="Y240" s="48">
        <f t="shared" si="1063"/>
        <v>78.762922000000003</v>
      </c>
      <c r="Z240" s="48">
        <f t="shared" si="1063"/>
        <v>-80.640628000000007</v>
      </c>
      <c r="AA240" s="48">
        <f t="shared" si="1063"/>
        <v>-13.594445999999991</v>
      </c>
      <c r="AB240" s="48">
        <f t="shared" si="1063"/>
        <v>-74.077689000000007</v>
      </c>
      <c r="AC240" s="48">
        <f t="shared" si="1063"/>
        <v>-93.844839999999976</v>
      </c>
      <c r="AD240" s="48">
        <f t="shared" si="1063"/>
        <v>-54.322607999999995</v>
      </c>
      <c r="AE240" s="48">
        <f t="shared" ref="AE240:AH240" si="1064">AE76*AE$210</f>
        <v>-35.059153999999999</v>
      </c>
      <c r="AF240" s="48">
        <f t="shared" si="1064"/>
        <v>-106.394341</v>
      </c>
      <c r="AG240" s="48">
        <f t="shared" si="1064"/>
        <v>-27.296362000000045</v>
      </c>
      <c r="AH240" s="48">
        <f t="shared" si="1064"/>
        <v>-47.635565999999997</v>
      </c>
      <c r="AI240" s="48">
        <f t="shared" ref="AI240:AL240" si="1065">AI76*AI$210</f>
        <v>-53.647311999999999</v>
      </c>
      <c r="AJ240" s="48">
        <f t="shared" si="1065"/>
        <v>-70.440837000000002</v>
      </c>
      <c r="AK240" s="48">
        <f t="shared" si="1065"/>
        <v>-54.94147000000001</v>
      </c>
      <c r="AL240" s="48">
        <f t="shared" si="1065"/>
        <v>-58.956631999999999</v>
      </c>
      <c r="AM240" s="48">
        <f t="shared" ref="AM240:AP240" si="1066">AM76*AM$210</f>
        <v>-111.543368</v>
      </c>
      <c r="AN240" s="48">
        <f t="shared" si="1066"/>
        <v>-50.982118</v>
      </c>
      <c r="AO240" s="48">
        <f t="shared" si="1066"/>
        <v>-110.78938099999999</v>
      </c>
      <c r="AP240" s="48">
        <f t="shared" si="1066"/>
        <v>-15.738016999999999</v>
      </c>
    </row>
    <row r="241" spans="2:42" ht="13.5" customHeight="1">
      <c r="B241" s="35" t="str">
        <f t="shared" si="1023"/>
        <v>Purchase of intangible assets</v>
      </c>
      <c r="C241" s="48">
        <f t="shared" si="1024"/>
        <v>0</v>
      </c>
      <c r="D241" s="48">
        <f t="shared" si="1024"/>
        <v>0</v>
      </c>
      <c r="E241" s="48">
        <f t="shared" si="1024"/>
        <v>0</v>
      </c>
      <c r="F241" s="48">
        <f t="shared" si="1024"/>
        <v>0</v>
      </c>
      <c r="G241" s="48">
        <f t="shared" si="1024"/>
        <v>0</v>
      </c>
      <c r="H241" s="48">
        <f t="shared" si="1024"/>
        <v>0</v>
      </c>
      <c r="I241" s="48">
        <f t="shared" ref="I241:J241" si="1067">I77*I$210</f>
        <v>0</v>
      </c>
      <c r="J241" s="48">
        <f t="shared" si="1067"/>
        <v>0</v>
      </c>
      <c r="K241" s="48">
        <f t="shared" ref="K241" si="1068">K77*K$210</f>
        <v>0</v>
      </c>
      <c r="L241" s="48">
        <f t="shared" ref="L241" si="1069">L77*L$210</f>
        <v>0</v>
      </c>
      <c r="M241" s="151"/>
      <c r="N241" s="48">
        <f t="shared" ref="N241:AD241" si="1070">N77*N$210</f>
        <v>0</v>
      </c>
      <c r="O241" s="48">
        <f t="shared" si="1070"/>
        <v>0</v>
      </c>
      <c r="P241" s="48">
        <f t="shared" si="1070"/>
        <v>0</v>
      </c>
      <c r="Q241" s="48">
        <f t="shared" si="1070"/>
        <v>0</v>
      </c>
      <c r="R241" s="48">
        <f t="shared" si="1070"/>
        <v>0</v>
      </c>
      <c r="S241" s="48">
        <f t="shared" si="1070"/>
        <v>0</v>
      </c>
      <c r="T241" s="48">
        <f t="shared" si="1070"/>
        <v>0</v>
      </c>
      <c r="U241" s="48">
        <f t="shared" si="1070"/>
        <v>0</v>
      </c>
      <c r="V241" s="48">
        <f t="shared" si="1070"/>
        <v>0</v>
      </c>
      <c r="W241" s="48">
        <f t="shared" si="1070"/>
        <v>0</v>
      </c>
      <c r="X241" s="48">
        <f t="shared" si="1070"/>
        <v>0</v>
      </c>
      <c r="Y241" s="48">
        <f t="shared" si="1070"/>
        <v>0</v>
      </c>
      <c r="Z241" s="48">
        <f t="shared" si="1070"/>
        <v>0</v>
      </c>
      <c r="AA241" s="48">
        <f t="shared" si="1070"/>
        <v>0</v>
      </c>
      <c r="AB241" s="48">
        <f t="shared" si="1070"/>
        <v>0</v>
      </c>
      <c r="AC241" s="48">
        <f t="shared" si="1070"/>
        <v>0</v>
      </c>
      <c r="AD241" s="48">
        <f t="shared" si="1070"/>
        <v>0</v>
      </c>
      <c r="AE241" s="48">
        <f t="shared" ref="AE241:AH241" si="1071">AE77*AE$210</f>
        <v>0</v>
      </c>
      <c r="AF241" s="48">
        <f t="shared" si="1071"/>
        <v>0</v>
      </c>
      <c r="AG241" s="48">
        <f t="shared" si="1071"/>
        <v>0</v>
      </c>
      <c r="AH241" s="48">
        <f t="shared" si="1071"/>
        <v>0</v>
      </c>
      <c r="AI241" s="48">
        <f t="shared" ref="AI241:AL241" si="1072">AI77*AI$210</f>
        <v>0</v>
      </c>
      <c r="AJ241" s="48">
        <f t="shared" si="1072"/>
        <v>0</v>
      </c>
      <c r="AK241" s="48">
        <f t="shared" si="1072"/>
        <v>0</v>
      </c>
      <c r="AL241" s="48">
        <f t="shared" si="1072"/>
        <v>0</v>
      </c>
      <c r="AM241" s="48">
        <f t="shared" ref="AM241:AP241" si="1073">AM77*AM$210</f>
        <v>0</v>
      </c>
      <c r="AN241" s="48">
        <f t="shared" si="1073"/>
        <v>0</v>
      </c>
      <c r="AO241" s="48">
        <f t="shared" si="1073"/>
        <v>0</v>
      </c>
      <c r="AP241" s="48">
        <f t="shared" si="1073"/>
        <v>0</v>
      </c>
    </row>
    <row r="242" spans="2:42" ht="13.5" customHeight="1">
      <c r="B242" s="35" t="str">
        <f t="shared" si="1023"/>
        <v>Disposals/ Acquistion, of subsidiaries, businesses</v>
      </c>
      <c r="C242" s="48">
        <f t="shared" si="1024"/>
        <v>0</v>
      </c>
      <c r="D242" s="48">
        <f t="shared" si="1024"/>
        <v>0</v>
      </c>
      <c r="E242" s="48">
        <f t="shared" si="1024"/>
        <v>0</v>
      </c>
      <c r="F242" s="48">
        <f t="shared" si="1024"/>
        <v>0</v>
      </c>
      <c r="G242" s="48">
        <f t="shared" si="1024"/>
        <v>0</v>
      </c>
      <c r="H242" s="48">
        <f t="shared" si="1024"/>
        <v>0</v>
      </c>
      <c r="I242" s="48">
        <f t="shared" ref="I242:J242" si="1074">I78*I$210</f>
        <v>0</v>
      </c>
      <c r="J242" s="48">
        <f t="shared" si="1074"/>
        <v>0</v>
      </c>
      <c r="K242" s="48">
        <f t="shared" ref="K242" si="1075">K78*K$210</f>
        <v>0</v>
      </c>
      <c r="L242" s="48">
        <f t="shared" ref="L242" si="1076">L78*L$210</f>
        <v>0</v>
      </c>
      <c r="M242" s="151"/>
      <c r="N242" s="48">
        <f t="shared" ref="N242:AD242" si="1077">N78*N$210</f>
        <v>0</v>
      </c>
      <c r="O242" s="48">
        <f t="shared" si="1077"/>
        <v>0</v>
      </c>
      <c r="P242" s="48">
        <f t="shared" si="1077"/>
        <v>0</v>
      </c>
      <c r="Q242" s="48">
        <f t="shared" si="1077"/>
        <v>0</v>
      </c>
      <c r="R242" s="48">
        <f t="shared" si="1077"/>
        <v>0</v>
      </c>
      <c r="S242" s="48">
        <f t="shared" si="1077"/>
        <v>0</v>
      </c>
      <c r="T242" s="48">
        <f t="shared" si="1077"/>
        <v>0</v>
      </c>
      <c r="U242" s="48">
        <f t="shared" si="1077"/>
        <v>0</v>
      </c>
      <c r="V242" s="48">
        <f t="shared" si="1077"/>
        <v>0</v>
      </c>
      <c r="W242" s="48">
        <f t="shared" si="1077"/>
        <v>0</v>
      </c>
      <c r="X242" s="48">
        <f t="shared" si="1077"/>
        <v>0</v>
      </c>
      <c r="Y242" s="48">
        <f t="shared" si="1077"/>
        <v>0</v>
      </c>
      <c r="Z242" s="48">
        <f t="shared" si="1077"/>
        <v>0</v>
      </c>
      <c r="AA242" s="48">
        <f t="shared" si="1077"/>
        <v>0</v>
      </c>
      <c r="AB242" s="48">
        <f t="shared" si="1077"/>
        <v>0</v>
      </c>
      <c r="AC242" s="48">
        <f t="shared" si="1077"/>
        <v>0</v>
      </c>
      <c r="AD242" s="48">
        <f t="shared" si="1077"/>
        <v>0</v>
      </c>
      <c r="AE242" s="48">
        <f t="shared" ref="AE242:AH242" si="1078">AE78*AE$210</f>
        <v>0</v>
      </c>
      <c r="AF242" s="48">
        <f t="shared" si="1078"/>
        <v>0</v>
      </c>
      <c r="AG242" s="48">
        <f t="shared" si="1078"/>
        <v>0</v>
      </c>
      <c r="AH242" s="48">
        <f t="shared" si="1078"/>
        <v>0</v>
      </c>
      <c r="AI242" s="48">
        <f t="shared" ref="AI242:AL242" si="1079">AI78*AI$210</f>
        <v>0</v>
      </c>
      <c r="AJ242" s="48">
        <f t="shared" si="1079"/>
        <v>0</v>
      </c>
      <c r="AK242" s="48">
        <f t="shared" si="1079"/>
        <v>0</v>
      </c>
      <c r="AL242" s="48">
        <f t="shared" si="1079"/>
        <v>0</v>
      </c>
      <c r="AM242" s="48">
        <f t="shared" ref="AM242:AP242" si="1080">AM78*AM$210</f>
        <v>0</v>
      </c>
      <c r="AN242" s="48">
        <f t="shared" si="1080"/>
        <v>0</v>
      </c>
      <c r="AO242" s="48">
        <f t="shared" si="1080"/>
        <v>0</v>
      </c>
      <c r="AP242" s="48">
        <f t="shared" si="1080"/>
        <v>0</v>
      </c>
    </row>
    <row r="243" spans="2:42" s="39" customFormat="1" ht="13.5" customHeight="1" thickBot="1">
      <c r="B243" s="46" t="str">
        <f t="shared" si="1023"/>
        <v xml:space="preserve">Free cash flow </v>
      </c>
      <c r="C243" s="45">
        <f t="shared" si="1024"/>
        <v>-130.31368399999997</v>
      </c>
      <c r="D243" s="45">
        <f t="shared" si="1024"/>
        <v>-84.458655000000007</v>
      </c>
      <c r="E243" s="45">
        <f t="shared" si="1024"/>
        <v>64.847347999999997</v>
      </c>
      <c r="F243" s="45">
        <f t="shared" si="1024"/>
        <v>-11.822170000000007</v>
      </c>
      <c r="G243" s="45">
        <f t="shared" si="1024"/>
        <v>83.673800000000028</v>
      </c>
      <c r="H243" s="45">
        <f t="shared" si="1024"/>
        <v>-250.10744299999999</v>
      </c>
      <c r="I243" s="45">
        <f t="shared" ref="I243:J243" si="1081">I79*I$210</f>
        <v>-158.37308700000003</v>
      </c>
      <c r="J243" s="45">
        <f t="shared" si="1081"/>
        <v>-142.68638200000001</v>
      </c>
      <c r="K243" s="45">
        <f t="shared" ref="K243" si="1082">K79*K$210</f>
        <v>-186.11496400000004</v>
      </c>
      <c r="L243" s="45">
        <f t="shared" ref="L243" si="1083">L79*L$210</f>
        <v>-162.15058099999999</v>
      </c>
      <c r="M243" s="47"/>
      <c r="N243" s="45">
        <f t="shared" ref="N243:AD243" si="1084">N79*N$210</f>
        <v>-3.514209000000001</v>
      </c>
      <c r="O243" s="45">
        <f t="shared" si="1084"/>
        <v>106.37611000000001</v>
      </c>
      <c r="P243" s="45">
        <f t="shared" si="1084"/>
        <v>-17.051845999999998</v>
      </c>
      <c r="Q243" s="45">
        <f t="shared" si="1084"/>
        <v>-20.962707000000016</v>
      </c>
      <c r="R243" s="45">
        <f t="shared" si="1084"/>
        <v>-6.9382749999999973</v>
      </c>
      <c r="S243" s="45">
        <f t="shared" si="1084"/>
        <v>-6.8111340000000045</v>
      </c>
      <c r="T243" s="45">
        <f t="shared" si="1084"/>
        <v>0.74516400000001326</v>
      </c>
      <c r="U243" s="45">
        <f t="shared" si="1084"/>
        <v>1.1820749999999904</v>
      </c>
      <c r="V243" s="45">
        <f t="shared" si="1084"/>
        <v>-6.0362179999999945</v>
      </c>
      <c r="W243" s="45">
        <f t="shared" si="1084"/>
        <v>0.87057499999999166</v>
      </c>
      <c r="X243" s="45">
        <f t="shared" si="1084"/>
        <v>-6.8445429999999945</v>
      </c>
      <c r="Y243" s="45">
        <f t="shared" si="1084"/>
        <v>95.679595000000006</v>
      </c>
      <c r="Z243" s="45">
        <f t="shared" si="1084"/>
        <v>-92.892041000000006</v>
      </c>
      <c r="AA243" s="45">
        <f t="shared" si="1084"/>
        <v>-26.90019899999999</v>
      </c>
      <c r="AB243" s="45">
        <f t="shared" si="1084"/>
        <v>-11.641591999999996</v>
      </c>
      <c r="AC243" s="45">
        <f t="shared" si="1084"/>
        <v>-118.70741999999996</v>
      </c>
      <c r="AD243" s="45">
        <f t="shared" si="1084"/>
        <v>-30.197212999999991</v>
      </c>
      <c r="AE243" s="45">
        <f t="shared" ref="AE243:AH243" si="1085">AE79*AE$210</f>
        <v>-34.331223999999985</v>
      </c>
      <c r="AF243" s="45">
        <f t="shared" si="1085"/>
        <v>-54.540165999999999</v>
      </c>
      <c r="AG243" s="45">
        <f t="shared" si="1085"/>
        <v>-39.304484000000031</v>
      </c>
      <c r="AH243" s="45">
        <f t="shared" si="1085"/>
        <v>-57.750243000000005</v>
      </c>
      <c r="AI243" s="45">
        <f t="shared" ref="AI243:AL243" si="1086">AI79*AI$210</f>
        <v>-32.969045999999999</v>
      </c>
      <c r="AJ243" s="45">
        <f t="shared" si="1086"/>
        <v>-38.163735000000003</v>
      </c>
      <c r="AK243" s="45">
        <f t="shared" si="1086"/>
        <v>-13.674467000000043</v>
      </c>
      <c r="AL243" s="45">
        <f t="shared" si="1086"/>
        <v>-39.941490999999999</v>
      </c>
      <c r="AM243" s="45">
        <f t="shared" ref="AM243:AP243" si="1087">AM79*AM$210</f>
        <v>-70.520137000000005</v>
      </c>
      <c r="AN243" s="45">
        <f t="shared" si="1087"/>
        <v>-0.54343799999999476</v>
      </c>
      <c r="AO243" s="45">
        <f t="shared" si="1087"/>
        <v>-75.109897999999987</v>
      </c>
      <c r="AP243" s="45">
        <f t="shared" si="1087"/>
        <v>-15.977107999999994</v>
      </c>
    </row>
    <row r="244" spans="2:42" s="39" customFormat="1" ht="13.5" customHeight="1" thickTop="1">
      <c r="B244" s="35" t="str">
        <f t="shared" si="1023"/>
        <v xml:space="preserve">Other Investing </v>
      </c>
      <c r="C244" s="48">
        <f t="shared" si="1024"/>
        <v>-9.6419999999999978E-3</v>
      </c>
      <c r="D244" s="48">
        <f t="shared" si="1024"/>
        <v>0.38785599999999998</v>
      </c>
      <c r="E244" s="48">
        <f t="shared" si="1024"/>
        <v>-1.0174000000000002E-2</v>
      </c>
      <c r="F244" s="48">
        <f t="shared" si="1024"/>
        <v>0.43198999999999999</v>
      </c>
      <c r="G244" s="48">
        <f t="shared" si="1024"/>
        <v>0.76180700000000001</v>
      </c>
      <c r="H244" s="48">
        <f t="shared" si="1024"/>
        <v>0</v>
      </c>
      <c r="I244" s="48">
        <f t="shared" ref="I244:J244" si="1088">I80*I$210</f>
        <v>0</v>
      </c>
      <c r="J244" s="48">
        <f t="shared" si="1088"/>
        <v>0</v>
      </c>
      <c r="K244" s="48">
        <f t="shared" ref="K244" si="1089">K80*K$210</f>
        <v>-3.521881</v>
      </c>
      <c r="L244" s="48">
        <f t="shared" ref="L244" si="1090">L80*L$210</f>
        <v>-3.521881</v>
      </c>
      <c r="M244" s="151"/>
      <c r="N244" s="48">
        <f t="shared" ref="N244:AD244" si="1091">N80*N$210</f>
        <v>-8.2729999999999991E-3</v>
      </c>
      <c r="O244" s="48">
        <f t="shared" si="1091"/>
        <v>4.4216000000000005E-2</v>
      </c>
      <c r="P244" s="48">
        <f t="shared" si="1091"/>
        <v>2.2073999999999993E-2</v>
      </c>
      <c r="Q244" s="48">
        <f t="shared" si="1091"/>
        <v>-6.8191000000000002E-2</v>
      </c>
      <c r="R244" s="48">
        <f t="shared" si="1091"/>
        <v>0.25004199999999999</v>
      </c>
      <c r="S244" s="48">
        <f t="shared" si="1091"/>
        <v>0.18736600000000003</v>
      </c>
      <c r="T244" s="48">
        <f t="shared" si="1091"/>
        <v>6.8409999999999971E-2</v>
      </c>
      <c r="U244" s="48">
        <f t="shared" si="1091"/>
        <v>-7.3828000000000005E-2</v>
      </c>
      <c r="V244" s="48">
        <f t="shared" si="1091"/>
        <v>3.8377999999999995E-2</v>
      </c>
      <c r="W244" s="48">
        <f t="shared" si="1091"/>
        <v>-1.4640999999999994E-2</v>
      </c>
      <c r="X244" s="48">
        <f t="shared" si="1091"/>
        <v>0.71415299999999993</v>
      </c>
      <c r="Y244" s="48">
        <f t="shared" si="1091"/>
        <v>2.3917000000000077E-2</v>
      </c>
      <c r="Z244" s="48">
        <f t="shared" si="1091"/>
        <v>3.7774000000000002E-2</v>
      </c>
      <c r="AA244" s="48">
        <f t="shared" si="1091"/>
        <v>0.132774</v>
      </c>
      <c r="AB244" s="48">
        <f t="shared" si="1091"/>
        <v>-0.17054800000000001</v>
      </c>
      <c r="AC244" s="48">
        <f t="shared" si="1091"/>
        <v>0</v>
      </c>
      <c r="AD244" s="48">
        <f t="shared" si="1091"/>
        <v>0</v>
      </c>
      <c r="AE244" s="48">
        <f t="shared" ref="AE244:AH244" si="1092">AE80*AE$210</f>
        <v>0</v>
      </c>
      <c r="AF244" s="48">
        <f t="shared" si="1092"/>
        <v>0</v>
      </c>
      <c r="AG244" s="48">
        <f t="shared" si="1092"/>
        <v>0</v>
      </c>
      <c r="AH244" s="48">
        <f t="shared" si="1092"/>
        <v>15.147041</v>
      </c>
      <c r="AI244" s="48">
        <f t="shared" ref="AI244:AL244" si="1093">AI80*AI$210</f>
        <v>-15.147041</v>
      </c>
      <c r="AJ244" s="48">
        <f t="shared" si="1093"/>
        <v>28.444282999999999</v>
      </c>
      <c r="AK244" s="48">
        <f t="shared" si="1093"/>
        <v>-28.444282999999999</v>
      </c>
      <c r="AL244" s="48">
        <f t="shared" si="1093"/>
        <v>0</v>
      </c>
      <c r="AM244" s="48">
        <f t="shared" ref="AM244:AP244" si="1094">AM80*AM$210</f>
        <v>-0.5</v>
      </c>
      <c r="AN244" s="48">
        <f t="shared" si="1094"/>
        <v>-2.9422679999999999</v>
      </c>
      <c r="AO244" s="48">
        <f t="shared" si="1094"/>
        <v>-7.9613000000000156E-2</v>
      </c>
      <c r="AP244" s="48">
        <f t="shared" si="1094"/>
        <v>0</v>
      </c>
    </row>
    <row r="245" spans="2:42" ht="13.5" customHeight="1">
      <c r="B245" s="35" t="str">
        <f t="shared" si="1023"/>
        <v>Equity Issuance / Repurchase of treasury shares</v>
      </c>
      <c r="C245" s="48">
        <f t="shared" ref="C245:H252" si="1095">C81*C$210</f>
        <v>0</v>
      </c>
      <c r="D245" s="48">
        <f t="shared" si="1095"/>
        <v>0</v>
      </c>
      <c r="E245" s="48">
        <f t="shared" si="1095"/>
        <v>0</v>
      </c>
      <c r="F245" s="48">
        <f t="shared" si="1095"/>
        <v>0</v>
      </c>
      <c r="G245" s="48">
        <f t="shared" si="1095"/>
        <v>229.215419</v>
      </c>
      <c r="H245" s="48">
        <f t="shared" si="1095"/>
        <v>-15.603308</v>
      </c>
      <c r="I245" s="48">
        <f t="shared" ref="I245:J245" si="1096">I81*I$210</f>
        <v>594.375</v>
      </c>
      <c r="J245" s="48">
        <f t="shared" si="1096"/>
        <v>-44.165790000000001</v>
      </c>
      <c r="K245" s="48">
        <f t="shared" ref="K245" si="1097">K81*K$210</f>
        <v>-36.415844999999997</v>
      </c>
      <c r="L245" s="48">
        <f t="shared" ref="L245" si="1098">L81*L$210</f>
        <v>-0.50806099999999788</v>
      </c>
      <c r="M245" s="151"/>
      <c r="N245" s="48">
        <f t="shared" ref="N245:AD245" si="1099">N81*N$210</f>
        <v>0</v>
      </c>
      <c r="O245" s="48">
        <f t="shared" si="1099"/>
        <v>0</v>
      </c>
      <c r="P245" s="48">
        <f t="shared" si="1099"/>
        <v>0</v>
      </c>
      <c r="Q245" s="48">
        <f t="shared" si="1099"/>
        <v>0</v>
      </c>
      <c r="R245" s="48">
        <f t="shared" si="1099"/>
        <v>0</v>
      </c>
      <c r="S245" s="48">
        <f t="shared" si="1099"/>
        <v>0</v>
      </c>
      <c r="T245" s="48">
        <f t="shared" si="1099"/>
        <v>0</v>
      </c>
      <c r="U245" s="48">
        <f t="shared" si="1099"/>
        <v>0</v>
      </c>
      <c r="V245" s="48">
        <f t="shared" si="1099"/>
        <v>0</v>
      </c>
      <c r="W245" s="48">
        <f t="shared" si="1099"/>
        <v>223.195449</v>
      </c>
      <c r="X245" s="48">
        <f t="shared" si="1099"/>
        <v>0</v>
      </c>
      <c r="Y245" s="48">
        <f t="shared" si="1099"/>
        <v>6.0199700000000007</v>
      </c>
      <c r="Z245" s="48">
        <f t="shared" si="1099"/>
        <v>0</v>
      </c>
      <c r="AA245" s="48">
        <f t="shared" si="1099"/>
        <v>-15.489262</v>
      </c>
      <c r="AB245" s="48">
        <f t="shared" si="1099"/>
        <v>-0.11404600000000009</v>
      </c>
      <c r="AC245" s="48">
        <f t="shared" si="1099"/>
        <v>0</v>
      </c>
      <c r="AD245" s="48">
        <f t="shared" si="1099"/>
        <v>0</v>
      </c>
      <c r="AE245" s="48">
        <f t="shared" ref="AE245:AH245" si="1100">AE81*AE$210</f>
        <v>0</v>
      </c>
      <c r="AF245" s="48">
        <f t="shared" si="1100"/>
        <v>444.01813700000002</v>
      </c>
      <c r="AG245" s="48">
        <f t="shared" si="1100"/>
        <v>150.35686299999998</v>
      </c>
      <c r="AH245" s="48">
        <f t="shared" si="1100"/>
        <v>0</v>
      </c>
      <c r="AI245" s="48">
        <f t="shared" ref="AI245:AL245" si="1101">AI81*AI$210</f>
        <v>0</v>
      </c>
      <c r="AJ245" s="48">
        <f t="shared" si="1101"/>
        <v>-14.336805999999999</v>
      </c>
      <c r="AK245" s="48">
        <f t="shared" si="1101"/>
        <v>-29.828984000000002</v>
      </c>
      <c r="AL245" s="48">
        <f t="shared" si="1101"/>
        <v>-35.907783999999999</v>
      </c>
      <c r="AM245" s="48">
        <f t="shared" ref="AM245:AP245" si="1102">AM81*AM$210</f>
        <v>-0.4922159999999991</v>
      </c>
      <c r="AN245" s="48">
        <f t="shared" si="1102"/>
        <v>-1.5844999999998777E-2</v>
      </c>
      <c r="AO245" s="48">
        <f t="shared" si="1102"/>
        <v>0</v>
      </c>
      <c r="AP245" s="48">
        <f t="shared" si="1102"/>
        <v>0</v>
      </c>
    </row>
    <row r="246" spans="2:42" ht="13.5" customHeight="1">
      <c r="B246" s="35" t="str">
        <f t="shared" si="1023"/>
        <v>Dividends</v>
      </c>
      <c r="C246" s="48">
        <f t="shared" si="1095"/>
        <v>-39.110027000000002</v>
      </c>
      <c r="D246" s="48">
        <f t="shared" si="1095"/>
        <v>-47.897981000000001</v>
      </c>
      <c r="E246" s="48">
        <f t="shared" si="1095"/>
        <v>-39.444747999999997</v>
      </c>
      <c r="F246" s="48">
        <f t="shared" si="1095"/>
        <v>-53.975583</v>
      </c>
      <c r="G246" s="48">
        <f t="shared" si="1095"/>
        <v>-55.367252000000001</v>
      </c>
      <c r="H246" s="48">
        <f t="shared" si="1095"/>
        <v>-57.018814999999996</v>
      </c>
      <c r="I246" s="48">
        <f t="shared" ref="I246:J246" si="1103">I82*I$210</f>
        <v>-59.509926</v>
      </c>
      <c r="J246" s="48">
        <f t="shared" si="1103"/>
        <v>-63.670175999999998</v>
      </c>
      <c r="K246" s="48">
        <f t="shared" ref="K246" si="1104">K82*K$210</f>
        <v>-68.325102000000001</v>
      </c>
      <c r="L246" s="48">
        <f t="shared" ref="L246" si="1105">L82*L$210</f>
        <v>-69.537972999999994</v>
      </c>
      <c r="M246" s="151"/>
      <c r="N246" s="48">
        <f t="shared" ref="N246:AD246" si="1106">N82*N$210</f>
        <v>0</v>
      </c>
      <c r="O246" s="48">
        <f t="shared" si="1106"/>
        <v>-13.19698</v>
      </c>
      <c r="P246" s="48">
        <f t="shared" si="1106"/>
        <v>-13.370396</v>
      </c>
      <c r="Q246" s="48">
        <f t="shared" si="1106"/>
        <v>-12.877371999999998</v>
      </c>
      <c r="R246" s="48">
        <f t="shared" si="1106"/>
        <v>-13.371919999999999</v>
      </c>
      <c r="S246" s="48">
        <f t="shared" si="1106"/>
        <v>-13.534555000000001</v>
      </c>
      <c r="T246" s="48">
        <f t="shared" si="1106"/>
        <v>-13.534553000000002</v>
      </c>
      <c r="U246" s="48">
        <f t="shared" si="1106"/>
        <v>-13.534554999999997</v>
      </c>
      <c r="V246" s="48">
        <f t="shared" si="1106"/>
        <v>-13.534554999999999</v>
      </c>
      <c r="W246" s="48">
        <f t="shared" si="1106"/>
        <v>-14.134918000000001</v>
      </c>
      <c r="X246" s="48">
        <f t="shared" si="1106"/>
        <v>-13.753547000000003</v>
      </c>
      <c r="Y246" s="48">
        <f t="shared" si="1106"/>
        <v>-13.944232</v>
      </c>
      <c r="Z246" s="48">
        <f t="shared" si="1106"/>
        <v>-13.944232</v>
      </c>
      <c r="AA246" s="48">
        <f t="shared" si="1106"/>
        <v>-14.358195000000002</v>
      </c>
      <c r="AB246" s="48">
        <f t="shared" si="1106"/>
        <v>-14.358193999999997</v>
      </c>
      <c r="AC246" s="48">
        <f t="shared" si="1106"/>
        <v>-14.358193999999997</v>
      </c>
      <c r="AD246" s="48">
        <f t="shared" si="1106"/>
        <v>-14.358193999999999</v>
      </c>
      <c r="AE246" s="48">
        <f t="shared" ref="AE246:AH246" si="1107">AE82*AE$210</f>
        <v>-14.998211</v>
      </c>
      <c r="AF246" s="48">
        <f t="shared" si="1107"/>
        <v>-15.076760000000005</v>
      </c>
      <c r="AG246" s="48">
        <f t="shared" si="1107"/>
        <v>-15.076760999999998</v>
      </c>
      <c r="AH246" s="48">
        <f t="shared" si="1107"/>
        <v>-15.155312</v>
      </c>
      <c r="AI246" s="48">
        <f t="shared" ref="AI246:AL246" si="1108">AI82*AI$210</f>
        <v>-16.171621000000002</v>
      </c>
      <c r="AJ246" s="48">
        <f t="shared" si="1108"/>
        <v>-16.171621999999999</v>
      </c>
      <c r="AK246" s="48">
        <f t="shared" si="1108"/>
        <v>-16.171620999999995</v>
      </c>
      <c r="AL246" s="48">
        <f t="shared" si="1108"/>
        <v>-16.171621999999999</v>
      </c>
      <c r="AM246" s="48">
        <f t="shared" ref="AM246:AP246" si="1109">AM82*AM$210</f>
        <v>-17.428378000000002</v>
      </c>
      <c r="AN246" s="48">
        <f t="shared" si="1109"/>
        <v>-17.340609000000001</v>
      </c>
      <c r="AO246" s="48">
        <f t="shared" si="1109"/>
        <v>-17.384492999999999</v>
      </c>
      <c r="AP246" s="48">
        <f t="shared" si="1109"/>
        <v>-17.384492999999999</v>
      </c>
    </row>
    <row r="247" spans="2:42" ht="13.5" customHeight="1">
      <c r="B247" s="35" t="str">
        <f t="shared" si="1023"/>
        <v>Net Change in debt</v>
      </c>
      <c r="C247" s="48">
        <f t="shared" si="1095"/>
        <v>243</v>
      </c>
      <c r="D247" s="48">
        <f t="shared" si="1095"/>
        <v>116.47698099999999</v>
      </c>
      <c r="E247" s="48">
        <f t="shared" si="1095"/>
        <v>14.454952</v>
      </c>
      <c r="F247" s="48">
        <f t="shared" si="1095"/>
        <v>123.670176</v>
      </c>
      <c r="G247" s="48">
        <f t="shared" si="1095"/>
        <v>96.935322999999997</v>
      </c>
      <c r="H247" s="48">
        <f t="shared" si="1095"/>
        <v>-0.64797099999999996</v>
      </c>
      <c r="I247" s="48">
        <f t="shared" ref="I247:J247" si="1110">I83*I$210</f>
        <v>-0.60627900000000001</v>
      </c>
      <c r="J247" s="48">
        <f t="shared" si="1110"/>
        <v>-70.403816000000006</v>
      </c>
      <c r="K247" s="48">
        <f t="shared" ref="K247" si="1111">K83*K$210</f>
        <v>435.57097400000004</v>
      </c>
      <c r="L247" s="48">
        <f t="shared" ref="L247" si="1112">L83*L$210</f>
        <v>380.42043700000005</v>
      </c>
      <c r="M247" s="151"/>
      <c r="N247" s="48">
        <f t="shared" ref="N247:AD247" si="1113">N83*N$210</f>
        <v>-0.452764</v>
      </c>
      <c r="O247" s="48">
        <f t="shared" si="1113"/>
        <v>-2.0610989999999907</v>
      </c>
      <c r="P247" s="48">
        <f t="shared" si="1113"/>
        <v>16.679847999999993</v>
      </c>
      <c r="Q247" s="48">
        <f t="shared" si="1113"/>
        <v>0.28896699999999775</v>
      </c>
      <c r="R247" s="48">
        <f t="shared" si="1113"/>
        <v>84.862776999999994</v>
      </c>
      <c r="S247" s="48">
        <f t="shared" si="1113"/>
        <v>39.668082999999996</v>
      </c>
      <c r="T247" s="48">
        <f t="shared" si="1113"/>
        <v>6.6316000000014697E-2</v>
      </c>
      <c r="U247" s="48">
        <f t="shared" si="1113"/>
        <v>-0.92700000000000671</v>
      </c>
      <c r="V247" s="48">
        <f t="shared" si="1113"/>
        <v>-0.12611700000000001</v>
      </c>
      <c r="W247" s="48">
        <f t="shared" si="1113"/>
        <v>89.627679000000015</v>
      </c>
      <c r="X247" s="48">
        <f t="shared" si="1113"/>
        <v>-0.12611400000002318</v>
      </c>
      <c r="Y247" s="48">
        <f t="shared" si="1113"/>
        <v>7.5598750000000052</v>
      </c>
      <c r="Z247" s="48">
        <f t="shared" si="1113"/>
        <v>-0.51133699999999993</v>
      </c>
      <c r="AA247" s="48">
        <f t="shared" si="1113"/>
        <v>-0.49711100000000008</v>
      </c>
      <c r="AB247" s="48">
        <f t="shared" si="1113"/>
        <v>-2.5705629999999999</v>
      </c>
      <c r="AC247" s="48">
        <f t="shared" si="1113"/>
        <v>2.9310399999999999</v>
      </c>
      <c r="AD247" s="48">
        <f t="shared" si="1113"/>
        <v>-1.3647690000000001</v>
      </c>
      <c r="AE247" s="48">
        <f t="shared" ref="AE247:AH247" si="1114">AE83*AE$210</f>
        <v>-1.3376799999999995</v>
      </c>
      <c r="AF247" s="48">
        <f t="shared" si="1114"/>
        <v>-1.3123590000000005</v>
      </c>
      <c r="AG247" s="48">
        <f t="shared" si="1114"/>
        <v>3.4085290000000006</v>
      </c>
      <c r="AH247" s="48">
        <f t="shared" si="1114"/>
        <v>-1.2955319999999999</v>
      </c>
      <c r="AI247" s="48">
        <f t="shared" ref="AI247:AL247" si="1115">AI83*AI$210</f>
        <v>-1.157192</v>
      </c>
      <c r="AJ247" s="48">
        <f t="shared" si="1115"/>
        <v>-66.499711000000019</v>
      </c>
      <c r="AK247" s="48">
        <f t="shared" si="1115"/>
        <v>-1.4513809999999836</v>
      </c>
      <c r="AL247" s="48">
        <f t="shared" si="1115"/>
        <v>-45.673498000000002</v>
      </c>
      <c r="AM247" s="48">
        <f t="shared" ref="AM247:AP247" si="1116">AM83*AM$210</f>
        <v>97.873498000000012</v>
      </c>
      <c r="AN247" s="48">
        <f t="shared" si="1116"/>
        <v>548.53527999999994</v>
      </c>
      <c r="AO247" s="48">
        <f t="shared" si="1116"/>
        <v>-165.16430599999995</v>
      </c>
      <c r="AP247" s="48">
        <f t="shared" si="1116"/>
        <v>-100.82403499999999</v>
      </c>
    </row>
    <row r="248" spans="2:42" ht="13.5" customHeight="1">
      <c r="B248" s="35" t="str">
        <f t="shared" si="1023"/>
        <v>Other financing activities</v>
      </c>
      <c r="C248" s="48">
        <f t="shared" si="1095"/>
        <v>-29.277385000000002</v>
      </c>
      <c r="D248" s="48">
        <f t="shared" si="1095"/>
        <v>-9.6785980000000009</v>
      </c>
      <c r="E248" s="48">
        <f t="shared" si="1095"/>
        <v>-30.884673999999997</v>
      </c>
      <c r="F248" s="48">
        <f t="shared" si="1095"/>
        <v>-14.171767000000001</v>
      </c>
      <c r="G248" s="48">
        <f t="shared" si="1095"/>
        <v>-13.766192</v>
      </c>
      <c r="H248" s="48">
        <f t="shared" si="1095"/>
        <v>-1.667278</v>
      </c>
      <c r="I248" s="48">
        <f t="shared" ref="I248:J248" si="1117">I84*I$210</f>
        <v>-44.482776999999999</v>
      </c>
      <c r="J248" s="48">
        <f t="shared" si="1117"/>
        <v>-5.5631620000000002</v>
      </c>
      <c r="K248" s="48">
        <f t="shared" ref="K248" si="1118">K84*K$210</f>
        <v>-5.3507059999999997</v>
      </c>
      <c r="L248" s="48">
        <f t="shared" ref="L248" si="1119">L84*L$210</f>
        <v>-5.3507059999999997</v>
      </c>
      <c r="M248" s="151"/>
      <c r="N248" s="48">
        <f t="shared" ref="N248:AD248" si="1120">N84*N$210</f>
        <v>-1.7625810000000002</v>
      </c>
      <c r="O248" s="48">
        <f t="shared" si="1120"/>
        <v>-18.684759999999997</v>
      </c>
      <c r="P248" s="48">
        <f t="shared" si="1120"/>
        <v>-7.4430490000000029</v>
      </c>
      <c r="Q248" s="48">
        <f t="shared" si="1120"/>
        <v>-2.9942839999999968</v>
      </c>
      <c r="R248" s="48">
        <f t="shared" si="1120"/>
        <v>-14.242138000000001</v>
      </c>
      <c r="S248" s="48">
        <f t="shared" si="1120"/>
        <v>-0.55375399999999964</v>
      </c>
      <c r="T248" s="48">
        <f t="shared" si="1120"/>
        <v>0.36829499999999982</v>
      </c>
      <c r="U248" s="48">
        <f t="shared" si="1120"/>
        <v>0.25582999999999956</v>
      </c>
      <c r="V248" s="48">
        <f t="shared" si="1120"/>
        <v>0</v>
      </c>
      <c r="W248" s="48">
        <f t="shared" si="1120"/>
        <v>0</v>
      </c>
      <c r="X248" s="48">
        <f t="shared" si="1120"/>
        <v>0</v>
      </c>
      <c r="Y248" s="48">
        <f t="shared" si="1120"/>
        <v>-13.766192</v>
      </c>
      <c r="Z248" s="48">
        <f t="shared" si="1120"/>
        <v>-6.0421209999999999</v>
      </c>
      <c r="AA248" s="48">
        <f t="shared" si="1120"/>
        <v>6.0421209999999999</v>
      </c>
      <c r="AB248" s="48">
        <f t="shared" si="1120"/>
        <v>0</v>
      </c>
      <c r="AC248" s="48">
        <f t="shared" si="1120"/>
        <v>-1.667278</v>
      </c>
      <c r="AD248" s="48">
        <f t="shared" si="1120"/>
        <v>0</v>
      </c>
      <c r="AE248" s="48">
        <f t="shared" ref="AE248:AH248" si="1121">AE84*AE$210</f>
        <v>0</v>
      </c>
      <c r="AF248" s="48">
        <f t="shared" si="1121"/>
        <v>-21.340299999999999</v>
      </c>
      <c r="AG248" s="48">
        <f t="shared" si="1121"/>
        <v>-23.142477</v>
      </c>
      <c r="AH248" s="48">
        <f t="shared" si="1121"/>
        <v>0</v>
      </c>
      <c r="AI248" s="48">
        <f t="shared" ref="AI248:AL248" si="1122">AI84*AI$210</f>
        <v>0</v>
      </c>
      <c r="AJ248" s="48">
        <f t="shared" si="1122"/>
        <v>0</v>
      </c>
      <c r="AK248" s="48">
        <f t="shared" si="1122"/>
        <v>-5.5631620000000002</v>
      </c>
      <c r="AL248" s="48">
        <f t="shared" si="1122"/>
        <v>0</v>
      </c>
      <c r="AM248" s="48">
        <f t="shared" ref="AM248:AP248" si="1123">AM84*AM$210</f>
        <v>0</v>
      </c>
      <c r="AN248" s="48">
        <f t="shared" si="1123"/>
        <v>-4.2914450000000004</v>
      </c>
      <c r="AO248" s="48">
        <f t="shared" si="1123"/>
        <v>-1.0592609999999993</v>
      </c>
      <c r="AP248" s="48">
        <f t="shared" si="1123"/>
        <v>0</v>
      </c>
    </row>
    <row r="249" spans="2:42" s="39" customFormat="1" ht="13.5" customHeight="1" thickBot="1">
      <c r="B249" s="46" t="str">
        <f t="shared" si="1023"/>
        <v>Cash flow after financing activities</v>
      </c>
      <c r="C249" s="45">
        <f t="shared" si="1095"/>
        <v>44.289262000000015</v>
      </c>
      <c r="D249" s="45">
        <f t="shared" si="1095"/>
        <v>-25.170397000000015</v>
      </c>
      <c r="E249" s="45">
        <f t="shared" si="1095"/>
        <v>8.9627039999999951</v>
      </c>
      <c r="F249" s="45">
        <f t="shared" si="1095"/>
        <v>44.132645999999994</v>
      </c>
      <c r="G249" s="45">
        <f t="shared" si="1095"/>
        <v>341.45290499999999</v>
      </c>
      <c r="H249" s="45">
        <f t="shared" si="1095"/>
        <v>-325.04481500000003</v>
      </c>
      <c r="I249" s="45">
        <f t="shared" ref="I249:J249" si="1124">I85*I$210</f>
        <v>331.40293099999997</v>
      </c>
      <c r="J249" s="45">
        <f t="shared" si="1124"/>
        <v>-326.48932599999995</v>
      </c>
      <c r="K249" s="45">
        <f t="shared" ref="K249" si="1125">K85*K$210</f>
        <v>135.84247599999998</v>
      </c>
      <c r="L249" s="45">
        <f t="shared" ref="L249" si="1126">L85*L$210</f>
        <v>139.35123500000006</v>
      </c>
      <c r="M249" s="47"/>
      <c r="N249" s="45">
        <f t="shared" ref="N249:AD249" si="1127">N85*N$210</f>
        <v>-5.7378270000000011</v>
      </c>
      <c r="O249" s="45">
        <f t="shared" si="1127"/>
        <v>72.477487000000039</v>
      </c>
      <c r="P249" s="45">
        <f t="shared" si="1127"/>
        <v>-21.163369000000007</v>
      </c>
      <c r="Q249" s="45">
        <f t="shared" si="1127"/>
        <v>-36.61358700000001</v>
      </c>
      <c r="R249" s="45">
        <f t="shared" si="1127"/>
        <v>50.560485999999997</v>
      </c>
      <c r="S249" s="45">
        <f t="shared" si="1127"/>
        <v>18.956005999999988</v>
      </c>
      <c r="T249" s="45">
        <f t="shared" si="1127"/>
        <v>-12.286367999999975</v>
      </c>
      <c r="U249" s="45">
        <f t="shared" si="1127"/>
        <v>-13.097478000000015</v>
      </c>
      <c r="V249" s="45">
        <f t="shared" si="1127"/>
        <v>-19.658511999999995</v>
      </c>
      <c r="W249" s="45">
        <f t="shared" si="1127"/>
        <v>299.54414400000002</v>
      </c>
      <c r="X249" s="45">
        <f t="shared" si="1127"/>
        <v>-20.010051000000018</v>
      </c>
      <c r="Y249" s="45">
        <f t="shared" si="1127"/>
        <v>81.572933000000006</v>
      </c>
      <c r="Z249" s="45">
        <f t="shared" si="1127"/>
        <v>-113.351957</v>
      </c>
      <c r="AA249" s="45">
        <f t="shared" si="1127"/>
        <v>-51.069871999999982</v>
      </c>
      <c r="AB249" s="45">
        <f t="shared" si="1127"/>
        <v>-28.854942999999992</v>
      </c>
      <c r="AC249" s="45">
        <f t="shared" si="1127"/>
        <v>-131.80185199999997</v>
      </c>
      <c r="AD249" s="45">
        <f t="shared" si="1127"/>
        <v>-45.920175999999991</v>
      </c>
      <c r="AE249" s="45">
        <f t="shared" ref="AE249:AH249" si="1128">AE85*AE$210</f>
        <v>-50.667114999999981</v>
      </c>
      <c r="AF249" s="45">
        <f t="shared" si="1128"/>
        <v>351.74855200000002</v>
      </c>
      <c r="AG249" s="45">
        <f t="shared" si="1128"/>
        <v>76.241669999999942</v>
      </c>
      <c r="AH249" s="45">
        <f t="shared" si="1128"/>
        <v>-59.054046000000007</v>
      </c>
      <c r="AI249" s="45">
        <f t="shared" ref="AI249:AL249" si="1129">AI85*AI$210</f>
        <v>-65.444900000000004</v>
      </c>
      <c r="AJ249" s="45">
        <f t="shared" si="1129"/>
        <v>-106.72759100000002</v>
      </c>
      <c r="AK249" s="45">
        <f t="shared" si="1129"/>
        <v>-95.13389800000003</v>
      </c>
      <c r="AL249" s="45">
        <f t="shared" si="1129"/>
        <v>-137.69439500000001</v>
      </c>
      <c r="AM249" s="45">
        <f t="shared" ref="AM249:AP249" si="1130">AM85*AM$210</f>
        <v>8.9327670000000126</v>
      </c>
      <c r="AN249" s="45">
        <f t="shared" si="1130"/>
        <v>523.40167499999995</v>
      </c>
      <c r="AO249" s="45">
        <f t="shared" si="1130"/>
        <v>-258.79757099999995</v>
      </c>
      <c r="AP249" s="45">
        <f t="shared" si="1130"/>
        <v>-134.18563599999999</v>
      </c>
    </row>
    <row r="250" spans="2:42" s="39" customFormat="1" ht="13.5" customHeight="1" thickTop="1">
      <c r="B250" s="35" t="str">
        <f t="shared" si="1023"/>
        <v>Balancing figure</v>
      </c>
      <c r="C250" s="48">
        <f t="shared" si="1095"/>
        <v>0.10079199999998334</v>
      </c>
      <c r="D250" s="48">
        <f t="shared" si="1095"/>
        <v>0.34998800000001529</v>
      </c>
      <c r="E250" s="48">
        <f t="shared" si="1095"/>
        <v>1.0508430000000042</v>
      </c>
      <c r="F250" s="48">
        <f t="shared" si="1095"/>
        <v>5.9490000000068655E-3</v>
      </c>
      <c r="G250" s="48">
        <f t="shared" si="1095"/>
        <v>-5.0275719999999655</v>
      </c>
      <c r="H250" s="48">
        <f t="shared" si="1095"/>
        <v>8.3203380000000546</v>
      </c>
      <c r="I250" s="48">
        <f t="shared" ref="I250:J250" si="1131">I86*I$210</f>
        <v>35.062443000000023</v>
      </c>
      <c r="J250" s="48">
        <f t="shared" si="1131"/>
        <v>3.6423149999999751</v>
      </c>
      <c r="K250" s="48">
        <f t="shared" ref="K250" si="1132">K86*K$210</f>
        <v>15.211095000000038</v>
      </c>
      <c r="L250" s="48">
        <f t="shared" ref="L250" si="1133">L86*L$210</f>
        <v>26.260598000000002</v>
      </c>
      <c r="M250" s="151"/>
      <c r="N250" s="48">
        <f t="shared" ref="N250:AD250" si="1134">N86*N$210</f>
        <v>0.4132200000000007</v>
      </c>
      <c r="O250" s="48">
        <f t="shared" si="1134"/>
        <v>-0.22479300000004576</v>
      </c>
      <c r="P250" s="48">
        <f t="shared" si="1134"/>
        <v>-0.247045999999985</v>
      </c>
      <c r="Q250" s="48">
        <f t="shared" si="1134"/>
        <v>1.1094620000000344</v>
      </c>
      <c r="R250" s="48">
        <f t="shared" si="1134"/>
        <v>0.18504899999999935</v>
      </c>
      <c r="S250" s="48">
        <f t="shared" si="1134"/>
        <v>0.35581700000001693</v>
      </c>
      <c r="T250" s="48">
        <f t="shared" si="1134"/>
        <v>-0.53834400000003679</v>
      </c>
      <c r="U250" s="48">
        <f t="shared" si="1134"/>
        <v>3.4270000000273804E-3</v>
      </c>
      <c r="V250" s="48">
        <f t="shared" si="1134"/>
        <v>7.05489999999942E-2</v>
      </c>
      <c r="W250" s="48">
        <f t="shared" si="1134"/>
        <v>-5.6510569999999882</v>
      </c>
      <c r="X250" s="48">
        <f t="shared" si="1134"/>
        <v>0.63168199999999231</v>
      </c>
      <c r="Y250" s="48">
        <f t="shared" si="1134"/>
        <v>-7.8745999999964233E-2</v>
      </c>
      <c r="Z250" s="48">
        <f t="shared" si="1134"/>
        <v>2.6638999999992308E-2</v>
      </c>
      <c r="AA250" s="48">
        <f t="shared" si="1134"/>
        <v>8.8275769999999874</v>
      </c>
      <c r="AB250" s="48">
        <f t="shared" si="1134"/>
        <v>0.60417899999999936</v>
      </c>
      <c r="AC250" s="48">
        <f t="shared" si="1134"/>
        <v>-1.1380569999999235</v>
      </c>
      <c r="AD250" s="48">
        <f t="shared" si="1134"/>
        <v>0.49581799999999276</v>
      </c>
      <c r="AE250" s="48">
        <f t="shared" ref="AE250:AH250" si="1135">AE86*AE$210</f>
        <v>4.0558339999999777</v>
      </c>
      <c r="AF250" s="48">
        <f t="shared" si="1135"/>
        <v>18.011485999999984</v>
      </c>
      <c r="AG250" s="48">
        <f t="shared" si="1135"/>
        <v>12.499305000000071</v>
      </c>
      <c r="AH250" s="48">
        <f t="shared" si="1135"/>
        <v>3.7350170000000049</v>
      </c>
      <c r="AI250" s="48">
        <f t="shared" ref="AI250:AL250" si="1136">AI86*AI$210</f>
        <v>2.8745850000000086</v>
      </c>
      <c r="AJ250" s="48">
        <f t="shared" si="1136"/>
        <v>2.3797890000000255</v>
      </c>
      <c r="AK250" s="48">
        <f t="shared" si="1136"/>
        <v>-5.3470760000000634</v>
      </c>
      <c r="AL250" s="48">
        <f t="shared" si="1136"/>
        <v>0.20770100000001035</v>
      </c>
      <c r="AM250" s="48">
        <f t="shared" ref="AM250:AP250" si="1137">AM86*AM$210</f>
        <v>8.7539269999999867</v>
      </c>
      <c r="AN250" s="48">
        <f t="shared" si="1137"/>
        <v>-0.78002799999993511</v>
      </c>
      <c r="AO250" s="48">
        <f t="shared" si="1137"/>
        <v>7.0294949999999758</v>
      </c>
      <c r="AP250" s="48">
        <f t="shared" si="1137"/>
        <v>11.257203999999975</v>
      </c>
    </row>
    <row r="251" spans="2:42" ht="13.5" customHeight="1">
      <c r="B251" s="35" t="str">
        <f t="shared" si="1023"/>
        <v xml:space="preserve">FX </v>
      </c>
      <c r="C251" s="48">
        <f t="shared" si="1095"/>
        <v>-4.1090960000000001</v>
      </c>
      <c r="D251" s="48">
        <f t="shared" si="1095"/>
        <v>-1.697905</v>
      </c>
      <c r="E251" s="48">
        <f t="shared" si="1095"/>
        <v>0.56665100000000002</v>
      </c>
      <c r="F251" s="48">
        <f t="shared" si="1095"/>
        <v>1.3399540000000001</v>
      </c>
      <c r="G251" s="48">
        <f t="shared" si="1095"/>
        <v>-4.1463429999999999</v>
      </c>
      <c r="H251" s="48">
        <f t="shared" si="1095"/>
        <v>3.05043</v>
      </c>
      <c r="I251" s="48">
        <f t="shared" ref="I251:J251" si="1138">I87*I$210</f>
        <v>-4.4463229999999996</v>
      </c>
      <c r="J251" s="48">
        <f t="shared" si="1138"/>
        <v>5.8017690000000002</v>
      </c>
      <c r="K251" s="48">
        <f t="shared" ref="K251" si="1139">K87*K$210</f>
        <v>1.726818</v>
      </c>
      <c r="L251" s="48">
        <f t="shared" ref="L251" si="1140">L87*L$210</f>
        <v>-8.8878389999999996</v>
      </c>
      <c r="M251" s="151"/>
      <c r="N251" s="48">
        <f t="shared" ref="N251:AD251" si="1141">N87*N$210</f>
        <v>0.36466100000000001</v>
      </c>
      <c r="O251" s="48">
        <f t="shared" si="1141"/>
        <v>-0.721943</v>
      </c>
      <c r="P251" s="48">
        <f t="shared" si="1141"/>
        <v>0.45184800000000003</v>
      </c>
      <c r="Q251" s="48">
        <f t="shared" si="1141"/>
        <v>0.47208499999999998</v>
      </c>
      <c r="R251" s="48">
        <f t="shared" si="1141"/>
        <v>-3.5355530000000002</v>
      </c>
      <c r="S251" s="48">
        <f t="shared" si="1141"/>
        <v>2.3979080000000002</v>
      </c>
      <c r="T251" s="48">
        <f t="shared" si="1141"/>
        <v>5.4349949999999998</v>
      </c>
      <c r="U251" s="48">
        <f t="shared" si="1141"/>
        <v>-2.9573959999999997</v>
      </c>
      <c r="V251" s="48">
        <f t="shared" si="1141"/>
        <v>-1.8347420000000001</v>
      </c>
      <c r="W251" s="48">
        <f t="shared" si="1141"/>
        <v>0.4236540000000002</v>
      </c>
      <c r="X251" s="48">
        <f t="shared" si="1141"/>
        <v>-0.33610999999999991</v>
      </c>
      <c r="Y251" s="48">
        <f t="shared" si="1141"/>
        <v>-2.3991449999999999</v>
      </c>
      <c r="Z251" s="48">
        <f t="shared" si="1141"/>
        <v>3.0087229999999998</v>
      </c>
      <c r="AA251" s="48">
        <f t="shared" si="1141"/>
        <v>-1.8772159999999998</v>
      </c>
      <c r="AB251" s="48">
        <f t="shared" si="1141"/>
        <v>0.56087400000000009</v>
      </c>
      <c r="AC251" s="48">
        <f t="shared" si="1141"/>
        <v>1.3580489999999998</v>
      </c>
      <c r="AD251" s="48">
        <f t="shared" si="1141"/>
        <v>4.4900120000000001</v>
      </c>
      <c r="AE251" s="48">
        <f t="shared" ref="AE251:AH251" si="1142">AE87*AE$210</f>
        <v>-0.87678199999999995</v>
      </c>
      <c r="AF251" s="48">
        <f t="shared" si="1142"/>
        <v>-12.302057</v>
      </c>
      <c r="AG251" s="48">
        <f t="shared" si="1142"/>
        <v>4.2425040000000003</v>
      </c>
      <c r="AH251" s="48">
        <f t="shared" si="1142"/>
        <v>-0.78575799999999996</v>
      </c>
      <c r="AI251" s="48">
        <f t="shared" ref="AI251:AL251" si="1143">AI87*AI$210</f>
        <v>-5.5495590000000004</v>
      </c>
      <c r="AJ251" s="48">
        <f t="shared" si="1143"/>
        <v>8.6039340000000006</v>
      </c>
      <c r="AK251" s="48">
        <f t="shared" si="1143"/>
        <v>3.5331519999999994</v>
      </c>
      <c r="AL251" s="48">
        <f t="shared" si="1143"/>
        <v>2.0510079999999999</v>
      </c>
      <c r="AM251" s="48">
        <f t="shared" ref="AM251:AP251" si="1144">AM87*AM$210</f>
        <v>-1.151008</v>
      </c>
      <c r="AN251" s="48">
        <f t="shared" si="1144"/>
        <v>-0.79417199999999988</v>
      </c>
      <c r="AO251" s="48">
        <f t="shared" si="1144"/>
        <v>1.6209899999999999</v>
      </c>
      <c r="AP251" s="48">
        <f t="shared" si="1144"/>
        <v>-8.5636489999999998</v>
      </c>
    </row>
    <row r="252" spans="2:42" s="39" customFormat="1" ht="13.5" customHeight="1" thickBot="1">
      <c r="B252" s="46" t="str">
        <f t="shared" si="1023"/>
        <v xml:space="preserve">Net change in cash </v>
      </c>
      <c r="C252" s="45">
        <f t="shared" si="1095"/>
        <v>40.280957999999998</v>
      </c>
      <c r="D252" s="45">
        <f t="shared" si="1095"/>
        <v>-26.518314</v>
      </c>
      <c r="E252" s="45">
        <f t="shared" si="1095"/>
        <v>10.580197999999999</v>
      </c>
      <c r="F252" s="45">
        <f t="shared" si="1095"/>
        <v>45.478549000000001</v>
      </c>
      <c r="G252" s="45">
        <f t="shared" si="1095"/>
        <v>332.27899000000002</v>
      </c>
      <c r="H252" s="45">
        <f t="shared" si="1095"/>
        <v>-313.67404699999997</v>
      </c>
      <c r="I252" s="45">
        <f t="shared" ref="I252:J252" si="1145">I88*I$210</f>
        <v>362.01905099999999</v>
      </c>
      <c r="J252" s="45">
        <f t="shared" si="1145"/>
        <v>-317.04524199999997</v>
      </c>
      <c r="K252" s="45">
        <f t="shared" ref="K252" si="1146">K88*K$210</f>
        <v>152.78038900000001</v>
      </c>
      <c r="L252" s="45">
        <f t="shared" ref="L252" si="1147">L88*L$210</f>
        <v>156.72399400000006</v>
      </c>
      <c r="M252" s="47"/>
      <c r="N252" s="45">
        <f t="shared" ref="N252:AD252" si="1148">N88*N$210</f>
        <v>-4.9599460000000004</v>
      </c>
      <c r="O252" s="45">
        <f t="shared" si="1148"/>
        <v>71.530750999999995</v>
      </c>
      <c r="P252" s="45">
        <f t="shared" si="1148"/>
        <v>-20.958566999999995</v>
      </c>
      <c r="Q252" s="45">
        <f t="shared" si="1148"/>
        <v>-35.032039999999974</v>
      </c>
      <c r="R252" s="45">
        <f t="shared" si="1148"/>
        <v>47.209981999999997</v>
      </c>
      <c r="S252" s="45">
        <f t="shared" si="1148"/>
        <v>21.709731000000005</v>
      </c>
      <c r="T252" s="45">
        <f t="shared" si="1148"/>
        <v>-7.3897170000000125</v>
      </c>
      <c r="U252" s="45">
        <f t="shared" si="1148"/>
        <v>-16.051446999999989</v>
      </c>
      <c r="V252" s="45">
        <f t="shared" si="1148"/>
        <v>-21.422705000000001</v>
      </c>
      <c r="W252" s="45">
        <f t="shared" si="1148"/>
        <v>294.31674100000004</v>
      </c>
      <c r="X252" s="45">
        <f t="shared" si="1148"/>
        <v>-19.714479000000029</v>
      </c>
      <c r="Y252" s="45">
        <f t="shared" si="1148"/>
        <v>79.095042000000035</v>
      </c>
      <c r="Z252" s="45">
        <f t="shared" si="1148"/>
        <v>-110.31659500000001</v>
      </c>
      <c r="AA252" s="45">
        <f t="shared" si="1148"/>
        <v>-44.119510999999996</v>
      </c>
      <c r="AB252" s="45">
        <f t="shared" si="1148"/>
        <v>-27.689889999999991</v>
      </c>
      <c r="AC252" s="45">
        <f t="shared" si="1148"/>
        <v>-131.58185999999989</v>
      </c>
      <c r="AD252" s="45">
        <f t="shared" si="1148"/>
        <v>-40.934345999999998</v>
      </c>
      <c r="AE252" s="45">
        <f t="shared" ref="AE252:AH252" si="1149">AE88*AE$210</f>
        <v>-47.488063000000004</v>
      </c>
      <c r="AF252" s="45">
        <f t="shared" si="1149"/>
        <v>357.45798100000002</v>
      </c>
      <c r="AG252" s="45">
        <f t="shared" si="1149"/>
        <v>92.983479000000017</v>
      </c>
      <c r="AH252" s="45">
        <f t="shared" si="1149"/>
        <v>-56.104787000000002</v>
      </c>
      <c r="AI252" s="45">
        <f t="shared" ref="AI252:AL252" si="1150">AI88*AI$210</f>
        <v>-68.119873999999996</v>
      </c>
      <c r="AJ252" s="45">
        <f t="shared" si="1150"/>
        <v>-95.743867999999992</v>
      </c>
      <c r="AK252" s="45">
        <f t="shared" si="1150"/>
        <v>-96.947822000000087</v>
      </c>
      <c r="AL252" s="45">
        <f t="shared" si="1150"/>
        <v>-135.435686</v>
      </c>
      <c r="AM252" s="45">
        <f t="shared" ref="AM252:AP252" si="1151">AM88*AM$210</f>
        <v>16.535685999999998</v>
      </c>
      <c r="AN252" s="45">
        <f t="shared" si="1151"/>
        <v>521.82747500000005</v>
      </c>
      <c r="AO252" s="45">
        <f t="shared" si="1151"/>
        <v>-250.14708599999997</v>
      </c>
      <c r="AP252" s="45">
        <f t="shared" si="1151"/>
        <v>-131.49208100000001</v>
      </c>
    </row>
    <row r="253" spans="2:42" ht="13.5" customHeight="1" thickTop="1">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row>
    <row r="254" spans="2:42" s="39" customFormat="1" ht="13.5" customHeight="1">
      <c r="B254" s="39" t="str">
        <f>+B126</f>
        <v>Total debt</v>
      </c>
      <c r="C254" s="47">
        <f t="shared" ref="C254:D254" si="1152">C126*C$211</f>
        <v>581.99487899999997</v>
      </c>
      <c r="D254" s="47">
        <f t="shared" si="1152"/>
        <v>699.79742199999998</v>
      </c>
      <c r="E254" s="47">
        <f t="shared" ref="E254:F255" si="1153">E126*E$211</f>
        <v>715.59182900000008</v>
      </c>
      <c r="F254" s="47">
        <f t="shared" si="1153"/>
        <v>840.49233700000002</v>
      </c>
      <c r="G254" s="47">
        <f t="shared" ref="G254:H254" si="1154">G126*G$211</f>
        <v>934.91362900000001</v>
      </c>
      <c r="H254" s="47">
        <f t="shared" si="1154"/>
        <v>932.00352499999997</v>
      </c>
      <c r="I254" s="47">
        <f t="shared" ref="I254:J254" si="1155">I126*I$211</f>
        <v>916.08440500000006</v>
      </c>
      <c r="J254" s="47">
        <f t="shared" si="1155"/>
        <v>847.60878999999989</v>
      </c>
      <c r="K254" s="47">
        <f t="shared" ref="K254" si="1156">K126*K$211</f>
        <v>1276.6574390000001</v>
      </c>
      <c r="L254" s="47">
        <f>L126*L$211</f>
        <v>1177.0677560000001</v>
      </c>
      <c r="M254" s="47"/>
      <c r="N254" s="47">
        <f t="shared" ref="N254:U255" si="1157">N126*N$211</f>
        <v>701.50010899999995</v>
      </c>
      <c r="O254" s="47">
        <f t="shared" si="1157"/>
        <v>698.92508700000008</v>
      </c>
      <c r="P254" s="47">
        <f t="shared" si="1157"/>
        <v>715.64017100000001</v>
      </c>
      <c r="Q254" s="47">
        <f t="shared" si="1157"/>
        <v>715.59182900000008</v>
      </c>
      <c r="R254" s="47">
        <f t="shared" si="1157"/>
        <v>800.57502199999999</v>
      </c>
      <c r="S254" s="47">
        <f t="shared" si="1157"/>
        <v>840.56160199999988</v>
      </c>
      <c r="T254" s="47">
        <f t="shared" si="1157"/>
        <v>840.52262500000006</v>
      </c>
      <c r="U254" s="47">
        <f t="shared" si="1157"/>
        <v>840.49233700000002</v>
      </c>
      <c r="V254" s="47">
        <f t="shared" ref="V254:Y254" si="1158">V126*V$211</f>
        <v>840.42606999999998</v>
      </c>
      <c r="W254" s="47">
        <f t="shared" si="1158"/>
        <v>934.94497799999999</v>
      </c>
      <c r="X254" s="47">
        <f t="shared" si="1158"/>
        <v>934.68535099999997</v>
      </c>
      <c r="Y254" s="47">
        <f t="shared" si="1158"/>
        <v>934.91362900000001</v>
      </c>
      <c r="Z254" s="47">
        <f t="shared" ref="Z254:AA254" si="1159">Z126*Z$211</f>
        <v>934.41990499999997</v>
      </c>
      <c r="AA254" s="47">
        <f t="shared" si="1159"/>
        <v>933.93835999999999</v>
      </c>
      <c r="AB254" s="47">
        <f t="shared" ref="AB254:AC254" si="1160">AB126*AB$211</f>
        <v>932.47426200000007</v>
      </c>
      <c r="AC254" s="47">
        <f t="shared" si="1160"/>
        <v>932.00352499999997</v>
      </c>
      <c r="AD254" s="47">
        <f t="shared" ref="AD254:AG254" si="1161">AD126*AD$211</f>
        <v>931.03840100000002</v>
      </c>
      <c r="AE254" s="47">
        <f t="shared" si="1161"/>
        <v>930.09733700000015</v>
      </c>
      <c r="AF254" s="47">
        <f t="shared" si="1161"/>
        <v>929.19309499999997</v>
      </c>
      <c r="AG254" s="47">
        <f t="shared" si="1161"/>
        <v>916.08440500000006</v>
      </c>
      <c r="AH254" s="47">
        <f t="shared" ref="AH254:AI254" si="1162">AH126*AH$211</f>
        <v>915.15810399999998</v>
      </c>
      <c r="AI254" s="47">
        <f t="shared" si="1162"/>
        <v>914.37014299999998</v>
      </c>
      <c r="AJ254" s="47">
        <f t="shared" ref="AJ254:AM254" si="1163">AJ126*AJ$211</f>
        <v>848.28545200000008</v>
      </c>
      <c r="AK254" s="47">
        <f t="shared" si="1163"/>
        <v>847.60878999999989</v>
      </c>
      <c r="AL254" s="47">
        <f t="shared" si="1163"/>
        <v>801.57987099999991</v>
      </c>
      <c r="AM254" s="47">
        <f t="shared" si="1163"/>
        <v>900.80000000000007</v>
      </c>
      <c r="AN254" s="47">
        <f t="shared" ref="AN254:AP254" si="1164">AN126*AN$211</f>
        <v>1446.73741</v>
      </c>
      <c r="AO254" s="47">
        <f t="shared" si="1164"/>
        <v>1276.6574390000001</v>
      </c>
      <c r="AP254" s="47">
        <f t="shared" si="1164"/>
        <v>1177.0677560000001</v>
      </c>
    </row>
    <row r="255" spans="2:42" ht="13.5" customHeight="1">
      <c r="B255" s="35" t="str">
        <f>+B127</f>
        <v>Cash and cash equivalents</v>
      </c>
      <c r="C255" s="44">
        <f t="shared" ref="C255:D255" si="1165">C127*C$211</f>
        <v>91.001709000000005</v>
      </c>
      <c r="D255" s="44">
        <f t="shared" si="1165"/>
        <v>64.483395000000002</v>
      </c>
      <c r="E255" s="44">
        <f t="shared" si="1153"/>
        <v>75.063592999999997</v>
      </c>
      <c r="F255" s="44">
        <f t="shared" si="1153"/>
        <v>120.542142</v>
      </c>
      <c r="G255" s="44">
        <f t="shared" ref="G255:H255" si="1166">G127*G$211</f>
        <v>452.82113199999998</v>
      </c>
      <c r="H255" s="44">
        <f t="shared" si="1166"/>
        <v>139.147085</v>
      </c>
      <c r="I255" s="44">
        <f t="shared" ref="I255:J255" si="1167">I127*I$211</f>
        <v>501.16613599999999</v>
      </c>
      <c r="J255" s="44">
        <f t="shared" si="1167"/>
        <v>184.12089399999999</v>
      </c>
      <c r="K255" s="44">
        <f t="shared" ref="K255" si="1168">K127*K$211</f>
        <v>336.90128299999998</v>
      </c>
      <c r="L255" s="44">
        <f>L127*L$211</f>
        <v>206.14451399999999</v>
      </c>
      <c r="M255" s="44"/>
      <c r="N255" s="44">
        <f t="shared" si="1157"/>
        <v>59.523448999999999</v>
      </c>
      <c r="O255" s="44">
        <f t="shared" si="1157"/>
        <v>131.05420000000001</v>
      </c>
      <c r="P255" s="44">
        <f t="shared" si="1157"/>
        <v>110.09563300000001</v>
      </c>
      <c r="Q255" s="44">
        <f t="shared" si="1157"/>
        <v>75.063592999999997</v>
      </c>
      <c r="R255" s="44">
        <f t="shared" si="1157"/>
        <v>122.27357499999999</v>
      </c>
      <c r="S255" s="44">
        <f t="shared" si="1157"/>
        <v>143.983306</v>
      </c>
      <c r="T255" s="44">
        <f t="shared" si="1157"/>
        <v>136.59358900000001</v>
      </c>
      <c r="U255" s="44">
        <f t="shared" si="1157"/>
        <v>120.542142</v>
      </c>
      <c r="V255" s="44">
        <f t="shared" ref="V255:Y255" si="1169">V127*V$211</f>
        <v>99.119437000000005</v>
      </c>
      <c r="W255" s="44">
        <f t="shared" si="1169"/>
        <v>393.43617799999998</v>
      </c>
      <c r="X255" s="44">
        <f t="shared" si="1169"/>
        <v>373.721699</v>
      </c>
      <c r="Y255" s="44">
        <f t="shared" si="1169"/>
        <v>452.82113199999998</v>
      </c>
      <c r="Z255" s="44">
        <f t="shared" ref="Z255:AA255" si="1170">Z127*Z$211</f>
        <v>342.50453700000003</v>
      </c>
      <c r="AA255" s="44">
        <f t="shared" si="1170"/>
        <v>298.38502599999998</v>
      </c>
      <c r="AB255" s="44">
        <f t="shared" ref="AB255:AC255" si="1171">AB127*AB$211</f>
        <v>270.69513599999999</v>
      </c>
      <c r="AC255" s="44">
        <f t="shared" si="1171"/>
        <v>139.147085</v>
      </c>
      <c r="AD255" s="44">
        <f t="shared" ref="AD255:AG255" si="1172">AD127*AD$211</f>
        <v>98.212738999999999</v>
      </c>
      <c r="AE255" s="44">
        <f t="shared" si="1172"/>
        <v>50.724851000000001</v>
      </c>
      <c r="AF255" s="44">
        <f t="shared" si="1172"/>
        <v>408.18265700000001</v>
      </c>
      <c r="AG255" s="44">
        <f t="shared" si="1172"/>
        <v>501.16613599999999</v>
      </c>
      <c r="AH255" s="44">
        <f t="shared" ref="AH255:AI255" si="1173">AH127*AH$211</f>
        <v>445.06134900000001</v>
      </c>
      <c r="AI255" s="44">
        <f t="shared" si="1173"/>
        <v>376.94147500000003</v>
      </c>
      <c r="AJ255" s="44">
        <f t="shared" ref="AJ255:AM255" si="1174">AJ127*AJ$211</f>
        <v>281.197607</v>
      </c>
      <c r="AK255" s="44">
        <f t="shared" si="1174"/>
        <v>184.12089399999999</v>
      </c>
      <c r="AL255" s="44">
        <f t="shared" si="1174"/>
        <v>48.685208000000003</v>
      </c>
      <c r="AM255" s="44">
        <f t="shared" si="1174"/>
        <v>65.2</v>
      </c>
      <c r="AN255" s="44">
        <f t="shared" ref="AN255:AP255" si="1175">AN127*AN$211</f>
        <v>587.04836899999998</v>
      </c>
      <c r="AO255" s="44">
        <f t="shared" si="1175"/>
        <v>336.90128299999998</v>
      </c>
      <c r="AP255" s="44">
        <f t="shared" si="1175"/>
        <v>206.14451399999999</v>
      </c>
    </row>
    <row r="256" spans="2:42" s="39" customFormat="1" ht="13.5" customHeight="1" thickBot="1">
      <c r="B256" s="46" t="str">
        <f>+B128</f>
        <v xml:space="preserve">Net debt </v>
      </c>
      <c r="C256" s="45">
        <f t="shared" ref="C256:G256" si="1176">C254-C255</f>
        <v>490.99316999999996</v>
      </c>
      <c r="D256" s="45">
        <f t="shared" si="1176"/>
        <v>635.31402700000001</v>
      </c>
      <c r="E256" s="45">
        <f t="shared" si="1176"/>
        <v>640.52823600000011</v>
      </c>
      <c r="F256" s="45">
        <f t="shared" si="1176"/>
        <v>719.95019500000001</v>
      </c>
      <c r="G256" s="45">
        <f t="shared" si="1176"/>
        <v>482.09249700000004</v>
      </c>
      <c r="H256" s="45">
        <f t="shared" ref="H256:I256" si="1177">H254-H255</f>
        <v>792.85644000000002</v>
      </c>
      <c r="I256" s="45">
        <f t="shared" si="1177"/>
        <v>414.91826900000007</v>
      </c>
      <c r="J256" s="45">
        <f t="shared" ref="J256:K256" si="1178">J254-J255</f>
        <v>663.48789599999986</v>
      </c>
      <c r="K256" s="45">
        <f t="shared" si="1178"/>
        <v>939.75615600000015</v>
      </c>
      <c r="L256" s="45">
        <f>L254-L255</f>
        <v>970.92324200000019</v>
      </c>
      <c r="M256" s="47"/>
      <c r="N256" s="45">
        <f t="shared" ref="N256:U256" si="1179">N254-N255</f>
        <v>641.97665999999992</v>
      </c>
      <c r="O256" s="45">
        <f t="shared" si="1179"/>
        <v>567.87088700000004</v>
      </c>
      <c r="P256" s="45">
        <f t="shared" si="1179"/>
        <v>605.54453799999999</v>
      </c>
      <c r="Q256" s="45">
        <f t="shared" si="1179"/>
        <v>640.52823600000011</v>
      </c>
      <c r="R256" s="45">
        <f t="shared" si="1179"/>
        <v>678.30144700000005</v>
      </c>
      <c r="S256" s="45">
        <f t="shared" si="1179"/>
        <v>696.57829599999991</v>
      </c>
      <c r="T256" s="45">
        <f t="shared" si="1179"/>
        <v>703.929036</v>
      </c>
      <c r="U256" s="45">
        <f t="shared" si="1179"/>
        <v>719.95019500000001</v>
      </c>
      <c r="V256" s="45">
        <f t="shared" ref="V256:Y256" si="1180">V254-V255</f>
        <v>741.30663299999992</v>
      </c>
      <c r="W256" s="45">
        <f t="shared" si="1180"/>
        <v>541.50880000000006</v>
      </c>
      <c r="X256" s="45">
        <f t="shared" si="1180"/>
        <v>560.96365199999991</v>
      </c>
      <c r="Y256" s="45">
        <f t="shared" si="1180"/>
        <v>482.09249700000004</v>
      </c>
      <c r="Z256" s="45">
        <f t="shared" ref="Z256:AA256" si="1181">Z254-Z255</f>
        <v>591.91536799999994</v>
      </c>
      <c r="AA256" s="45">
        <f t="shared" si="1181"/>
        <v>635.55333399999995</v>
      </c>
      <c r="AB256" s="45">
        <f t="shared" ref="AB256:AC256" si="1182">AB254-AB255</f>
        <v>661.77912600000013</v>
      </c>
      <c r="AC256" s="45">
        <f t="shared" si="1182"/>
        <v>792.85644000000002</v>
      </c>
      <c r="AD256" s="45">
        <f t="shared" ref="AD256:AG256" si="1183">AD254-AD255</f>
        <v>832.82566199999997</v>
      </c>
      <c r="AE256" s="45">
        <f t="shared" si="1183"/>
        <v>879.37248600000021</v>
      </c>
      <c r="AF256" s="45">
        <f t="shared" si="1183"/>
        <v>521.01043800000002</v>
      </c>
      <c r="AG256" s="45">
        <f t="shared" si="1183"/>
        <v>414.91826900000007</v>
      </c>
      <c r="AH256" s="45">
        <f t="shared" ref="AH256:AI256" si="1184">AH254-AH255</f>
        <v>470.09675499999997</v>
      </c>
      <c r="AI256" s="45">
        <f t="shared" si="1184"/>
        <v>537.42866800000002</v>
      </c>
      <c r="AJ256" s="45">
        <f t="shared" ref="AJ256:AM256" si="1185">AJ254-AJ255</f>
        <v>567.08784500000002</v>
      </c>
      <c r="AK256" s="45">
        <f t="shared" si="1185"/>
        <v>663.48789599999986</v>
      </c>
      <c r="AL256" s="45">
        <f t="shared" si="1185"/>
        <v>752.89466299999992</v>
      </c>
      <c r="AM256" s="45">
        <f t="shared" si="1185"/>
        <v>835.6</v>
      </c>
      <c r="AN256" s="45">
        <f t="shared" ref="AN256:AP256" si="1186">AN254-AN255</f>
        <v>859.68904099999997</v>
      </c>
      <c r="AO256" s="45">
        <f t="shared" si="1186"/>
        <v>939.75615600000015</v>
      </c>
      <c r="AP256" s="45">
        <f t="shared" si="1186"/>
        <v>970.92324200000019</v>
      </c>
    </row>
    <row r="257" spans="2:42" ht="13.5" customHeight="1" thickTop="1">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row>
    <row r="258" spans="2:42" ht="13.5" customHeight="1">
      <c r="B258" s="39" t="str">
        <f>B130</f>
        <v>Company reported net debt</v>
      </c>
      <c r="C258" s="40">
        <f t="shared" ref="C258:G258" si="1187">C130*C211</f>
        <v>490.99316999999996</v>
      </c>
      <c r="D258" s="40">
        <f t="shared" si="1187"/>
        <v>635.31402700000001</v>
      </c>
      <c r="E258" s="40">
        <f t="shared" si="1187"/>
        <v>640.52823600000011</v>
      </c>
      <c r="F258" s="40">
        <f t="shared" si="1187"/>
        <v>719.95019500000001</v>
      </c>
      <c r="G258" s="40">
        <f t="shared" si="1187"/>
        <v>482.09249700000004</v>
      </c>
      <c r="H258" s="40">
        <f t="shared" ref="H258:I258" si="1188">H130*H211</f>
        <v>792.85644000000002</v>
      </c>
      <c r="I258" s="40">
        <f t="shared" si="1188"/>
        <v>414.91826900000007</v>
      </c>
      <c r="J258" s="40">
        <f t="shared" ref="J258:K258" si="1189">J130*J211</f>
        <v>663.48789599999986</v>
      </c>
      <c r="K258" s="40">
        <f t="shared" si="1189"/>
        <v>939.75615600000015</v>
      </c>
      <c r="L258" s="40">
        <f>L130*L211</f>
        <v>970.92324200000019</v>
      </c>
      <c r="M258" s="40"/>
      <c r="N258" s="40">
        <f t="shared" ref="N258:U258" si="1190">N130*N211</f>
        <v>641.97665999999992</v>
      </c>
      <c r="O258" s="40">
        <f t="shared" si="1190"/>
        <v>567.87088700000004</v>
      </c>
      <c r="P258" s="40">
        <f t="shared" si="1190"/>
        <v>605.54453799999999</v>
      </c>
      <c r="Q258" s="40">
        <f t="shared" si="1190"/>
        <v>640.52823600000011</v>
      </c>
      <c r="R258" s="40">
        <f t="shared" si="1190"/>
        <v>678.30144700000005</v>
      </c>
      <c r="S258" s="40">
        <f t="shared" si="1190"/>
        <v>696.57829599999991</v>
      </c>
      <c r="T258" s="40">
        <f t="shared" si="1190"/>
        <v>703.929036</v>
      </c>
      <c r="U258" s="40">
        <f t="shared" si="1190"/>
        <v>719.95019500000001</v>
      </c>
      <c r="V258" s="40">
        <f t="shared" ref="V258:Y258" si="1191">V130*V211</f>
        <v>741.30663299999992</v>
      </c>
      <c r="W258" s="40">
        <f t="shared" si="1191"/>
        <v>541.50880000000006</v>
      </c>
      <c r="X258" s="40">
        <f t="shared" si="1191"/>
        <v>560.96365199999991</v>
      </c>
      <c r="Y258" s="40">
        <f t="shared" si="1191"/>
        <v>482.09249700000004</v>
      </c>
      <c r="Z258" s="40">
        <f t="shared" ref="Z258:AA258" si="1192">Z130*Z211</f>
        <v>591.91536799999994</v>
      </c>
      <c r="AA258" s="40">
        <f t="shared" si="1192"/>
        <v>635.55333399999995</v>
      </c>
      <c r="AB258" s="40">
        <f t="shared" ref="AB258:AC258" si="1193">AB130*AB211</f>
        <v>661.77912600000013</v>
      </c>
      <c r="AC258" s="40">
        <f t="shared" si="1193"/>
        <v>792.85644000000002</v>
      </c>
      <c r="AD258" s="40">
        <f t="shared" ref="AD258:AG258" si="1194">AD130*AD211</f>
        <v>832.82566199999997</v>
      </c>
      <c r="AE258" s="40">
        <f t="shared" si="1194"/>
        <v>879.37248600000021</v>
      </c>
      <c r="AF258" s="40">
        <f t="shared" si="1194"/>
        <v>521.01043800000002</v>
      </c>
      <c r="AG258" s="40">
        <f t="shared" si="1194"/>
        <v>414.91826900000007</v>
      </c>
      <c r="AH258" s="40">
        <f t="shared" ref="AH258:AI258" si="1195">AH130*AH211</f>
        <v>470.09675499999997</v>
      </c>
      <c r="AI258" s="40">
        <f t="shared" si="1195"/>
        <v>537.42866800000002</v>
      </c>
      <c r="AJ258" s="40">
        <f t="shared" ref="AJ258:AM258" si="1196">AJ130*AJ211</f>
        <v>567.08784500000002</v>
      </c>
      <c r="AK258" s="40">
        <f t="shared" si="1196"/>
        <v>663.48789599999986</v>
      </c>
      <c r="AL258" s="40">
        <f t="shared" si="1196"/>
        <v>752.89466299999992</v>
      </c>
      <c r="AM258" s="40">
        <f t="shared" si="1196"/>
        <v>835.6</v>
      </c>
      <c r="AN258" s="40">
        <f t="shared" ref="AN258:AP258" si="1197">AN130*AN211</f>
        <v>859.68904099999997</v>
      </c>
      <c r="AO258" s="40">
        <f t="shared" si="1197"/>
        <v>939.75615600000015</v>
      </c>
      <c r="AP258" s="40">
        <f t="shared" si="1197"/>
        <v>970.92324200000019</v>
      </c>
    </row>
    <row r="259" spans="2:42" ht="13.5" customHeight="1">
      <c r="B259" s="39"/>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row>
    <row r="260" spans="2:42" ht="13.5" customHeight="1">
      <c r="B260" s="35" t="s">
        <v>242</v>
      </c>
      <c r="C260" s="42">
        <f>C131*C$211</f>
        <v>1022.332124</v>
      </c>
      <c r="D260" s="42">
        <f t="shared" ref="D260:AL260" si="1198">D131*D$211</f>
        <v>1053.703573</v>
      </c>
      <c r="E260" s="42">
        <f t="shared" si="1198"/>
        <v>1111.1249809999999</v>
      </c>
      <c r="F260" s="42">
        <f t="shared" si="1198"/>
        <v>1108.662167</v>
      </c>
      <c r="G260" s="42">
        <f t="shared" si="1198"/>
        <v>1453.652407</v>
      </c>
      <c r="H260" s="42">
        <f t="shared" si="1198"/>
        <v>1639.3114880000001</v>
      </c>
      <c r="I260" s="42">
        <f t="shared" si="1198"/>
        <v>2486.968425</v>
      </c>
      <c r="J260" s="42">
        <f t="shared" si="1198"/>
        <v>2597.2841830000002</v>
      </c>
      <c r="K260" s="42">
        <f t="shared" ref="K260" si="1199">K131*K$211</f>
        <v>2747.756742</v>
      </c>
      <c r="L260" s="42">
        <f t="shared" si="1198"/>
        <v>2858.672196</v>
      </c>
      <c r="M260" s="40"/>
      <c r="N260" s="42">
        <f t="shared" si="1198"/>
        <v>1021.742403</v>
      </c>
      <c r="O260" s="42">
        <f t="shared" si="1198"/>
        <v>1053.304887</v>
      </c>
      <c r="P260" s="42">
        <f t="shared" si="1198"/>
        <v>1060.4773740000001</v>
      </c>
      <c r="Q260" s="42">
        <f t="shared" si="1198"/>
        <v>1111.1249809999999</v>
      </c>
      <c r="R260" s="42">
        <f t="shared" si="1198"/>
        <v>1017.85876</v>
      </c>
      <c r="S260" s="42">
        <f t="shared" si="1198"/>
        <v>1027.5826629999999</v>
      </c>
      <c r="T260" s="42">
        <f t="shared" si="1198"/>
        <v>1063.9662519999999</v>
      </c>
      <c r="U260" s="42">
        <f t="shared" si="1198"/>
        <v>1108.662167</v>
      </c>
      <c r="V260" s="42">
        <f t="shared" si="1198"/>
        <v>1067.7819830000001</v>
      </c>
      <c r="W260" s="42">
        <f t="shared" si="1198"/>
        <v>1403.686868</v>
      </c>
      <c r="X260" s="42">
        <f t="shared" si="1198"/>
        <v>1409.069295</v>
      </c>
      <c r="Y260" s="42">
        <f t="shared" si="1198"/>
        <v>1453.652407</v>
      </c>
      <c r="Z260" s="42">
        <f t="shared" si="1198"/>
        <v>1447.101236</v>
      </c>
      <c r="AA260" s="42">
        <f t="shared" si="1198"/>
        <v>1489.752659</v>
      </c>
      <c r="AB260" s="42">
        <f t="shared" si="1198"/>
        <v>1553.514807</v>
      </c>
      <c r="AC260" s="42">
        <f t="shared" si="1198"/>
        <v>1639.3114880000001</v>
      </c>
      <c r="AD260" s="42">
        <f t="shared" si="1198"/>
        <v>1641.3932319999999</v>
      </c>
      <c r="AE260" s="42">
        <f t="shared" si="1198"/>
        <v>1741.695561</v>
      </c>
      <c r="AF260" s="42">
        <f t="shared" si="1198"/>
        <v>2220.6804590000002</v>
      </c>
      <c r="AG260" s="42">
        <f t="shared" si="1198"/>
        <v>2486.968425</v>
      </c>
      <c r="AH260" s="42">
        <f t="shared" si="1198"/>
        <v>2548.4364340000002</v>
      </c>
      <c r="AI260" s="42">
        <f t="shared" si="1198"/>
        <v>2660.7246369999998</v>
      </c>
      <c r="AJ260" s="42">
        <f t="shared" si="1198"/>
        <v>2691.5646339999998</v>
      </c>
      <c r="AK260" s="42">
        <f t="shared" si="1198"/>
        <v>2597.2841830000002</v>
      </c>
      <c r="AL260" s="42">
        <f t="shared" si="1198"/>
        <v>2506.3390559999998</v>
      </c>
      <c r="AM260" s="42">
        <f t="shared" ref="AM260:AP260" si="1200">AM131*AM$211</f>
        <v>2543.1</v>
      </c>
      <c r="AN260" s="42">
        <f t="shared" si="1200"/>
        <v>2573.02403</v>
      </c>
      <c r="AO260" s="42">
        <f t="shared" si="1200"/>
        <v>2747.756742</v>
      </c>
      <c r="AP260" s="42">
        <f t="shared" si="1200"/>
        <v>2858.672196</v>
      </c>
    </row>
    <row r="261" spans="2:42" ht="13.5" customHeight="1">
      <c r="B261" s="39"/>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row>
    <row r="262" spans="2:42" ht="13.5" customHeight="1">
      <c r="B262" s="10" t="s">
        <v>235</v>
      </c>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row>
    <row r="263" spans="2:42" ht="13.5" customHeight="1">
      <c r="B263" s="15" t="s">
        <v>236</v>
      </c>
      <c r="C263" s="42">
        <f>C119*C$211</f>
        <v>0</v>
      </c>
      <c r="D263" s="42">
        <f t="shared" ref="D263:L263" si="1201">D119*D$211</f>
        <v>0</v>
      </c>
      <c r="E263" s="42">
        <f t="shared" si="1201"/>
        <v>0.43517699999999998</v>
      </c>
      <c r="F263" s="42">
        <f t="shared" si="1201"/>
        <v>0.51041700000000001</v>
      </c>
      <c r="G263" s="42">
        <f t="shared" si="1201"/>
        <v>0.46445599999999998</v>
      </c>
      <c r="H263" s="42">
        <f t="shared" si="1201"/>
        <v>0.60628099999999996</v>
      </c>
      <c r="I263" s="42">
        <f t="shared" si="1201"/>
        <v>0.60748100000000005</v>
      </c>
      <c r="J263" s="42">
        <f t="shared" si="1201"/>
        <v>0.40837299999999999</v>
      </c>
      <c r="K263" s="42">
        <f t="shared" ref="K263" si="1202">K119*K$211</f>
        <v>0.64129999999999998</v>
      </c>
      <c r="L263" s="42">
        <f t="shared" si="1201"/>
        <v>0.65037800000000001</v>
      </c>
      <c r="M263" s="40"/>
      <c r="N263" s="42">
        <f t="shared" ref="N263:AL263" si="1203">N119*N$211</f>
        <v>0.54730800000000002</v>
      </c>
      <c r="O263" s="42">
        <f t="shared" si="1203"/>
        <v>0.54480600000000001</v>
      </c>
      <c r="P263" s="42">
        <f t="shared" si="1203"/>
        <v>0.54480600000000001</v>
      </c>
      <c r="Q263" s="42">
        <f t="shared" si="1203"/>
        <v>0.43517699999999998</v>
      </c>
      <c r="R263" s="42">
        <f t="shared" si="1203"/>
        <v>0.43325999999999998</v>
      </c>
      <c r="S263" s="42">
        <f t="shared" si="1203"/>
        <v>0.437083</v>
      </c>
      <c r="T263" s="42">
        <f t="shared" si="1203"/>
        <v>0.51041700000000001</v>
      </c>
      <c r="U263" s="42">
        <f t="shared" si="1203"/>
        <v>0.51041700000000001</v>
      </c>
      <c r="V263" s="42">
        <f t="shared" si="1203"/>
        <v>0.50492700000000001</v>
      </c>
      <c r="W263" s="42">
        <f t="shared" si="1203"/>
        <v>0.47591</v>
      </c>
      <c r="X263" s="42">
        <f t="shared" si="1203"/>
        <v>0.37333100000000002</v>
      </c>
      <c r="Y263" s="42">
        <f t="shared" si="1203"/>
        <v>0.46445599999999998</v>
      </c>
      <c r="Z263" s="42">
        <f t="shared" si="1203"/>
        <v>0.43714999999999998</v>
      </c>
      <c r="AA263" s="42">
        <f t="shared" si="1203"/>
        <v>0.45519300000000001</v>
      </c>
      <c r="AB263" s="42">
        <f t="shared" si="1203"/>
        <v>0.39504899999999998</v>
      </c>
      <c r="AC263" s="42">
        <f t="shared" si="1203"/>
        <v>0.60628099999999996</v>
      </c>
      <c r="AD263" s="42">
        <f t="shared" si="1203"/>
        <v>0.60674899999999998</v>
      </c>
      <c r="AE263" s="42">
        <f t="shared" si="1203"/>
        <v>0.60785299999999998</v>
      </c>
      <c r="AF263" s="42">
        <f t="shared" si="1203"/>
        <v>0.60814000000000001</v>
      </c>
      <c r="AG263" s="42">
        <f t="shared" si="1203"/>
        <v>0.60748100000000005</v>
      </c>
      <c r="AH263" s="42">
        <f t="shared" si="1203"/>
        <v>0.60633899999999996</v>
      </c>
      <c r="AI263" s="42">
        <f t="shared" si="1203"/>
        <v>0.60633899999999996</v>
      </c>
      <c r="AJ263" s="42">
        <f t="shared" si="1203"/>
        <v>0.429948</v>
      </c>
      <c r="AK263" s="42">
        <f t="shared" si="1203"/>
        <v>0.40837299999999999</v>
      </c>
      <c r="AL263" s="42">
        <f t="shared" si="1203"/>
        <v>0.26190400000000003</v>
      </c>
      <c r="AM263" s="42">
        <f t="shared" ref="AM263:AP263" si="1204">AM119*AM$211</f>
        <v>0.2</v>
      </c>
      <c r="AN263" s="42">
        <f t="shared" si="1204"/>
        <v>0.63700800000000002</v>
      </c>
      <c r="AO263" s="42">
        <f t="shared" si="1204"/>
        <v>0.64129999999999998</v>
      </c>
      <c r="AP263" s="42">
        <f t="shared" si="1204"/>
        <v>0.65037800000000001</v>
      </c>
    </row>
    <row r="264" spans="2:42" ht="13.5" customHeight="1">
      <c r="B264" s="15" t="s">
        <v>237</v>
      </c>
      <c r="C264" s="42">
        <f>C120*C$211</f>
        <v>0</v>
      </c>
      <c r="D264" s="42">
        <f t="shared" ref="D264:L264" si="1205">D120*D$211</f>
        <v>0</v>
      </c>
      <c r="E264" s="42">
        <f t="shared" si="1205"/>
        <v>0.72906899999999997</v>
      </c>
      <c r="F264" s="42">
        <f t="shared" si="1205"/>
        <v>0.22086800000000001</v>
      </c>
      <c r="G264" s="42">
        <f t="shared" si="1205"/>
        <v>0.91595700000000002</v>
      </c>
      <c r="H264" s="42">
        <f t="shared" si="1205"/>
        <v>0.89765799999999996</v>
      </c>
      <c r="I264" s="42">
        <f t="shared" si="1205"/>
        <v>0.29016999999999998</v>
      </c>
      <c r="J264" s="42">
        <f t="shared" si="1205"/>
        <v>0.14974299999999999</v>
      </c>
      <c r="K264" s="42">
        <f t="shared" ref="K264" si="1206">K120*K$211</f>
        <v>0.81474599999999997</v>
      </c>
      <c r="L264" s="42">
        <f t="shared" si="1205"/>
        <v>0.73289499999999996</v>
      </c>
      <c r="M264" s="40"/>
      <c r="N264" s="42">
        <f t="shared" ref="N264:AL264" si="1207">N120*N$211</f>
        <v>0.92138900000000001</v>
      </c>
      <c r="O264" s="42">
        <f t="shared" si="1207"/>
        <v>0.82556799999999997</v>
      </c>
      <c r="P264" s="42">
        <f t="shared" si="1207"/>
        <v>0.72400699999999996</v>
      </c>
      <c r="Q264" s="42">
        <f t="shared" si="1207"/>
        <v>0.72906899999999997</v>
      </c>
      <c r="R264" s="42">
        <f t="shared" si="1207"/>
        <v>0.62350099999999997</v>
      </c>
      <c r="S264" s="42">
        <f t="shared" si="1207"/>
        <v>0.51289300000000004</v>
      </c>
      <c r="T264" s="42">
        <f t="shared" si="1207"/>
        <v>0.331737</v>
      </c>
      <c r="U264" s="42">
        <f t="shared" si="1207"/>
        <v>0.22086800000000001</v>
      </c>
      <c r="V264" s="42">
        <f t="shared" si="1207"/>
        <v>0.11858100000000001</v>
      </c>
      <c r="W264" s="42">
        <f t="shared" si="1207"/>
        <v>3.6988E-2</v>
      </c>
      <c r="X264" s="42">
        <f t="shared" si="1207"/>
        <v>2.6039E-2</v>
      </c>
      <c r="Y264" s="42">
        <f t="shared" si="1207"/>
        <v>0.91595700000000002</v>
      </c>
      <c r="Z264" s="42">
        <f t="shared" si="1207"/>
        <v>0.81798899999999997</v>
      </c>
      <c r="AA264" s="42">
        <f t="shared" si="1207"/>
        <v>0.67262500000000003</v>
      </c>
      <c r="AB264" s="42">
        <f t="shared" si="1207"/>
        <v>0.61833099999999996</v>
      </c>
      <c r="AC264" s="42">
        <f t="shared" si="1207"/>
        <v>0.89765799999999996</v>
      </c>
      <c r="AD264" s="42">
        <f t="shared" si="1207"/>
        <v>0.74589700000000003</v>
      </c>
      <c r="AE264" s="42">
        <f t="shared" si="1207"/>
        <v>0.59386300000000003</v>
      </c>
      <c r="AF264" s="42">
        <f t="shared" si="1207"/>
        <v>0.44114100000000001</v>
      </c>
      <c r="AG264" s="42">
        <f t="shared" si="1207"/>
        <v>0.29016999999999998</v>
      </c>
      <c r="AH264" s="42">
        <f t="shared" si="1207"/>
        <v>0.13956399999999999</v>
      </c>
      <c r="AI264" s="42">
        <f t="shared" si="1207"/>
        <v>0.13956399999999999</v>
      </c>
      <c r="AJ264" s="42">
        <f t="shared" si="1207"/>
        <v>1.1202E-2</v>
      </c>
      <c r="AK264" s="42">
        <f t="shared" si="1207"/>
        <v>0.14974299999999999</v>
      </c>
      <c r="AL264" s="42">
        <f t="shared" si="1207"/>
        <v>0.11722200000000001</v>
      </c>
      <c r="AM264" s="42">
        <f t="shared" ref="AM264:AP264" si="1208">AM120*AM$211</f>
        <v>0.2</v>
      </c>
      <c r="AN264" s="42">
        <f t="shared" si="1208"/>
        <v>0.86999199999999999</v>
      </c>
      <c r="AO264" s="42">
        <f t="shared" si="1208"/>
        <v>0.81474599999999997</v>
      </c>
      <c r="AP264" s="42">
        <f t="shared" si="1208"/>
        <v>0.73289499999999996</v>
      </c>
    </row>
    <row r="265" spans="2:42" ht="13.5" customHeight="1">
      <c r="B265" s="10" t="s">
        <v>238</v>
      </c>
      <c r="C265" s="40">
        <f>SUM(C263:C264)</f>
        <v>0</v>
      </c>
      <c r="D265" s="40">
        <f t="shared" ref="D265:N265" si="1209">SUM(D263:D264)</f>
        <v>0</v>
      </c>
      <c r="E265" s="40">
        <f t="shared" si="1209"/>
        <v>1.1642459999999999</v>
      </c>
      <c r="F265" s="40">
        <f t="shared" si="1209"/>
        <v>0.73128499999999996</v>
      </c>
      <c r="G265" s="40">
        <f t="shared" si="1209"/>
        <v>1.3804129999999999</v>
      </c>
      <c r="H265" s="40">
        <f t="shared" si="1209"/>
        <v>1.5039389999999999</v>
      </c>
      <c r="I265" s="40">
        <f t="shared" si="1209"/>
        <v>0.89765099999999998</v>
      </c>
      <c r="J265" s="40">
        <f t="shared" si="1209"/>
        <v>0.55811599999999995</v>
      </c>
      <c r="K265" s="40">
        <f t="shared" ref="K265" si="1210">SUM(K263:K264)</f>
        <v>1.456046</v>
      </c>
      <c r="L265" s="40">
        <f t="shared" si="1209"/>
        <v>1.383273</v>
      </c>
      <c r="M265" s="40"/>
      <c r="N265" s="40">
        <f t="shared" si="1209"/>
        <v>1.4686970000000001</v>
      </c>
      <c r="O265" s="40">
        <f t="shared" ref="O265" si="1211">SUM(O263:O264)</f>
        <v>1.370374</v>
      </c>
      <c r="P265" s="40">
        <f t="shared" ref="P265" si="1212">SUM(P263:P264)</f>
        <v>1.268813</v>
      </c>
      <c r="Q265" s="40">
        <f t="shared" ref="Q265" si="1213">SUM(Q263:Q264)</f>
        <v>1.1642459999999999</v>
      </c>
      <c r="R265" s="40">
        <f t="shared" ref="R265" si="1214">SUM(R263:R264)</f>
        <v>1.0567609999999998</v>
      </c>
      <c r="S265" s="40">
        <f t="shared" ref="S265" si="1215">SUM(S263:S264)</f>
        <v>0.94997600000000004</v>
      </c>
      <c r="T265" s="40">
        <f t="shared" ref="T265" si="1216">SUM(T263:T264)</f>
        <v>0.84215400000000007</v>
      </c>
      <c r="U265" s="40">
        <f t="shared" ref="U265" si="1217">SUM(U263:U264)</f>
        <v>0.73128499999999996</v>
      </c>
      <c r="V265" s="40">
        <f t="shared" ref="V265" si="1218">SUM(V263:V264)</f>
        <v>0.62350800000000006</v>
      </c>
      <c r="W265" s="40">
        <f t="shared" ref="W265" si="1219">SUM(W263:W264)</f>
        <v>0.51289799999999997</v>
      </c>
      <c r="X265" s="40">
        <f t="shared" ref="X265" si="1220">SUM(X263:X264)</f>
        <v>0.39937</v>
      </c>
      <c r="Y265" s="40">
        <f t="shared" ref="Y265" si="1221">SUM(Y263:Y264)</f>
        <v>1.3804129999999999</v>
      </c>
      <c r="Z265" s="40">
        <f t="shared" ref="Z265" si="1222">SUM(Z263:Z264)</f>
        <v>1.255139</v>
      </c>
      <c r="AA265" s="40">
        <f t="shared" ref="AA265" si="1223">SUM(AA263:AA264)</f>
        <v>1.127818</v>
      </c>
      <c r="AB265" s="40">
        <f t="shared" ref="AB265" si="1224">SUM(AB263:AB264)</f>
        <v>1.0133799999999999</v>
      </c>
      <c r="AC265" s="40">
        <f t="shared" ref="AC265" si="1225">SUM(AC263:AC264)</f>
        <v>1.5039389999999999</v>
      </c>
      <c r="AD265" s="40">
        <f t="shared" ref="AD265" si="1226">SUM(AD263:AD264)</f>
        <v>1.352646</v>
      </c>
      <c r="AE265" s="40">
        <f t="shared" ref="AE265" si="1227">SUM(AE263:AE264)</f>
        <v>1.201716</v>
      </c>
      <c r="AF265" s="40">
        <f t="shared" ref="AF265" si="1228">SUM(AF263:AF264)</f>
        <v>1.0492810000000001</v>
      </c>
      <c r="AG265" s="40">
        <f t="shared" ref="AG265" si="1229">SUM(AG263:AG264)</f>
        <v>0.89765099999999998</v>
      </c>
      <c r="AH265" s="40">
        <f t="shared" ref="AH265" si="1230">SUM(AH263:AH264)</f>
        <v>0.74590299999999998</v>
      </c>
      <c r="AI265" s="40">
        <f t="shared" ref="AI265" si="1231">SUM(AI263:AI264)</f>
        <v>0.74590299999999998</v>
      </c>
      <c r="AJ265" s="40">
        <f t="shared" ref="AJ265" si="1232">SUM(AJ263:AJ264)</f>
        <v>0.44114999999999999</v>
      </c>
      <c r="AK265" s="40">
        <f t="shared" ref="AK265" si="1233">SUM(AK263:AK264)</f>
        <v>0.55811599999999995</v>
      </c>
      <c r="AL265" s="40">
        <f t="shared" ref="AL265:AO265" si="1234">SUM(AL263:AL264)</f>
        <v>0.37912600000000002</v>
      </c>
      <c r="AM265" s="40">
        <f t="shared" si="1234"/>
        <v>0.4</v>
      </c>
      <c r="AN265" s="40">
        <f t="shared" si="1234"/>
        <v>1.5070000000000001</v>
      </c>
      <c r="AO265" s="40">
        <f t="shared" si="1234"/>
        <v>1.456046</v>
      </c>
      <c r="AP265" s="40">
        <f t="shared" ref="AP265" si="1235">SUM(AP263:AP264)</f>
        <v>1.383273</v>
      </c>
    </row>
    <row r="266" spans="2:42" ht="13.5" customHeight="1">
      <c r="B266" s="1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row>
    <row r="267" spans="2:42" ht="13.5" customHeight="1">
      <c r="B267" s="10" t="s">
        <v>268</v>
      </c>
      <c r="C267" s="40">
        <f>C235</f>
        <v>91.952252999999999</v>
      </c>
      <c r="D267" s="40">
        <f t="shared" ref="D267:L267" si="1236">D235</f>
        <v>112.82820199999999</v>
      </c>
      <c r="E267" s="40">
        <f t="shared" si="1236"/>
        <v>121.384119</v>
      </c>
      <c r="F267" s="40">
        <f t="shared" si="1236"/>
        <v>126.19619899999999</v>
      </c>
      <c r="G267" s="40">
        <f t="shared" si="1236"/>
        <v>135.80990000000003</v>
      </c>
      <c r="H267" s="40">
        <f t="shared" si="1236"/>
        <v>150.301559</v>
      </c>
      <c r="I267" s="40">
        <f t="shared" si="1236"/>
        <v>174.08789899999999</v>
      </c>
      <c r="J267" s="40">
        <f t="shared" si="1236"/>
        <v>204.4</v>
      </c>
      <c r="K267" s="40">
        <f t="shared" si="1236"/>
        <v>231.1</v>
      </c>
      <c r="L267" s="40">
        <f t="shared" si="1236"/>
        <v>237.93428500000002</v>
      </c>
      <c r="M267" s="40"/>
      <c r="N267" s="175"/>
      <c r="O267" s="175"/>
      <c r="P267" s="175"/>
      <c r="Q267" s="40">
        <f>SUM(N235:Q235)</f>
        <v>121.384119</v>
      </c>
      <c r="R267" s="40">
        <f t="shared" ref="R267:AP267" si="1237">SUM(O235:R235)</f>
        <v>121.74056400000001</v>
      </c>
      <c r="S267" s="40">
        <f t="shared" si="1237"/>
        <v>122.16445099999999</v>
      </c>
      <c r="T267" s="40">
        <f t="shared" si="1237"/>
        <v>124.03581799999998</v>
      </c>
      <c r="U267" s="40">
        <f t="shared" si="1237"/>
        <v>126.19619899999999</v>
      </c>
      <c r="V267" s="40">
        <f t="shared" si="1237"/>
        <v>128.16765599999999</v>
      </c>
      <c r="W267" s="40">
        <f t="shared" si="1237"/>
        <v>131.17148300000002</v>
      </c>
      <c r="X267" s="40">
        <f t="shared" si="1237"/>
        <v>133.463584</v>
      </c>
      <c r="Y267" s="40">
        <f t="shared" si="1237"/>
        <v>135.805509</v>
      </c>
      <c r="Z267" s="40">
        <f t="shared" si="1237"/>
        <v>137.776884</v>
      </c>
      <c r="AA267" s="40">
        <f t="shared" si="1237"/>
        <v>140.48486400000002</v>
      </c>
      <c r="AB267" s="40">
        <f t="shared" si="1237"/>
        <v>144.78062699999998</v>
      </c>
      <c r="AC267" s="40">
        <f t="shared" si="1237"/>
        <v>150.26775000000001</v>
      </c>
      <c r="AD267" s="40">
        <f t="shared" si="1237"/>
        <v>156.84847500000001</v>
      </c>
      <c r="AE267" s="40">
        <f t="shared" si="1237"/>
        <v>163.22224900000003</v>
      </c>
      <c r="AF267" s="40">
        <f t="shared" si="1237"/>
        <v>169.60697500000003</v>
      </c>
      <c r="AG267" s="40">
        <f t="shared" si="1237"/>
        <v>174.08789900000002</v>
      </c>
      <c r="AH267" s="40">
        <f t="shared" si="1237"/>
        <v>182.67920700000002</v>
      </c>
      <c r="AI267" s="40">
        <f t="shared" si="1237"/>
        <v>190.34293800000003</v>
      </c>
      <c r="AJ267" s="40">
        <f t="shared" si="1237"/>
        <v>197.63147000000001</v>
      </c>
      <c r="AK267" s="40">
        <f t="shared" si="1237"/>
        <v>204.52889099999999</v>
      </c>
      <c r="AL267" s="40">
        <f t="shared" si="1237"/>
        <v>209.20917399999996</v>
      </c>
      <c r="AM267" s="40">
        <f t="shared" si="1237"/>
        <v>213.65660699999998</v>
      </c>
      <c r="AN267" s="40">
        <f t="shared" si="1237"/>
        <v>221.00415299999997</v>
      </c>
      <c r="AO267" s="40">
        <f t="shared" si="1237"/>
        <v>231.1</v>
      </c>
      <c r="AP267" s="40">
        <f t="shared" si="1237"/>
        <v>237.93428500000002</v>
      </c>
    </row>
    <row r="268" spans="2:42" ht="13.5" customHeight="1">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row>
    <row r="269" spans="2:42" ht="13.5" customHeight="1">
      <c r="B269" s="39" t="str">
        <f>+B136</f>
        <v>Net Leverage excluding lease obligations</v>
      </c>
      <c r="C269" s="41">
        <f t="shared" ref="C269:K269" si="1238">((C256-(C265))/C267)</f>
        <v>5.3396535047379423</v>
      </c>
      <c r="D269" s="41">
        <f t="shared" si="1238"/>
        <v>5.6308087493940571</v>
      </c>
      <c r="E269" s="41">
        <f t="shared" si="1238"/>
        <v>5.2672787450885572</v>
      </c>
      <c r="F269" s="41">
        <f t="shared" si="1238"/>
        <v>5.6992121450504234</v>
      </c>
      <c r="G269" s="41">
        <f t="shared" si="1238"/>
        <v>3.5395953019625224</v>
      </c>
      <c r="H269" s="41">
        <f t="shared" si="1238"/>
        <v>5.2650984212346064</v>
      </c>
      <c r="I269" s="41">
        <f t="shared" si="1238"/>
        <v>2.3782274378531048</v>
      </c>
      <c r="J269" s="41">
        <f t="shared" si="1238"/>
        <v>3.2432963796477488</v>
      </c>
      <c r="K269" s="41">
        <f t="shared" si="1238"/>
        <v>4.0601475984422333</v>
      </c>
      <c r="L269" s="41">
        <f>((L256-(L265))/L267)</f>
        <v>4.0748224620087861</v>
      </c>
      <c r="M269" s="41"/>
      <c r="N269" s="176"/>
      <c r="O269" s="176"/>
      <c r="P269" s="176"/>
      <c r="Q269" s="41">
        <f t="shared" ref="Q269:AK269" si="1239">((Q256-(Q265))/SUM(N231:Q231))</f>
        <v>5.2685808711610349</v>
      </c>
      <c r="R269" s="41">
        <f t="shared" si="1239"/>
        <v>5.5643870486049165</v>
      </c>
      <c r="S269" s="41">
        <f t="shared" si="1239"/>
        <v>5.6955946033605196</v>
      </c>
      <c r="T269" s="41">
        <f t="shared" si="1239"/>
        <v>5.6697894771356596</v>
      </c>
      <c r="U269" s="41">
        <f t="shared" si="1239"/>
        <v>5.6992121450504234</v>
      </c>
      <c r="V269" s="41">
        <f t="shared" si="1239"/>
        <v>5.7790174847232905</v>
      </c>
      <c r="W269" s="41">
        <f t="shared" si="1239"/>
        <v>4.1243408218537869</v>
      </c>
      <c r="X269" s="41">
        <f t="shared" si="1239"/>
        <v>4.2001290928917356</v>
      </c>
      <c r="Y269" s="41">
        <f t="shared" si="1239"/>
        <v>3.5397097477098667</v>
      </c>
      <c r="Z269" s="41">
        <f t="shared" si="1239"/>
        <v>4.2870778598825039</v>
      </c>
      <c r="AA269" s="41">
        <f t="shared" si="1239"/>
        <v>4.5159706030679567</v>
      </c>
      <c r="AB269" s="41">
        <f t="shared" si="1239"/>
        <v>4.5639099628985598</v>
      </c>
      <c r="AC269" s="41">
        <f t="shared" si="1239"/>
        <v>5.2662830248007308</v>
      </c>
      <c r="AD269" s="41">
        <f t="shared" si="1239"/>
        <v>5.3011227300743595</v>
      </c>
      <c r="AE269" s="41">
        <f t="shared" si="1239"/>
        <v>5.3802148627421502</v>
      </c>
      <c r="AF269" s="41">
        <f t="shared" si="1239"/>
        <v>3.0656826289131089</v>
      </c>
      <c r="AG269" s="41">
        <f t="shared" si="1239"/>
        <v>2.3782274378531043</v>
      </c>
      <c r="AH269" s="41">
        <f t="shared" ref="AH269:AK269" si="1240">((AH256-(AH265))/AH267)</f>
        <v>2.5692625871755612</v>
      </c>
      <c r="AI269" s="41">
        <f t="shared" si="1240"/>
        <v>2.8195570092545275</v>
      </c>
      <c r="AJ269" s="41">
        <f t="shared" si="1240"/>
        <v>2.8671885859068902</v>
      </c>
      <c r="AK269" s="41">
        <f t="shared" si="1240"/>
        <v>3.2412525035399518</v>
      </c>
      <c r="AL269" s="41">
        <f t="shared" ref="AL269:AN269" si="1241">((AL256-(AL265))/AL267)</f>
        <v>3.5969528611589472</v>
      </c>
      <c r="AM269" s="41">
        <f t="shared" si="1241"/>
        <v>3.9090763994019624</v>
      </c>
      <c r="AN269" s="41">
        <f t="shared" si="1241"/>
        <v>3.8831036853864016</v>
      </c>
      <c r="AO269" s="41">
        <f>((AO256-(AO265))/AO267)</f>
        <v>4.0601475984422333</v>
      </c>
      <c r="AP269" s="41">
        <f>((AP256-(AP265))/SUM(AM231:AP231))</f>
        <v>4.0748224620087861</v>
      </c>
    </row>
    <row r="270" spans="2:42" ht="13.5" customHeight="1">
      <c r="B270" s="35" t="str">
        <f>+B137</f>
        <v>Gross Leverage  excluding lease obligations</v>
      </c>
      <c r="C270" s="43">
        <f t="shared" ref="C270:K270" si="1242">((C254-(C265))/C267)</f>
        <v>6.3293161397578803</v>
      </c>
      <c r="D270" s="43">
        <f t="shared" si="1242"/>
        <v>6.2023271628488779</v>
      </c>
      <c r="E270" s="43">
        <f t="shared" si="1242"/>
        <v>5.8856758930713173</v>
      </c>
      <c r="F270" s="43">
        <f t="shared" si="1242"/>
        <v>6.6544084422067273</v>
      </c>
      <c r="G270" s="43">
        <f t="shared" si="1242"/>
        <v>6.8738230129025926</v>
      </c>
      <c r="H270" s="43">
        <f t="shared" si="1242"/>
        <v>6.1908844604865347</v>
      </c>
      <c r="I270" s="43">
        <f t="shared" si="1242"/>
        <v>5.2570383079871625</v>
      </c>
      <c r="J270" s="43">
        <f t="shared" si="1242"/>
        <v>4.1440835322896277</v>
      </c>
      <c r="K270" s="43">
        <f t="shared" si="1242"/>
        <v>5.5179636218087413</v>
      </c>
      <c r="L270" s="43">
        <f>((L254-(L265))/L267)</f>
        <v>4.9412151048345141</v>
      </c>
      <c r="M270" s="43"/>
      <c r="N270" s="176"/>
      <c r="O270" s="176"/>
      <c r="P270" s="176"/>
      <c r="Q270" s="43">
        <f t="shared" ref="Q270:AK270" si="1243">((Q254-(Q265))/SUM(N231:Q231))</f>
        <v>5.88713089334858</v>
      </c>
      <c r="R270" s="43">
        <f t="shared" si="1243"/>
        <v>6.5690128672807706</v>
      </c>
      <c r="S270" s="43">
        <f t="shared" si="1243"/>
        <v>6.8744864297134285</v>
      </c>
      <c r="T270" s="43">
        <f t="shared" si="1243"/>
        <v>6.7712989966325594</v>
      </c>
      <c r="U270" s="43">
        <f t="shared" si="1243"/>
        <v>6.6544084422067273</v>
      </c>
      <c r="V270" s="43">
        <f t="shared" si="1243"/>
        <v>6.5523751327714068</v>
      </c>
      <c r="W270" s="43">
        <f t="shared" si="1243"/>
        <v>7.1237441144124283</v>
      </c>
      <c r="X270" s="43">
        <f t="shared" si="1243"/>
        <v>7.0003063981857405</v>
      </c>
      <c r="Y270" s="43">
        <f t="shared" si="1243"/>
        <v>6.8740452642462397</v>
      </c>
      <c r="Z270" s="43">
        <f t="shared" si="1243"/>
        <v>6.7730140130038068</v>
      </c>
      <c r="AA270" s="43">
        <f t="shared" si="1243"/>
        <v>6.639936256762863</v>
      </c>
      <c r="AB270" s="43">
        <f t="shared" si="1243"/>
        <v>6.4336016585975981</v>
      </c>
      <c r="AC270" s="43">
        <f t="shared" si="1243"/>
        <v>6.1922773582488588</v>
      </c>
      <c r="AD270" s="43">
        <f t="shared" si="1243"/>
        <v>5.9272859044373876</v>
      </c>
      <c r="AE270" s="43">
        <f t="shared" si="1243"/>
        <v>5.6909865333371306</v>
      </c>
      <c r="AF270" s="43">
        <f t="shared" si="1243"/>
        <v>5.4723210174581549</v>
      </c>
      <c r="AG270" s="43">
        <f t="shared" si="1243"/>
        <v>5.2570383079871617</v>
      </c>
      <c r="AH270" s="43">
        <f t="shared" ref="AH270:AK270" si="1244">((AH254-(AH265))/AH267)</f>
        <v>5.0055625706761466</v>
      </c>
      <c r="AI270" s="43">
        <f t="shared" si="1244"/>
        <v>4.7998851420481898</v>
      </c>
      <c r="AJ270" s="43">
        <f t="shared" si="1244"/>
        <v>4.29002679583368</v>
      </c>
      <c r="AK270" s="43">
        <f t="shared" si="1244"/>
        <v>4.1414719938025764</v>
      </c>
      <c r="AL270" s="43">
        <f t="shared" ref="AL270:AN270" si="1245">((AL254-(AL265))/AL267)</f>
        <v>3.8296635356917954</v>
      </c>
      <c r="AM270" s="43">
        <f t="shared" si="1245"/>
        <v>4.2142389727269238</v>
      </c>
      <c r="AN270" s="43">
        <f t="shared" si="1245"/>
        <v>6.5393812305418537</v>
      </c>
      <c r="AO270" s="43">
        <f>((AO254-(AO265))/AO267)</f>
        <v>5.5179636218087413</v>
      </c>
      <c r="AP270" s="43">
        <f>((AP254-(AP265))/SUM(AM231:AP231))</f>
        <v>4.9412151048345141</v>
      </c>
    </row>
    <row r="271" spans="2:42" ht="13.5" customHeight="1">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row>
    <row r="272" spans="2:42" s="39" customFormat="1" ht="13.5" customHeight="1">
      <c r="B272" s="39" t="str">
        <f>+B139</f>
        <v>Net Leverage including lease obligations</v>
      </c>
      <c r="C272" s="41">
        <f t="shared" ref="C272:K272" si="1246">C256/C267</f>
        <v>5.3396535047379423</v>
      </c>
      <c r="D272" s="41">
        <f t="shared" si="1246"/>
        <v>5.6308087493940571</v>
      </c>
      <c r="E272" s="41">
        <f t="shared" si="1246"/>
        <v>5.2768701645393996</v>
      </c>
      <c r="F272" s="41">
        <f t="shared" si="1246"/>
        <v>5.7050069709310343</v>
      </c>
      <c r="G272" s="41">
        <f t="shared" si="1246"/>
        <v>3.5497596051539686</v>
      </c>
      <c r="H272" s="41">
        <f t="shared" si="1246"/>
        <v>5.2751045649499888</v>
      </c>
      <c r="I272" s="41">
        <f t="shared" si="1246"/>
        <v>2.3833837468507797</v>
      </c>
      <c r="J272" s="41">
        <f t="shared" si="1246"/>
        <v>3.2460268884540109</v>
      </c>
      <c r="K272" s="41">
        <f t="shared" si="1246"/>
        <v>4.0664481003894428</v>
      </c>
      <c r="L272" s="41">
        <f>L256/L267</f>
        <v>4.0806361386716512</v>
      </c>
      <c r="M272" s="41"/>
      <c r="N272" s="176"/>
      <c r="O272" s="176"/>
      <c r="P272" s="176"/>
      <c r="Q272" s="41">
        <f t="shared" ref="Q272:AK272" si="1247">Q256/SUM(N231:Q231)</f>
        <v>5.2781746617104934</v>
      </c>
      <c r="R272" s="41">
        <f t="shared" si="1247"/>
        <v>5.5730696227814693</v>
      </c>
      <c r="S272" s="41">
        <f t="shared" si="1247"/>
        <v>5.7033727199543378</v>
      </c>
      <c r="T272" s="41">
        <f t="shared" si="1247"/>
        <v>5.6765807230109138</v>
      </c>
      <c r="U272" s="41">
        <f t="shared" si="1247"/>
        <v>5.7050069709310343</v>
      </c>
      <c r="V272" s="41">
        <f t="shared" si="1247"/>
        <v>5.7838822690180116</v>
      </c>
      <c r="W272" s="41">
        <f t="shared" si="1247"/>
        <v>4.1282509552781379</v>
      </c>
      <c r="X272" s="41">
        <f t="shared" si="1247"/>
        <v>4.2031214447230782</v>
      </c>
      <c r="Y272" s="41">
        <f t="shared" si="1247"/>
        <v>3.5498743795437639</v>
      </c>
      <c r="Z272" s="41">
        <f t="shared" si="1247"/>
        <v>4.2961877988182691</v>
      </c>
      <c r="AA272" s="41">
        <f t="shared" si="1247"/>
        <v>4.5239986423021339</v>
      </c>
      <c r="AB272" s="41">
        <f t="shared" si="1247"/>
        <v>4.5709093800236147</v>
      </c>
      <c r="AC272" s="41">
        <f t="shared" si="1247"/>
        <v>5.276291419815629</v>
      </c>
      <c r="AD272" s="41">
        <f t="shared" si="1247"/>
        <v>5.3097466328569656</v>
      </c>
      <c r="AE272" s="41">
        <f t="shared" si="1247"/>
        <v>5.3875773149039263</v>
      </c>
      <c r="AF272" s="41">
        <f t="shared" si="1247"/>
        <v>3.0718691728332512</v>
      </c>
      <c r="AG272" s="41">
        <f t="shared" si="1247"/>
        <v>2.3833837468507793</v>
      </c>
      <c r="AH272" s="41">
        <f t="shared" ref="AH272:AK272" si="1248">AH256/AH267</f>
        <v>2.573345717446649</v>
      </c>
      <c r="AI272" s="41">
        <f t="shared" si="1248"/>
        <v>2.8234757414535649</v>
      </c>
      <c r="AJ272" s="41">
        <f t="shared" si="1248"/>
        <v>2.8694207708924089</v>
      </c>
      <c r="AK272" s="41">
        <f t="shared" si="1248"/>
        <v>3.2439812916210449</v>
      </c>
      <c r="AL272" s="41">
        <f t="shared" ref="AL272:AN272" si="1249">AL256/AL267</f>
        <v>3.5987650474639321</v>
      </c>
      <c r="AM272" s="41">
        <f t="shared" si="1249"/>
        <v>3.9109485624284956</v>
      </c>
      <c r="AN272" s="41">
        <f t="shared" si="1249"/>
        <v>3.8899225617719506</v>
      </c>
      <c r="AO272" s="41">
        <f>AO256/AO267</f>
        <v>4.0664481003894428</v>
      </c>
      <c r="AP272" s="41">
        <f>AP256/SUM(AM231:AP231)</f>
        <v>4.0806361386716512</v>
      </c>
    </row>
    <row r="273" spans="2:42" ht="13.5" customHeight="1">
      <c r="B273" s="35" t="str">
        <f>+B140</f>
        <v>Gross Leverage  including lease obligations</v>
      </c>
      <c r="C273" s="43">
        <f t="shared" ref="C273:K273" si="1250">C254/C267</f>
        <v>6.3293161397578803</v>
      </c>
      <c r="D273" s="43">
        <f t="shared" si="1250"/>
        <v>6.2023271628488779</v>
      </c>
      <c r="E273" s="43">
        <f t="shared" si="1250"/>
        <v>5.8952673125221606</v>
      </c>
      <c r="F273" s="43">
        <f t="shared" si="1250"/>
        <v>6.6602032680873382</v>
      </c>
      <c r="G273" s="43">
        <f t="shared" si="1250"/>
        <v>6.8839873160940392</v>
      </c>
      <c r="H273" s="43">
        <f t="shared" si="1250"/>
        <v>6.2008906042019163</v>
      </c>
      <c r="I273" s="43">
        <f t="shared" si="1250"/>
        <v>5.2621946169848375</v>
      </c>
      <c r="J273" s="43">
        <f t="shared" si="1250"/>
        <v>4.1468140410958894</v>
      </c>
      <c r="K273" s="43">
        <f t="shared" si="1250"/>
        <v>5.52426412375595</v>
      </c>
      <c r="L273" s="43">
        <f>L254/L267</f>
        <v>4.9470287814973792</v>
      </c>
      <c r="M273" s="43"/>
      <c r="N273" s="176"/>
      <c r="O273" s="176"/>
      <c r="P273" s="176"/>
      <c r="Q273" s="43">
        <f t="shared" ref="Q273:AK273" si="1251">Q254/SUM(N231:Q231)</f>
        <v>5.8967246838980385</v>
      </c>
      <c r="R273" s="43">
        <f t="shared" si="1251"/>
        <v>6.5776954414573234</v>
      </c>
      <c r="S273" s="43">
        <f t="shared" si="1251"/>
        <v>6.8822645463072467</v>
      </c>
      <c r="T273" s="43">
        <f t="shared" si="1251"/>
        <v>6.7780902425078136</v>
      </c>
      <c r="U273" s="43">
        <f t="shared" si="1251"/>
        <v>6.6602032680873382</v>
      </c>
      <c r="V273" s="43">
        <f t="shared" si="1251"/>
        <v>6.557239917066128</v>
      </c>
      <c r="W273" s="43">
        <f t="shared" si="1251"/>
        <v>7.1276542478367793</v>
      </c>
      <c r="X273" s="43">
        <f t="shared" si="1251"/>
        <v>7.0032987500170831</v>
      </c>
      <c r="Y273" s="43">
        <f t="shared" si="1251"/>
        <v>6.8842098960801366</v>
      </c>
      <c r="Z273" s="43">
        <f t="shared" si="1251"/>
        <v>6.782123951939572</v>
      </c>
      <c r="AA273" s="43">
        <f t="shared" si="1251"/>
        <v>6.6479642959970402</v>
      </c>
      <c r="AB273" s="43">
        <f t="shared" si="1251"/>
        <v>6.4406010757226531</v>
      </c>
      <c r="AC273" s="43">
        <f t="shared" si="1251"/>
        <v>6.202285753263757</v>
      </c>
      <c r="AD273" s="43">
        <f t="shared" si="1251"/>
        <v>5.9359098072199936</v>
      </c>
      <c r="AE273" s="43">
        <f t="shared" si="1251"/>
        <v>5.6983489854989067</v>
      </c>
      <c r="AF273" s="43">
        <f t="shared" si="1251"/>
        <v>5.4785075613782972</v>
      </c>
      <c r="AG273" s="43">
        <f t="shared" si="1251"/>
        <v>5.2621946169848366</v>
      </c>
      <c r="AH273" s="43">
        <f t="shared" ref="AH273:AK273" si="1252">AH254/AH267</f>
        <v>5.0096457009472344</v>
      </c>
      <c r="AI273" s="43">
        <f t="shared" si="1252"/>
        <v>4.8038038742472278</v>
      </c>
      <c r="AJ273" s="43">
        <f t="shared" si="1252"/>
        <v>4.2922589808191987</v>
      </c>
      <c r="AK273" s="43">
        <f t="shared" si="1252"/>
        <v>4.1442007818836704</v>
      </c>
      <c r="AL273" s="43">
        <f t="shared" ref="AL273:AN273" si="1253">AL254/AL267</f>
        <v>3.8314757219967803</v>
      </c>
      <c r="AM273" s="43">
        <f t="shared" si="1253"/>
        <v>4.216111135753458</v>
      </c>
      <c r="AN273" s="43">
        <f t="shared" si="1253"/>
        <v>6.5462001069274027</v>
      </c>
      <c r="AO273" s="43">
        <f>AO254/AO267</f>
        <v>5.52426412375595</v>
      </c>
      <c r="AP273" s="43">
        <f>AP254/SUM(AM231:AP231)</f>
        <v>4.9470287814973792</v>
      </c>
    </row>
    <row r="274" spans="2:42" ht="13.5" customHeight="1">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row>
    <row r="275" spans="2:42" ht="13.5" customHeight="1">
      <c r="B275" s="39" t="str">
        <f>+B142</f>
        <v>Company reported net leverage</v>
      </c>
      <c r="C275" s="41">
        <f t="shared" ref="C275:K275" si="1254">C258/C267</f>
        <v>5.3396535047379423</v>
      </c>
      <c r="D275" s="41">
        <f t="shared" si="1254"/>
        <v>5.6308087493940571</v>
      </c>
      <c r="E275" s="41">
        <f t="shared" si="1254"/>
        <v>5.2768701645393996</v>
      </c>
      <c r="F275" s="41">
        <f t="shared" si="1254"/>
        <v>5.7050069709310343</v>
      </c>
      <c r="G275" s="41">
        <f t="shared" si="1254"/>
        <v>3.5497596051539686</v>
      </c>
      <c r="H275" s="41">
        <f t="shared" si="1254"/>
        <v>5.2751045649499888</v>
      </c>
      <c r="I275" s="41">
        <f t="shared" si="1254"/>
        <v>2.3833837468507797</v>
      </c>
      <c r="J275" s="41">
        <f t="shared" si="1254"/>
        <v>3.2460268884540109</v>
      </c>
      <c r="K275" s="41">
        <f t="shared" si="1254"/>
        <v>4.0664481003894428</v>
      </c>
      <c r="L275" s="41">
        <f>L258/L267</f>
        <v>4.0806361386716512</v>
      </c>
      <c r="M275" s="41"/>
      <c r="N275" s="176"/>
      <c r="O275" s="176"/>
      <c r="P275" s="176"/>
      <c r="Q275" s="41">
        <f t="shared" ref="Q275:AK275" si="1255">Q258/SUM(N231:Q231)</f>
        <v>5.2781746617104934</v>
      </c>
      <c r="R275" s="41">
        <f t="shared" si="1255"/>
        <v>5.5730696227814693</v>
      </c>
      <c r="S275" s="41">
        <f t="shared" si="1255"/>
        <v>5.7033727199543378</v>
      </c>
      <c r="T275" s="41">
        <f t="shared" si="1255"/>
        <v>5.6765807230109138</v>
      </c>
      <c r="U275" s="41">
        <f t="shared" si="1255"/>
        <v>5.7050069709310343</v>
      </c>
      <c r="V275" s="41">
        <f t="shared" si="1255"/>
        <v>5.7838822690180116</v>
      </c>
      <c r="W275" s="41">
        <f t="shared" si="1255"/>
        <v>4.1282509552781379</v>
      </c>
      <c r="X275" s="41">
        <f t="shared" si="1255"/>
        <v>4.2031214447230782</v>
      </c>
      <c r="Y275" s="41">
        <f t="shared" si="1255"/>
        <v>3.5498743795437639</v>
      </c>
      <c r="Z275" s="41">
        <f t="shared" si="1255"/>
        <v>4.2961877988182691</v>
      </c>
      <c r="AA275" s="41">
        <f t="shared" si="1255"/>
        <v>4.5239986423021339</v>
      </c>
      <c r="AB275" s="41">
        <f t="shared" si="1255"/>
        <v>4.5709093800236147</v>
      </c>
      <c r="AC275" s="41">
        <f t="shared" si="1255"/>
        <v>5.276291419815629</v>
      </c>
      <c r="AD275" s="41">
        <f t="shared" si="1255"/>
        <v>5.3097466328569656</v>
      </c>
      <c r="AE275" s="41">
        <f t="shared" si="1255"/>
        <v>5.3875773149039263</v>
      </c>
      <c r="AF275" s="41">
        <f t="shared" si="1255"/>
        <v>3.0718691728332512</v>
      </c>
      <c r="AG275" s="41">
        <f t="shared" si="1255"/>
        <v>2.3833837468507793</v>
      </c>
      <c r="AH275" s="41">
        <f t="shared" ref="AH275:AK275" si="1256">AH258/AH267</f>
        <v>2.573345717446649</v>
      </c>
      <c r="AI275" s="41">
        <f t="shared" si="1256"/>
        <v>2.8234757414535649</v>
      </c>
      <c r="AJ275" s="41">
        <f t="shared" si="1256"/>
        <v>2.8694207708924089</v>
      </c>
      <c r="AK275" s="41">
        <f t="shared" si="1256"/>
        <v>3.2439812916210449</v>
      </c>
      <c r="AL275" s="41">
        <f t="shared" ref="AL275:AN275" si="1257">AL258/AL267</f>
        <v>3.5987650474639321</v>
      </c>
      <c r="AM275" s="41">
        <f t="shared" si="1257"/>
        <v>3.9109485624284956</v>
      </c>
      <c r="AN275" s="41">
        <f t="shared" si="1257"/>
        <v>3.8899225617719506</v>
      </c>
      <c r="AO275" s="41">
        <f>AO258/AO267</f>
        <v>4.0664481003894428</v>
      </c>
      <c r="AP275" s="41">
        <f>AP258/SUM(AM231:AP231)</f>
        <v>4.0806361386716512</v>
      </c>
    </row>
    <row r="276" spans="2:42" ht="13.5" customHeight="1">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row>
    <row r="277" spans="2:42" s="39" customFormat="1" ht="13.5" customHeight="1">
      <c r="B277" s="39" t="str">
        <f>+B144</f>
        <v>EBITDA - Capex / Interest</v>
      </c>
      <c r="C277" s="41">
        <f t="shared" ref="C277:K277" si="1258">(C267+C240)/-C238</f>
        <v>-6.5705521048148947</v>
      </c>
      <c r="D277" s="41">
        <f t="shared" si="1258"/>
        <v>-0.81345143746067861</v>
      </c>
      <c r="E277" s="41">
        <f t="shared" si="1258"/>
        <v>3.1771761900071098</v>
      </c>
      <c r="F277" s="41">
        <f t="shared" si="1258"/>
        <v>1.3912882575872845</v>
      </c>
      <c r="G277" s="41">
        <f t="shared" si="1258"/>
        <v>3.4123669172745692</v>
      </c>
      <c r="H277" s="41">
        <f t="shared" si="1258"/>
        <v>-2.4943163210900274</v>
      </c>
      <c r="I277" s="41">
        <f t="shared" si="1258"/>
        <v>-1.0877140757288422</v>
      </c>
      <c r="J277" s="41">
        <f t="shared" si="1258"/>
        <v>-0.52901868502705429</v>
      </c>
      <c r="K277" s="41">
        <f t="shared" si="1258"/>
        <v>-2.204932529018178</v>
      </c>
      <c r="L277" s="41">
        <f>(L267+L240)/-L238</f>
        <v>-0.92549931848468492</v>
      </c>
      <c r="M277" s="47"/>
      <c r="N277" s="176"/>
      <c r="O277" s="176"/>
      <c r="P277" s="176"/>
      <c r="Q277" s="41">
        <f t="shared" ref="Q277:AP277" si="1259">(Q267+SUM(N240:Q240))/-SUM(N238:Q238)</f>
        <v>3.1771761900071098</v>
      </c>
      <c r="R277" s="41">
        <f t="shared" si="1259"/>
        <v>3.4694916745247388</v>
      </c>
      <c r="S277" s="41">
        <f t="shared" si="1259"/>
        <v>0.49615068651228944</v>
      </c>
      <c r="T277" s="41">
        <f t="shared" si="1259"/>
        <v>1.2546554310996543</v>
      </c>
      <c r="U277" s="41">
        <f t="shared" si="1259"/>
        <v>1.3912882575872845</v>
      </c>
      <c r="V277" s="41">
        <f t="shared" si="1259"/>
        <v>1.219814442691699</v>
      </c>
      <c r="W277" s="41">
        <f t="shared" si="1259"/>
        <v>1.4164109129597204</v>
      </c>
      <c r="X277" s="41">
        <f t="shared" si="1259"/>
        <v>1.1656677968468609</v>
      </c>
      <c r="Y277" s="41">
        <f t="shared" si="1259"/>
        <v>3.4122681857043027</v>
      </c>
      <c r="Z277" s="41">
        <f t="shared" si="1259"/>
        <v>2.1963574623416875</v>
      </c>
      <c r="AA277" s="41">
        <f t="shared" si="1259"/>
        <v>2.1440822930107779</v>
      </c>
      <c r="AB277" s="41">
        <f t="shared" si="1259"/>
        <v>1.2573069769300083</v>
      </c>
      <c r="AC277" s="41">
        <f t="shared" si="1259"/>
        <v>-2.495070239586374</v>
      </c>
      <c r="AD277" s="41">
        <f t="shared" si="1259"/>
        <v>-1.776075641098888</v>
      </c>
      <c r="AE277" s="41">
        <f t="shared" si="1259"/>
        <v>-2.0596078016547907</v>
      </c>
      <c r="AF277" s="41">
        <f t="shared" si="1259"/>
        <v>-2.6461995196692594</v>
      </c>
      <c r="AG277" s="41">
        <f t="shared" si="1259"/>
        <v>-1.0877140757288415</v>
      </c>
      <c r="AH277" s="41">
        <f t="shared" ref="AH277" si="1260">(AH267+SUM(AE240:AH240))/-SUM(AE238:AH238)</f>
        <v>-0.75977856426530099</v>
      </c>
      <c r="AI277" s="41">
        <f t="shared" ref="AI277" si="1261">(AI267+SUM(AF240:AI240))/-SUM(AF238:AI238)</f>
        <v>-1.0480645136292213</v>
      </c>
      <c r="AJ277" s="41">
        <f t="shared" ref="AJ277" si="1262">(AJ267+SUM(AG240:AJ240))/-SUM(AG238:AJ238)</f>
        <v>-3.2464256825344318E-2</v>
      </c>
      <c r="AK277" s="41">
        <f t="shared" ref="AK277" si="1263">(AK267+SUM(AH240:AK240))/-SUM(AH238:AK238)</f>
        <v>-0.52595624708495714</v>
      </c>
      <c r="AL277" s="41">
        <f t="shared" si="1259"/>
        <v>-0.67981987148540368</v>
      </c>
      <c r="AM277" s="41">
        <f t="shared" si="1259"/>
        <v>-1.9421200481438554</v>
      </c>
      <c r="AN277" s="41">
        <f t="shared" si="1259"/>
        <v>-1.3115017652918006</v>
      </c>
      <c r="AO277" s="41">
        <f>(AO267+SUM(AL240:AO240))/-SUM(AL238:AO238)</f>
        <v>-2.204932529018178</v>
      </c>
      <c r="AP277" s="41">
        <f t="shared" si="1259"/>
        <v>-0.92549931848468492</v>
      </c>
    </row>
    <row r="278" spans="2:42" ht="12.75" customHeight="1">
      <c r="B278" s="35" t="str">
        <f>+B145</f>
        <v>EBITDA/Interest</v>
      </c>
      <c r="C278" s="43">
        <f t="shared" ref="C278:K278" si="1264">(C267)/-C238</f>
        <v>5.7805967441358712</v>
      </c>
      <c r="D278" s="43">
        <f t="shared" si="1264"/>
        <v>3.4944186589010857</v>
      </c>
      <c r="E278" s="43">
        <f t="shared" si="1264"/>
        <v>3.1441426245354109</v>
      </c>
      <c r="F278" s="43">
        <f t="shared" si="1264"/>
        <v>3.322102752205474</v>
      </c>
      <c r="G278" s="43">
        <f t="shared" si="1264"/>
        <v>3.0536835993370803</v>
      </c>
      <c r="H278" s="43">
        <f t="shared" si="1264"/>
        <v>3.3516260569609964</v>
      </c>
      <c r="I278" s="43">
        <f t="shared" si="1264"/>
        <v>3.8656636899949448</v>
      </c>
      <c r="J278" s="43">
        <f t="shared" si="1264"/>
        <v>4.8565246244093583</v>
      </c>
      <c r="K278" s="43">
        <f t="shared" si="1264"/>
        <v>5.0365954097023007</v>
      </c>
      <c r="L278" s="43">
        <f>(L267)/-L238</f>
        <v>4.307786655335387</v>
      </c>
      <c r="M278" s="42"/>
      <c r="N278" s="204"/>
      <c r="O278" s="204"/>
      <c r="P278" s="204"/>
      <c r="Q278" s="43">
        <f t="shared" ref="Q278:AP278" si="1265">(Q267)/-SUM(N238:Q238)</f>
        <v>3.1441426245354109</v>
      </c>
      <c r="R278" s="43">
        <f t="shared" si="1265"/>
        <v>3.2121980214070609</v>
      </c>
      <c r="S278" s="43">
        <f t="shared" si="1265"/>
        <v>3.2497548008882129</v>
      </c>
      <c r="T278" s="43">
        <f t="shared" si="1265"/>
        <v>3.6384729092419739</v>
      </c>
      <c r="U278" s="43">
        <f t="shared" si="1265"/>
        <v>3.322102752205474</v>
      </c>
      <c r="V278" s="43">
        <f t="shared" si="1265"/>
        <v>3.2086061211621071</v>
      </c>
      <c r="W278" s="43">
        <f t="shared" si="1265"/>
        <v>3.141675183008235</v>
      </c>
      <c r="X278" s="43">
        <f t="shared" si="1265"/>
        <v>3.3961281412832793</v>
      </c>
      <c r="Y278" s="43">
        <f t="shared" si="1265"/>
        <v>3.0535848677668138</v>
      </c>
      <c r="Z278" s="43">
        <f t="shared" si="1265"/>
        <v>3.3178071953061092</v>
      </c>
      <c r="AA278" s="43">
        <f t="shared" si="1265"/>
        <v>3.1856134261337883</v>
      </c>
      <c r="AB278" s="43">
        <f t="shared" si="1265"/>
        <v>3.2958736537155415</v>
      </c>
      <c r="AC278" s="43">
        <f t="shared" si="1265"/>
        <v>3.3508721384646503</v>
      </c>
      <c r="AD278" s="43">
        <f t="shared" si="1265"/>
        <v>3.5266596816316089</v>
      </c>
      <c r="AE278" s="43">
        <f t="shared" si="1265"/>
        <v>3.5731985647594797</v>
      </c>
      <c r="AF278" s="43">
        <f t="shared" si="1265"/>
        <v>3.7396804993361799</v>
      </c>
      <c r="AG278" s="43">
        <f t="shared" si="1265"/>
        <v>3.8656636899949453</v>
      </c>
      <c r="AH278" s="43">
        <f t="shared" ref="AH278" si="1266">(AH267)/-SUM(AE238:AH238)</f>
        <v>4.1178085850866077</v>
      </c>
      <c r="AI278" s="43">
        <f t="shared" ref="AI278" si="1267">(AI267)/-SUM(AF238:AI238)</f>
        <v>4.4698365366980504</v>
      </c>
      <c r="AJ278" s="43">
        <f t="shared" ref="AJ278" si="1268">(AJ267)/-SUM(AG238:AJ238)</f>
        <v>4.6204280972588325</v>
      </c>
      <c r="AK278" s="43">
        <f t="shared" ref="AK278" si="1269">(AK267)/-SUM(AH238:AK238)</f>
        <v>4.8595870623514559</v>
      </c>
      <c r="AL278" s="43">
        <f t="shared" si="1265"/>
        <v>4.9422863128957486</v>
      </c>
      <c r="AM278" s="43">
        <f t="shared" si="1265"/>
        <v>5.0464365748554592</v>
      </c>
      <c r="AN278" s="43">
        <f t="shared" si="1265"/>
        <v>5.230066614650962</v>
      </c>
      <c r="AO278" s="43">
        <f>(AO267)/-SUM(AL238:AO238)</f>
        <v>5.0365954097023007</v>
      </c>
      <c r="AP278" s="43">
        <f t="shared" si="1265"/>
        <v>4.307786655335387</v>
      </c>
    </row>
    <row r="279" spans="2:42" ht="13.5" customHeight="1">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row>
    <row r="280" spans="2:42" s="39" customFormat="1" ht="13.5" customHeight="1">
      <c r="B280" s="74" t="str">
        <f>+B147</f>
        <v xml:space="preserve">Gearing (Net debt / Equity) </v>
      </c>
      <c r="C280" s="198">
        <f t="shared" ref="C280:E280" si="1270">C256/(C131*C$211)</f>
        <v>0.48026777059389358</v>
      </c>
      <c r="D280" s="198">
        <f t="shared" si="1270"/>
        <v>0.60293430076468002</v>
      </c>
      <c r="E280" s="198">
        <f t="shared" si="1270"/>
        <v>0.57646821640490153</v>
      </c>
      <c r="F280" s="198">
        <f t="shared" ref="F280:J280" si="1271">F256/F260</f>
        <v>0.64938645552247842</v>
      </c>
      <c r="G280" s="198">
        <f t="shared" si="1271"/>
        <v>0.33164221011742873</v>
      </c>
      <c r="H280" s="198">
        <f t="shared" si="1271"/>
        <v>0.48365209772750645</v>
      </c>
      <c r="I280" s="198">
        <f t="shared" si="1271"/>
        <v>0.16683696697918474</v>
      </c>
      <c r="J280" s="198">
        <f t="shared" si="1271"/>
        <v>0.25545448601378551</v>
      </c>
      <c r="K280" s="198">
        <f t="shared" ref="K280" si="1272">K256/K260</f>
        <v>0.34200849792692462</v>
      </c>
      <c r="L280" s="198">
        <f>L256/L260</f>
        <v>0.3396413353579209</v>
      </c>
      <c r="M280" s="199"/>
      <c r="N280" s="205"/>
      <c r="O280" s="205"/>
      <c r="P280" s="205"/>
      <c r="Q280" s="198">
        <f t="shared" ref="Q280:W280" si="1273">Q256/(Q131*Q$211)</f>
        <v>0.57646821640490153</v>
      </c>
      <c r="R280" s="198">
        <f t="shared" si="1273"/>
        <v>0.66640036285584459</v>
      </c>
      <c r="S280" s="198">
        <f t="shared" si="1273"/>
        <v>0.67788054536299625</v>
      </c>
      <c r="T280" s="198">
        <f t="shared" si="1273"/>
        <v>0.66160842477548809</v>
      </c>
      <c r="U280" s="198">
        <f t="shared" si="1273"/>
        <v>0.64938645552247842</v>
      </c>
      <c r="V280" s="198">
        <f t="shared" si="1273"/>
        <v>0.69424905533361103</v>
      </c>
      <c r="W280" s="198">
        <f t="shared" si="1273"/>
        <v>0.38577606754386196</v>
      </c>
      <c r="X280" s="198">
        <f t="shared" ref="X280:AA280" si="1274">X256/(X131*X$211)</f>
        <v>0.39810934351528815</v>
      </c>
      <c r="Y280" s="198">
        <f t="shared" si="1274"/>
        <v>0.33164221011742873</v>
      </c>
      <c r="Z280" s="198">
        <f t="shared" si="1274"/>
        <v>0.40903521693903105</v>
      </c>
      <c r="AA280" s="198">
        <f t="shared" si="1274"/>
        <v>0.42661668040023276</v>
      </c>
      <c r="AB280" s="198">
        <f t="shared" ref="AB280:AC280" si="1275">AB256/(AB131*AB$211)</f>
        <v>0.42598829635744834</v>
      </c>
      <c r="AC280" s="198">
        <f t="shared" si="1275"/>
        <v>0.48365209772750645</v>
      </c>
      <c r="AD280" s="198">
        <f t="shared" ref="AD280:AG280" si="1276">AD256/(AD131*AD$211)</f>
        <v>0.50738948215670476</v>
      </c>
      <c r="AE280" s="198">
        <f t="shared" si="1276"/>
        <v>0.50489448655143021</v>
      </c>
      <c r="AF280" s="198">
        <f t="shared" si="1276"/>
        <v>0.23461747316613821</v>
      </c>
      <c r="AG280" s="198">
        <f t="shared" si="1276"/>
        <v>0.16683696697918474</v>
      </c>
      <c r="AH280" s="198">
        <f t="shared" ref="AH280:AK280" si="1277">AH256/AH260</f>
        <v>0.18446477562798805</v>
      </c>
      <c r="AI280" s="198">
        <f t="shared" si="1277"/>
        <v>0.20198582766759265</v>
      </c>
      <c r="AJ280" s="198">
        <f t="shared" si="1277"/>
        <v>0.21069077734062694</v>
      </c>
      <c r="AK280" s="198">
        <f t="shared" si="1277"/>
        <v>0.25545448601378551</v>
      </c>
      <c r="AL280" s="198">
        <f t="shared" ref="AL280:AN280" si="1278">AL256/AL260</f>
        <v>0.30039617393250245</v>
      </c>
      <c r="AM280" s="198">
        <f t="shared" si="1278"/>
        <v>0.32857536078015021</v>
      </c>
      <c r="AN280" s="198">
        <f t="shared" si="1278"/>
        <v>0.33411621149919846</v>
      </c>
      <c r="AO280" s="198">
        <f>AO256/AO260</f>
        <v>0.34200849792692462</v>
      </c>
      <c r="AP280" s="198">
        <f>AP256/AP260</f>
        <v>0.3396413353579209</v>
      </c>
    </row>
    <row r="281" spans="2:42" ht="13.5" customHeight="1">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D281" s="36"/>
      <c r="AE281" s="36"/>
      <c r="AF281" s="36"/>
      <c r="AH281" s="36"/>
      <c r="AI281" s="36"/>
      <c r="AL281" s="36"/>
      <c r="AM281" s="36"/>
      <c r="AP281" s="36"/>
    </row>
    <row r="282" spans="2:42" ht="13.5" customHeight="1">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D282" s="16"/>
      <c r="AE282" s="16"/>
      <c r="AF282" s="16"/>
      <c r="AH282" s="16"/>
      <c r="AI282" s="16"/>
      <c r="AL282" s="16"/>
      <c r="AM282" s="16"/>
      <c r="AP282" s="16"/>
    </row>
  </sheetData>
  <pageMargins left="0.7" right="0.7" top="0.75" bottom="0.75" header="0.3" footer="0.3"/>
  <pageSetup orientation="portrait" horizontalDpi="90" verticalDpi="90" r:id="rId1"/>
  <headerFooter>
    <oddFooter>&amp;C_x000D_&amp;1#&amp;"Aptos"&amp;10&amp;K000000 Barings-Corporate</oddFooter>
  </headerFooter>
  <ignoredErrors>
    <ignoredError sqref="E100:F100 N100:V100" formula="1"/>
    <ignoredError sqref="E30:F30 V30 V10 V34 E34:F34 U11 U16:U17 U22 U29 Q11 Q16:Q17 Q22 Q29 N18:V18 E18:F21 E10:F10 E14:F15 N14:V15 N10:T10 N19:V21 Q27 U27" evalError="1"/>
    <ignoredError sqref="U10 U31 U32 Q31 Q32 N30:U30 N34:U34" evalError="1"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A5E4C-25DD-4B54-9B90-50B6BF804F24}">
  <dimension ref="B2:Y21"/>
  <sheetViews>
    <sheetView showGridLines="0" zoomScaleNormal="100" workbookViewId="0">
      <pane xSplit="2" ySplit="6" topLeftCell="G7" activePane="bottomRight" state="frozen"/>
      <selection pane="bottomRight" activeCell="V2" sqref="V2"/>
      <selection pane="bottomLeft" activeCell="O19" sqref="O19"/>
      <selection pane="topRight" activeCell="O19" sqref="O19"/>
    </sheetView>
  </sheetViews>
  <sheetFormatPr defaultRowHeight="12.75"/>
  <cols>
    <col min="1" max="1" width="2.7109375" customWidth="1"/>
    <col min="2" max="2" width="50.7109375" customWidth="1"/>
    <col min="3" max="46" width="12.7109375" customWidth="1"/>
  </cols>
  <sheetData>
    <row r="2" spans="2:25" ht="21">
      <c r="B2" s="104" t="s">
        <v>149</v>
      </c>
      <c r="C2" s="102" t="s">
        <v>150</v>
      </c>
      <c r="D2" s="102" t="s">
        <v>150</v>
      </c>
      <c r="F2" s="103" t="s">
        <v>152</v>
      </c>
      <c r="G2" s="103" t="s">
        <v>152</v>
      </c>
      <c r="H2" s="103" t="s">
        <v>152</v>
      </c>
      <c r="I2" s="102" t="s">
        <v>152</v>
      </c>
      <c r="J2" s="103" t="s">
        <v>152</v>
      </c>
      <c r="K2" s="103" t="s">
        <v>152</v>
      </c>
      <c r="L2" s="103" t="s">
        <v>152</v>
      </c>
      <c r="M2" s="102" t="s">
        <v>152</v>
      </c>
      <c r="N2" s="103" t="s">
        <v>152</v>
      </c>
    </row>
    <row r="3" spans="2:25">
      <c r="B3" s="58" t="s">
        <v>153</v>
      </c>
      <c r="C3" s="57">
        <v>45657</v>
      </c>
      <c r="D3" s="57">
        <v>46022</v>
      </c>
      <c r="F3" s="57">
        <v>45382</v>
      </c>
      <c r="G3" s="57">
        <v>45473</v>
      </c>
      <c r="H3" s="57">
        <v>45565</v>
      </c>
      <c r="I3" s="57">
        <v>45657</v>
      </c>
      <c r="J3" s="57">
        <v>45747</v>
      </c>
      <c r="K3" s="57">
        <v>45838</v>
      </c>
      <c r="L3" s="57">
        <v>45930</v>
      </c>
      <c r="M3" s="57">
        <v>46022</v>
      </c>
      <c r="N3" s="57">
        <v>46112</v>
      </c>
    </row>
    <row r="4" spans="2:25">
      <c r="B4" s="65"/>
      <c r="C4" s="57" t="s">
        <v>154</v>
      </c>
      <c r="D4" s="57" t="s">
        <v>154</v>
      </c>
      <c r="F4" s="57" t="s">
        <v>154</v>
      </c>
      <c r="G4" s="57" t="s">
        <v>154</v>
      </c>
      <c r="H4" s="57" t="s">
        <v>154</v>
      </c>
      <c r="I4" s="57" t="s">
        <v>154</v>
      </c>
      <c r="J4" s="57" t="s">
        <v>154</v>
      </c>
      <c r="K4" s="57" t="s">
        <v>154</v>
      </c>
      <c r="L4" s="57" t="s">
        <v>154</v>
      </c>
      <c r="M4" s="57" t="s">
        <v>154</v>
      </c>
      <c r="N4" s="57" t="s">
        <v>154</v>
      </c>
    </row>
    <row r="5" spans="2:25">
      <c r="B5" s="99"/>
      <c r="F5" s="101" t="s">
        <v>156</v>
      </c>
      <c r="G5" s="101" t="s">
        <v>157</v>
      </c>
      <c r="H5" s="101" t="s">
        <v>158</v>
      </c>
      <c r="I5" s="100" t="s">
        <v>159</v>
      </c>
      <c r="J5" s="101" t="s">
        <v>156</v>
      </c>
      <c r="K5" s="101" t="s">
        <v>157</v>
      </c>
      <c r="L5" s="101" t="s">
        <v>158</v>
      </c>
      <c r="M5" s="100" t="s">
        <v>159</v>
      </c>
      <c r="N5" s="101" t="s">
        <v>156</v>
      </c>
    </row>
    <row r="6" spans="2:25">
      <c r="B6" s="138"/>
      <c r="C6" s="139"/>
      <c r="D6" s="139"/>
      <c r="F6" s="140"/>
      <c r="G6" s="140"/>
      <c r="H6" s="140"/>
      <c r="I6" s="141"/>
      <c r="J6" s="140"/>
      <c r="K6" s="140"/>
      <c r="L6" s="140"/>
      <c r="M6" s="141"/>
      <c r="N6" s="140"/>
    </row>
    <row r="7" spans="2:25">
      <c r="B7" s="99"/>
      <c r="F7" s="101"/>
      <c r="G7" s="101"/>
      <c r="H7" s="101"/>
      <c r="I7" s="100"/>
      <c r="J7" s="101"/>
      <c r="K7" s="101"/>
      <c r="L7" s="101"/>
      <c r="M7" s="100"/>
      <c r="N7" s="101"/>
    </row>
    <row r="8" spans="2:25" s="157" customFormat="1">
      <c r="B8" s="136" t="s">
        <v>269</v>
      </c>
      <c r="C8" s="156">
        <v>252.3</v>
      </c>
      <c r="D8" s="156">
        <v>283.2</v>
      </c>
      <c r="E8"/>
      <c r="F8" s="156">
        <v>60.589657000000003</v>
      </c>
      <c r="G8" s="156">
        <v>63</v>
      </c>
      <c r="H8" s="156">
        <v>63.7</v>
      </c>
      <c r="I8" s="156">
        <v>65.2</v>
      </c>
      <c r="J8" s="156">
        <v>67.063658000000004</v>
      </c>
      <c r="K8" s="156">
        <v>67.3</v>
      </c>
      <c r="L8" s="156">
        <v>72.400000000000006</v>
      </c>
      <c r="M8" s="156">
        <v>76.400000000000006</v>
      </c>
      <c r="N8" s="156">
        <v>76.749154000000004</v>
      </c>
    </row>
    <row r="9" spans="2:25">
      <c r="B9" s="134"/>
      <c r="C9" s="178"/>
      <c r="D9" s="178"/>
      <c r="F9" s="178"/>
      <c r="G9" s="178"/>
      <c r="H9" s="178"/>
      <c r="I9" s="178"/>
      <c r="J9" s="178"/>
      <c r="K9" s="178"/>
      <c r="L9" s="178"/>
      <c r="M9" s="178"/>
      <c r="N9" s="178"/>
      <c r="O9" s="134"/>
      <c r="P9" s="134"/>
      <c r="Q9" s="134"/>
      <c r="R9" s="134"/>
      <c r="S9" s="134"/>
      <c r="T9" s="134"/>
    </row>
    <row r="10" spans="2:25" s="157" customFormat="1">
      <c r="B10" s="136" t="s">
        <v>270</v>
      </c>
      <c r="C10" s="156"/>
      <c r="D10" s="156"/>
      <c r="E10"/>
      <c r="F10" s="156"/>
      <c r="G10" s="156"/>
      <c r="H10" s="156"/>
      <c r="I10" s="156"/>
      <c r="J10" s="156"/>
      <c r="K10" s="156"/>
      <c r="L10" s="156"/>
      <c r="M10" s="156"/>
      <c r="N10" s="156"/>
    </row>
    <row r="11" spans="2:25">
      <c r="B11" s="134" t="s">
        <v>271</v>
      </c>
      <c r="C11" s="16">
        <f>SUM(C12:C13)</f>
        <v>-21.2</v>
      </c>
      <c r="D11" s="16">
        <f>SUM(D12:D13)</f>
        <v>-24.1</v>
      </c>
      <c r="F11" s="16">
        <f t="shared" ref="F11:M11" si="0">SUM(F12:F13)</f>
        <v>-3.786225</v>
      </c>
      <c r="G11" s="16">
        <f t="shared" si="0"/>
        <v>-5.3</v>
      </c>
      <c r="H11" s="16">
        <f t="shared" si="0"/>
        <v>-5.7</v>
      </c>
      <c r="I11" s="16">
        <f t="shared" si="0"/>
        <v>-6.3</v>
      </c>
      <c r="J11" s="16">
        <f t="shared" si="0"/>
        <v>-4.445843</v>
      </c>
      <c r="K11" s="16">
        <f t="shared" si="0"/>
        <v>-5.6</v>
      </c>
      <c r="L11" s="16">
        <f t="shared" si="0"/>
        <v>-7.1999999999999993</v>
      </c>
      <c r="M11" s="16">
        <f t="shared" si="0"/>
        <v>-6.8</v>
      </c>
      <c r="N11" s="16">
        <f t="shared" ref="N11" si="1">SUM(N12:N13)</f>
        <v>-6.1706510000000003</v>
      </c>
    </row>
    <row r="12" spans="2:25">
      <c r="B12" s="135" t="s">
        <v>272</v>
      </c>
      <c r="C12" s="179">
        <v>-13.2</v>
      </c>
      <c r="D12" s="179">
        <v>-14.2</v>
      </c>
      <c r="F12" s="179">
        <v>-2.365872</v>
      </c>
      <c r="G12" s="179">
        <v>-3.3</v>
      </c>
      <c r="H12" s="179">
        <v>-3.5</v>
      </c>
      <c r="I12" s="180">
        <v>-4</v>
      </c>
      <c r="J12" s="179">
        <v>-2.7791839999999999</v>
      </c>
      <c r="K12" s="179">
        <v>-3.6</v>
      </c>
      <c r="L12" s="179">
        <v>-3.9</v>
      </c>
      <c r="M12" s="179">
        <v>-4</v>
      </c>
      <c r="N12" s="179">
        <v>-3.6333350000000002</v>
      </c>
      <c r="P12" s="142"/>
    </row>
    <row r="13" spans="2:25">
      <c r="B13" s="135" t="s">
        <v>273</v>
      </c>
      <c r="C13" s="179">
        <v>-8</v>
      </c>
      <c r="D13" s="179">
        <v>-9.9</v>
      </c>
      <c r="E13" s="178"/>
      <c r="F13" s="179">
        <v>-1.420353</v>
      </c>
      <c r="G13" s="179">
        <v>-2</v>
      </c>
      <c r="H13" s="179">
        <v>-2.2000000000000002</v>
      </c>
      <c r="I13" s="180">
        <v>-2.2999999999999998</v>
      </c>
      <c r="J13" s="179">
        <v>-1.6666589999999999</v>
      </c>
      <c r="K13" s="179">
        <v>-2</v>
      </c>
      <c r="L13" s="179">
        <v>-3.3</v>
      </c>
      <c r="M13" s="179">
        <v>-2.8</v>
      </c>
      <c r="N13" s="179">
        <v>-2.5373160000000001</v>
      </c>
    </row>
    <row r="14" spans="2:25">
      <c r="B14" s="134" t="s">
        <v>274</v>
      </c>
      <c r="C14" s="179">
        <v>-3.3</v>
      </c>
      <c r="D14" s="179">
        <v>-4.2</v>
      </c>
      <c r="E14" s="178"/>
      <c r="F14" s="179">
        <v>-0.71702999999999995</v>
      </c>
      <c r="G14" s="179">
        <v>-0.85</v>
      </c>
      <c r="H14" s="179">
        <v>-0.81</v>
      </c>
      <c r="I14" s="180">
        <v>-1.1100000000000001</v>
      </c>
      <c r="J14" s="179">
        <v>-0.75869900000000001</v>
      </c>
      <c r="K14" s="179">
        <v>-0.92</v>
      </c>
      <c r="L14" s="179">
        <v>-1.01</v>
      </c>
      <c r="M14" s="179">
        <v>-1.48</v>
      </c>
      <c r="N14" s="179">
        <v>-1.2578009999999999</v>
      </c>
    </row>
    <row r="15" spans="2:25">
      <c r="B15" s="134"/>
      <c r="C15" s="178"/>
      <c r="D15" s="178"/>
      <c r="E15" s="178"/>
      <c r="F15" s="178"/>
      <c r="G15" s="178"/>
      <c r="H15" s="178"/>
      <c r="I15" s="178"/>
      <c r="J15" s="178"/>
      <c r="K15" s="178"/>
      <c r="L15" s="178"/>
      <c r="M15" s="178"/>
      <c r="N15" s="178"/>
      <c r="O15" s="134"/>
      <c r="P15" s="146"/>
      <c r="Q15" s="134"/>
      <c r="R15" s="134"/>
      <c r="S15" s="134"/>
      <c r="T15" s="134"/>
      <c r="U15" s="134"/>
      <c r="V15" s="134"/>
      <c r="W15" s="134"/>
      <c r="X15" s="134"/>
      <c r="Y15" s="134"/>
    </row>
    <row r="16" spans="2:25" s="157" customFormat="1">
      <c r="B16" s="136" t="s">
        <v>275</v>
      </c>
      <c r="C16" s="156">
        <v>231.5</v>
      </c>
      <c r="D16" s="156">
        <f>(SUM(D8,D11,D14))</f>
        <v>254.89999999999998</v>
      </c>
      <c r="E16" s="177"/>
      <c r="F16" s="156">
        <f>(SUM(F8,F11,F14))</f>
        <v>56.086402</v>
      </c>
      <c r="G16" s="156">
        <f>(SUM(G8,G11,G14))</f>
        <v>56.85</v>
      </c>
      <c r="H16" s="156">
        <v>57.6</v>
      </c>
      <c r="I16" s="156">
        <v>59.3</v>
      </c>
      <c r="J16" s="156">
        <f>(SUM(J8,J11,J14))</f>
        <v>61.859116000000007</v>
      </c>
      <c r="K16" s="156">
        <f>(SUM(K8,K11,K14))</f>
        <v>60.779999999999994</v>
      </c>
      <c r="L16" s="156">
        <v>66.099999999999994</v>
      </c>
      <c r="M16" s="156">
        <v>69.400000000000006</v>
      </c>
      <c r="N16" s="156">
        <v>70.406116999999995</v>
      </c>
      <c r="P16" s="146"/>
    </row>
    <row r="17" spans="2:24">
      <c r="B17" s="134"/>
      <c r="C17" s="178"/>
      <c r="D17" s="178"/>
      <c r="E17" s="178"/>
      <c r="F17" s="178"/>
      <c r="G17" s="178"/>
      <c r="H17" s="178"/>
      <c r="I17" s="178"/>
      <c r="J17" s="178"/>
      <c r="K17" s="178"/>
      <c r="L17" s="178"/>
      <c r="M17" s="178"/>
      <c r="N17" s="178"/>
      <c r="O17" s="134"/>
      <c r="P17" s="146"/>
      <c r="Q17" s="134"/>
      <c r="R17" s="134"/>
      <c r="S17" s="134"/>
      <c r="T17" s="134"/>
      <c r="U17" s="134"/>
      <c r="V17" s="134"/>
      <c r="W17" s="134"/>
      <c r="X17" s="134"/>
    </row>
    <row r="18" spans="2:24">
      <c r="B18" s="134" t="s">
        <v>276</v>
      </c>
      <c r="C18" s="179">
        <v>-32.799999999999997</v>
      </c>
      <c r="D18" s="179">
        <v>-33.799999999999997</v>
      </c>
      <c r="E18" s="178"/>
      <c r="F18" s="179">
        <v>-8.2291559999999997</v>
      </c>
      <c r="G18" s="179">
        <v>-9</v>
      </c>
      <c r="H18" s="179">
        <v>-7</v>
      </c>
      <c r="I18" s="180">
        <v>-8.5</v>
      </c>
      <c r="J18" s="179">
        <v>-8.2879489999999993</v>
      </c>
      <c r="K18" s="179">
        <v>-8.2879489999999993</v>
      </c>
      <c r="L18" s="179">
        <v>-7.8</v>
      </c>
      <c r="M18" s="179">
        <v>-9.3000000000000007</v>
      </c>
      <c r="N18" s="179">
        <v>-9.3038349999999994</v>
      </c>
    </row>
    <row r="19" spans="2:24">
      <c r="B19" s="134" t="s">
        <v>277</v>
      </c>
      <c r="C19" s="179">
        <v>9</v>
      </c>
      <c r="D19" s="179">
        <v>9.6</v>
      </c>
      <c r="E19" s="178"/>
      <c r="F19" s="179">
        <v>2.1469130000000001</v>
      </c>
      <c r="G19" s="179">
        <v>2.7</v>
      </c>
      <c r="H19" s="179">
        <v>2.1</v>
      </c>
      <c r="I19" s="180">
        <v>2</v>
      </c>
      <c r="J19" s="179">
        <v>2.196456</v>
      </c>
      <c r="K19" s="179">
        <v>2.4</v>
      </c>
      <c r="L19" s="179">
        <v>2.5</v>
      </c>
      <c r="M19" s="179">
        <v>2.5</v>
      </c>
      <c r="N19" s="179">
        <v>2.248176</v>
      </c>
    </row>
    <row r="20" spans="2:24">
      <c r="B20" s="134" t="s">
        <v>172</v>
      </c>
      <c r="C20" s="179">
        <v>-1.4</v>
      </c>
      <c r="D20" s="179">
        <v>-1.7</v>
      </c>
      <c r="E20" s="178"/>
      <c r="F20" s="179">
        <v>-0.32763900000000001</v>
      </c>
      <c r="G20" s="179">
        <v>-0.1</v>
      </c>
      <c r="H20" s="179">
        <v>-0.4</v>
      </c>
      <c r="I20" s="180">
        <v>-0.5</v>
      </c>
      <c r="J20" s="179">
        <v>-0.63665300000000002</v>
      </c>
      <c r="K20" s="179">
        <v>-0.1</v>
      </c>
      <c r="L20" s="179">
        <v>-0.5</v>
      </c>
      <c r="M20" s="179">
        <v>-0.5</v>
      </c>
      <c r="N20" s="179">
        <v>-0.47129599999999999</v>
      </c>
    </row>
    <row r="21" spans="2:24">
      <c r="B21" s="136" t="s">
        <v>220</v>
      </c>
      <c r="C21" s="68">
        <v>204.4</v>
      </c>
      <c r="D21" s="68">
        <v>231.1</v>
      </c>
      <c r="E21" s="134"/>
      <c r="F21" s="68">
        <v>50.578088999999999</v>
      </c>
      <c r="G21" s="68">
        <f>SUM(G18:G20)+G16-0.1</f>
        <v>50.35</v>
      </c>
      <c r="H21" s="68">
        <v>51.9</v>
      </c>
      <c r="I21" s="68">
        <v>51.7</v>
      </c>
      <c r="J21" s="68">
        <v>55.258372000000001</v>
      </c>
      <c r="K21" s="68">
        <f>SUM(K18:K20)+K16+0.2</f>
        <v>54.992050999999996</v>
      </c>
      <c r="L21" s="68">
        <v>59.7</v>
      </c>
      <c r="M21" s="68">
        <v>61.1</v>
      </c>
      <c r="N21" s="68">
        <v>62.092657000000003</v>
      </c>
    </row>
  </sheetData>
  <pageMargins left="0.7" right="0.7" top="0.75" bottom="0.75" header="0.3" footer="0.3"/>
  <headerFooter>
    <oddFooter>&amp;C_x000D_&amp;1#&amp;"Aptos"&amp;10&amp;K000000 Barings-Corporate</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111"/>
  <sheetViews>
    <sheetView showGridLines="0" zoomScaleNormal="100" workbookViewId="0">
      <pane xSplit="2" ySplit="6" topLeftCell="I7" activePane="bottomRight" state="frozen"/>
      <selection pane="bottomRight" activeCell="AS2" sqref="AS2"/>
      <selection pane="bottomLeft" activeCell="O19" sqref="O19"/>
      <selection pane="topRight" activeCell="O19" sqref="O19"/>
    </sheetView>
  </sheetViews>
  <sheetFormatPr defaultRowHeight="12.75" outlineLevelCol="1"/>
  <cols>
    <col min="1" max="1" width="2.7109375" style="35" customWidth="1"/>
    <col min="2" max="2" width="50.7109375" style="35" customWidth="1"/>
    <col min="3" max="5" width="12.7109375" style="35" hidden="1" customWidth="1" outlineLevel="1"/>
    <col min="6" max="7" width="12.7109375" style="35" hidden="1" customWidth="1" outlineLevel="1" collapsed="1"/>
    <col min="8" max="8" width="12.7109375" style="35" hidden="1" customWidth="1" outlineLevel="1"/>
    <col min="9" max="9" width="12.7109375" style="35" customWidth="1" collapsed="1"/>
    <col min="10" max="13" width="12.7109375" style="35" customWidth="1"/>
    <col min="14" max="17" width="12.7109375" style="35" hidden="1" customWidth="1" outlineLevel="1"/>
    <col min="18" max="18" width="12.7109375" style="35" hidden="1" customWidth="1" outlineLevel="1" collapsed="1"/>
    <col min="19" max="25" width="12.7109375" style="35" hidden="1" customWidth="1" outlineLevel="1"/>
    <col min="26" max="27" width="12.7109375" style="35" hidden="1" customWidth="1" outlineLevel="1" collapsed="1"/>
    <col min="28" max="33" width="12.7109375" style="35" hidden="1" customWidth="1" outlineLevel="1"/>
    <col min="34" max="34" width="12.7109375" style="35" customWidth="1" collapsed="1"/>
    <col min="35" max="48" width="12.7109375" style="35" customWidth="1"/>
    <col min="49" max="268" width="9.140625" style="35"/>
    <col min="269" max="269" width="2.5703125" style="35" customWidth="1"/>
    <col min="270" max="270" width="29.42578125" style="35" customWidth="1"/>
    <col min="271" max="275" width="11.42578125" style="35" customWidth="1"/>
    <col min="276" max="276" width="6.140625" style="35" customWidth="1"/>
    <col min="277" max="280" width="11.42578125" style="35" customWidth="1"/>
    <col min="281" max="524" width="9.140625" style="35"/>
    <col min="525" max="525" width="2.5703125" style="35" customWidth="1"/>
    <col min="526" max="526" width="29.42578125" style="35" customWidth="1"/>
    <col min="527" max="531" width="11.42578125" style="35" customWidth="1"/>
    <col min="532" max="532" width="6.140625" style="35" customWidth="1"/>
    <col min="533" max="536" width="11.42578125" style="35" customWidth="1"/>
    <col min="537" max="780" width="9.140625" style="35"/>
    <col min="781" max="781" width="2.5703125" style="35" customWidth="1"/>
    <col min="782" max="782" width="29.42578125" style="35" customWidth="1"/>
    <col min="783" max="787" width="11.42578125" style="35" customWidth="1"/>
    <col min="788" max="788" width="6.140625" style="35" customWidth="1"/>
    <col min="789" max="792" width="11.42578125" style="35" customWidth="1"/>
    <col min="793" max="1036" width="9.140625" style="35"/>
    <col min="1037" max="1037" width="2.5703125" style="35" customWidth="1"/>
    <col min="1038" max="1038" width="29.42578125" style="35" customWidth="1"/>
    <col min="1039" max="1043" width="11.42578125" style="35" customWidth="1"/>
    <col min="1044" max="1044" width="6.140625" style="35" customWidth="1"/>
    <col min="1045" max="1048" width="11.42578125" style="35" customWidth="1"/>
    <col min="1049" max="1292" width="9.140625" style="35"/>
    <col min="1293" max="1293" width="2.5703125" style="35" customWidth="1"/>
    <col min="1294" max="1294" width="29.42578125" style="35" customWidth="1"/>
    <col min="1295" max="1299" width="11.42578125" style="35" customWidth="1"/>
    <col min="1300" max="1300" width="6.140625" style="35" customWidth="1"/>
    <col min="1301" max="1304" width="11.42578125" style="35" customWidth="1"/>
    <col min="1305" max="1548" width="9.140625" style="35"/>
    <col min="1549" max="1549" width="2.5703125" style="35" customWidth="1"/>
    <col min="1550" max="1550" width="29.42578125" style="35" customWidth="1"/>
    <col min="1551" max="1555" width="11.42578125" style="35" customWidth="1"/>
    <col min="1556" max="1556" width="6.140625" style="35" customWidth="1"/>
    <col min="1557" max="1560" width="11.42578125" style="35" customWidth="1"/>
    <col min="1561" max="1804" width="9.140625" style="35"/>
    <col min="1805" max="1805" width="2.5703125" style="35" customWidth="1"/>
    <col min="1806" max="1806" width="29.42578125" style="35" customWidth="1"/>
    <col min="1807" max="1811" width="11.42578125" style="35" customWidth="1"/>
    <col min="1812" max="1812" width="6.140625" style="35" customWidth="1"/>
    <col min="1813" max="1816" width="11.42578125" style="35" customWidth="1"/>
    <col min="1817" max="2060" width="9.140625" style="35"/>
    <col min="2061" max="2061" width="2.5703125" style="35" customWidth="1"/>
    <col min="2062" max="2062" width="29.42578125" style="35" customWidth="1"/>
    <col min="2063" max="2067" width="11.42578125" style="35" customWidth="1"/>
    <col min="2068" max="2068" width="6.140625" style="35" customWidth="1"/>
    <col min="2069" max="2072" width="11.42578125" style="35" customWidth="1"/>
    <col min="2073" max="2316" width="9.140625" style="35"/>
    <col min="2317" max="2317" width="2.5703125" style="35" customWidth="1"/>
    <col min="2318" max="2318" width="29.42578125" style="35" customWidth="1"/>
    <col min="2319" max="2323" width="11.42578125" style="35" customWidth="1"/>
    <col min="2324" max="2324" width="6.140625" style="35" customWidth="1"/>
    <col min="2325" max="2328" width="11.42578125" style="35" customWidth="1"/>
    <col min="2329" max="2572" width="9.140625" style="35"/>
    <col min="2573" max="2573" width="2.5703125" style="35" customWidth="1"/>
    <col min="2574" max="2574" width="29.42578125" style="35" customWidth="1"/>
    <col min="2575" max="2579" width="11.42578125" style="35" customWidth="1"/>
    <col min="2580" max="2580" width="6.140625" style="35" customWidth="1"/>
    <col min="2581" max="2584" width="11.42578125" style="35" customWidth="1"/>
    <col min="2585" max="2828" width="9.140625" style="35"/>
    <col min="2829" max="2829" width="2.5703125" style="35" customWidth="1"/>
    <col min="2830" max="2830" width="29.42578125" style="35" customWidth="1"/>
    <col min="2831" max="2835" width="11.42578125" style="35" customWidth="1"/>
    <col min="2836" max="2836" width="6.140625" style="35" customWidth="1"/>
    <col min="2837" max="2840" width="11.42578125" style="35" customWidth="1"/>
    <col min="2841" max="3084" width="9.140625" style="35"/>
    <col min="3085" max="3085" width="2.5703125" style="35" customWidth="1"/>
    <col min="3086" max="3086" width="29.42578125" style="35" customWidth="1"/>
    <col min="3087" max="3091" width="11.42578125" style="35" customWidth="1"/>
    <col min="3092" max="3092" width="6.140625" style="35" customWidth="1"/>
    <col min="3093" max="3096" width="11.42578125" style="35" customWidth="1"/>
    <col min="3097" max="3340" width="9.140625" style="35"/>
    <col min="3341" max="3341" width="2.5703125" style="35" customWidth="1"/>
    <col min="3342" max="3342" width="29.42578125" style="35" customWidth="1"/>
    <col min="3343" max="3347" width="11.42578125" style="35" customWidth="1"/>
    <col min="3348" max="3348" width="6.140625" style="35" customWidth="1"/>
    <col min="3349" max="3352" width="11.42578125" style="35" customWidth="1"/>
    <col min="3353" max="3596" width="9.140625" style="35"/>
    <col min="3597" max="3597" width="2.5703125" style="35" customWidth="1"/>
    <col min="3598" max="3598" width="29.42578125" style="35" customWidth="1"/>
    <col min="3599" max="3603" width="11.42578125" style="35" customWidth="1"/>
    <col min="3604" max="3604" width="6.140625" style="35" customWidth="1"/>
    <col min="3605" max="3608" width="11.42578125" style="35" customWidth="1"/>
    <col min="3609" max="3852" width="9.140625" style="35"/>
    <col min="3853" max="3853" width="2.5703125" style="35" customWidth="1"/>
    <col min="3854" max="3854" width="29.42578125" style="35" customWidth="1"/>
    <col min="3855" max="3859" width="11.42578125" style="35" customWidth="1"/>
    <col min="3860" max="3860" width="6.140625" style="35" customWidth="1"/>
    <col min="3861" max="3864" width="11.42578125" style="35" customWidth="1"/>
    <col min="3865" max="4108" width="9.140625" style="35"/>
    <col min="4109" max="4109" width="2.5703125" style="35" customWidth="1"/>
    <col min="4110" max="4110" width="29.42578125" style="35" customWidth="1"/>
    <col min="4111" max="4115" width="11.42578125" style="35" customWidth="1"/>
    <col min="4116" max="4116" width="6.140625" style="35" customWidth="1"/>
    <col min="4117" max="4120" width="11.42578125" style="35" customWidth="1"/>
    <col min="4121" max="4364" width="9.140625" style="35"/>
    <col min="4365" max="4365" width="2.5703125" style="35" customWidth="1"/>
    <col min="4366" max="4366" width="29.42578125" style="35" customWidth="1"/>
    <col min="4367" max="4371" width="11.42578125" style="35" customWidth="1"/>
    <col min="4372" max="4372" width="6.140625" style="35" customWidth="1"/>
    <col min="4373" max="4376" width="11.42578125" style="35" customWidth="1"/>
    <col min="4377" max="4620" width="9.140625" style="35"/>
    <col min="4621" max="4621" width="2.5703125" style="35" customWidth="1"/>
    <col min="4622" max="4622" width="29.42578125" style="35" customWidth="1"/>
    <col min="4623" max="4627" width="11.42578125" style="35" customWidth="1"/>
    <col min="4628" max="4628" width="6.140625" style="35" customWidth="1"/>
    <col min="4629" max="4632" width="11.42578125" style="35" customWidth="1"/>
    <col min="4633" max="4876" width="9.140625" style="35"/>
    <col min="4877" max="4877" width="2.5703125" style="35" customWidth="1"/>
    <col min="4878" max="4878" width="29.42578125" style="35" customWidth="1"/>
    <col min="4879" max="4883" width="11.42578125" style="35" customWidth="1"/>
    <col min="4884" max="4884" width="6.140625" style="35" customWidth="1"/>
    <col min="4885" max="4888" width="11.42578125" style="35" customWidth="1"/>
    <col min="4889" max="5132" width="9.140625" style="35"/>
    <col min="5133" max="5133" width="2.5703125" style="35" customWidth="1"/>
    <col min="5134" max="5134" width="29.42578125" style="35" customWidth="1"/>
    <col min="5135" max="5139" width="11.42578125" style="35" customWidth="1"/>
    <col min="5140" max="5140" width="6.140625" style="35" customWidth="1"/>
    <col min="5141" max="5144" width="11.42578125" style="35" customWidth="1"/>
    <col min="5145" max="5388" width="9.140625" style="35"/>
    <col min="5389" max="5389" width="2.5703125" style="35" customWidth="1"/>
    <col min="5390" max="5390" width="29.42578125" style="35" customWidth="1"/>
    <col min="5391" max="5395" width="11.42578125" style="35" customWidth="1"/>
    <col min="5396" max="5396" width="6.140625" style="35" customWidth="1"/>
    <col min="5397" max="5400" width="11.42578125" style="35" customWidth="1"/>
    <col min="5401" max="5644" width="9.140625" style="35"/>
    <col min="5645" max="5645" width="2.5703125" style="35" customWidth="1"/>
    <col min="5646" max="5646" width="29.42578125" style="35" customWidth="1"/>
    <col min="5647" max="5651" width="11.42578125" style="35" customWidth="1"/>
    <col min="5652" max="5652" width="6.140625" style="35" customWidth="1"/>
    <col min="5653" max="5656" width="11.42578125" style="35" customWidth="1"/>
    <col min="5657" max="5900" width="9.140625" style="35"/>
    <col min="5901" max="5901" width="2.5703125" style="35" customWidth="1"/>
    <col min="5902" max="5902" width="29.42578125" style="35" customWidth="1"/>
    <col min="5903" max="5907" width="11.42578125" style="35" customWidth="1"/>
    <col min="5908" max="5908" width="6.140625" style="35" customWidth="1"/>
    <col min="5909" max="5912" width="11.42578125" style="35" customWidth="1"/>
    <col min="5913" max="6156" width="9.140625" style="35"/>
    <col min="6157" max="6157" width="2.5703125" style="35" customWidth="1"/>
    <col min="6158" max="6158" width="29.42578125" style="35" customWidth="1"/>
    <col min="6159" max="6163" width="11.42578125" style="35" customWidth="1"/>
    <col min="6164" max="6164" width="6.140625" style="35" customWidth="1"/>
    <col min="6165" max="6168" width="11.42578125" style="35" customWidth="1"/>
    <col min="6169" max="6412" width="9.140625" style="35"/>
    <col min="6413" max="6413" width="2.5703125" style="35" customWidth="1"/>
    <col min="6414" max="6414" width="29.42578125" style="35" customWidth="1"/>
    <col min="6415" max="6419" width="11.42578125" style="35" customWidth="1"/>
    <col min="6420" max="6420" width="6.140625" style="35" customWidth="1"/>
    <col min="6421" max="6424" width="11.42578125" style="35" customWidth="1"/>
    <col min="6425" max="6668" width="9.140625" style="35"/>
    <col min="6669" max="6669" width="2.5703125" style="35" customWidth="1"/>
    <col min="6670" max="6670" width="29.42578125" style="35" customWidth="1"/>
    <col min="6671" max="6675" width="11.42578125" style="35" customWidth="1"/>
    <col min="6676" max="6676" width="6.140625" style="35" customWidth="1"/>
    <col min="6677" max="6680" width="11.42578125" style="35" customWidth="1"/>
    <col min="6681" max="6924" width="9.140625" style="35"/>
    <col min="6925" max="6925" width="2.5703125" style="35" customWidth="1"/>
    <col min="6926" max="6926" width="29.42578125" style="35" customWidth="1"/>
    <col min="6927" max="6931" width="11.42578125" style="35" customWidth="1"/>
    <col min="6932" max="6932" width="6.140625" style="35" customWidth="1"/>
    <col min="6933" max="6936" width="11.42578125" style="35" customWidth="1"/>
    <col min="6937" max="7180" width="9.140625" style="35"/>
    <col min="7181" max="7181" width="2.5703125" style="35" customWidth="1"/>
    <col min="7182" max="7182" width="29.42578125" style="35" customWidth="1"/>
    <col min="7183" max="7187" width="11.42578125" style="35" customWidth="1"/>
    <col min="7188" max="7188" width="6.140625" style="35" customWidth="1"/>
    <col min="7189" max="7192" width="11.42578125" style="35" customWidth="1"/>
    <col min="7193" max="7436" width="9.140625" style="35"/>
    <col min="7437" max="7437" width="2.5703125" style="35" customWidth="1"/>
    <col min="7438" max="7438" width="29.42578125" style="35" customWidth="1"/>
    <col min="7439" max="7443" width="11.42578125" style="35" customWidth="1"/>
    <col min="7444" max="7444" width="6.140625" style="35" customWidth="1"/>
    <col min="7445" max="7448" width="11.42578125" style="35" customWidth="1"/>
    <col min="7449" max="7692" width="9.140625" style="35"/>
    <col min="7693" max="7693" width="2.5703125" style="35" customWidth="1"/>
    <col min="7694" max="7694" width="29.42578125" style="35" customWidth="1"/>
    <col min="7695" max="7699" width="11.42578125" style="35" customWidth="1"/>
    <col min="7700" max="7700" width="6.140625" style="35" customWidth="1"/>
    <col min="7701" max="7704" width="11.42578125" style="35" customWidth="1"/>
    <col min="7705" max="7948" width="9.140625" style="35"/>
    <col min="7949" max="7949" width="2.5703125" style="35" customWidth="1"/>
    <col min="7950" max="7950" width="29.42578125" style="35" customWidth="1"/>
    <col min="7951" max="7955" width="11.42578125" style="35" customWidth="1"/>
    <col min="7956" max="7956" width="6.140625" style="35" customWidth="1"/>
    <col min="7957" max="7960" width="11.42578125" style="35" customWidth="1"/>
    <col min="7961" max="8204" width="9.140625" style="35"/>
    <col min="8205" max="8205" width="2.5703125" style="35" customWidth="1"/>
    <col min="8206" max="8206" width="29.42578125" style="35" customWidth="1"/>
    <col min="8207" max="8211" width="11.42578125" style="35" customWidth="1"/>
    <col min="8212" max="8212" width="6.140625" style="35" customWidth="1"/>
    <col min="8213" max="8216" width="11.42578125" style="35" customWidth="1"/>
    <col min="8217" max="8460" width="9.140625" style="35"/>
    <col min="8461" max="8461" width="2.5703125" style="35" customWidth="1"/>
    <col min="8462" max="8462" width="29.42578125" style="35" customWidth="1"/>
    <col min="8463" max="8467" width="11.42578125" style="35" customWidth="1"/>
    <col min="8468" max="8468" width="6.140625" style="35" customWidth="1"/>
    <col min="8469" max="8472" width="11.42578125" style="35" customWidth="1"/>
    <col min="8473" max="8716" width="9.140625" style="35"/>
    <col min="8717" max="8717" width="2.5703125" style="35" customWidth="1"/>
    <col min="8718" max="8718" width="29.42578125" style="35" customWidth="1"/>
    <col min="8719" max="8723" width="11.42578125" style="35" customWidth="1"/>
    <col min="8724" max="8724" width="6.140625" style="35" customWidth="1"/>
    <col min="8725" max="8728" width="11.42578125" style="35" customWidth="1"/>
    <col min="8729" max="8972" width="9.140625" style="35"/>
    <col min="8973" max="8973" width="2.5703125" style="35" customWidth="1"/>
    <col min="8974" max="8974" width="29.42578125" style="35" customWidth="1"/>
    <col min="8975" max="8979" width="11.42578125" style="35" customWidth="1"/>
    <col min="8980" max="8980" width="6.140625" style="35" customWidth="1"/>
    <col min="8981" max="8984" width="11.42578125" style="35" customWidth="1"/>
    <col min="8985" max="9228" width="9.140625" style="35"/>
    <col min="9229" max="9229" width="2.5703125" style="35" customWidth="1"/>
    <col min="9230" max="9230" width="29.42578125" style="35" customWidth="1"/>
    <col min="9231" max="9235" width="11.42578125" style="35" customWidth="1"/>
    <col min="9236" max="9236" width="6.140625" style="35" customWidth="1"/>
    <col min="9237" max="9240" width="11.42578125" style="35" customWidth="1"/>
    <col min="9241" max="9484" width="9.140625" style="35"/>
    <col min="9485" max="9485" width="2.5703125" style="35" customWidth="1"/>
    <col min="9486" max="9486" width="29.42578125" style="35" customWidth="1"/>
    <col min="9487" max="9491" width="11.42578125" style="35" customWidth="1"/>
    <col min="9492" max="9492" width="6.140625" style="35" customWidth="1"/>
    <col min="9493" max="9496" width="11.42578125" style="35" customWidth="1"/>
    <col min="9497" max="9740" width="9.140625" style="35"/>
    <col min="9741" max="9741" width="2.5703125" style="35" customWidth="1"/>
    <col min="9742" max="9742" width="29.42578125" style="35" customWidth="1"/>
    <col min="9743" max="9747" width="11.42578125" style="35" customWidth="1"/>
    <col min="9748" max="9748" width="6.140625" style="35" customWidth="1"/>
    <col min="9749" max="9752" width="11.42578125" style="35" customWidth="1"/>
    <col min="9753" max="9996" width="9.140625" style="35"/>
    <col min="9997" max="9997" width="2.5703125" style="35" customWidth="1"/>
    <col min="9998" max="9998" width="29.42578125" style="35" customWidth="1"/>
    <col min="9999" max="10003" width="11.42578125" style="35" customWidth="1"/>
    <col min="10004" max="10004" width="6.140625" style="35" customWidth="1"/>
    <col min="10005" max="10008" width="11.42578125" style="35" customWidth="1"/>
    <col min="10009" max="10252" width="9.140625" style="35"/>
    <col min="10253" max="10253" width="2.5703125" style="35" customWidth="1"/>
    <col min="10254" max="10254" width="29.42578125" style="35" customWidth="1"/>
    <col min="10255" max="10259" width="11.42578125" style="35" customWidth="1"/>
    <col min="10260" max="10260" width="6.140625" style="35" customWidth="1"/>
    <col min="10261" max="10264" width="11.42578125" style="35" customWidth="1"/>
    <col min="10265" max="10508" width="9.140625" style="35"/>
    <col min="10509" max="10509" width="2.5703125" style="35" customWidth="1"/>
    <col min="10510" max="10510" width="29.42578125" style="35" customWidth="1"/>
    <col min="10511" max="10515" width="11.42578125" style="35" customWidth="1"/>
    <col min="10516" max="10516" width="6.140625" style="35" customWidth="1"/>
    <col min="10517" max="10520" width="11.42578125" style="35" customWidth="1"/>
    <col min="10521" max="10764" width="9.140625" style="35"/>
    <col min="10765" max="10765" width="2.5703125" style="35" customWidth="1"/>
    <col min="10766" max="10766" width="29.42578125" style="35" customWidth="1"/>
    <col min="10767" max="10771" width="11.42578125" style="35" customWidth="1"/>
    <col min="10772" max="10772" width="6.140625" style="35" customWidth="1"/>
    <col min="10773" max="10776" width="11.42578125" style="35" customWidth="1"/>
    <col min="10777" max="11020" width="9.140625" style="35"/>
    <col min="11021" max="11021" width="2.5703125" style="35" customWidth="1"/>
    <col min="11022" max="11022" width="29.42578125" style="35" customWidth="1"/>
    <col min="11023" max="11027" width="11.42578125" style="35" customWidth="1"/>
    <col min="11028" max="11028" width="6.140625" style="35" customWidth="1"/>
    <col min="11029" max="11032" width="11.42578125" style="35" customWidth="1"/>
    <col min="11033" max="11276" width="9.140625" style="35"/>
    <col min="11277" max="11277" width="2.5703125" style="35" customWidth="1"/>
    <col min="11278" max="11278" width="29.42578125" style="35" customWidth="1"/>
    <col min="11279" max="11283" width="11.42578125" style="35" customWidth="1"/>
    <col min="11284" max="11284" width="6.140625" style="35" customWidth="1"/>
    <col min="11285" max="11288" width="11.42578125" style="35" customWidth="1"/>
    <col min="11289" max="11532" width="9.140625" style="35"/>
    <col min="11533" max="11533" width="2.5703125" style="35" customWidth="1"/>
    <col min="11534" max="11534" width="29.42578125" style="35" customWidth="1"/>
    <col min="11535" max="11539" width="11.42578125" style="35" customWidth="1"/>
    <col min="11540" max="11540" width="6.140625" style="35" customWidth="1"/>
    <col min="11541" max="11544" width="11.42578125" style="35" customWidth="1"/>
    <col min="11545" max="11788" width="9.140625" style="35"/>
    <col min="11789" max="11789" width="2.5703125" style="35" customWidth="1"/>
    <col min="11790" max="11790" width="29.42578125" style="35" customWidth="1"/>
    <col min="11791" max="11795" width="11.42578125" style="35" customWidth="1"/>
    <col min="11796" max="11796" width="6.140625" style="35" customWidth="1"/>
    <col min="11797" max="11800" width="11.42578125" style="35" customWidth="1"/>
    <col min="11801" max="12044" width="9.140625" style="35"/>
    <col min="12045" max="12045" width="2.5703125" style="35" customWidth="1"/>
    <col min="12046" max="12046" width="29.42578125" style="35" customWidth="1"/>
    <col min="12047" max="12051" width="11.42578125" style="35" customWidth="1"/>
    <col min="12052" max="12052" width="6.140625" style="35" customWidth="1"/>
    <col min="12053" max="12056" width="11.42578125" style="35" customWidth="1"/>
    <col min="12057" max="12300" width="9.140625" style="35"/>
    <col min="12301" max="12301" width="2.5703125" style="35" customWidth="1"/>
    <col min="12302" max="12302" width="29.42578125" style="35" customWidth="1"/>
    <col min="12303" max="12307" width="11.42578125" style="35" customWidth="1"/>
    <col min="12308" max="12308" width="6.140625" style="35" customWidth="1"/>
    <col min="12309" max="12312" width="11.42578125" style="35" customWidth="1"/>
    <col min="12313" max="12556" width="9.140625" style="35"/>
    <col min="12557" max="12557" width="2.5703125" style="35" customWidth="1"/>
    <col min="12558" max="12558" width="29.42578125" style="35" customWidth="1"/>
    <col min="12559" max="12563" width="11.42578125" style="35" customWidth="1"/>
    <col min="12564" max="12564" width="6.140625" style="35" customWidth="1"/>
    <col min="12565" max="12568" width="11.42578125" style="35" customWidth="1"/>
    <col min="12569" max="12812" width="9.140625" style="35"/>
    <col min="12813" max="12813" width="2.5703125" style="35" customWidth="1"/>
    <col min="12814" max="12814" width="29.42578125" style="35" customWidth="1"/>
    <col min="12815" max="12819" width="11.42578125" style="35" customWidth="1"/>
    <col min="12820" max="12820" width="6.140625" style="35" customWidth="1"/>
    <col min="12821" max="12824" width="11.42578125" style="35" customWidth="1"/>
    <col min="12825" max="13068" width="9.140625" style="35"/>
    <col min="13069" max="13069" width="2.5703125" style="35" customWidth="1"/>
    <col min="13070" max="13070" width="29.42578125" style="35" customWidth="1"/>
    <col min="13071" max="13075" width="11.42578125" style="35" customWidth="1"/>
    <col min="13076" max="13076" width="6.140625" style="35" customWidth="1"/>
    <col min="13077" max="13080" width="11.42578125" style="35" customWidth="1"/>
    <col min="13081" max="13324" width="9.140625" style="35"/>
    <col min="13325" max="13325" width="2.5703125" style="35" customWidth="1"/>
    <col min="13326" max="13326" width="29.42578125" style="35" customWidth="1"/>
    <col min="13327" max="13331" width="11.42578125" style="35" customWidth="1"/>
    <col min="13332" max="13332" width="6.140625" style="35" customWidth="1"/>
    <col min="13333" max="13336" width="11.42578125" style="35" customWidth="1"/>
    <col min="13337" max="13580" width="9.140625" style="35"/>
    <col min="13581" max="13581" width="2.5703125" style="35" customWidth="1"/>
    <col min="13582" max="13582" width="29.42578125" style="35" customWidth="1"/>
    <col min="13583" max="13587" width="11.42578125" style="35" customWidth="1"/>
    <col min="13588" max="13588" width="6.140625" style="35" customWidth="1"/>
    <col min="13589" max="13592" width="11.42578125" style="35" customWidth="1"/>
    <col min="13593" max="13836" width="9.140625" style="35"/>
    <col min="13837" max="13837" width="2.5703125" style="35" customWidth="1"/>
    <col min="13838" max="13838" width="29.42578125" style="35" customWidth="1"/>
    <col min="13839" max="13843" width="11.42578125" style="35" customWidth="1"/>
    <col min="13844" max="13844" width="6.140625" style="35" customWidth="1"/>
    <col min="13845" max="13848" width="11.42578125" style="35" customWidth="1"/>
    <col min="13849" max="14092" width="9.140625" style="35"/>
    <col min="14093" max="14093" width="2.5703125" style="35" customWidth="1"/>
    <col min="14094" max="14094" width="29.42578125" style="35" customWidth="1"/>
    <col min="14095" max="14099" width="11.42578125" style="35" customWidth="1"/>
    <col min="14100" max="14100" width="6.140625" style="35" customWidth="1"/>
    <col min="14101" max="14104" width="11.42578125" style="35" customWidth="1"/>
    <col min="14105" max="14348" width="9.140625" style="35"/>
    <col min="14349" max="14349" width="2.5703125" style="35" customWidth="1"/>
    <col min="14350" max="14350" width="29.42578125" style="35" customWidth="1"/>
    <col min="14351" max="14355" width="11.42578125" style="35" customWidth="1"/>
    <col min="14356" max="14356" width="6.140625" style="35" customWidth="1"/>
    <col min="14357" max="14360" width="11.42578125" style="35" customWidth="1"/>
    <col min="14361" max="14604" width="9.140625" style="35"/>
    <col min="14605" max="14605" width="2.5703125" style="35" customWidth="1"/>
    <col min="14606" max="14606" width="29.42578125" style="35" customWidth="1"/>
    <col min="14607" max="14611" width="11.42578125" style="35" customWidth="1"/>
    <col min="14612" max="14612" width="6.140625" style="35" customWidth="1"/>
    <col min="14613" max="14616" width="11.42578125" style="35" customWidth="1"/>
    <col min="14617" max="14860" width="9.140625" style="35"/>
    <col min="14861" max="14861" width="2.5703125" style="35" customWidth="1"/>
    <col min="14862" max="14862" width="29.42578125" style="35" customWidth="1"/>
    <col min="14863" max="14867" width="11.42578125" style="35" customWidth="1"/>
    <col min="14868" max="14868" width="6.140625" style="35" customWidth="1"/>
    <col min="14869" max="14872" width="11.42578125" style="35" customWidth="1"/>
    <col min="14873" max="15116" width="9.140625" style="35"/>
    <col min="15117" max="15117" width="2.5703125" style="35" customWidth="1"/>
    <col min="15118" max="15118" width="29.42578125" style="35" customWidth="1"/>
    <col min="15119" max="15123" width="11.42578125" style="35" customWidth="1"/>
    <col min="15124" max="15124" width="6.140625" style="35" customWidth="1"/>
    <col min="15125" max="15128" width="11.42578125" style="35" customWidth="1"/>
    <col min="15129" max="15372" width="9.140625" style="35"/>
    <col min="15373" max="15373" width="2.5703125" style="35" customWidth="1"/>
    <col min="15374" max="15374" width="29.42578125" style="35" customWidth="1"/>
    <col min="15375" max="15379" width="11.42578125" style="35" customWidth="1"/>
    <col min="15380" max="15380" width="6.140625" style="35" customWidth="1"/>
    <col min="15381" max="15384" width="11.42578125" style="35" customWidth="1"/>
    <col min="15385" max="15628" width="9.140625" style="35"/>
    <col min="15629" max="15629" width="2.5703125" style="35" customWidth="1"/>
    <col min="15630" max="15630" width="29.42578125" style="35" customWidth="1"/>
    <col min="15631" max="15635" width="11.42578125" style="35" customWidth="1"/>
    <col min="15636" max="15636" width="6.140625" style="35" customWidth="1"/>
    <col min="15637" max="15640" width="11.42578125" style="35" customWidth="1"/>
    <col min="15641" max="15884" width="9.140625" style="35"/>
    <col min="15885" max="15885" width="2.5703125" style="35" customWidth="1"/>
    <col min="15886" max="15886" width="29.42578125" style="35" customWidth="1"/>
    <col min="15887" max="15891" width="11.42578125" style="35" customWidth="1"/>
    <col min="15892" max="15892" width="6.140625" style="35" customWidth="1"/>
    <col min="15893" max="15896" width="11.42578125" style="35" customWidth="1"/>
    <col min="15897" max="16140" width="9.140625" style="35"/>
    <col min="16141" max="16141" width="2.5703125" style="35" customWidth="1"/>
    <col min="16142" max="16142" width="29.42578125" style="35" customWidth="1"/>
    <col min="16143" max="16147" width="11.42578125" style="35" customWidth="1"/>
    <col min="16148" max="16148" width="6.140625" style="35" customWidth="1"/>
    <col min="16149" max="16152" width="11.42578125" style="35" customWidth="1"/>
    <col min="16153" max="16384" width="9.140625" style="35"/>
  </cols>
  <sheetData>
    <row r="1" spans="2:42">
      <c r="M1" s="110"/>
    </row>
    <row r="2" spans="2:42" s="59" customFormat="1" ht="24.75" customHeight="1">
      <c r="B2" s="104" t="s">
        <v>149</v>
      </c>
      <c r="C2" s="102" t="s">
        <v>150</v>
      </c>
      <c r="D2" s="102" t="s">
        <v>150</v>
      </c>
      <c r="E2" s="102" t="s">
        <v>150</v>
      </c>
      <c r="F2" s="102" t="s">
        <v>150</v>
      </c>
      <c r="G2" s="102" t="s">
        <v>150</v>
      </c>
      <c r="H2" s="102" t="s">
        <v>150</v>
      </c>
      <c r="I2" s="102" t="s">
        <v>150</v>
      </c>
      <c r="J2" s="102" t="s">
        <v>150</v>
      </c>
      <c r="K2" s="102" t="s">
        <v>150</v>
      </c>
      <c r="L2" s="102" t="s">
        <v>151</v>
      </c>
      <c r="M2" s="110"/>
      <c r="N2" s="102" t="s">
        <v>152</v>
      </c>
      <c r="O2" s="102" t="s">
        <v>152</v>
      </c>
      <c r="P2" s="102" t="s">
        <v>152</v>
      </c>
      <c r="Q2" s="102" t="s">
        <v>152</v>
      </c>
      <c r="R2" s="103" t="s">
        <v>152</v>
      </c>
      <c r="S2" s="102" t="s">
        <v>152</v>
      </c>
      <c r="T2" s="102" t="s">
        <v>152</v>
      </c>
      <c r="U2" s="102" t="s">
        <v>152</v>
      </c>
      <c r="V2" s="103" t="s">
        <v>152</v>
      </c>
      <c r="W2" s="103" t="s">
        <v>152</v>
      </c>
      <c r="X2" s="102" t="s">
        <v>152</v>
      </c>
      <c r="Y2" s="102" t="s">
        <v>152</v>
      </c>
      <c r="Z2" s="103" t="s">
        <v>152</v>
      </c>
      <c r="AA2" s="103" t="s">
        <v>152</v>
      </c>
      <c r="AB2" s="103" t="s">
        <v>152</v>
      </c>
      <c r="AC2" s="102" t="s">
        <v>152</v>
      </c>
      <c r="AD2" s="103" t="s">
        <v>152</v>
      </c>
      <c r="AE2" s="103" t="s">
        <v>152</v>
      </c>
      <c r="AF2" s="103" t="s">
        <v>152</v>
      </c>
      <c r="AG2" s="102" t="s">
        <v>152</v>
      </c>
      <c r="AH2" s="103" t="s">
        <v>152</v>
      </c>
      <c r="AI2" s="103" t="s">
        <v>152</v>
      </c>
      <c r="AJ2" s="103" t="s">
        <v>152</v>
      </c>
      <c r="AK2" s="102" t="s">
        <v>152</v>
      </c>
      <c r="AL2" s="103" t="s">
        <v>152</v>
      </c>
      <c r="AM2" s="103" t="s">
        <v>152</v>
      </c>
      <c r="AN2" s="103" t="s">
        <v>152</v>
      </c>
      <c r="AO2" s="102" t="s">
        <v>152</v>
      </c>
      <c r="AP2" s="103" t="s">
        <v>152</v>
      </c>
    </row>
    <row r="3" spans="2:42" s="59" customFormat="1" ht="13.5" customHeight="1">
      <c r="B3" s="58" t="s">
        <v>153</v>
      </c>
      <c r="C3" s="57">
        <v>43100</v>
      </c>
      <c r="D3" s="57">
        <v>43465</v>
      </c>
      <c r="E3" s="57">
        <v>43830</v>
      </c>
      <c r="F3" s="57">
        <v>44196</v>
      </c>
      <c r="G3" s="57">
        <v>44561</v>
      </c>
      <c r="H3" s="57">
        <v>44926</v>
      </c>
      <c r="I3" s="57">
        <v>45291</v>
      </c>
      <c r="J3" s="57">
        <v>45657</v>
      </c>
      <c r="K3" s="57">
        <v>46022</v>
      </c>
      <c r="L3" s="57">
        <f>AP3</f>
        <v>46112</v>
      </c>
      <c r="M3" s="110"/>
      <c r="N3" s="57">
        <v>43555</v>
      </c>
      <c r="O3" s="57">
        <v>43646</v>
      </c>
      <c r="P3" s="57">
        <v>43738</v>
      </c>
      <c r="Q3" s="57">
        <v>43830</v>
      </c>
      <c r="R3" s="57">
        <v>43921</v>
      </c>
      <c r="S3" s="57">
        <v>44012</v>
      </c>
      <c r="T3" s="57">
        <v>44104</v>
      </c>
      <c r="U3" s="57">
        <v>44196</v>
      </c>
      <c r="V3" s="57">
        <v>44286</v>
      </c>
      <c r="W3" s="57">
        <v>44377</v>
      </c>
      <c r="X3" s="57">
        <v>44469</v>
      </c>
      <c r="Y3" s="57">
        <v>44561</v>
      </c>
      <c r="Z3" s="57">
        <v>44651</v>
      </c>
      <c r="AA3" s="57">
        <v>44742</v>
      </c>
      <c r="AB3" s="57">
        <v>44834</v>
      </c>
      <c r="AC3" s="57">
        <v>44926</v>
      </c>
      <c r="AD3" s="57">
        <v>45016</v>
      </c>
      <c r="AE3" s="57">
        <v>45107</v>
      </c>
      <c r="AF3" s="57">
        <v>45199</v>
      </c>
      <c r="AG3" s="57">
        <v>45291</v>
      </c>
      <c r="AH3" s="57">
        <v>45382</v>
      </c>
      <c r="AI3" s="57">
        <v>45473</v>
      </c>
      <c r="AJ3" s="57">
        <v>45565</v>
      </c>
      <c r="AK3" s="57">
        <v>45657</v>
      </c>
      <c r="AL3" s="57">
        <v>45747</v>
      </c>
      <c r="AM3" s="57">
        <v>45838</v>
      </c>
      <c r="AN3" s="57">
        <v>45930</v>
      </c>
      <c r="AO3" s="57">
        <v>46022</v>
      </c>
      <c r="AP3" s="57">
        <v>46112</v>
      </c>
    </row>
    <row r="4" spans="2:42" s="39" customFormat="1" ht="13.5" customHeight="1">
      <c r="B4" s="58"/>
      <c r="C4" s="57" t="s">
        <v>154</v>
      </c>
      <c r="D4" s="57" t="s">
        <v>154</v>
      </c>
      <c r="E4" s="57" t="s">
        <v>154</v>
      </c>
      <c r="F4" s="57" t="s">
        <v>154</v>
      </c>
      <c r="G4" s="57" t="s">
        <v>154</v>
      </c>
      <c r="H4" s="57" t="s">
        <v>154</v>
      </c>
      <c r="I4" s="57" t="s">
        <v>154</v>
      </c>
      <c r="J4" s="57" t="s">
        <v>154</v>
      </c>
      <c r="K4" s="57" t="s">
        <v>154</v>
      </c>
      <c r="L4" s="57" t="s">
        <v>154</v>
      </c>
      <c r="M4" s="110"/>
      <c r="N4" s="57" t="s">
        <v>154</v>
      </c>
      <c r="O4" s="57" t="s">
        <v>154</v>
      </c>
      <c r="P4" s="57" t="s">
        <v>154</v>
      </c>
      <c r="Q4" s="57" t="s">
        <v>154</v>
      </c>
      <c r="R4" s="57" t="s">
        <v>154</v>
      </c>
      <c r="S4" s="57" t="s">
        <v>154</v>
      </c>
      <c r="T4" s="57" t="s">
        <v>154</v>
      </c>
      <c r="U4" s="57" t="s">
        <v>154</v>
      </c>
      <c r="V4" s="57" t="s">
        <v>154</v>
      </c>
      <c r="W4" s="57" t="s">
        <v>154</v>
      </c>
      <c r="X4" s="57" t="s">
        <v>154</v>
      </c>
      <c r="Y4" s="57" t="s">
        <v>154</v>
      </c>
      <c r="Z4" s="57" t="s">
        <v>154</v>
      </c>
      <c r="AA4" s="57" t="s">
        <v>154</v>
      </c>
      <c r="AB4" s="57" t="s">
        <v>154</v>
      </c>
      <c r="AC4" s="57" t="s">
        <v>154</v>
      </c>
      <c r="AD4" s="57" t="s">
        <v>154</v>
      </c>
      <c r="AE4" s="57" t="s">
        <v>154</v>
      </c>
      <c r="AF4" s="57" t="s">
        <v>154</v>
      </c>
      <c r="AG4" s="57" t="s">
        <v>154</v>
      </c>
      <c r="AH4" s="57" t="s">
        <v>154</v>
      </c>
      <c r="AI4" s="57" t="s">
        <v>154</v>
      </c>
      <c r="AJ4" s="57" t="s">
        <v>154</v>
      </c>
      <c r="AK4" s="57" t="s">
        <v>154</v>
      </c>
      <c r="AL4" s="57" t="s">
        <v>154</v>
      </c>
      <c r="AM4" s="57" t="s">
        <v>154</v>
      </c>
      <c r="AN4" s="57" t="s">
        <v>154</v>
      </c>
      <c r="AO4" s="57" t="s">
        <v>154</v>
      </c>
      <c r="AP4" s="57" t="s">
        <v>154</v>
      </c>
    </row>
    <row r="5" spans="2:42" s="99" customFormat="1" ht="13.5" customHeight="1">
      <c r="C5" s="101" t="s">
        <v>155</v>
      </c>
      <c r="D5" s="101" t="s">
        <v>155</v>
      </c>
      <c r="E5" s="101" t="s">
        <v>155</v>
      </c>
      <c r="F5" s="101" t="s">
        <v>155</v>
      </c>
      <c r="G5" s="101" t="s">
        <v>155</v>
      </c>
      <c r="H5" s="101" t="s">
        <v>155</v>
      </c>
      <c r="I5" s="101" t="s">
        <v>155</v>
      </c>
      <c r="J5" s="101" t="s">
        <v>155</v>
      </c>
      <c r="K5" s="101" t="s">
        <v>155</v>
      </c>
      <c r="L5" s="100" t="s">
        <v>155</v>
      </c>
      <c r="M5" s="110"/>
      <c r="N5" s="101" t="s">
        <v>156</v>
      </c>
      <c r="O5" s="101" t="s">
        <v>157</v>
      </c>
      <c r="P5" s="101" t="s">
        <v>158</v>
      </c>
      <c r="Q5" s="100" t="s">
        <v>159</v>
      </c>
      <c r="R5" s="101" t="s">
        <v>156</v>
      </c>
      <c r="S5" s="101" t="s">
        <v>157</v>
      </c>
      <c r="T5" s="101" t="s">
        <v>158</v>
      </c>
      <c r="U5" s="100" t="s">
        <v>159</v>
      </c>
      <c r="V5" s="101" t="s">
        <v>156</v>
      </c>
      <c r="W5" s="101" t="s">
        <v>157</v>
      </c>
      <c r="X5" s="101" t="s">
        <v>158</v>
      </c>
      <c r="Y5" s="100" t="s">
        <v>159</v>
      </c>
      <c r="Z5" s="101" t="s">
        <v>156</v>
      </c>
      <c r="AA5" s="101" t="s">
        <v>157</v>
      </c>
      <c r="AB5" s="101" t="s">
        <v>158</v>
      </c>
      <c r="AC5" s="100" t="s">
        <v>159</v>
      </c>
      <c r="AD5" s="101" t="s">
        <v>156</v>
      </c>
      <c r="AE5" s="101" t="s">
        <v>157</v>
      </c>
      <c r="AF5" s="101" t="s">
        <v>158</v>
      </c>
      <c r="AG5" s="100" t="s">
        <v>159</v>
      </c>
      <c r="AH5" s="101" t="s">
        <v>156</v>
      </c>
      <c r="AI5" s="101" t="s">
        <v>157</v>
      </c>
      <c r="AJ5" s="101" t="s">
        <v>158</v>
      </c>
      <c r="AK5" s="100" t="s">
        <v>159</v>
      </c>
      <c r="AL5" s="101" t="s">
        <v>156</v>
      </c>
      <c r="AM5" s="101" t="s">
        <v>157</v>
      </c>
      <c r="AN5" s="101" t="s">
        <v>158</v>
      </c>
      <c r="AO5" s="100" t="s">
        <v>159</v>
      </c>
      <c r="AP5" s="101" t="s">
        <v>156</v>
      </c>
    </row>
    <row r="6" spans="2:42" s="99" customFormat="1" ht="13.5" customHeight="1">
      <c r="B6" s="138"/>
      <c r="C6" s="140"/>
      <c r="D6" s="140"/>
      <c r="E6" s="140"/>
      <c r="F6" s="140"/>
      <c r="G6" s="140"/>
      <c r="H6" s="140"/>
      <c r="I6" s="140"/>
      <c r="J6" s="140"/>
      <c r="K6" s="140"/>
      <c r="L6" s="141"/>
      <c r="M6" s="110"/>
      <c r="N6" s="140"/>
      <c r="O6" s="140"/>
      <c r="P6" s="140"/>
      <c r="Q6" s="141"/>
      <c r="R6" s="140"/>
      <c r="S6" s="140"/>
      <c r="T6" s="140"/>
      <c r="U6" s="141"/>
      <c r="V6" s="140"/>
      <c r="W6" s="140"/>
      <c r="X6" s="140"/>
      <c r="Y6" s="141"/>
      <c r="Z6" s="140"/>
      <c r="AA6" s="140"/>
      <c r="AB6" s="140"/>
      <c r="AC6" s="141"/>
      <c r="AD6" s="140"/>
      <c r="AE6" s="140"/>
      <c r="AF6" s="140"/>
      <c r="AG6" s="141"/>
      <c r="AH6" s="140"/>
      <c r="AI6" s="140"/>
      <c r="AJ6" s="140"/>
      <c r="AK6" s="141"/>
      <c r="AL6" s="140"/>
      <c r="AM6" s="140"/>
      <c r="AN6" s="140"/>
      <c r="AO6" s="141"/>
      <c r="AP6" s="140"/>
    </row>
    <row r="7" spans="2:42">
      <c r="B7" s="181" t="s">
        <v>278</v>
      </c>
      <c r="C7" s="101"/>
      <c r="D7" s="101"/>
      <c r="E7" s="101"/>
      <c r="F7" s="101"/>
      <c r="G7" s="101"/>
      <c r="H7" s="101"/>
      <c r="I7" s="101"/>
      <c r="J7" s="101"/>
      <c r="K7" s="101"/>
      <c r="L7" s="101"/>
      <c r="M7" s="110"/>
      <c r="N7" s="113"/>
      <c r="O7" s="113"/>
      <c r="P7" s="113"/>
      <c r="Q7" s="113"/>
      <c r="R7" s="113"/>
      <c r="S7" s="113"/>
      <c r="T7" s="113"/>
      <c r="U7" s="113"/>
      <c r="V7" s="113"/>
      <c r="W7" s="113"/>
      <c r="X7" s="113"/>
      <c r="Y7" s="113"/>
      <c r="Z7" s="113"/>
      <c r="AA7" s="113"/>
      <c r="AB7" s="113"/>
      <c r="AC7" s="113"/>
      <c r="AD7" s="113"/>
      <c r="AE7" s="113"/>
      <c r="AF7" s="113"/>
      <c r="AG7" s="113"/>
      <c r="AH7" s="113"/>
      <c r="AI7" s="113"/>
      <c r="AK7" s="113"/>
      <c r="AL7" s="113"/>
      <c r="AM7" s="113"/>
      <c r="AO7" s="113"/>
      <c r="AP7" s="113"/>
    </row>
    <row r="8" spans="2:42">
      <c r="B8" s="106" t="s">
        <v>279</v>
      </c>
      <c r="C8" s="111">
        <v>63</v>
      </c>
      <c r="D8" s="111">
        <v>66</v>
      </c>
      <c r="E8" s="111">
        <v>69</v>
      </c>
      <c r="F8" s="111">
        <v>70</v>
      </c>
      <c r="G8" s="111">
        <v>72</v>
      </c>
      <c r="H8" s="111">
        <v>78</v>
      </c>
      <c r="I8" s="111">
        <v>85</v>
      </c>
      <c r="J8" s="111">
        <v>88</v>
      </c>
      <c r="K8" s="111">
        <v>91</v>
      </c>
      <c r="L8" s="110">
        <f>AP8</f>
        <v>89</v>
      </c>
      <c r="M8" s="110"/>
      <c r="N8" s="111">
        <v>66</v>
      </c>
      <c r="O8" s="111">
        <v>68</v>
      </c>
      <c r="P8" s="111">
        <v>68</v>
      </c>
      <c r="Q8" s="112">
        <f>E8</f>
        <v>69</v>
      </c>
      <c r="R8" s="111">
        <v>69</v>
      </c>
      <c r="S8" s="111">
        <v>70</v>
      </c>
      <c r="T8" s="111">
        <v>70</v>
      </c>
      <c r="U8" s="112">
        <f>F8</f>
        <v>70</v>
      </c>
      <c r="V8" s="111">
        <v>71</v>
      </c>
      <c r="W8" s="111">
        <v>71</v>
      </c>
      <c r="X8" s="111">
        <v>71</v>
      </c>
      <c r="Y8" s="112">
        <f>G8</f>
        <v>72</v>
      </c>
      <c r="Z8" s="111">
        <v>73</v>
      </c>
      <c r="AA8" s="111">
        <v>74</v>
      </c>
      <c r="AB8" s="111">
        <v>74</v>
      </c>
      <c r="AC8" s="112">
        <f>H8</f>
        <v>78</v>
      </c>
      <c r="AD8" s="111">
        <v>78</v>
      </c>
      <c r="AE8" s="111">
        <v>79</v>
      </c>
      <c r="AF8" s="111">
        <v>86</v>
      </c>
      <c r="AG8" s="112">
        <f>I8</f>
        <v>85</v>
      </c>
      <c r="AH8" s="111">
        <v>85</v>
      </c>
      <c r="AI8" s="111">
        <v>86</v>
      </c>
      <c r="AJ8" s="111">
        <v>88</v>
      </c>
      <c r="AK8" s="112">
        <f>J8</f>
        <v>88</v>
      </c>
      <c r="AL8" s="111">
        <v>89</v>
      </c>
      <c r="AM8" s="111">
        <v>91</v>
      </c>
      <c r="AN8" s="111">
        <v>92</v>
      </c>
      <c r="AO8" s="112">
        <f>K8</f>
        <v>91</v>
      </c>
      <c r="AP8" s="111">
        <v>89</v>
      </c>
    </row>
    <row r="9" spans="2:42">
      <c r="B9" s="106" t="s">
        <v>280</v>
      </c>
      <c r="C9" s="111">
        <v>0</v>
      </c>
      <c r="D9" s="111">
        <v>2</v>
      </c>
      <c r="E9" s="111">
        <v>2</v>
      </c>
      <c r="F9" s="111">
        <v>1</v>
      </c>
      <c r="G9" s="111">
        <v>5</v>
      </c>
      <c r="H9" s="111">
        <v>8</v>
      </c>
      <c r="I9" s="111">
        <v>3</v>
      </c>
      <c r="J9" s="111">
        <v>4</v>
      </c>
      <c r="K9" s="111">
        <v>0</v>
      </c>
      <c r="L9" s="110">
        <f>AP9</f>
        <v>1</v>
      </c>
      <c r="M9" s="110"/>
      <c r="N9" s="111">
        <v>5</v>
      </c>
      <c r="O9" s="111">
        <v>2</v>
      </c>
      <c r="P9" s="111">
        <v>4</v>
      </c>
      <c r="Q9" s="112">
        <f>E9</f>
        <v>2</v>
      </c>
      <c r="R9" s="111">
        <v>2</v>
      </c>
      <c r="S9" s="111">
        <v>0</v>
      </c>
      <c r="T9" s="111">
        <v>1</v>
      </c>
      <c r="U9" s="112">
        <f>F9</f>
        <v>1</v>
      </c>
      <c r="V9" s="111">
        <v>3</v>
      </c>
      <c r="W9" s="111">
        <v>4</v>
      </c>
      <c r="X9" s="111">
        <v>4</v>
      </c>
      <c r="Y9" s="112">
        <f>G9</f>
        <v>5</v>
      </c>
      <c r="Z9" s="111">
        <v>7</v>
      </c>
      <c r="AA9" s="111">
        <v>6</v>
      </c>
      <c r="AB9" s="111">
        <v>8</v>
      </c>
      <c r="AC9" s="112">
        <f>H9</f>
        <v>8</v>
      </c>
      <c r="AD9" s="111">
        <v>8</v>
      </c>
      <c r="AE9" s="111">
        <v>7</v>
      </c>
      <c r="AF9" s="111">
        <v>3</v>
      </c>
      <c r="AG9" s="112">
        <f>I9</f>
        <v>3</v>
      </c>
      <c r="AH9" s="111">
        <v>6</v>
      </c>
      <c r="AI9" s="111">
        <v>6</v>
      </c>
      <c r="AJ9" s="111">
        <v>4</v>
      </c>
      <c r="AK9" s="112">
        <f>J9</f>
        <v>4</v>
      </c>
      <c r="AL9" s="111">
        <v>3</v>
      </c>
      <c r="AM9" s="111">
        <v>1</v>
      </c>
      <c r="AN9" s="111">
        <v>0</v>
      </c>
      <c r="AO9" s="112">
        <f>K9</f>
        <v>0</v>
      </c>
      <c r="AP9" s="111">
        <v>1</v>
      </c>
    </row>
    <row r="10" spans="2:42" s="105" customFormat="1">
      <c r="B10" s="107" t="s">
        <v>281</v>
      </c>
      <c r="C10" s="109">
        <f t="shared" ref="C10:G10" si="0">SUM(C8:C9)</f>
        <v>63</v>
      </c>
      <c r="D10" s="109">
        <f t="shared" si="0"/>
        <v>68</v>
      </c>
      <c r="E10" s="109">
        <f t="shared" si="0"/>
        <v>71</v>
      </c>
      <c r="F10" s="109">
        <f t="shared" si="0"/>
        <v>71</v>
      </c>
      <c r="G10" s="109">
        <f t="shared" si="0"/>
        <v>77</v>
      </c>
      <c r="H10" s="109">
        <f t="shared" ref="H10:I10" si="1">SUM(H8:H9)</f>
        <v>86</v>
      </c>
      <c r="I10" s="109">
        <f t="shared" si="1"/>
        <v>88</v>
      </c>
      <c r="J10" s="109">
        <f t="shared" ref="J10:K10" si="2">SUM(J8:J9)</f>
        <v>92</v>
      </c>
      <c r="K10" s="109">
        <f t="shared" si="2"/>
        <v>91</v>
      </c>
      <c r="L10" s="109">
        <f>SUM(L8:L9)</f>
        <v>90</v>
      </c>
      <c r="M10" s="109"/>
      <c r="N10" s="109">
        <f t="shared" ref="N10:W10" si="3">SUM(N8:N9)</f>
        <v>71</v>
      </c>
      <c r="O10" s="109">
        <f t="shared" si="3"/>
        <v>70</v>
      </c>
      <c r="P10" s="109">
        <f t="shared" si="3"/>
        <v>72</v>
      </c>
      <c r="Q10" s="109">
        <f t="shared" si="3"/>
        <v>71</v>
      </c>
      <c r="R10" s="109">
        <f t="shared" si="3"/>
        <v>71</v>
      </c>
      <c r="S10" s="109">
        <f t="shared" si="3"/>
        <v>70</v>
      </c>
      <c r="T10" s="109">
        <f t="shared" si="3"/>
        <v>71</v>
      </c>
      <c r="U10" s="109">
        <f t="shared" si="3"/>
        <v>71</v>
      </c>
      <c r="V10" s="109">
        <f t="shared" si="3"/>
        <v>74</v>
      </c>
      <c r="W10" s="109">
        <f t="shared" si="3"/>
        <v>75</v>
      </c>
      <c r="X10" s="109">
        <f t="shared" ref="X10:AA10" si="4">SUM(X8:X9)</f>
        <v>75</v>
      </c>
      <c r="Y10" s="109">
        <f t="shared" si="4"/>
        <v>77</v>
      </c>
      <c r="Z10" s="109">
        <f t="shared" si="4"/>
        <v>80</v>
      </c>
      <c r="AA10" s="109">
        <f t="shared" si="4"/>
        <v>80</v>
      </c>
      <c r="AB10" s="109">
        <f t="shared" ref="AB10:AE10" si="5">SUM(AB8:AB9)</f>
        <v>82</v>
      </c>
      <c r="AC10" s="109">
        <f t="shared" si="5"/>
        <v>86</v>
      </c>
      <c r="AD10" s="109">
        <f t="shared" si="5"/>
        <v>86</v>
      </c>
      <c r="AE10" s="109">
        <f t="shared" si="5"/>
        <v>86</v>
      </c>
      <c r="AF10" s="109">
        <f t="shared" ref="AF10:AH10" si="6">SUM(AF8:AF9)</f>
        <v>89</v>
      </c>
      <c r="AG10" s="109">
        <f t="shared" si="6"/>
        <v>88</v>
      </c>
      <c r="AH10" s="109">
        <f t="shared" si="6"/>
        <v>91</v>
      </c>
      <c r="AI10" s="109">
        <f t="shared" ref="AI10:AL10" si="7">SUM(AI8:AI9)</f>
        <v>92</v>
      </c>
      <c r="AJ10" s="109">
        <f t="shared" si="7"/>
        <v>92</v>
      </c>
      <c r="AK10" s="109">
        <f t="shared" si="7"/>
        <v>92</v>
      </c>
      <c r="AL10" s="109">
        <f t="shared" si="7"/>
        <v>92</v>
      </c>
      <c r="AM10" s="109">
        <f t="shared" ref="AM10:AP10" si="8">SUM(AM8:AM9)</f>
        <v>92</v>
      </c>
      <c r="AN10" s="109">
        <f t="shared" si="8"/>
        <v>92</v>
      </c>
      <c r="AO10" s="109">
        <f t="shared" si="8"/>
        <v>91</v>
      </c>
      <c r="AP10" s="109">
        <f t="shared" si="8"/>
        <v>90</v>
      </c>
    </row>
    <row r="11" spans="2:42" s="99" customFormat="1" ht="13.5" customHeight="1">
      <c r="C11" s="101"/>
      <c r="D11" s="101"/>
      <c r="E11" s="101"/>
      <c r="F11" s="101"/>
      <c r="G11" s="101"/>
      <c r="H11" s="101"/>
      <c r="I11" s="101"/>
      <c r="J11" s="101"/>
      <c r="K11" s="101"/>
      <c r="L11" s="100"/>
      <c r="M11" s="100"/>
      <c r="N11" s="101"/>
      <c r="O11" s="101"/>
      <c r="P11" s="101"/>
      <c r="Q11" s="100"/>
      <c r="R11" s="101"/>
      <c r="S11" s="101"/>
      <c r="T11" s="101"/>
      <c r="U11" s="100"/>
      <c r="V11" s="101"/>
      <c r="W11" s="101"/>
      <c r="X11" s="101"/>
      <c r="Y11" s="100"/>
      <c r="Z11" s="101"/>
      <c r="AA11" s="101"/>
      <c r="AB11" s="101"/>
      <c r="AC11" s="100"/>
      <c r="AD11" s="101"/>
      <c r="AE11" s="101"/>
      <c r="AF11" s="101"/>
      <c r="AG11" s="100"/>
      <c r="AH11" s="101"/>
      <c r="AI11" s="101"/>
      <c r="AK11" s="100"/>
      <c r="AL11" s="101"/>
      <c r="AM11" s="101"/>
      <c r="AO11" s="100"/>
      <c r="AP11" s="101"/>
    </row>
    <row r="12" spans="2:42">
      <c r="B12" s="106" t="s">
        <v>282</v>
      </c>
      <c r="C12" s="111">
        <v>6875440</v>
      </c>
      <c r="D12" s="111">
        <v>7996798</v>
      </c>
      <c r="E12" s="111">
        <v>8852290</v>
      </c>
      <c r="F12" s="111">
        <v>9078485</v>
      </c>
      <c r="G12" s="111">
        <v>9303139</v>
      </c>
      <c r="H12" s="111">
        <v>10352575</v>
      </c>
      <c r="I12" s="111">
        <v>12070580</v>
      </c>
      <c r="J12" s="111">
        <v>12786657</v>
      </c>
      <c r="K12" s="111">
        <v>14283183</v>
      </c>
      <c r="L12" s="110">
        <f t="shared" ref="L12:L13" si="9">AP12</f>
        <v>14283187</v>
      </c>
      <c r="M12" s="110"/>
      <c r="N12" s="111">
        <v>8212054</v>
      </c>
      <c r="O12" s="111">
        <v>8631873</v>
      </c>
      <c r="P12" s="111">
        <v>8631873</v>
      </c>
      <c r="Q12" s="112">
        <f>E12</f>
        <v>8852290</v>
      </c>
      <c r="R12" s="111">
        <v>8852385</v>
      </c>
      <c r="S12" s="111">
        <v>9074369</v>
      </c>
      <c r="T12" s="111">
        <v>9074369</v>
      </c>
      <c r="U12" s="112">
        <f>F12</f>
        <v>9078485</v>
      </c>
      <c r="V12" s="111">
        <v>9361517</v>
      </c>
      <c r="W12" s="111">
        <v>9360915</v>
      </c>
      <c r="X12" s="111">
        <v>9303139</v>
      </c>
      <c r="Y12" s="112">
        <f>G12</f>
        <v>9303139</v>
      </c>
      <c r="Z12" s="111">
        <v>9509958</v>
      </c>
      <c r="AA12" s="111">
        <v>9628555</v>
      </c>
      <c r="AB12" s="111">
        <v>9628555</v>
      </c>
      <c r="AC12" s="112">
        <f>H12</f>
        <v>10352575</v>
      </c>
      <c r="AD12" s="111">
        <v>10352575</v>
      </c>
      <c r="AE12" s="111">
        <v>10657963</v>
      </c>
      <c r="AF12" s="111">
        <v>12384129</v>
      </c>
      <c r="AG12" s="112">
        <f t="shared" ref="AG12:AG13" si="10">I12</f>
        <v>12070580</v>
      </c>
      <c r="AH12" s="111">
        <v>12070580</v>
      </c>
      <c r="AI12" s="111">
        <v>12281380</v>
      </c>
      <c r="AJ12" s="111">
        <v>12786659</v>
      </c>
      <c r="AK12" s="112">
        <f t="shared" ref="AK12:AK13" si="11">J12</f>
        <v>12786657</v>
      </c>
      <c r="AL12" s="111">
        <v>13263621</v>
      </c>
      <c r="AM12" s="111">
        <v>13628161</v>
      </c>
      <c r="AN12" s="111">
        <v>14282993</v>
      </c>
      <c r="AO12" s="112">
        <f>K12</f>
        <v>14283183</v>
      </c>
      <c r="AP12" s="111">
        <v>14283187</v>
      </c>
    </row>
    <row r="13" spans="2:42">
      <c r="B13" s="106" t="s">
        <v>283</v>
      </c>
      <c r="C13" s="111">
        <v>1121413</v>
      </c>
      <c r="D13" s="111">
        <v>419673</v>
      </c>
      <c r="E13" s="111">
        <v>221984</v>
      </c>
      <c r="F13" s="111">
        <v>603239</v>
      </c>
      <c r="G13" s="111">
        <v>957623</v>
      </c>
      <c r="H13" s="111">
        <v>2026077</v>
      </c>
      <c r="I13" s="111">
        <v>716079</v>
      </c>
      <c r="J13" s="111">
        <v>1619288</v>
      </c>
      <c r="K13" s="111">
        <v>0</v>
      </c>
      <c r="L13" s="110">
        <f t="shared" si="9"/>
        <v>375625</v>
      </c>
      <c r="M13" s="110"/>
      <c r="N13" s="111">
        <v>639874</v>
      </c>
      <c r="O13" s="111">
        <v>220201</v>
      </c>
      <c r="P13" s="111">
        <v>442185</v>
      </c>
      <c r="Q13" s="112">
        <f>E13</f>
        <v>221984</v>
      </c>
      <c r="R13" s="111">
        <v>221984</v>
      </c>
      <c r="S13" s="111">
        <v>0</v>
      </c>
      <c r="T13" s="111">
        <v>283032</v>
      </c>
      <c r="U13" s="112">
        <f>F13</f>
        <v>603239</v>
      </c>
      <c r="V13" s="111">
        <v>625891</v>
      </c>
      <c r="W13" s="111">
        <v>735112</v>
      </c>
      <c r="X13" s="111">
        <v>892299</v>
      </c>
      <c r="Y13" s="112">
        <f>G13</f>
        <v>957623</v>
      </c>
      <c r="Z13" s="111">
        <v>1410492</v>
      </c>
      <c r="AA13" s="111">
        <v>1291895</v>
      </c>
      <c r="AB13" s="111">
        <v>1821284</v>
      </c>
      <c r="AC13" s="112">
        <f>H13</f>
        <v>2026077</v>
      </c>
      <c r="AD13" s="111">
        <v>2026077</v>
      </c>
      <c r="AE13" s="111">
        <v>1728660</v>
      </c>
      <c r="AF13" s="111">
        <v>791879</v>
      </c>
      <c r="AG13" s="112">
        <f t="shared" si="10"/>
        <v>716079</v>
      </c>
      <c r="AH13" s="111">
        <v>1666458</v>
      </c>
      <c r="AI13" s="111">
        <v>2105824</v>
      </c>
      <c r="AJ13" s="111">
        <v>1600545</v>
      </c>
      <c r="AK13" s="112">
        <f t="shared" si="11"/>
        <v>1619288</v>
      </c>
      <c r="AL13" s="111">
        <v>1142324</v>
      </c>
      <c r="AM13" s="111">
        <v>730762</v>
      </c>
      <c r="AN13" s="111">
        <v>0</v>
      </c>
      <c r="AO13" s="112">
        <f>K13</f>
        <v>0</v>
      </c>
      <c r="AP13" s="111">
        <v>375625</v>
      </c>
    </row>
    <row r="14" spans="2:42" s="105" customFormat="1">
      <c r="B14" s="107" t="s">
        <v>284</v>
      </c>
      <c r="C14" s="109">
        <f t="shared" ref="C14:G14" si="12">SUM(C12:C13)</f>
        <v>7996853</v>
      </c>
      <c r="D14" s="109">
        <f t="shared" si="12"/>
        <v>8416471</v>
      </c>
      <c r="E14" s="109">
        <f t="shared" si="12"/>
        <v>9074274</v>
      </c>
      <c r="F14" s="109">
        <f t="shared" si="12"/>
        <v>9681724</v>
      </c>
      <c r="G14" s="109">
        <f t="shared" si="12"/>
        <v>10260762</v>
      </c>
      <c r="H14" s="109">
        <f t="shared" ref="H14:I14" si="13">SUM(H12:H13)</f>
        <v>12378652</v>
      </c>
      <c r="I14" s="109">
        <f t="shared" si="13"/>
        <v>12786659</v>
      </c>
      <c r="J14" s="109">
        <f t="shared" ref="J14:K14" si="14">SUM(J12:J13)</f>
        <v>14405945</v>
      </c>
      <c r="K14" s="109">
        <f t="shared" si="14"/>
        <v>14283183</v>
      </c>
      <c r="L14" s="109">
        <f>SUM(L12:L13)</f>
        <v>14658812</v>
      </c>
      <c r="M14" s="109"/>
      <c r="N14" s="109">
        <f t="shared" ref="N14:W14" si="15">SUM(N12:N13)</f>
        <v>8851928</v>
      </c>
      <c r="O14" s="109">
        <f t="shared" si="15"/>
        <v>8852074</v>
      </c>
      <c r="P14" s="109">
        <f t="shared" si="15"/>
        <v>9074058</v>
      </c>
      <c r="Q14" s="109">
        <f t="shared" si="15"/>
        <v>9074274</v>
      </c>
      <c r="R14" s="109">
        <f t="shared" si="15"/>
        <v>9074369</v>
      </c>
      <c r="S14" s="109">
        <f t="shared" si="15"/>
        <v>9074369</v>
      </c>
      <c r="T14" s="109">
        <f t="shared" si="15"/>
        <v>9357401</v>
      </c>
      <c r="U14" s="109">
        <f t="shared" si="15"/>
        <v>9681724</v>
      </c>
      <c r="V14" s="109">
        <f t="shared" si="15"/>
        <v>9987408</v>
      </c>
      <c r="W14" s="109">
        <f t="shared" si="15"/>
        <v>10096027</v>
      </c>
      <c r="X14" s="109">
        <f t="shared" ref="X14:AA14" si="16">SUM(X12:X13)</f>
        <v>10195438</v>
      </c>
      <c r="Y14" s="109">
        <f t="shared" si="16"/>
        <v>10260762</v>
      </c>
      <c r="Z14" s="109">
        <f t="shared" si="16"/>
        <v>10920450</v>
      </c>
      <c r="AA14" s="109">
        <f t="shared" si="16"/>
        <v>10920450</v>
      </c>
      <c r="AB14" s="109">
        <f t="shared" ref="AB14:AE14" si="17">SUM(AB12:AB13)</f>
        <v>11449839</v>
      </c>
      <c r="AC14" s="109">
        <f t="shared" si="17"/>
        <v>12378652</v>
      </c>
      <c r="AD14" s="109">
        <f t="shared" si="17"/>
        <v>12378652</v>
      </c>
      <c r="AE14" s="109">
        <f t="shared" si="17"/>
        <v>12386623</v>
      </c>
      <c r="AF14" s="109">
        <f t="shared" ref="AF14:AH14" si="18">SUM(AF12:AF13)</f>
        <v>13176008</v>
      </c>
      <c r="AG14" s="109">
        <f t="shared" si="18"/>
        <v>12786659</v>
      </c>
      <c r="AH14" s="109">
        <f t="shared" si="18"/>
        <v>13737038</v>
      </c>
      <c r="AI14" s="109">
        <f t="shared" ref="AI14:AL14" si="19">SUM(AI12:AI13)</f>
        <v>14387204</v>
      </c>
      <c r="AJ14" s="109">
        <f t="shared" si="19"/>
        <v>14387204</v>
      </c>
      <c r="AK14" s="109">
        <f t="shared" si="19"/>
        <v>14405945</v>
      </c>
      <c r="AL14" s="109">
        <f t="shared" si="19"/>
        <v>14405945</v>
      </c>
      <c r="AM14" s="109">
        <f t="shared" ref="AM14:AP14" si="20">SUM(AM12:AM13)</f>
        <v>14358923</v>
      </c>
      <c r="AN14" s="109">
        <f t="shared" si="20"/>
        <v>14282993</v>
      </c>
      <c r="AO14" s="109">
        <f t="shared" si="20"/>
        <v>14283183</v>
      </c>
      <c r="AP14" s="109">
        <f t="shared" si="20"/>
        <v>14658812</v>
      </c>
    </row>
    <row r="15" spans="2:42" s="99" customFormat="1" ht="13.5" customHeight="1">
      <c r="C15" s="101"/>
      <c r="D15" s="101"/>
      <c r="E15" s="101"/>
      <c r="F15" s="101"/>
      <c r="G15" s="101"/>
      <c r="H15" s="101"/>
      <c r="I15" s="101"/>
      <c r="J15" s="101"/>
      <c r="K15" s="101"/>
      <c r="L15" s="100"/>
      <c r="M15" s="100"/>
      <c r="N15" s="101"/>
      <c r="O15" s="101"/>
      <c r="P15" s="101"/>
      <c r="Q15" s="100"/>
      <c r="R15" s="101"/>
      <c r="S15" s="101"/>
      <c r="T15" s="101"/>
      <c r="U15" s="100"/>
      <c r="V15" s="101"/>
      <c r="W15" s="101"/>
      <c r="X15" s="101"/>
      <c r="Y15" s="100"/>
      <c r="Z15" s="101"/>
      <c r="AA15" s="101"/>
      <c r="AB15" s="101"/>
      <c r="AC15" s="100"/>
      <c r="AD15" s="101"/>
      <c r="AE15" s="101"/>
      <c r="AF15" s="101"/>
      <c r="AG15" s="100"/>
      <c r="AH15" s="101"/>
      <c r="AI15" s="101"/>
      <c r="AK15" s="100"/>
      <c r="AL15" s="101"/>
      <c r="AM15" s="101"/>
      <c r="AO15" s="100"/>
      <c r="AP15" s="101"/>
    </row>
    <row r="16" spans="2:42">
      <c r="B16" s="106" t="s">
        <v>285</v>
      </c>
      <c r="C16" s="111">
        <v>62861</v>
      </c>
      <c r="D16" s="111">
        <v>20778</v>
      </c>
      <c r="E16" s="111">
        <v>11050</v>
      </c>
      <c r="F16" s="111">
        <v>30778</v>
      </c>
      <c r="G16" s="111">
        <v>51234</v>
      </c>
      <c r="H16" s="111">
        <v>127072</v>
      </c>
      <c r="I16" s="111">
        <v>57715</v>
      </c>
      <c r="J16" s="111">
        <v>134868</v>
      </c>
      <c r="K16" s="111">
        <v>0</v>
      </c>
      <c r="L16" s="110">
        <f t="shared" ref="L16:L18" si="21">AP16</f>
        <v>32379</v>
      </c>
      <c r="M16" s="110"/>
      <c r="N16" s="111">
        <v>32773</v>
      </c>
      <c r="O16" s="111">
        <v>11995</v>
      </c>
      <c r="P16" s="111">
        <v>23044</v>
      </c>
      <c r="Q16" s="112">
        <f>E16</f>
        <v>11050</v>
      </c>
      <c r="R16" s="111">
        <v>11049</v>
      </c>
      <c r="S16" s="111">
        <v>0</v>
      </c>
      <c r="T16" s="111">
        <v>12934</v>
      </c>
      <c r="U16" s="112">
        <f>F16</f>
        <v>30778</v>
      </c>
      <c r="V16" s="111">
        <v>35760</v>
      </c>
      <c r="W16" s="111">
        <v>41441</v>
      </c>
      <c r="X16" s="111">
        <v>48065</v>
      </c>
      <c r="Y16" s="112">
        <f>G16</f>
        <v>51234</v>
      </c>
      <c r="Z16" s="111">
        <v>79303</v>
      </c>
      <c r="AA16" s="111">
        <v>73622</v>
      </c>
      <c r="AB16" s="111">
        <v>108199</v>
      </c>
      <c r="AC16" s="112">
        <f>H16</f>
        <v>127072</v>
      </c>
      <c r="AD16" s="111">
        <v>127072</v>
      </c>
      <c r="AE16" s="111">
        <v>112376</v>
      </c>
      <c r="AF16" s="111">
        <v>60105</v>
      </c>
      <c r="AG16" s="112">
        <f t="shared" ref="AG16:AG18" si="22">I16</f>
        <v>57715</v>
      </c>
      <c r="AH16" s="111">
        <v>130701</v>
      </c>
      <c r="AI16" s="111">
        <v>175779</v>
      </c>
      <c r="AJ16" s="111">
        <v>134714</v>
      </c>
      <c r="AK16" s="112">
        <f t="shared" ref="AK16:AK18" si="23">J16</f>
        <v>134868</v>
      </c>
      <c r="AL16" s="111">
        <v>90135</v>
      </c>
      <c r="AM16" s="111">
        <v>57180</v>
      </c>
      <c r="AN16" s="111">
        <v>0</v>
      </c>
      <c r="AO16" s="112">
        <f t="shared" ref="AO16:AO18" si="24">K16</f>
        <v>0</v>
      </c>
      <c r="AP16" s="111">
        <v>32379</v>
      </c>
    </row>
    <row r="17" spans="2:42">
      <c r="B17" s="106" t="s">
        <v>286</v>
      </c>
      <c r="C17" s="111">
        <v>72</v>
      </c>
      <c r="D17" s="111">
        <v>53.63</v>
      </c>
      <c r="E17" s="111">
        <v>118.63</v>
      </c>
      <c r="F17" s="111">
        <v>107.17</v>
      </c>
      <c r="G17" s="111">
        <v>108.24</v>
      </c>
      <c r="H17" s="111">
        <v>153.63999999999999</v>
      </c>
      <c r="I17" s="111">
        <v>100.83</v>
      </c>
      <c r="J17" s="111">
        <v>88.32</v>
      </c>
      <c r="K17" s="111">
        <v>539.48</v>
      </c>
      <c r="L17" s="110">
        <f t="shared" si="21"/>
        <v>523.61</v>
      </c>
      <c r="M17" s="110"/>
      <c r="N17" s="111">
        <v>53.63</v>
      </c>
      <c r="O17" s="111">
        <v>43.33</v>
      </c>
      <c r="P17" s="111">
        <v>31.18</v>
      </c>
      <c r="Q17" s="112">
        <f>E17</f>
        <v>118.63</v>
      </c>
      <c r="R17" s="111">
        <v>118.63</v>
      </c>
      <c r="S17" s="111">
        <v>118.63</v>
      </c>
      <c r="T17" s="111">
        <v>107.17</v>
      </c>
      <c r="U17" s="112">
        <f>F17</f>
        <v>107.17</v>
      </c>
      <c r="V17" s="111">
        <v>178.73</v>
      </c>
      <c r="W17" s="111">
        <v>152.66999999999999</v>
      </c>
      <c r="X17" s="111">
        <v>141.99</v>
      </c>
      <c r="Y17" s="112">
        <f>G17</f>
        <v>108.24</v>
      </c>
      <c r="Z17" s="111">
        <v>257.10000000000002</v>
      </c>
      <c r="AA17" s="111">
        <v>216.59</v>
      </c>
      <c r="AB17" s="111">
        <v>194.3</v>
      </c>
      <c r="AC17" s="112">
        <f>H17</f>
        <v>153.63999999999999</v>
      </c>
      <c r="AD17" s="111">
        <v>141.24</v>
      </c>
      <c r="AE17" s="111">
        <v>141.24</v>
      </c>
      <c r="AF17" s="111">
        <v>100.83</v>
      </c>
      <c r="AG17" s="112">
        <f t="shared" si="22"/>
        <v>100.83</v>
      </c>
      <c r="AH17" s="111">
        <v>56.24</v>
      </c>
      <c r="AI17" s="111">
        <v>0</v>
      </c>
      <c r="AJ17" s="111">
        <v>88.32</v>
      </c>
      <c r="AK17" s="112">
        <f t="shared" si="23"/>
        <v>88.32</v>
      </c>
      <c r="AL17" s="111">
        <v>185.6</v>
      </c>
      <c r="AM17" s="111">
        <v>209.57</v>
      </c>
      <c r="AN17" s="111">
        <v>209.57</v>
      </c>
      <c r="AO17" s="112">
        <f t="shared" si="24"/>
        <v>539.48</v>
      </c>
      <c r="AP17" s="111">
        <v>523.61</v>
      </c>
    </row>
    <row r="18" spans="2:42">
      <c r="B18" s="106" t="s">
        <v>287</v>
      </c>
      <c r="C18" s="111">
        <v>23909</v>
      </c>
      <c r="D18" s="111">
        <v>17208</v>
      </c>
      <c r="E18" s="111">
        <v>30107</v>
      </c>
      <c r="F18" s="111">
        <v>26275</v>
      </c>
      <c r="G18" s="111">
        <v>20050</v>
      </c>
      <c r="H18" s="111">
        <v>44258</v>
      </c>
      <c r="I18" s="111">
        <v>33.22</v>
      </c>
      <c r="J18" s="111">
        <v>10272</v>
      </c>
      <c r="K18" s="111">
        <v>163880</v>
      </c>
      <c r="L18" s="110">
        <f t="shared" si="21"/>
        <v>160243</v>
      </c>
      <c r="M18" s="110"/>
      <c r="N18" s="111">
        <v>17208</v>
      </c>
      <c r="O18" s="111">
        <v>13966</v>
      </c>
      <c r="P18" s="111">
        <v>11503</v>
      </c>
      <c r="Q18" s="112">
        <f>E18</f>
        <v>30107</v>
      </c>
      <c r="R18" s="111">
        <v>30107</v>
      </c>
      <c r="S18" s="111">
        <v>30107</v>
      </c>
      <c r="T18" s="111">
        <v>26275</v>
      </c>
      <c r="U18" s="112">
        <f>F18</f>
        <v>26275</v>
      </c>
      <c r="V18" s="111">
        <v>42328</v>
      </c>
      <c r="W18" s="111">
        <v>30552</v>
      </c>
      <c r="X18" s="111">
        <v>26984</v>
      </c>
      <c r="Y18" s="112">
        <f>G18</f>
        <v>20050</v>
      </c>
      <c r="Z18" s="111">
        <v>70452</v>
      </c>
      <c r="AA18" s="111">
        <v>58645</v>
      </c>
      <c r="AB18" s="111">
        <v>51610</v>
      </c>
      <c r="AC18" s="112">
        <f>H18</f>
        <v>44258</v>
      </c>
      <c r="AD18" s="111">
        <v>45415</v>
      </c>
      <c r="AE18" s="111">
        <v>45420</v>
      </c>
      <c r="AF18" s="111">
        <v>32660</v>
      </c>
      <c r="AG18" s="112">
        <f t="shared" si="22"/>
        <v>33.22</v>
      </c>
      <c r="AH18" s="111">
        <v>18203</v>
      </c>
      <c r="AI18" s="111">
        <v>0</v>
      </c>
      <c r="AJ18" s="111">
        <v>10298</v>
      </c>
      <c r="AK18" s="112">
        <f t="shared" si="23"/>
        <v>10272</v>
      </c>
      <c r="AL18" s="111">
        <v>36754</v>
      </c>
      <c r="AM18" s="111">
        <v>48358</v>
      </c>
      <c r="AN18" s="111">
        <v>48358</v>
      </c>
      <c r="AO18" s="112">
        <f t="shared" si="24"/>
        <v>163880</v>
      </c>
      <c r="AP18" s="111">
        <v>160243</v>
      </c>
    </row>
    <row r="19" spans="2:42">
      <c r="B19" s="106"/>
      <c r="C19" s="111"/>
      <c r="D19" s="111"/>
      <c r="E19" s="111"/>
      <c r="F19" s="111"/>
      <c r="G19" s="111"/>
      <c r="H19" s="111"/>
      <c r="I19" s="111"/>
      <c r="J19" s="111"/>
      <c r="K19" s="111"/>
      <c r="L19" s="110"/>
      <c r="M19" s="110"/>
      <c r="N19" s="111"/>
      <c r="O19" s="111"/>
      <c r="P19" s="111"/>
      <c r="Q19" s="112"/>
      <c r="R19" s="111"/>
      <c r="S19" s="111"/>
      <c r="T19" s="111"/>
      <c r="U19" s="112"/>
      <c r="V19" s="111"/>
      <c r="W19" s="111"/>
      <c r="X19" s="111"/>
      <c r="Y19" s="112"/>
      <c r="Z19" s="111"/>
      <c r="AA19" s="111"/>
      <c r="AB19" s="111"/>
      <c r="AC19" s="112"/>
      <c r="AD19" s="111"/>
      <c r="AE19" s="111"/>
      <c r="AF19" s="111"/>
      <c r="AG19" s="112"/>
      <c r="AH19" s="111"/>
      <c r="AI19" s="111"/>
      <c r="AK19" s="112"/>
      <c r="AL19" s="111"/>
      <c r="AM19" s="111"/>
      <c r="AO19" s="112"/>
      <c r="AP19" s="111"/>
    </row>
    <row r="20" spans="2:42">
      <c r="B20" s="181" t="s">
        <v>288</v>
      </c>
      <c r="C20" s="101"/>
      <c r="D20" s="101"/>
      <c r="E20" s="101"/>
      <c r="F20" s="101"/>
      <c r="G20" s="101"/>
      <c r="H20" s="101"/>
      <c r="I20" s="101"/>
      <c r="J20" s="101"/>
      <c r="K20" s="101"/>
      <c r="L20" s="101"/>
      <c r="M20" s="101"/>
      <c r="N20" s="113"/>
      <c r="O20" s="113"/>
      <c r="P20" s="113"/>
      <c r="Q20" s="113"/>
      <c r="R20" s="113"/>
      <c r="S20" s="113"/>
      <c r="T20" s="113"/>
      <c r="U20" s="113"/>
      <c r="V20" s="113"/>
      <c r="W20" s="113"/>
      <c r="X20" s="113"/>
      <c r="Y20" s="113"/>
      <c r="Z20" s="113"/>
      <c r="AA20" s="113"/>
      <c r="AB20" s="113"/>
      <c r="AC20" s="113"/>
      <c r="AD20" s="113"/>
      <c r="AE20" s="113"/>
      <c r="AF20" s="113"/>
      <c r="AG20" s="113"/>
      <c r="AH20" s="113"/>
      <c r="AI20" s="113"/>
      <c r="AK20" s="113"/>
      <c r="AL20" s="113"/>
      <c r="AM20" s="113"/>
      <c r="AO20" s="113"/>
      <c r="AP20" s="113"/>
    </row>
    <row r="21" spans="2:42">
      <c r="B21" s="106" t="s">
        <v>279</v>
      </c>
      <c r="C21" s="111">
        <v>76</v>
      </c>
      <c r="D21" s="111">
        <v>84</v>
      </c>
      <c r="E21" s="111">
        <v>83</v>
      </c>
      <c r="F21" s="111">
        <v>84</v>
      </c>
      <c r="G21" s="111">
        <v>83</v>
      </c>
      <c r="H21" s="111">
        <v>88</v>
      </c>
      <c r="I21" s="111">
        <v>92</v>
      </c>
      <c r="J21" s="111">
        <v>98</v>
      </c>
      <c r="K21" s="111">
        <v>102</v>
      </c>
      <c r="L21" s="110">
        <f t="shared" ref="L21:L22" si="25">AP21</f>
        <v>101</v>
      </c>
      <c r="M21" s="110"/>
      <c r="N21" s="111">
        <v>87</v>
      </c>
      <c r="O21" s="111">
        <v>82</v>
      </c>
      <c r="P21" s="111">
        <v>82</v>
      </c>
      <c r="Q21" s="112">
        <f>E21</f>
        <v>83</v>
      </c>
      <c r="R21" s="111">
        <v>83</v>
      </c>
      <c r="S21" s="111">
        <v>83</v>
      </c>
      <c r="T21" s="111">
        <v>83</v>
      </c>
      <c r="U21" s="112">
        <f>F21</f>
        <v>84</v>
      </c>
      <c r="V21" s="111">
        <v>84</v>
      </c>
      <c r="W21" s="111">
        <v>84</v>
      </c>
      <c r="X21" s="111">
        <v>84</v>
      </c>
      <c r="Y21" s="112">
        <f>G21</f>
        <v>83</v>
      </c>
      <c r="Z21" s="111">
        <v>83</v>
      </c>
      <c r="AA21" s="111">
        <v>85</v>
      </c>
      <c r="AB21" s="111">
        <v>86</v>
      </c>
      <c r="AC21" s="112">
        <f>H21</f>
        <v>88</v>
      </c>
      <c r="AD21" s="111">
        <v>88</v>
      </c>
      <c r="AE21" s="111">
        <v>89</v>
      </c>
      <c r="AF21" s="111">
        <v>91</v>
      </c>
      <c r="AG21" s="112">
        <f t="shared" ref="AG21:AG22" si="26">I21</f>
        <v>92</v>
      </c>
      <c r="AH21" s="111">
        <v>92</v>
      </c>
      <c r="AI21" s="111">
        <v>93</v>
      </c>
      <c r="AJ21" s="111">
        <v>96</v>
      </c>
      <c r="AK21" s="112">
        <f>J21</f>
        <v>98</v>
      </c>
      <c r="AL21" s="111">
        <v>99</v>
      </c>
      <c r="AM21" s="111">
        <v>99</v>
      </c>
      <c r="AN21" s="111">
        <v>102</v>
      </c>
      <c r="AO21" s="112">
        <f>K21</f>
        <v>102</v>
      </c>
      <c r="AP21" s="111">
        <v>101</v>
      </c>
    </row>
    <row r="22" spans="2:42">
      <c r="B22" s="106" t="s">
        <v>280</v>
      </c>
      <c r="C22" s="111">
        <v>0</v>
      </c>
      <c r="D22" s="111">
        <v>3</v>
      </c>
      <c r="E22" s="111">
        <v>1</v>
      </c>
      <c r="F22" s="111">
        <v>2</v>
      </c>
      <c r="G22" s="111">
        <v>3</v>
      </c>
      <c r="H22" s="111">
        <v>6</v>
      </c>
      <c r="I22" s="111">
        <v>6</v>
      </c>
      <c r="J22" s="111">
        <v>5</v>
      </c>
      <c r="K22" s="111">
        <v>3</v>
      </c>
      <c r="L22" s="110">
        <f t="shared" si="25"/>
        <v>3</v>
      </c>
      <c r="M22" s="110"/>
      <c r="N22" s="111">
        <v>2</v>
      </c>
      <c r="O22" s="111">
        <v>2</v>
      </c>
      <c r="P22" s="111">
        <v>1</v>
      </c>
      <c r="Q22" s="112">
        <f>E22</f>
        <v>1</v>
      </c>
      <c r="R22" s="111">
        <v>3</v>
      </c>
      <c r="S22" s="111">
        <v>4</v>
      </c>
      <c r="T22" s="111">
        <v>5</v>
      </c>
      <c r="U22" s="112">
        <f>F22</f>
        <v>2</v>
      </c>
      <c r="V22" s="111">
        <v>2</v>
      </c>
      <c r="W22" s="111">
        <v>2</v>
      </c>
      <c r="X22" s="111">
        <v>3</v>
      </c>
      <c r="Y22" s="112">
        <f>G22</f>
        <v>3</v>
      </c>
      <c r="Z22" s="111">
        <v>5</v>
      </c>
      <c r="AA22" s="111">
        <v>3</v>
      </c>
      <c r="AB22" s="111">
        <v>5</v>
      </c>
      <c r="AC22" s="112">
        <f>H22</f>
        <v>6</v>
      </c>
      <c r="AD22" s="111">
        <v>6</v>
      </c>
      <c r="AE22" s="111">
        <v>4</v>
      </c>
      <c r="AF22" s="111">
        <v>6</v>
      </c>
      <c r="AG22" s="112">
        <f t="shared" si="26"/>
        <v>6</v>
      </c>
      <c r="AH22" s="111">
        <v>5</v>
      </c>
      <c r="AI22" s="111">
        <v>7</v>
      </c>
      <c r="AJ22" s="111">
        <v>3</v>
      </c>
      <c r="AK22" s="112">
        <f>J22</f>
        <v>5</v>
      </c>
      <c r="AL22" s="111">
        <v>3</v>
      </c>
      <c r="AM22" s="111">
        <v>3</v>
      </c>
      <c r="AN22" s="111">
        <v>1</v>
      </c>
      <c r="AO22" s="112">
        <f>K22</f>
        <v>3</v>
      </c>
      <c r="AP22" s="111">
        <v>3</v>
      </c>
    </row>
    <row r="23" spans="2:42" s="105" customFormat="1">
      <c r="B23" s="107" t="s">
        <v>281</v>
      </c>
      <c r="C23" s="109">
        <f t="shared" ref="C23:G23" si="27">SUM(C21:C22)</f>
        <v>76</v>
      </c>
      <c r="D23" s="109">
        <f t="shared" si="27"/>
        <v>87</v>
      </c>
      <c r="E23" s="109">
        <f t="shared" si="27"/>
        <v>84</v>
      </c>
      <c r="F23" s="109">
        <f t="shared" si="27"/>
        <v>86</v>
      </c>
      <c r="G23" s="109">
        <f t="shared" si="27"/>
        <v>86</v>
      </c>
      <c r="H23" s="109">
        <f t="shared" ref="H23:I23" si="28">SUM(H21:H22)</f>
        <v>94</v>
      </c>
      <c r="I23" s="109">
        <f t="shared" si="28"/>
        <v>98</v>
      </c>
      <c r="J23" s="109">
        <f t="shared" ref="J23:K23" si="29">SUM(J21:J22)</f>
        <v>103</v>
      </c>
      <c r="K23" s="109">
        <f t="shared" si="29"/>
        <v>105</v>
      </c>
      <c r="L23" s="109">
        <f>SUM(L21:L22)</f>
        <v>104</v>
      </c>
      <c r="M23" s="109"/>
      <c r="N23" s="109">
        <f t="shared" ref="N23:W23" si="30">SUM(N21:N22)</f>
        <v>89</v>
      </c>
      <c r="O23" s="109">
        <f t="shared" si="30"/>
        <v>84</v>
      </c>
      <c r="P23" s="109">
        <f t="shared" si="30"/>
        <v>83</v>
      </c>
      <c r="Q23" s="109">
        <f t="shared" si="30"/>
        <v>84</v>
      </c>
      <c r="R23" s="109">
        <f t="shared" si="30"/>
        <v>86</v>
      </c>
      <c r="S23" s="109">
        <f t="shared" si="30"/>
        <v>87</v>
      </c>
      <c r="T23" s="109">
        <f t="shared" si="30"/>
        <v>88</v>
      </c>
      <c r="U23" s="109">
        <f t="shared" si="30"/>
        <v>86</v>
      </c>
      <c r="V23" s="109">
        <f t="shared" si="30"/>
        <v>86</v>
      </c>
      <c r="W23" s="109">
        <f t="shared" si="30"/>
        <v>86</v>
      </c>
      <c r="X23" s="109">
        <f t="shared" ref="X23:AA23" si="31">SUM(X21:X22)</f>
        <v>87</v>
      </c>
      <c r="Y23" s="109">
        <f t="shared" si="31"/>
        <v>86</v>
      </c>
      <c r="Z23" s="109">
        <f t="shared" si="31"/>
        <v>88</v>
      </c>
      <c r="AA23" s="109">
        <f t="shared" si="31"/>
        <v>88</v>
      </c>
      <c r="AB23" s="109">
        <f t="shared" ref="AB23:AE23" si="32">SUM(AB21:AB22)</f>
        <v>91</v>
      </c>
      <c r="AC23" s="109">
        <f t="shared" si="32"/>
        <v>94</v>
      </c>
      <c r="AD23" s="109">
        <f t="shared" si="32"/>
        <v>94</v>
      </c>
      <c r="AE23" s="109">
        <f t="shared" si="32"/>
        <v>93</v>
      </c>
      <c r="AF23" s="109">
        <f t="shared" ref="AF23:AH23" si="33">SUM(AF21:AF22)</f>
        <v>97</v>
      </c>
      <c r="AG23" s="109">
        <f t="shared" si="33"/>
        <v>98</v>
      </c>
      <c r="AH23" s="109">
        <f t="shared" si="33"/>
        <v>97</v>
      </c>
      <c r="AI23" s="109">
        <f t="shared" ref="AI23:AL23" si="34">SUM(AI21:AI22)</f>
        <v>100</v>
      </c>
      <c r="AJ23" s="109">
        <f t="shared" si="34"/>
        <v>99</v>
      </c>
      <c r="AK23" s="109">
        <f t="shared" si="34"/>
        <v>103</v>
      </c>
      <c r="AL23" s="109">
        <f t="shared" si="34"/>
        <v>102</v>
      </c>
      <c r="AM23" s="109">
        <f t="shared" ref="AM23:AP23" si="35">SUM(AM21:AM22)</f>
        <v>102</v>
      </c>
      <c r="AN23" s="109">
        <f t="shared" si="35"/>
        <v>103</v>
      </c>
      <c r="AO23" s="109">
        <f t="shared" si="35"/>
        <v>105</v>
      </c>
      <c r="AP23" s="109">
        <f t="shared" si="35"/>
        <v>104</v>
      </c>
    </row>
    <row r="24" spans="2:42" s="99" customFormat="1" ht="13.5" customHeight="1">
      <c r="C24" s="101"/>
      <c r="D24" s="101"/>
      <c r="E24" s="101"/>
      <c r="F24" s="101"/>
      <c r="G24" s="101"/>
      <c r="H24" s="101"/>
      <c r="I24" s="101"/>
      <c r="J24" s="101"/>
      <c r="K24" s="101"/>
      <c r="L24" s="100"/>
      <c r="M24" s="100"/>
      <c r="N24" s="101"/>
      <c r="O24" s="101"/>
      <c r="P24" s="101"/>
      <c r="Q24" s="100"/>
      <c r="R24" s="101"/>
      <c r="S24" s="101"/>
      <c r="T24" s="101"/>
      <c r="U24" s="100"/>
      <c r="V24" s="101"/>
      <c r="W24" s="101"/>
      <c r="X24" s="101"/>
      <c r="Y24" s="100"/>
      <c r="Z24" s="101"/>
      <c r="AA24" s="101"/>
      <c r="AB24" s="101"/>
      <c r="AC24" s="100"/>
      <c r="AD24" s="101"/>
      <c r="AE24" s="101"/>
      <c r="AF24" s="101"/>
      <c r="AG24" s="100"/>
      <c r="AH24" s="101"/>
      <c r="AI24" s="101"/>
      <c r="AK24" s="100"/>
      <c r="AL24" s="101"/>
      <c r="AM24" s="101"/>
      <c r="AO24" s="100"/>
      <c r="AP24" s="101"/>
    </row>
    <row r="25" spans="2:42">
      <c r="B25" s="106" t="s">
        <v>282</v>
      </c>
      <c r="C25" s="111">
        <v>12722893</v>
      </c>
      <c r="D25" s="111">
        <v>14748046</v>
      </c>
      <c r="E25" s="111">
        <v>14445698</v>
      </c>
      <c r="F25" s="111">
        <v>15182807</v>
      </c>
      <c r="G25" s="111">
        <v>14771316</v>
      </c>
      <c r="H25" s="111">
        <v>16183191</v>
      </c>
      <c r="I25" s="111">
        <v>18027608</v>
      </c>
      <c r="J25" s="111">
        <v>19193885</v>
      </c>
      <c r="K25" s="111">
        <v>20093889</v>
      </c>
      <c r="L25" s="110">
        <f t="shared" ref="L25:L26" si="36">AP25</f>
        <v>20093885</v>
      </c>
      <c r="M25" s="110"/>
      <c r="N25" s="111">
        <v>15081603</v>
      </c>
      <c r="O25" s="111">
        <v>14136412</v>
      </c>
      <c r="P25" s="111">
        <v>14210107</v>
      </c>
      <c r="Q25" s="112">
        <f>E25</f>
        <v>14445698</v>
      </c>
      <c r="R25" s="111">
        <v>14447822</v>
      </c>
      <c r="S25" s="111">
        <v>14447822</v>
      </c>
      <c r="T25" s="111">
        <v>14447822</v>
      </c>
      <c r="U25" s="112">
        <f>F25</f>
        <v>15182807</v>
      </c>
      <c r="V25" s="111">
        <v>15227219</v>
      </c>
      <c r="W25" s="111">
        <v>15231132</v>
      </c>
      <c r="X25" s="111">
        <v>15231131</v>
      </c>
      <c r="Y25" s="112">
        <f>G25</f>
        <v>14771316</v>
      </c>
      <c r="Z25" s="111">
        <v>14849602</v>
      </c>
      <c r="AA25" s="111">
        <v>15451284</v>
      </c>
      <c r="AB25" s="111">
        <v>15630160</v>
      </c>
      <c r="AC25" s="112">
        <f>H25</f>
        <v>16183191</v>
      </c>
      <c r="AD25" s="111">
        <v>16183191</v>
      </c>
      <c r="AE25" s="111">
        <v>16769047</v>
      </c>
      <c r="AF25" s="111">
        <v>17341893</v>
      </c>
      <c r="AG25" s="112">
        <f t="shared" ref="AG25:AG26" si="37">I25</f>
        <v>18027608</v>
      </c>
      <c r="AH25" s="111">
        <v>17963025</v>
      </c>
      <c r="AI25" s="111">
        <v>18255502</v>
      </c>
      <c r="AJ25" s="111">
        <v>19033534</v>
      </c>
      <c r="AK25" s="112">
        <f>J25</f>
        <v>19193885</v>
      </c>
      <c r="AL25" s="111">
        <v>19533041</v>
      </c>
      <c r="AM25" s="111">
        <v>19533041</v>
      </c>
      <c r="AN25" s="111">
        <v>20093889</v>
      </c>
      <c r="AO25" s="112">
        <f>K25</f>
        <v>20093889</v>
      </c>
      <c r="AP25" s="111">
        <v>20093885</v>
      </c>
    </row>
    <row r="26" spans="2:42">
      <c r="B26" s="106" t="s">
        <v>283</v>
      </c>
      <c r="C26" s="111">
        <v>1209136</v>
      </c>
      <c r="D26" s="111">
        <v>622080</v>
      </c>
      <c r="E26" s="111">
        <v>405509</v>
      </c>
      <c r="F26" s="111">
        <v>449921</v>
      </c>
      <c r="G26" s="111">
        <v>678842</v>
      </c>
      <c r="H26" s="111">
        <v>1839413</v>
      </c>
      <c r="I26" s="111">
        <v>1155265</v>
      </c>
      <c r="J26" s="111">
        <v>900007</v>
      </c>
      <c r="K26" s="111">
        <v>771844</v>
      </c>
      <c r="L26" s="110">
        <f t="shared" si="36"/>
        <v>777226</v>
      </c>
      <c r="M26" s="110"/>
      <c r="N26" s="111">
        <v>309285</v>
      </c>
      <c r="O26" s="111">
        <v>309285</v>
      </c>
      <c r="P26" s="111">
        <v>235591</v>
      </c>
      <c r="Q26" s="112">
        <f>E26</f>
        <v>405509</v>
      </c>
      <c r="R26" s="111">
        <v>1065584</v>
      </c>
      <c r="S26" s="111">
        <v>1157593</v>
      </c>
      <c r="T26" s="111">
        <v>1202005</v>
      </c>
      <c r="U26" s="112">
        <f>F26</f>
        <v>449921</v>
      </c>
      <c r="V26" s="111">
        <v>631475</v>
      </c>
      <c r="W26" s="111">
        <v>631475</v>
      </c>
      <c r="X26" s="111">
        <v>904808</v>
      </c>
      <c r="Y26" s="112">
        <f>G26</f>
        <v>678842</v>
      </c>
      <c r="Z26" s="111">
        <v>1287347</v>
      </c>
      <c r="AA26" s="111">
        <v>686791</v>
      </c>
      <c r="AB26" s="111">
        <v>1333873</v>
      </c>
      <c r="AC26" s="112">
        <f>H26</f>
        <v>1839413</v>
      </c>
      <c r="AD26" s="111">
        <v>1839413</v>
      </c>
      <c r="AE26" s="111">
        <v>1520283</v>
      </c>
      <c r="AF26" s="111">
        <v>1489514</v>
      </c>
      <c r="AG26" s="112">
        <f t="shared" si="37"/>
        <v>1155265</v>
      </c>
      <c r="AH26" s="111">
        <v>1236423</v>
      </c>
      <c r="AI26" s="111">
        <v>1248766</v>
      </c>
      <c r="AJ26" s="111">
        <v>470727</v>
      </c>
      <c r="AK26" s="112">
        <f>J26</f>
        <v>900007</v>
      </c>
      <c r="AL26" s="111">
        <v>560851</v>
      </c>
      <c r="AM26" s="111">
        <v>560851</v>
      </c>
      <c r="AN26" s="111">
        <v>376016</v>
      </c>
      <c r="AO26" s="112">
        <f>K26</f>
        <v>771844</v>
      </c>
      <c r="AP26" s="111">
        <v>777226</v>
      </c>
    </row>
    <row r="27" spans="2:42" s="105" customFormat="1">
      <c r="B27" s="107" t="s">
        <v>284</v>
      </c>
      <c r="C27" s="109">
        <f t="shared" ref="C27:G27" si="38">SUM(C25:C26)</f>
        <v>13932029</v>
      </c>
      <c r="D27" s="109">
        <f t="shared" si="38"/>
        <v>15370126</v>
      </c>
      <c r="E27" s="109">
        <f t="shared" si="38"/>
        <v>14851207</v>
      </c>
      <c r="F27" s="109">
        <f t="shared" si="38"/>
        <v>15632728</v>
      </c>
      <c r="G27" s="109">
        <f t="shared" si="38"/>
        <v>15450158</v>
      </c>
      <c r="H27" s="109">
        <f t="shared" ref="H27:I27" si="39">SUM(H25:H26)</f>
        <v>18022604</v>
      </c>
      <c r="I27" s="109">
        <f t="shared" si="39"/>
        <v>19182873</v>
      </c>
      <c r="J27" s="109">
        <f t="shared" ref="J27:K27" si="40">SUM(J25:J26)</f>
        <v>20093892</v>
      </c>
      <c r="K27" s="109">
        <f t="shared" si="40"/>
        <v>20865733</v>
      </c>
      <c r="L27" s="109">
        <f>SUM(L25:L26)</f>
        <v>20871111</v>
      </c>
      <c r="M27" s="109"/>
      <c r="N27" s="109">
        <f t="shared" ref="N27:W27" si="41">SUM(N25:N26)</f>
        <v>15390888</v>
      </c>
      <c r="O27" s="109">
        <f t="shared" si="41"/>
        <v>14445697</v>
      </c>
      <c r="P27" s="109">
        <f t="shared" si="41"/>
        <v>14445698</v>
      </c>
      <c r="Q27" s="109">
        <f t="shared" si="41"/>
        <v>14851207</v>
      </c>
      <c r="R27" s="109">
        <f t="shared" si="41"/>
        <v>15513406</v>
      </c>
      <c r="S27" s="109">
        <f t="shared" si="41"/>
        <v>15605415</v>
      </c>
      <c r="T27" s="109">
        <f t="shared" si="41"/>
        <v>15649827</v>
      </c>
      <c r="U27" s="109">
        <f t="shared" si="41"/>
        <v>15632728</v>
      </c>
      <c r="V27" s="109">
        <f t="shared" si="41"/>
        <v>15858694</v>
      </c>
      <c r="W27" s="109">
        <f t="shared" si="41"/>
        <v>15862607</v>
      </c>
      <c r="X27" s="109">
        <f t="shared" ref="X27:AA27" si="42">SUM(X25:X26)</f>
        <v>16135939</v>
      </c>
      <c r="Y27" s="109">
        <f t="shared" si="42"/>
        <v>15450158</v>
      </c>
      <c r="Z27" s="109">
        <f t="shared" si="42"/>
        <v>16136949</v>
      </c>
      <c r="AA27" s="109">
        <f t="shared" si="42"/>
        <v>16138075</v>
      </c>
      <c r="AB27" s="109">
        <f t="shared" ref="AB27:AE27" si="43">SUM(AB25:AB26)</f>
        <v>16964033</v>
      </c>
      <c r="AC27" s="109">
        <f t="shared" si="43"/>
        <v>18022604</v>
      </c>
      <c r="AD27" s="109">
        <f t="shared" si="43"/>
        <v>18022604</v>
      </c>
      <c r="AE27" s="109">
        <f t="shared" si="43"/>
        <v>18289330</v>
      </c>
      <c r="AF27" s="109">
        <f t="shared" ref="AF27:AH27" si="44">SUM(AF25:AF26)</f>
        <v>18831407</v>
      </c>
      <c r="AG27" s="109">
        <f t="shared" si="44"/>
        <v>19182873</v>
      </c>
      <c r="AH27" s="109">
        <f t="shared" si="44"/>
        <v>19199448</v>
      </c>
      <c r="AI27" s="109">
        <f t="shared" ref="AI27:AL27" si="45">SUM(AI25:AI26)</f>
        <v>19504268</v>
      </c>
      <c r="AJ27" s="109">
        <f t="shared" si="45"/>
        <v>19504261</v>
      </c>
      <c r="AK27" s="109">
        <f t="shared" si="45"/>
        <v>20093892</v>
      </c>
      <c r="AL27" s="109">
        <f t="shared" si="45"/>
        <v>20093892</v>
      </c>
      <c r="AM27" s="109">
        <f t="shared" ref="AM27:AP27" si="46">SUM(AM25:AM26)</f>
        <v>20093892</v>
      </c>
      <c r="AN27" s="109">
        <f t="shared" si="46"/>
        <v>20469905</v>
      </c>
      <c r="AO27" s="109">
        <f t="shared" si="46"/>
        <v>20865733</v>
      </c>
      <c r="AP27" s="109">
        <f t="shared" si="46"/>
        <v>20871111</v>
      </c>
    </row>
    <row r="28" spans="2:42" s="99" customFormat="1" ht="13.5" customHeight="1">
      <c r="C28" s="101"/>
      <c r="D28" s="101"/>
      <c r="E28" s="101"/>
      <c r="F28" s="101"/>
      <c r="G28" s="101"/>
      <c r="H28" s="101"/>
      <c r="I28" s="101"/>
      <c r="J28" s="101"/>
      <c r="K28" s="101"/>
      <c r="L28" s="100"/>
      <c r="M28" s="100"/>
      <c r="N28" s="101"/>
      <c r="O28" s="101"/>
      <c r="P28" s="101"/>
      <c r="Q28" s="100"/>
      <c r="R28" s="101"/>
      <c r="S28" s="101"/>
      <c r="T28" s="101"/>
      <c r="U28" s="100"/>
      <c r="V28" s="101"/>
      <c r="W28" s="101"/>
      <c r="X28" s="101"/>
      <c r="Y28" s="100"/>
      <c r="Z28" s="101"/>
      <c r="AA28" s="101"/>
      <c r="AB28" s="101"/>
      <c r="AC28" s="100"/>
      <c r="AD28" s="101"/>
      <c r="AE28" s="101"/>
      <c r="AF28" s="101"/>
      <c r="AG28" s="100"/>
      <c r="AH28" s="101"/>
      <c r="AI28" s="101"/>
      <c r="AK28" s="100"/>
      <c r="AL28" s="101"/>
      <c r="AM28" s="101"/>
      <c r="AO28" s="100"/>
      <c r="AP28" s="101"/>
    </row>
    <row r="29" spans="2:42">
      <c r="B29" s="106" t="s">
        <v>285</v>
      </c>
      <c r="C29" s="111">
        <v>48006</v>
      </c>
      <c r="D29" s="111">
        <v>25458</v>
      </c>
      <c r="E29" s="111">
        <v>19397</v>
      </c>
      <c r="F29" s="111">
        <v>21540</v>
      </c>
      <c r="G29" s="111">
        <v>37038</v>
      </c>
      <c r="H29" s="111">
        <v>114612</v>
      </c>
      <c r="I29" s="111">
        <v>70.141000000000005</v>
      </c>
      <c r="J29" s="111">
        <v>54435</v>
      </c>
      <c r="K29" s="111">
        <v>59042</v>
      </c>
      <c r="L29" s="110">
        <f t="shared" ref="L29:L31" si="47">AP29</f>
        <v>62613</v>
      </c>
      <c r="M29" s="110"/>
      <c r="N29" s="111">
        <v>12193</v>
      </c>
      <c r="O29" s="111">
        <v>12193</v>
      </c>
      <c r="P29" s="111">
        <v>9319</v>
      </c>
      <c r="Q29" s="112">
        <f>E29</f>
        <v>19397</v>
      </c>
      <c r="R29" s="111">
        <v>58207</v>
      </c>
      <c r="S29" s="111">
        <v>61233</v>
      </c>
      <c r="T29" s="111">
        <v>63375</v>
      </c>
      <c r="U29" s="112">
        <f>F29</f>
        <v>21540</v>
      </c>
      <c r="V29" s="111">
        <v>33082</v>
      </c>
      <c r="W29" s="111">
        <v>33082</v>
      </c>
      <c r="X29" s="111">
        <v>50723</v>
      </c>
      <c r="Y29" s="112">
        <f>G29</f>
        <v>37038</v>
      </c>
      <c r="Z29" s="111">
        <v>71352</v>
      </c>
      <c r="AA29" s="111">
        <v>37861</v>
      </c>
      <c r="AB29" s="111">
        <v>80693</v>
      </c>
      <c r="AC29" s="112">
        <f>H29</f>
        <v>114612</v>
      </c>
      <c r="AD29" s="111">
        <v>114612</v>
      </c>
      <c r="AE29" s="111">
        <v>93237</v>
      </c>
      <c r="AF29" s="111">
        <v>91855</v>
      </c>
      <c r="AG29" s="112">
        <f t="shared" ref="AG29:AG31" si="48">I29</f>
        <v>70.141000000000005</v>
      </c>
      <c r="AH29" s="111">
        <v>74588</v>
      </c>
      <c r="AI29" s="111">
        <v>76130</v>
      </c>
      <c r="AJ29" s="111">
        <v>28981</v>
      </c>
      <c r="AK29" s="112">
        <f t="shared" ref="AK29:AK31" si="49">J29</f>
        <v>54435</v>
      </c>
      <c r="AL29" s="111">
        <v>33776</v>
      </c>
      <c r="AM29" s="111">
        <v>33776</v>
      </c>
      <c r="AN29" s="111">
        <v>29188</v>
      </c>
      <c r="AO29" s="112">
        <f t="shared" ref="AO29:AO31" si="50">K29</f>
        <v>59042</v>
      </c>
      <c r="AP29" s="111">
        <v>62613</v>
      </c>
    </row>
    <row r="30" spans="2:42">
      <c r="B30" s="106" t="s">
        <v>286</v>
      </c>
      <c r="C30" s="111">
        <v>684</v>
      </c>
      <c r="D30" s="111">
        <v>778.17</v>
      </c>
      <c r="E30" s="111">
        <v>861.46</v>
      </c>
      <c r="F30" s="111">
        <v>791.38</v>
      </c>
      <c r="G30" s="111">
        <v>785.29</v>
      </c>
      <c r="H30" s="111">
        <v>693.65</v>
      </c>
      <c r="I30" s="111">
        <v>605.97</v>
      </c>
      <c r="J30" s="111">
        <v>569.55999999999995</v>
      </c>
      <c r="K30" s="111">
        <v>672.09</v>
      </c>
      <c r="L30" s="110">
        <f t="shared" si="47"/>
        <v>672.09</v>
      </c>
      <c r="M30" s="110"/>
      <c r="N30" s="111">
        <v>786.7</v>
      </c>
      <c r="O30" s="111">
        <v>786.7</v>
      </c>
      <c r="P30" s="111">
        <v>861.46</v>
      </c>
      <c r="Q30" s="112">
        <f>E30</f>
        <v>861.46</v>
      </c>
      <c r="R30" s="111">
        <v>833.41</v>
      </c>
      <c r="S30" s="111">
        <v>833.41</v>
      </c>
      <c r="T30" s="111">
        <v>833.41</v>
      </c>
      <c r="U30" s="112">
        <f>F30</f>
        <v>791.38</v>
      </c>
      <c r="V30" s="111">
        <v>769.76</v>
      </c>
      <c r="W30" s="111">
        <v>705</v>
      </c>
      <c r="X30" s="111">
        <v>793.88</v>
      </c>
      <c r="Y30" s="112">
        <f>G30</f>
        <v>785.29</v>
      </c>
      <c r="Z30" s="111">
        <v>751.94</v>
      </c>
      <c r="AA30" s="111">
        <v>751.94</v>
      </c>
      <c r="AB30" s="111">
        <v>731.54</v>
      </c>
      <c r="AC30" s="112">
        <f>H30</f>
        <v>693.65</v>
      </c>
      <c r="AD30" s="111">
        <v>669.42</v>
      </c>
      <c r="AE30" s="111">
        <v>660.06</v>
      </c>
      <c r="AF30" s="111">
        <v>632.19000000000005</v>
      </c>
      <c r="AG30" s="112">
        <f t="shared" si="48"/>
        <v>605.97</v>
      </c>
      <c r="AH30" s="111">
        <v>594.30999999999995</v>
      </c>
      <c r="AI30" s="111">
        <v>579.45000000000005</v>
      </c>
      <c r="AJ30" s="111">
        <v>579.45000000000005</v>
      </c>
      <c r="AK30" s="112">
        <f t="shared" si="49"/>
        <v>569.55999999999995</v>
      </c>
      <c r="AL30" s="111">
        <v>569.55999999999995</v>
      </c>
      <c r="AM30" s="111">
        <v>697.96</v>
      </c>
      <c r="AN30" s="111">
        <v>682.11</v>
      </c>
      <c r="AO30" s="112">
        <f t="shared" si="50"/>
        <v>672.09</v>
      </c>
      <c r="AP30" s="111">
        <v>672.09</v>
      </c>
    </row>
    <row r="31" spans="2:42">
      <c r="B31" s="106" t="s">
        <v>289</v>
      </c>
      <c r="C31" s="111">
        <v>62216</v>
      </c>
      <c r="D31" s="111">
        <v>73807</v>
      </c>
      <c r="E31" s="111">
        <v>106160</v>
      </c>
      <c r="F31" s="111">
        <v>95999</v>
      </c>
      <c r="G31" s="111">
        <v>113305</v>
      </c>
      <c r="H31" s="111">
        <v>96895</v>
      </c>
      <c r="I31" s="111">
        <v>104370</v>
      </c>
      <c r="J31" s="111">
        <v>104050</v>
      </c>
      <c r="K31" s="111">
        <v>133160</v>
      </c>
      <c r="L31" s="110">
        <f t="shared" si="47"/>
        <v>133160</v>
      </c>
      <c r="M31" s="110"/>
      <c r="N31" s="111">
        <v>75233</v>
      </c>
      <c r="O31" s="111">
        <v>75386</v>
      </c>
      <c r="P31" s="111">
        <v>96264</v>
      </c>
      <c r="Q31" s="112">
        <f>E31</f>
        <v>106160</v>
      </c>
      <c r="R31" s="111">
        <v>98327</v>
      </c>
      <c r="S31" s="111">
        <v>98327</v>
      </c>
      <c r="T31" s="111">
        <v>98327</v>
      </c>
      <c r="U31" s="112">
        <f>F31</f>
        <v>95999</v>
      </c>
      <c r="V31" s="111">
        <v>94801</v>
      </c>
      <c r="W31" s="111">
        <v>100075</v>
      </c>
      <c r="X31" s="111">
        <v>115704</v>
      </c>
      <c r="Y31" s="112">
        <f>G31</f>
        <v>113305</v>
      </c>
      <c r="Z31" s="111">
        <v>107331</v>
      </c>
      <c r="AA31" s="111">
        <v>107330</v>
      </c>
      <c r="AB31" s="111">
        <v>104550</v>
      </c>
      <c r="AC31" s="112">
        <f>H31</f>
        <v>96895</v>
      </c>
      <c r="AD31" s="111">
        <v>112740</v>
      </c>
      <c r="AE31" s="111">
        <v>110410</v>
      </c>
      <c r="AF31" s="111">
        <v>106650</v>
      </c>
      <c r="AG31" s="112">
        <f t="shared" si="48"/>
        <v>104370</v>
      </c>
      <c r="AH31" s="111">
        <v>101423</v>
      </c>
      <c r="AI31" s="111">
        <v>99798</v>
      </c>
      <c r="AJ31" s="111">
        <v>99798</v>
      </c>
      <c r="AK31" s="112">
        <f t="shared" si="49"/>
        <v>104050</v>
      </c>
      <c r="AL31" s="111">
        <v>104050</v>
      </c>
      <c r="AM31" s="111">
        <v>137266</v>
      </c>
      <c r="AN31" s="111">
        <v>131530</v>
      </c>
      <c r="AO31" s="112">
        <f t="shared" si="50"/>
        <v>133160</v>
      </c>
      <c r="AP31" s="111">
        <v>133160</v>
      </c>
    </row>
    <row r="32" spans="2:42">
      <c r="B32" s="106"/>
      <c r="C32" s="111"/>
      <c r="D32" s="111"/>
      <c r="E32" s="111"/>
      <c r="F32" s="111"/>
      <c r="G32" s="111"/>
      <c r="H32" s="111"/>
      <c r="I32" s="111"/>
      <c r="J32" s="111"/>
      <c r="K32" s="111"/>
      <c r="L32" s="110"/>
      <c r="M32" s="110"/>
      <c r="N32" s="111"/>
      <c r="O32" s="111"/>
      <c r="P32" s="111"/>
      <c r="Q32" s="112"/>
      <c r="R32" s="111"/>
      <c r="S32" s="111"/>
      <c r="T32" s="111"/>
      <c r="U32" s="112"/>
      <c r="V32" s="111"/>
      <c r="W32" s="111"/>
      <c r="X32" s="111"/>
      <c r="Y32" s="112"/>
      <c r="Z32" s="111"/>
      <c r="AA32" s="111"/>
      <c r="AB32" s="111"/>
      <c r="AC32" s="112"/>
      <c r="AD32" s="111"/>
      <c r="AE32" s="111"/>
      <c r="AF32" s="111"/>
      <c r="AG32" s="112"/>
      <c r="AH32" s="111"/>
      <c r="AI32" s="111"/>
      <c r="AK32" s="112"/>
      <c r="AL32" s="111"/>
      <c r="AM32" s="111"/>
      <c r="AO32" s="112"/>
      <c r="AP32" s="111"/>
    </row>
    <row r="33" spans="2:42">
      <c r="B33" s="181" t="s">
        <v>290</v>
      </c>
      <c r="C33" s="101"/>
      <c r="D33" s="101"/>
      <c r="E33" s="101"/>
      <c r="F33" s="101"/>
      <c r="G33" s="101"/>
      <c r="H33" s="101"/>
      <c r="I33" s="101"/>
      <c r="J33" s="101"/>
      <c r="K33" s="101"/>
      <c r="L33" s="101"/>
      <c r="M33" s="101"/>
      <c r="N33" s="113"/>
      <c r="O33" s="113"/>
      <c r="P33" s="113"/>
      <c r="Q33" s="113"/>
      <c r="R33" s="113"/>
      <c r="S33" s="113"/>
      <c r="T33" s="113"/>
      <c r="U33" s="113"/>
      <c r="V33" s="113"/>
      <c r="W33" s="113"/>
      <c r="X33" s="113"/>
      <c r="Y33" s="113"/>
      <c r="Z33" s="113"/>
      <c r="AA33" s="113"/>
      <c r="AB33" s="113"/>
      <c r="AC33" s="113"/>
      <c r="AD33" s="113"/>
      <c r="AE33" s="113"/>
      <c r="AF33" s="113"/>
      <c r="AG33" s="113"/>
      <c r="AH33" s="113"/>
      <c r="AI33" s="113"/>
      <c r="AK33" s="113"/>
      <c r="AL33" s="113"/>
      <c r="AM33" s="113"/>
      <c r="AO33" s="113"/>
      <c r="AP33" s="113"/>
    </row>
    <row r="34" spans="2:42">
      <c r="B34" s="106" t="s">
        <v>279</v>
      </c>
      <c r="C34" s="111">
        <v>34</v>
      </c>
      <c r="D34" s="111">
        <v>34</v>
      </c>
      <c r="E34" s="111">
        <v>32</v>
      </c>
      <c r="F34" s="111">
        <v>34</v>
      </c>
      <c r="G34" s="111">
        <v>34</v>
      </c>
      <c r="H34" s="111">
        <v>36</v>
      </c>
      <c r="I34" s="111">
        <v>36</v>
      </c>
      <c r="J34" s="111">
        <v>39</v>
      </c>
      <c r="K34" s="111">
        <v>41</v>
      </c>
      <c r="L34" s="110">
        <f t="shared" ref="L34:L35" si="51">AP34</f>
        <v>41</v>
      </c>
      <c r="M34" s="110"/>
      <c r="N34" s="111">
        <v>34</v>
      </c>
      <c r="O34" s="111">
        <v>32</v>
      </c>
      <c r="P34" s="111">
        <v>32</v>
      </c>
      <c r="Q34" s="112">
        <f>E34</f>
        <v>32</v>
      </c>
      <c r="R34" s="111">
        <v>32</v>
      </c>
      <c r="S34" s="111">
        <v>33</v>
      </c>
      <c r="T34" s="111">
        <v>33</v>
      </c>
      <c r="U34" s="112">
        <f>F34</f>
        <v>34</v>
      </c>
      <c r="V34" s="111">
        <v>34</v>
      </c>
      <c r="W34" s="111">
        <v>34</v>
      </c>
      <c r="X34" s="111">
        <v>34</v>
      </c>
      <c r="Y34" s="112">
        <f>G34</f>
        <v>34</v>
      </c>
      <c r="Z34" s="111">
        <v>34</v>
      </c>
      <c r="AA34" s="111">
        <v>34</v>
      </c>
      <c r="AB34" s="111">
        <v>34</v>
      </c>
      <c r="AC34" s="112">
        <f>H34</f>
        <v>36</v>
      </c>
      <c r="AD34" s="111">
        <v>36</v>
      </c>
      <c r="AE34" s="111">
        <v>36</v>
      </c>
      <c r="AF34" s="111">
        <v>37</v>
      </c>
      <c r="AG34" s="112">
        <f t="shared" ref="AG34:AG35" si="52">I34</f>
        <v>36</v>
      </c>
      <c r="AH34" s="111">
        <v>37</v>
      </c>
      <c r="AI34" s="111">
        <v>37</v>
      </c>
      <c r="AJ34" s="111">
        <v>37</v>
      </c>
      <c r="AK34" s="112">
        <f t="shared" ref="AK34:AK35" si="53">J34</f>
        <v>39</v>
      </c>
      <c r="AL34" s="111">
        <v>40</v>
      </c>
      <c r="AM34" s="111">
        <v>41</v>
      </c>
      <c r="AN34" s="111">
        <v>41</v>
      </c>
      <c r="AO34" s="112">
        <f>K34</f>
        <v>41</v>
      </c>
      <c r="AP34" s="111">
        <v>41</v>
      </c>
    </row>
    <row r="35" spans="2:42">
      <c r="B35" s="106" t="s">
        <v>280</v>
      </c>
      <c r="C35" s="111">
        <v>0</v>
      </c>
      <c r="D35" s="111">
        <v>0</v>
      </c>
      <c r="E35" s="111">
        <v>1</v>
      </c>
      <c r="F35" s="111">
        <v>1</v>
      </c>
      <c r="G35" s="111">
        <v>0</v>
      </c>
      <c r="H35" s="111">
        <v>0</v>
      </c>
      <c r="I35" s="111">
        <v>3</v>
      </c>
      <c r="J35" s="111">
        <v>2</v>
      </c>
      <c r="K35" s="111">
        <v>0</v>
      </c>
      <c r="L35" s="110">
        <f t="shared" si="51"/>
        <v>2</v>
      </c>
      <c r="M35" s="110"/>
      <c r="N35" s="111">
        <v>0</v>
      </c>
      <c r="O35" s="111">
        <v>0</v>
      </c>
      <c r="P35" s="111">
        <v>1</v>
      </c>
      <c r="Q35" s="112">
        <f>E35</f>
        <v>1</v>
      </c>
      <c r="R35" s="111">
        <v>2</v>
      </c>
      <c r="S35" s="111">
        <v>2</v>
      </c>
      <c r="T35" s="111">
        <v>2</v>
      </c>
      <c r="U35" s="112">
        <f>F35</f>
        <v>1</v>
      </c>
      <c r="V35" s="111">
        <v>0</v>
      </c>
      <c r="W35" s="111">
        <v>0</v>
      </c>
      <c r="X35" s="111">
        <v>0</v>
      </c>
      <c r="Y35" s="112">
        <f>G35</f>
        <v>0</v>
      </c>
      <c r="Z35" s="111">
        <v>0</v>
      </c>
      <c r="AA35" s="111">
        <v>0</v>
      </c>
      <c r="AB35" s="111">
        <v>0</v>
      </c>
      <c r="AC35" s="112">
        <f>H35</f>
        <v>0</v>
      </c>
      <c r="AD35" s="111">
        <v>0</v>
      </c>
      <c r="AE35" s="111">
        <v>0</v>
      </c>
      <c r="AF35" s="111">
        <v>3</v>
      </c>
      <c r="AG35" s="112">
        <f t="shared" si="52"/>
        <v>3</v>
      </c>
      <c r="AH35" s="111">
        <v>3</v>
      </c>
      <c r="AI35" s="111">
        <v>4</v>
      </c>
      <c r="AJ35" s="111">
        <v>4</v>
      </c>
      <c r="AK35" s="112">
        <f t="shared" si="53"/>
        <v>2</v>
      </c>
      <c r="AL35" s="111">
        <v>1</v>
      </c>
      <c r="AM35" s="111">
        <v>0</v>
      </c>
      <c r="AN35" s="111">
        <v>0</v>
      </c>
      <c r="AO35" s="112">
        <f>K35</f>
        <v>0</v>
      </c>
      <c r="AP35" s="111">
        <v>2</v>
      </c>
    </row>
    <row r="36" spans="2:42" s="105" customFormat="1">
      <c r="B36" s="107" t="s">
        <v>281</v>
      </c>
      <c r="C36" s="109">
        <f t="shared" ref="C36:G36" si="54">SUM(C34:C35)</f>
        <v>34</v>
      </c>
      <c r="D36" s="109">
        <f t="shared" si="54"/>
        <v>34</v>
      </c>
      <c r="E36" s="109">
        <f t="shared" si="54"/>
        <v>33</v>
      </c>
      <c r="F36" s="109">
        <f t="shared" si="54"/>
        <v>35</v>
      </c>
      <c r="G36" s="109">
        <f t="shared" si="54"/>
        <v>34</v>
      </c>
      <c r="H36" s="109">
        <f t="shared" ref="H36:I36" si="55">SUM(H34:H35)</f>
        <v>36</v>
      </c>
      <c r="I36" s="109">
        <f t="shared" si="55"/>
        <v>39</v>
      </c>
      <c r="J36" s="109">
        <f t="shared" ref="J36:K36" si="56">SUM(J34:J35)</f>
        <v>41</v>
      </c>
      <c r="K36" s="109">
        <f t="shared" si="56"/>
        <v>41</v>
      </c>
      <c r="L36" s="109">
        <f>SUM(L34:L35)</f>
        <v>43</v>
      </c>
      <c r="M36" s="109"/>
      <c r="N36" s="109">
        <f t="shared" ref="N36:W36" si="57">SUM(N34:N35)</f>
        <v>34</v>
      </c>
      <c r="O36" s="109">
        <f t="shared" si="57"/>
        <v>32</v>
      </c>
      <c r="P36" s="109">
        <f t="shared" si="57"/>
        <v>33</v>
      </c>
      <c r="Q36" s="109">
        <f t="shared" si="57"/>
        <v>33</v>
      </c>
      <c r="R36" s="109">
        <f t="shared" si="57"/>
        <v>34</v>
      </c>
      <c r="S36" s="109">
        <f t="shared" si="57"/>
        <v>35</v>
      </c>
      <c r="T36" s="109">
        <f t="shared" si="57"/>
        <v>35</v>
      </c>
      <c r="U36" s="109">
        <f t="shared" si="57"/>
        <v>35</v>
      </c>
      <c r="V36" s="109">
        <f t="shared" si="57"/>
        <v>34</v>
      </c>
      <c r="W36" s="109">
        <f t="shared" si="57"/>
        <v>34</v>
      </c>
      <c r="X36" s="109">
        <f t="shared" ref="X36:AA36" si="58">SUM(X34:X35)</f>
        <v>34</v>
      </c>
      <c r="Y36" s="109">
        <f t="shared" si="58"/>
        <v>34</v>
      </c>
      <c r="Z36" s="109">
        <f t="shared" si="58"/>
        <v>34</v>
      </c>
      <c r="AA36" s="109">
        <f t="shared" si="58"/>
        <v>34</v>
      </c>
      <c r="AB36" s="109">
        <f t="shared" ref="AB36:AE36" si="59">SUM(AB34:AB35)</f>
        <v>34</v>
      </c>
      <c r="AC36" s="109">
        <f t="shared" si="59"/>
        <v>36</v>
      </c>
      <c r="AD36" s="109">
        <f t="shared" si="59"/>
        <v>36</v>
      </c>
      <c r="AE36" s="109">
        <f t="shared" si="59"/>
        <v>36</v>
      </c>
      <c r="AF36" s="109">
        <f t="shared" ref="AF36:AH36" si="60">SUM(AF34:AF35)</f>
        <v>40</v>
      </c>
      <c r="AG36" s="109">
        <f t="shared" si="60"/>
        <v>39</v>
      </c>
      <c r="AH36" s="109">
        <f t="shared" si="60"/>
        <v>40</v>
      </c>
      <c r="AI36" s="109">
        <f t="shared" ref="AI36:AL36" si="61">SUM(AI34:AI35)</f>
        <v>41</v>
      </c>
      <c r="AJ36" s="109">
        <f t="shared" si="61"/>
        <v>41</v>
      </c>
      <c r="AK36" s="109">
        <f t="shared" si="61"/>
        <v>41</v>
      </c>
      <c r="AL36" s="109">
        <f t="shared" si="61"/>
        <v>41</v>
      </c>
      <c r="AM36" s="109">
        <f t="shared" ref="AM36:AP36" si="62">SUM(AM34:AM35)</f>
        <v>41</v>
      </c>
      <c r="AN36" s="109">
        <f t="shared" si="62"/>
        <v>41</v>
      </c>
      <c r="AO36" s="109">
        <f t="shared" si="62"/>
        <v>41</v>
      </c>
      <c r="AP36" s="109">
        <f t="shared" si="62"/>
        <v>43</v>
      </c>
    </row>
    <row r="37" spans="2:42" s="99" customFormat="1" ht="13.5" customHeight="1">
      <c r="C37" s="101"/>
      <c r="D37" s="101"/>
      <c r="E37" s="101"/>
      <c r="F37" s="101"/>
      <c r="G37" s="101"/>
      <c r="H37" s="101"/>
      <c r="I37" s="101"/>
      <c r="J37" s="101"/>
      <c r="K37" s="101"/>
      <c r="L37" s="100"/>
      <c r="M37" s="100"/>
      <c r="N37" s="101"/>
      <c r="O37" s="101"/>
      <c r="P37" s="101"/>
      <c r="Q37" s="100"/>
      <c r="R37" s="101"/>
      <c r="S37" s="101"/>
      <c r="T37" s="101"/>
      <c r="U37" s="100"/>
      <c r="V37" s="101"/>
      <c r="W37" s="101"/>
      <c r="X37" s="101"/>
      <c r="Y37" s="100"/>
      <c r="Z37" s="101"/>
      <c r="AA37" s="101"/>
      <c r="AB37" s="101"/>
      <c r="AC37" s="100"/>
      <c r="AD37" s="101"/>
      <c r="AE37" s="101"/>
      <c r="AF37" s="101"/>
      <c r="AG37" s="100"/>
      <c r="AH37" s="101"/>
      <c r="AI37" s="101"/>
      <c r="AK37" s="100"/>
      <c r="AL37" s="101"/>
      <c r="AM37" s="101"/>
      <c r="AO37" s="100"/>
      <c r="AP37" s="101"/>
    </row>
    <row r="38" spans="2:42">
      <c r="B38" s="106" t="s">
        <v>282</v>
      </c>
      <c r="C38" s="111">
        <v>7122837</v>
      </c>
      <c r="D38" s="111">
        <v>7122733</v>
      </c>
      <c r="E38" s="111">
        <v>6494060</v>
      </c>
      <c r="F38" s="111">
        <v>6959744</v>
      </c>
      <c r="G38" s="111">
        <v>7007291</v>
      </c>
      <c r="H38" s="111">
        <v>7178604</v>
      </c>
      <c r="I38" s="111">
        <v>7179938</v>
      </c>
      <c r="J38" s="111">
        <v>8319422</v>
      </c>
      <c r="K38" s="111">
        <v>8576950</v>
      </c>
      <c r="L38" s="110">
        <f t="shared" ref="L38:L39" si="63">AP38</f>
        <v>8576950</v>
      </c>
      <c r="M38" s="110"/>
      <c r="N38" s="111">
        <v>7122733</v>
      </c>
      <c r="O38" s="111">
        <v>6494060</v>
      </c>
      <c r="P38" s="111">
        <v>6494060</v>
      </c>
      <c r="Q38" s="112">
        <f>E38</f>
        <v>6494060</v>
      </c>
      <c r="R38" s="111">
        <v>6494214</v>
      </c>
      <c r="S38" s="111">
        <v>6629396</v>
      </c>
      <c r="T38" s="111">
        <v>6629396</v>
      </c>
      <c r="U38" s="112">
        <f>F38</f>
        <v>6959744</v>
      </c>
      <c r="V38" s="111">
        <v>7003125</v>
      </c>
      <c r="W38" s="111">
        <v>7003125</v>
      </c>
      <c r="X38" s="111">
        <v>7007291</v>
      </c>
      <c r="Y38" s="112">
        <f>G38</f>
        <v>7007291</v>
      </c>
      <c r="Z38" s="111">
        <v>7007291</v>
      </c>
      <c r="AA38" s="111">
        <v>7008211</v>
      </c>
      <c r="AB38" s="111">
        <v>7008211</v>
      </c>
      <c r="AC38" s="112">
        <f>H38</f>
        <v>7178604</v>
      </c>
      <c r="AD38" s="111">
        <v>7178604</v>
      </c>
      <c r="AE38" s="111">
        <v>7179701</v>
      </c>
      <c r="AF38" s="111">
        <v>7179938</v>
      </c>
      <c r="AG38" s="112">
        <f t="shared" ref="AG38:AG39" si="64">I38</f>
        <v>7179938</v>
      </c>
      <c r="AH38" s="111">
        <v>7256310</v>
      </c>
      <c r="AI38" s="111">
        <v>7256310</v>
      </c>
      <c r="AJ38" s="111">
        <v>7256310</v>
      </c>
      <c r="AK38" s="112">
        <f t="shared" ref="AK38:AK39" si="65">J38</f>
        <v>8319422</v>
      </c>
      <c r="AL38" s="111">
        <v>8405555</v>
      </c>
      <c r="AM38" s="111">
        <v>8756841</v>
      </c>
      <c r="AN38" s="111">
        <v>8576840</v>
      </c>
      <c r="AO38" s="112">
        <f>K38</f>
        <v>8576950</v>
      </c>
      <c r="AP38" s="111">
        <v>8576950</v>
      </c>
    </row>
    <row r="39" spans="2:42">
      <c r="B39" s="106" t="s">
        <v>283</v>
      </c>
      <c r="C39" s="111">
        <v>0</v>
      </c>
      <c r="D39" s="111">
        <v>0</v>
      </c>
      <c r="E39" s="111">
        <v>135182</v>
      </c>
      <c r="F39" s="111">
        <v>43381</v>
      </c>
      <c r="G39" s="111">
        <v>0</v>
      </c>
      <c r="H39" s="111">
        <v>0</v>
      </c>
      <c r="I39" s="111">
        <v>1230308</v>
      </c>
      <c r="J39" s="111">
        <v>257419</v>
      </c>
      <c r="K39" s="111">
        <v>0</v>
      </c>
      <c r="L39" s="110">
        <f t="shared" si="63"/>
        <v>400458</v>
      </c>
      <c r="M39" s="110"/>
      <c r="N39" s="111">
        <v>0</v>
      </c>
      <c r="O39" s="111">
        <v>0</v>
      </c>
      <c r="P39" s="111">
        <v>135182</v>
      </c>
      <c r="Q39" s="112">
        <f>E39</f>
        <v>135182</v>
      </c>
      <c r="R39" s="111">
        <v>474675</v>
      </c>
      <c r="S39" s="111">
        <v>382874</v>
      </c>
      <c r="T39" s="111">
        <v>382874</v>
      </c>
      <c r="U39" s="112">
        <f>F39</f>
        <v>43381</v>
      </c>
      <c r="V39" s="111">
        <v>0</v>
      </c>
      <c r="W39" s="111">
        <v>0</v>
      </c>
      <c r="X39" s="111">
        <v>0</v>
      </c>
      <c r="Y39" s="112">
        <f>G39</f>
        <v>0</v>
      </c>
      <c r="Z39" s="111">
        <v>0</v>
      </c>
      <c r="AA39" s="111">
        <v>0</v>
      </c>
      <c r="AB39" s="111">
        <v>0</v>
      </c>
      <c r="AC39" s="112">
        <f>H39</f>
        <v>0</v>
      </c>
      <c r="AD39" s="111">
        <v>0</v>
      </c>
      <c r="AE39" s="111">
        <v>0</v>
      </c>
      <c r="AF39" s="111">
        <v>1230308</v>
      </c>
      <c r="AG39" s="112">
        <f t="shared" si="64"/>
        <v>1230308</v>
      </c>
      <c r="AH39" s="111">
        <v>1230308</v>
      </c>
      <c r="AI39" s="111">
        <v>1320532</v>
      </c>
      <c r="AJ39" s="111">
        <v>1320532</v>
      </c>
      <c r="AK39" s="112">
        <f t="shared" si="65"/>
        <v>257419</v>
      </c>
      <c r="AL39" s="111">
        <v>171286</v>
      </c>
      <c r="AM39" s="111">
        <v>0</v>
      </c>
      <c r="AN39" s="111">
        <v>0</v>
      </c>
      <c r="AO39" s="112">
        <f>K39</f>
        <v>0</v>
      </c>
      <c r="AP39" s="111">
        <v>400458</v>
      </c>
    </row>
    <row r="40" spans="2:42" s="105" customFormat="1">
      <c r="B40" s="107" t="s">
        <v>284</v>
      </c>
      <c r="C40" s="109">
        <f t="shared" ref="C40:G40" si="66">SUM(C38:C39)</f>
        <v>7122837</v>
      </c>
      <c r="D40" s="109">
        <f t="shared" si="66"/>
        <v>7122733</v>
      </c>
      <c r="E40" s="109">
        <f t="shared" si="66"/>
        <v>6629242</v>
      </c>
      <c r="F40" s="109">
        <f t="shared" si="66"/>
        <v>7003125</v>
      </c>
      <c r="G40" s="109">
        <f t="shared" si="66"/>
        <v>7007291</v>
      </c>
      <c r="H40" s="109">
        <f t="shared" ref="H40:I40" si="67">SUM(H38:H39)</f>
        <v>7178604</v>
      </c>
      <c r="I40" s="109">
        <f t="shared" si="67"/>
        <v>8410246</v>
      </c>
      <c r="J40" s="109">
        <f t="shared" ref="J40:K40" si="68">SUM(J38:J39)</f>
        <v>8576841</v>
      </c>
      <c r="K40" s="109">
        <f t="shared" si="68"/>
        <v>8576950</v>
      </c>
      <c r="L40" s="109">
        <f>SUM(L38:L39)</f>
        <v>8977408</v>
      </c>
      <c r="M40" s="109"/>
      <c r="N40" s="109">
        <f t="shared" ref="N40:W40" si="69">SUM(N38:N39)</f>
        <v>7122733</v>
      </c>
      <c r="O40" s="109">
        <f t="shared" si="69"/>
        <v>6494060</v>
      </c>
      <c r="P40" s="109">
        <f t="shared" si="69"/>
        <v>6629242</v>
      </c>
      <c r="Q40" s="109">
        <f t="shared" si="69"/>
        <v>6629242</v>
      </c>
      <c r="R40" s="109">
        <f t="shared" si="69"/>
        <v>6968889</v>
      </c>
      <c r="S40" s="109">
        <f>SUM(S38:S39)</f>
        <v>7012270</v>
      </c>
      <c r="T40" s="109">
        <f t="shared" si="69"/>
        <v>7012270</v>
      </c>
      <c r="U40" s="109">
        <f t="shared" si="69"/>
        <v>7003125</v>
      </c>
      <c r="V40" s="109">
        <f t="shared" si="69"/>
        <v>7003125</v>
      </c>
      <c r="W40" s="109">
        <f t="shared" si="69"/>
        <v>7003125</v>
      </c>
      <c r="X40" s="109">
        <f t="shared" ref="X40:AA40" si="70">SUM(X38:X39)</f>
        <v>7007291</v>
      </c>
      <c r="Y40" s="109">
        <f t="shared" si="70"/>
        <v>7007291</v>
      </c>
      <c r="Z40" s="109">
        <f t="shared" si="70"/>
        <v>7007291</v>
      </c>
      <c r="AA40" s="109">
        <f t="shared" si="70"/>
        <v>7008211</v>
      </c>
      <c r="AB40" s="109">
        <f t="shared" ref="AB40:AE40" si="71">SUM(AB38:AB39)</f>
        <v>7008211</v>
      </c>
      <c r="AC40" s="109">
        <f t="shared" si="71"/>
        <v>7178604</v>
      </c>
      <c r="AD40" s="109">
        <f t="shared" si="71"/>
        <v>7178604</v>
      </c>
      <c r="AE40" s="109">
        <f t="shared" si="71"/>
        <v>7179701</v>
      </c>
      <c r="AF40" s="109">
        <f t="shared" ref="AF40:AH40" si="72">SUM(AF38:AF39)</f>
        <v>8410246</v>
      </c>
      <c r="AG40" s="109">
        <f t="shared" si="72"/>
        <v>8410246</v>
      </c>
      <c r="AH40" s="109">
        <f t="shared" si="72"/>
        <v>8486618</v>
      </c>
      <c r="AI40" s="109">
        <f t="shared" ref="AI40:AL40" si="73">SUM(AI38:AI39)</f>
        <v>8576842</v>
      </c>
      <c r="AJ40" s="109">
        <f t="shared" si="73"/>
        <v>8576842</v>
      </c>
      <c r="AK40" s="109">
        <f t="shared" si="73"/>
        <v>8576841</v>
      </c>
      <c r="AL40" s="109">
        <f t="shared" si="73"/>
        <v>8576841</v>
      </c>
      <c r="AM40" s="109">
        <f t="shared" ref="AM40:AP40" si="74">SUM(AM38:AM39)</f>
        <v>8756841</v>
      </c>
      <c r="AN40" s="109">
        <f t="shared" si="74"/>
        <v>8576840</v>
      </c>
      <c r="AO40" s="109">
        <f t="shared" si="74"/>
        <v>8576950</v>
      </c>
      <c r="AP40" s="109">
        <f t="shared" si="74"/>
        <v>8977408</v>
      </c>
    </row>
    <row r="41" spans="2:42" s="99" customFormat="1" ht="13.5" customHeight="1">
      <c r="C41" s="101"/>
      <c r="D41" s="101"/>
      <c r="E41" s="101"/>
      <c r="F41" s="101"/>
      <c r="G41" s="101"/>
      <c r="H41" s="101"/>
      <c r="I41" s="101"/>
      <c r="J41" s="101"/>
      <c r="K41" s="101"/>
      <c r="L41" s="100"/>
      <c r="M41" s="100"/>
      <c r="N41" s="101"/>
      <c r="O41" s="101"/>
      <c r="P41" s="101"/>
      <c r="Q41" s="100"/>
      <c r="R41" s="101"/>
      <c r="S41" s="101"/>
      <c r="T41" s="101"/>
      <c r="U41" s="100"/>
      <c r="V41" s="101"/>
      <c r="W41" s="101"/>
      <c r="X41" s="101"/>
      <c r="Y41" s="100"/>
      <c r="Z41" s="101"/>
      <c r="AA41" s="101"/>
      <c r="AB41" s="101"/>
      <c r="AC41" s="100"/>
      <c r="AD41" s="101"/>
      <c r="AE41" s="101"/>
      <c r="AF41" s="101"/>
      <c r="AG41" s="100"/>
      <c r="AH41" s="101"/>
      <c r="AI41" s="101"/>
      <c r="AK41" s="100"/>
      <c r="AL41" s="101"/>
      <c r="AM41" s="101"/>
      <c r="AO41" s="100"/>
      <c r="AP41" s="101"/>
    </row>
    <row r="42" spans="2:42">
      <c r="B42" s="106" t="s">
        <v>285</v>
      </c>
      <c r="C42" s="111">
        <v>0</v>
      </c>
      <c r="D42" s="111">
        <v>0</v>
      </c>
      <c r="E42" s="111">
        <v>6358</v>
      </c>
      <c r="F42" s="111">
        <v>2550</v>
      </c>
      <c r="G42" s="111">
        <v>0</v>
      </c>
      <c r="H42" s="111">
        <v>0</v>
      </c>
      <c r="I42" s="111">
        <v>82.909000000000006</v>
      </c>
      <c r="J42" s="111">
        <v>24755</v>
      </c>
      <c r="K42" s="111">
        <v>0</v>
      </c>
      <c r="L42" s="110">
        <f t="shared" ref="L42:L44" si="75">AP42</f>
        <v>51736</v>
      </c>
      <c r="M42" s="110"/>
      <c r="N42" s="111">
        <v>0</v>
      </c>
      <c r="O42" s="111">
        <v>0</v>
      </c>
      <c r="P42" s="111">
        <v>6358</v>
      </c>
      <c r="Q42" s="112">
        <f>E42</f>
        <v>6358</v>
      </c>
      <c r="R42" s="111">
        <v>24314</v>
      </c>
      <c r="S42" s="111">
        <v>20506</v>
      </c>
      <c r="T42" s="111">
        <v>20506</v>
      </c>
      <c r="U42" s="112">
        <f>F42</f>
        <v>2550</v>
      </c>
      <c r="V42" s="111">
        <v>0</v>
      </c>
      <c r="W42" s="111">
        <v>0</v>
      </c>
      <c r="X42" s="111">
        <v>0</v>
      </c>
      <c r="Y42" s="112">
        <f>G42</f>
        <v>0</v>
      </c>
      <c r="Z42" s="111">
        <v>0</v>
      </c>
      <c r="AA42" s="111">
        <v>0</v>
      </c>
      <c r="AB42" s="111">
        <v>0</v>
      </c>
      <c r="AC42" s="112">
        <f>H42</f>
        <v>0</v>
      </c>
      <c r="AD42" s="111">
        <v>0</v>
      </c>
      <c r="AE42" s="111">
        <v>0</v>
      </c>
      <c r="AF42" s="111">
        <v>82909</v>
      </c>
      <c r="AG42" s="112">
        <f t="shared" ref="AG42:AG44" si="76">I42</f>
        <v>82.909000000000006</v>
      </c>
      <c r="AH42" s="111">
        <v>82909</v>
      </c>
      <c r="AI42" s="111">
        <v>87071</v>
      </c>
      <c r="AJ42" s="111">
        <v>165249</v>
      </c>
      <c r="AK42" s="112">
        <f t="shared" ref="AK42:AK44" si="77">J42</f>
        <v>24755</v>
      </c>
      <c r="AL42" s="111">
        <v>18650</v>
      </c>
      <c r="AM42" s="111">
        <v>0</v>
      </c>
      <c r="AN42" s="111">
        <v>0</v>
      </c>
      <c r="AO42" s="112">
        <f>K42</f>
        <v>0</v>
      </c>
      <c r="AP42" s="111">
        <v>51736</v>
      </c>
    </row>
    <row r="43" spans="2:42">
      <c r="B43" s="106" t="s">
        <v>286</v>
      </c>
      <c r="C43" s="111">
        <v>28</v>
      </c>
      <c r="D43" s="111">
        <v>28.08</v>
      </c>
      <c r="E43" s="111">
        <v>28.08</v>
      </c>
      <c r="F43" s="111">
        <v>7.63</v>
      </c>
      <c r="G43" s="111">
        <v>2.12</v>
      </c>
      <c r="H43" s="111">
        <v>62.47</v>
      </c>
      <c r="I43" s="111">
        <v>2.12</v>
      </c>
      <c r="J43" s="111">
        <v>0</v>
      </c>
      <c r="K43" s="111">
        <v>18.73</v>
      </c>
      <c r="L43" s="110">
        <f t="shared" si="75"/>
        <v>0</v>
      </c>
      <c r="M43" s="110"/>
      <c r="N43" s="111">
        <v>28.08</v>
      </c>
      <c r="O43" s="111">
        <v>28.08</v>
      </c>
      <c r="P43" s="111">
        <v>28.08</v>
      </c>
      <c r="Q43" s="112">
        <f>E43</f>
        <v>28.08</v>
      </c>
      <c r="R43" s="111">
        <v>7.63</v>
      </c>
      <c r="S43" s="111">
        <v>7.63</v>
      </c>
      <c r="T43" s="111">
        <v>7.63</v>
      </c>
      <c r="U43" s="112">
        <f>F43</f>
        <v>7.63</v>
      </c>
      <c r="V43" s="111">
        <v>7.63</v>
      </c>
      <c r="W43" s="111">
        <v>2.12</v>
      </c>
      <c r="X43" s="111">
        <v>2.12</v>
      </c>
      <c r="Y43" s="112">
        <f>G43</f>
        <v>2.12</v>
      </c>
      <c r="Z43" s="111">
        <v>2.12</v>
      </c>
      <c r="AA43" s="111">
        <v>2.12</v>
      </c>
      <c r="AB43" s="111">
        <v>10.78</v>
      </c>
      <c r="AC43" s="112">
        <f>H43</f>
        <v>62.47</v>
      </c>
      <c r="AD43" s="111">
        <v>62.47</v>
      </c>
      <c r="AE43" s="111">
        <v>62.47</v>
      </c>
      <c r="AF43" s="111">
        <v>2.12</v>
      </c>
      <c r="AG43" s="112">
        <f t="shared" si="76"/>
        <v>2.12</v>
      </c>
      <c r="AH43" s="111">
        <v>2.12</v>
      </c>
      <c r="AI43" s="111">
        <v>0</v>
      </c>
      <c r="AJ43" s="111">
        <v>0</v>
      </c>
      <c r="AK43" s="112">
        <f t="shared" si="77"/>
        <v>0</v>
      </c>
      <c r="AL43" s="111">
        <v>18.73</v>
      </c>
      <c r="AM43" s="111">
        <v>18.73</v>
      </c>
      <c r="AN43" s="111">
        <v>18.73</v>
      </c>
      <c r="AO43" s="112">
        <f>K43</f>
        <v>18.73</v>
      </c>
      <c r="AP43" s="111">
        <v>0</v>
      </c>
    </row>
    <row r="44" spans="2:42">
      <c r="B44" s="106" t="s">
        <v>289</v>
      </c>
      <c r="C44" s="111">
        <v>1508</v>
      </c>
      <c r="D44" s="111">
        <v>1508</v>
      </c>
      <c r="E44" s="111">
        <v>6712</v>
      </c>
      <c r="F44" s="111">
        <v>1824</v>
      </c>
      <c r="G44" s="111">
        <v>508</v>
      </c>
      <c r="H44" s="111">
        <v>50129</v>
      </c>
      <c r="I44" s="111">
        <v>790</v>
      </c>
      <c r="J44" s="111">
        <v>0</v>
      </c>
      <c r="K44" s="111">
        <v>18610</v>
      </c>
      <c r="L44" s="110">
        <f t="shared" si="75"/>
        <v>0</v>
      </c>
      <c r="M44" s="110"/>
      <c r="N44" s="111">
        <v>1508</v>
      </c>
      <c r="O44" s="111">
        <v>1508</v>
      </c>
      <c r="P44" s="111">
        <v>1508</v>
      </c>
      <c r="Q44" s="112">
        <f>E44</f>
        <v>6712</v>
      </c>
      <c r="R44" s="111">
        <v>1824</v>
      </c>
      <c r="S44" s="111">
        <v>1824</v>
      </c>
      <c r="T44" s="111">
        <v>1824</v>
      </c>
      <c r="U44" s="112">
        <f>F44</f>
        <v>1824</v>
      </c>
      <c r="V44" s="111">
        <v>1824</v>
      </c>
      <c r="W44" s="111">
        <v>508</v>
      </c>
      <c r="X44" s="111">
        <v>508</v>
      </c>
      <c r="Y44" s="112">
        <f>G44</f>
        <v>508</v>
      </c>
      <c r="Z44" s="111">
        <v>508</v>
      </c>
      <c r="AA44" s="111">
        <v>508</v>
      </c>
      <c r="AB44" s="111">
        <v>17919</v>
      </c>
      <c r="AC44" s="112">
        <f>H44</f>
        <v>50129</v>
      </c>
      <c r="AD44" s="111">
        <v>50750</v>
      </c>
      <c r="AE44" s="111">
        <v>50750</v>
      </c>
      <c r="AF44" s="111">
        <v>790</v>
      </c>
      <c r="AG44" s="112">
        <f t="shared" si="76"/>
        <v>790</v>
      </c>
      <c r="AH44" s="111">
        <v>790</v>
      </c>
      <c r="AI44" s="111">
        <v>0</v>
      </c>
      <c r="AJ44" s="111">
        <v>0</v>
      </c>
      <c r="AK44" s="112">
        <f t="shared" si="77"/>
        <v>0</v>
      </c>
      <c r="AL44" s="111">
        <v>18887</v>
      </c>
      <c r="AM44" s="111">
        <v>18887</v>
      </c>
      <c r="AN44" s="111">
        <v>18887</v>
      </c>
      <c r="AO44" s="112">
        <f>K44</f>
        <v>18610</v>
      </c>
      <c r="AP44" s="111">
        <v>0</v>
      </c>
    </row>
    <row r="45" spans="2:42">
      <c r="B45" s="106"/>
      <c r="C45" s="111"/>
      <c r="D45" s="111"/>
      <c r="E45" s="111"/>
      <c r="F45" s="111"/>
      <c r="G45" s="111"/>
      <c r="H45" s="111"/>
      <c r="I45" s="111"/>
      <c r="J45" s="111"/>
      <c r="K45" s="111"/>
      <c r="L45" s="110"/>
      <c r="M45" s="110"/>
      <c r="N45" s="111"/>
      <c r="O45" s="111"/>
      <c r="P45" s="111"/>
      <c r="Q45" s="112"/>
      <c r="R45" s="111"/>
      <c r="S45" s="111"/>
      <c r="T45" s="111"/>
      <c r="U45" s="112"/>
      <c r="V45" s="111"/>
      <c r="W45" s="111"/>
      <c r="X45" s="111"/>
      <c r="Y45" s="112"/>
      <c r="Z45" s="111"/>
      <c r="AA45" s="111"/>
      <c r="AB45" s="111"/>
      <c r="AC45" s="112"/>
      <c r="AD45" s="111"/>
      <c r="AE45" s="111"/>
      <c r="AF45" s="111"/>
      <c r="AG45" s="112"/>
      <c r="AH45" s="111"/>
      <c r="AI45" s="111"/>
      <c r="AK45" s="112"/>
      <c r="AL45" s="111"/>
      <c r="AM45" s="111"/>
      <c r="AO45" s="112"/>
      <c r="AP45" s="111"/>
    </row>
    <row r="46" spans="2:42">
      <c r="B46" s="181" t="s">
        <v>291</v>
      </c>
      <c r="C46" s="101"/>
      <c r="D46" s="101"/>
      <c r="E46" s="101"/>
      <c r="F46" s="101"/>
      <c r="G46" s="101"/>
      <c r="H46" s="101"/>
      <c r="I46" s="101"/>
      <c r="J46" s="101"/>
      <c r="K46" s="101"/>
      <c r="L46" s="101"/>
      <c r="M46" s="101"/>
      <c r="N46" s="113"/>
      <c r="O46" s="113"/>
      <c r="P46" s="113"/>
      <c r="Q46" s="113"/>
      <c r="R46" s="113"/>
      <c r="S46" s="113"/>
      <c r="T46" s="113"/>
      <c r="U46" s="113"/>
      <c r="V46" s="113"/>
      <c r="W46" s="113"/>
      <c r="X46" s="113"/>
      <c r="Y46" s="113"/>
      <c r="Z46" s="113"/>
      <c r="AA46" s="113"/>
      <c r="AB46" s="113"/>
      <c r="AC46" s="113"/>
      <c r="AD46" s="113"/>
      <c r="AE46" s="113"/>
      <c r="AF46" s="113"/>
      <c r="AG46" s="113"/>
      <c r="AH46" s="113"/>
      <c r="AI46" s="113"/>
      <c r="AK46" s="113"/>
      <c r="AL46" s="113"/>
      <c r="AM46" s="113"/>
      <c r="AO46" s="113"/>
      <c r="AP46" s="113"/>
    </row>
    <row r="47" spans="2:42">
      <c r="B47" s="106" t="s">
        <v>279</v>
      </c>
      <c r="C47" s="112">
        <f t="shared" ref="C47:E48" si="78">SUM(C8,C21,C34)</f>
        <v>173</v>
      </c>
      <c r="D47" s="112">
        <f t="shared" si="78"/>
        <v>184</v>
      </c>
      <c r="E47" s="112">
        <f t="shared" si="78"/>
        <v>184</v>
      </c>
      <c r="F47" s="112">
        <f t="shared" ref="F47:H48" si="79">SUM(F8,F21,F34)</f>
        <v>188</v>
      </c>
      <c r="G47" s="112">
        <f t="shared" si="79"/>
        <v>189</v>
      </c>
      <c r="H47" s="112">
        <f t="shared" si="79"/>
        <v>202</v>
      </c>
      <c r="I47" s="112">
        <f t="shared" ref="I47:J47" si="80">SUM(I8,I21,I34)</f>
        <v>213</v>
      </c>
      <c r="J47" s="112">
        <f t="shared" si="80"/>
        <v>225</v>
      </c>
      <c r="K47" s="112">
        <f t="shared" ref="K47" si="81">SUM(K8,K21,K34)</f>
        <v>234</v>
      </c>
      <c r="L47" s="112">
        <f t="shared" ref="L47" si="82">SUM(L8,L21,L34)</f>
        <v>231</v>
      </c>
      <c r="M47" s="110"/>
      <c r="N47" s="110">
        <f t="shared" ref="N47:W48" si="83">SUM(N8,N21,N34)</f>
        <v>187</v>
      </c>
      <c r="O47" s="110">
        <f t="shared" si="83"/>
        <v>182</v>
      </c>
      <c r="P47" s="110">
        <f t="shared" si="83"/>
        <v>182</v>
      </c>
      <c r="Q47" s="110">
        <f t="shared" si="83"/>
        <v>184</v>
      </c>
      <c r="R47" s="110">
        <f t="shared" si="83"/>
        <v>184</v>
      </c>
      <c r="S47" s="110">
        <f t="shared" si="83"/>
        <v>186</v>
      </c>
      <c r="T47" s="110">
        <f t="shared" si="83"/>
        <v>186</v>
      </c>
      <c r="U47" s="110">
        <f t="shared" si="83"/>
        <v>188</v>
      </c>
      <c r="V47" s="110">
        <f t="shared" si="83"/>
        <v>189</v>
      </c>
      <c r="W47" s="110">
        <f t="shared" si="83"/>
        <v>189</v>
      </c>
      <c r="X47" s="110">
        <f t="shared" ref="X47:AA47" si="84">SUM(X8,X21,X34)</f>
        <v>189</v>
      </c>
      <c r="Y47" s="110">
        <f t="shared" si="84"/>
        <v>189</v>
      </c>
      <c r="Z47" s="110">
        <f t="shared" si="84"/>
        <v>190</v>
      </c>
      <c r="AA47" s="110">
        <f t="shared" si="84"/>
        <v>193</v>
      </c>
      <c r="AB47" s="110">
        <f t="shared" ref="AB47:AE47" si="85">SUM(AB8,AB21,AB34)</f>
        <v>194</v>
      </c>
      <c r="AC47" s="110">
        <f t="shared" si="85"/>
        <v>202</v>
      </c>
      <c r="AD47" s="110">
        <f t="shared" si="85"/>
        <v>202</v>
      </c>
      <c r="AE47" s="110">
        <f t="shared" si="85"/>
        <v>204</v>
      </c>
      <c r="AF47" s="110">
        <f t="shared" ref="AF47:AH47" si="86">SUM(AF8,AF21,AF34)</f>
        <v>214</v>
      </c>
      <c r="AG47" s="110">
        <f t="shared" si="86"/>
        <v>213</v>
      </c>
      <c r="AH47" s="110">
        <f t="shared" si="86"/>
        <v>214</v>
      </c>
      <c r="AI47" s="110">
        <f>SUM(AI8,AI21,AI34)</f>
        <v>216</v>
      </c>
      <c r="AJ47" s="110">
        <f>SUM(AJ8,AJ21,AJ34)</f>
        <v>221</v>
      </c>
      <c r="AK47" s="110">
        <f t="shared" ref="AK47:AL47" si="87">SUM(AK8,AK21,AK34)</f>
        <v>225</v>
      </c>
      <c r="AL47" s="110">
        <f t="shared" si="87"/>
        <v>228</v>
      </c>
      <c r="AM47" s="110">
        <f>SUM(AM8,AM21,AM34)</f>
        <v>231</v>
      </c>
      <c r="AN47" s="110">
        <f>SUM(AN8,AN21,AN34)</f>
        <v>235</v>
      </c>
      <c r="AO47" s="110">
        <f t="shared" ref="AO47:AP47" si="88">SUM(AO8,AO21,AO34)</f>
        <v>234</v>
      </c>
      <c r="AP47" s="110">
        <f t="shared" si="88"/>
        <v>231</v>
      </c>
    </row>
    <row r="48" spans="2:42">
      <c r="B48" s="106" t="s">
        <v>280</v>
      </c>
      <c r="C48" s="112">
        <f t="shared" si="78"/>
        <v>0</v>
      </c>
      <c r="D48" s="112">
        <f t="shared" si="78"/>
        <v>5</v>
      </c>
      <c r="E48" s="112">
        <f t="shared" si="78"/>
        <v>4</v>
      </c>
      <c r="F48" s="112">
        <f t="shared" si="79"/>
        <v>4</v>
      </c>
      <c r="G48" s="112">
        <f t="shared" si="79"/>
        <v>8</v>
      </c>
      <c r="H48" s="112">
        <f t="shared" si="79"/>
        <v>14</v>
      </c>
      <c r="I48" s="112">
        <f t="shared" ref="I48:J48" si="89">SUM(I9,I22,I35)</f>
        <v>12</v>
      </c>
      <c r="J48" s="112">
        <f t="shared" si="89"/>
        <v>11</v>
      </c>
      <c r="K48" s="112">
        <f t="shared" ref="K48" si="90">SUM(K9,K22,K35)</f>
        <v>3</v>
      </c>
      <c r="L48" s="112">
        <f t="shared" ref="L48" si="91">SUM(L9,L22,L35)</f>
        <v>6</v>
      </c>
      <c r="M48" s="110"/>
      <c r="N48" s="110">
        <f t="shared" si="83"/>
        <v>7</v>
      </c>
      <c r="O48" s="110">
        <f t="shared" si="83"/>
        <v>4</v>
      </c>
      <c r="P48" s="110">
        <f t="shared" si="83"/>
        <v>6</v>
      </c>
      <c r="Q48" s="110">
        <f t="shared" si="83"/>
        <v>4</v>
      </c>
      <c r="R48" s="110">
        <f t="shared" si="83"/>
        <v>7</v>
      </c>
      <c r="S48" s="110">
        <f t="shared" si="83"/>
        <v>6</v>
      </c>
      <c r="T48" s="110">
        <f t="shared" si="83"/>
        <v>8</v>
      </c>
      <c r="U48" s="110">
        <f t="shared" si="83"/>
        <v>4</v>
      </c>
      <c r="V48" s="110">
        <f t="shared" si="83"/>
        <v>5</v>
      </c>
      <c r="W48" s="110">
        <f t="shared" si="83"/>
        <v>6</v>
      </c>
      <c r="X48" s="110">
        <f t="shared" ref="X48:AA48" si="92">SUM(X9,X22,X35)</f>
        <v>7</v>
      </c>
      <c r="Y48" s="110">
        <f t="shared" si="92"/>
        <v>8</v>
      </c>
      <c r="Z48" s="110">
        <f t="shared" si="92"/>
        <v>12</v>
      </c>
      <c r="AA48" s="110">
        <f t="shared" si="92"/>
        <v>9</v>
      </c>
      <c r="AB48" s="110">
        <f t="shared" ref="AB48:AE48" si="93">SUM(AB9,AB22,AB35)</f>
        <v>13</v>
      </c>
      <c r="AC48" s="110">
        <f t="shared" si="93"/>
        <v>14</v>
      </c>
      <c r="AD48" s="110">
        <f t="shared" si="93"/>
        <v>14</v>
      </c>
      <c r="AE48" s="110">
        <f t="shared" si="93"/>
        <v>11</v>
      </c>
      <c r="AF48" s="110">
        <f t="shared" ref="AF48:AH48" si="94">SUM(AF9,AF22,AF35)</f>
        <v>12</v>
      </c>
      <c r="AG48" s="110">
        <f t="shared" si="94"/>
        <v>12</v>
      </c>
      <c r="AH48" s="110">
        <f t="shared" si="94"/>
        <v>14</v>
      </c>
      <c r="AI48" s="110">
        <f t="shared" ref="AI48:AL48" si="95">SUM(AI9,AI22,AI35)</f>
        <v>17</v>
      </c>
      <c r="AJ48" s="110">
        <f t="shared" si="95"/>
        <v>11</v>
      </c>
      <c r="AK48" s="110">
        <f t="shared" si="95"/>
        <v>11</v>
      </c>
      <c r="AL48" s="110">
        <f t="shared" si="95"/>
        <v>7</v>
      </c>
      <c r="AM48" s="110">
        <f t="shared" ref="AM48:AP48" si="96">SUM(AM9,AM22,AM35)</f>
        <v>4</v>
      </c>
      <c r="AN48" s="110">
        <f t="shared" si="96"/>
        <v>1</v>
      </c>
      <c r="AO48" s="110">
        <f t="shared" si="96"/>
        <v>3</v>
      </c>
      <c r="AP48" s="110">
        <f t="shared" si="96"/>
        <v>6</v>
      </c>
    </row>
    <row r="49" spans="1:42" s="105" customFormat="1">
      <c r="B49" s="107" t="s">
        <v>281</v>
      </c>
      <c r="C49" s="109">
        <f t="shared" ref="C49:G49" si="97">SUM(C47:C48)</f>
        <v>173</v>
      </c>
      <c r="D49" s="109">
        <f t="shared" si="97"/>
        <v>189</v>
      </c>
      <c r="E49" s="109">
        <f t="shared" si="97"/>
        <v>188</v>
      </c>
      <c r="F49" s="109">
        <f t="shared" si="97"/>
        <v>192</v>
      </c>
      <c r="G49" s="109">
        <f t="shared" si="97"/>
        <v>197</v>
      </c>
      <c r="H49" s="109">
        <f t="shared" ref="H49:I49" si="98">SUM(H47:H48)</f>
        <v>216</v>
      </c>
      <c r="I49" s="109">
        <f t="shared" si="98"/>
        <v>225</v>
      </c>
      <c r="J49" s="109">
        <f t="shared" ref="J49:L49" si="99">SUM(J47:J48)</f>
        <v>236</v>
      </c>
      <c r="K49" s="109">
        <f t="shared" ref="K49" si="100">SUM(K47:K48)</f>
        <v>237</v>
      </c>
      <c r="L49" s="109">
        <f t="shared" si="99"/>
        <v>237</v>
      </c>
      <c r="M49" s="109"/>
      <c r="N49" s="109">
        <f t="shared" ref="N49:W49" si="101">SUM(N47:N48)</f>
        <v>194</v>
      </c>
      <c r="O49" s="109">
        <f t="shared" si="101"/>
        <v>186</v>
      </c>
      <c r="P49" s="109">
        <f t="shared" si="101"/>
        <v>188</v>
      </c>
      <c r="Q49" s="109">
        <f t="shared" si="101"/>
        <v>188</v>
      </c>
      <c r="R49" s="109">
        <f t="shared" si="101"/>
        <v>191</v>
      </c>
      <c r="S49" s="109">
        <f t="shared" si="101"/>
        <v>192</v>
      </c>
      <c r="T49" s="109">
        <f t="shared" si="101"/>
        <v>194</v>
      </c>
      <c r="U49" s="109">
        <f t="shared" si="101"/>
        <v>192</v>
      </c>
      <c r="V49" s="109">
        <f t="shared" si="101"/>
        <v>194</v>
      </c>
      <c r="W49" s="109">
        <f t="shared" si="101"/>
        <v>195</v>
      </c>
      <c r="X49" s="109">
        <f t="shared" ref="X49:AA49" si="102">SUM(X47:X48)</f>
        <v>196</v>
      </c>
      <c r="Y49" s="109">
        <f t="shared" si="102"/>
        <v>197</v>
      </c>
      <c r="Z49" s="109">
        <f t="shared" si="102"/>
        <v>202</v>
      </c>
      <c r="AA49" s="109">
        <f t="shared" si="102"/>
        <v>202</v>
      </c>
      <c r="AB49" s="109">
        <f t="shared" ref="AB49:AE49" si="103">SUM(AB47:AB48)</f>
        <v>207</v>
      </c>
      <c r="AC49" s="109">
        <f t="shared" si="103"/>
        <v>216</v>
      </c>
      <c r="AD49" s="109">
        <f t="shared" si="103"/>
        <v>216</v>
      </c>
      <c r="AE49" s="109">
        <f t="shared" si="103"/>
        <v>215</v>
      </c>
      <c r="AF49" s="109">
        <f t="shared" ref="AF49:AH49" si="104">SUM(AF47:AF48)</f>
        <v>226</v>
      </c>
      <c r="AG49" s="109">
        <f t="shared" si="104"/>
        <v>225</v>
      </c>
      <c r="AH49" s="109">
        <f t="shared" si="104"/>
        <v>228</v>
      </c>
      <c r="AI49" s="109">
        <f t="shared" ref="AI49" si="105">SUM(AI47:AI48)</f>
        <v>233</v>
      </c>
      <c r="AJ49" s="109">
        <f>SUM(AJ47:AJ48)</f>
        <v>232</v>
      </c>
      <c r="AK49" s="109">
        <f t="shared" ref="AK49:AM49" si="106">SUM(AK47:AK48)</f>
        <v>236</v>
      </c>
      <c r="AL49" s="109">
        <f t="shared" si="106"/>
        <v>235</v>
      </c>
      <c r="AM49" s="109">
        <f t="shared" si="106"/>
        <v>235</v>
      </c>
      <c r="AN49" s="109">
        <f>SUM(AN47:AN48)</f>
        <v>236</v>
      </c>
      <c r="AO49" s="109">
        <f t="shared" ref="AO49:AP49" si="107">SUM(AO47:AO48)</f>
        <v>237</v>
      </c>
      <c r="AP49" s="109">
        <f t="shared" si="107"/>
        <v>237</v>
      </c>
    </row>
    <row r="50" spans="1:42" s="99" customFormat="1" ht="13.5" customHeight="1">
      <c r="C50" s="101"/>
      <c r="D50" s="101"/>
      <c r="E50" s="101"/>
      <c r="F50" s="101"/>
      <c r="G50" s="101"/>
      <c r="H50" s="101"/>
      <c r="I50" s="101"/>
      <c r="J50" s="101"/>
      <c r="K50" s="101"/>
      <c r="L50" s="100"/>
      <c r="M50" s="100"/>
      <c r="N50" s="101"/>
      <c r="O50" s="101"/>
      <c r="P50" s="101"/>
      <c r="Q50" s="100"/>
      <c r="R50" s="101"/>
      <c r="S50" s="101"/>
      <c r="T50" s="101"/>
      <c r="U50" s="100"/>
      <c r="V50" s="101"/>
      <c r="W50" s="101"/>
      <c r="X50" s="101"/>
      <c r="Y50" s="100"/>
      <c r="Z50" s="101"/>
      <c r="AA50" s="101"/>
      <c r="AB50" s="101"/>
      <c r="AC50" s="100"/>
      <c r="AD50" s="101"/>
      <c r="AE50" s="101"/>
      <c r="AF50" s="101"/>
      <c r="AG50" s="100"/>
      <c r="AH50" s="101"/>
      <c r="AI50" s="101"/>
      <c r="AK50" s="100"/>
      <c r="AL50" s="101"/>
      <c r="AM50" s="101"/>
      <c r="AO50" s="100"/>
      <c r="AP50" s="101"/>
    </row>
    <row r="51" spans="1:42">
      <c r="B51" s="106" t="s">
        <v>282</v>
      </c>
      <c r="C51" s="112">
        <f t="shared" ref="C51:F52" si="108">SUM(C12,C25,C38)</f>
        <v>26721170</v>
      </c>
      <c r="D51" s="112">
        <f t="shared" si="108"/>
        <v>29867577</v>
      </c>
      <c r="E51" s="112">
        <f t="shared" si="108"/>
        <v>29792048</v>
      </c>
      <c r="F51" s="112">
        <f t="shared" si="108"/>
        <v>31221036</v>
      </c>
      <c r="G51" s="112">
        <f>SUM(G12,G25,G38)</f>
        <v>31081746</v>
      </c>
      <c r="H51" s="112">
        <f>SUM(H12,H25,H38)</f>
        <v>33714370</v>
      </c>
      <c r="I51" s="112">
        <f>SUM(I12,I25,I38)</f>
        <v>37278126</v>
      </c>
      <c r="J51" s="112">
        <f>SUM(J12,J25,J38)</f>
        <v>40299964</v>
      </c>
      <c r="K51" s="112">
        <f>SUM(K12,K25,K38)</f>
        <v>42954022</v>
      </c>
      <c r="L51" s="110">
        <f>AN51</f>
        <v>42953722</v>
      </c>
      <c r="M51" s="110"/>
      <c r="N51" s="110">
        <f t="shared" ref="N51:W52" si="109">SUM(N12,N25,N38)</f>
        <v>30416390</v>
      </c>
      <c r="O51" s="110">
        <f t="shared" si="109"/>
        <v>29262345</v>
      </c>
      <c r="P51" s="110">
        <f t="shared" si="109"/>
        <v>29336040</v>
      </c>
      <c r="Q51" s="110">
        <f t="shared" si="109"/>
        <v>29792048</v>
      </c>
      <c r="R51" s="110">
        <f t="shared" si="109"/>
        <v>29794421</v>
      </c>
      <c r="S51" s="110">
        <f t="shared" si="109"/>
        <v>30151587</v>
      </c>
      <c r="T51" s="110">
        <f t="shared" si="109"/>
        <v>30151587</v>
      </c>
      <c r="U51" s="110">
        <f t="shared" si="109"/>
        <v>31221036</v>
      </c>
      <c r="V51" s="110">
        <f t="shared" si="109"/>
        <v>31591861</v>
      </c>
      <c r="W51" s="110">
        <f t="shared" si="109"/>
        <v>31595172</v>
      </c>
      <c r="X51" s="110">
        <f t="shared" ref="X51:AA51" si="110">SUM(X12,X25,X38)</f>
        <v>31541561</v>
      </c>
      <c r="Y51" s="110">
        <f t="shared" si="110"/>
        <v>31081746</v>
      </c>
      <c r="Z51" s="110">
        <f t="shared" si="110"/>
        <v>31366851</v>
      </c>
      <c r="AA51" s="110">
        <f t="shared" si="110"/>
        <v>32088050</v>
      </c>
      <c r="AB51" s="110">
        <f t="shared" ref="AB51:AE51" si="111">SUM(AB12,AB25,AB38)</f>
        <v>32266926</v>
      </c>
      <c r="AC51" s="110">
        <f t="shared" si="111"/>
        <v>33714370</v>
      </c>
      <c r="AD51" s="110">
        <f t="shared" si="111"/>
        <v>33714370</v>
      </c>
      <c r="AE51" s="110">
        <f t="shared" si="111"/>
        <v>34606711</v>
      </c>
      <c r="AF51" s="110">
        <f t="shared" ref="AF51:AH51" si="112">SUM(AF12,AF25,AF38)</f>
        <v>36905960</v>
      </c>
      <c r="AG51" s="110">
        <f t="shared" si="112"/>
        <v>37278126</v>
      </c>
      <c r="AH51" s="110">
        <f t="shared" si="112"/>
        <v>37289915</v>
      </c>
      <c r="AI51" s="110">
        <f t="shared" ref="AI51:AL51" si="113">SUM(AI12,AI25,AI38)</f>
        <v>37793192</v>
      </c>
      <c r="AJ51" s="110">
        <f t="shared" si="113"/>
        <v>39076503</v>
      </c>
      <c r="AK51" s="110">
        <f t="shared" si="113"/>
        <v>40299964</v>
      </c>
      <c r="AL51" s="110">
        <f t="shared" si="113"/>
        <v>41202217</v>
      </c>
      <c r="AM51" s="110">
        <f t="shared" ref="AM51:AP51" si="114">SUM(AM12,AM25,AM38)</f>
        <v>41918043</v>
      </c>
      <c r="AN51" s="110">
        <f t="shared" si="114"/>
        <v>42953722</v>
      </c>
      <c r="AO51" s="110">
        <f t="shared" si="114"/>
        <v>42954022</v>
      </c>
      <c r="AP51" s="110">
        <f t="shared" si="114"/>
        <v>42954022</v>
      </c>
    </row>
    <row r="52" spans="1:42">
      <c r="B52" s="106" t="s">
        <v>283</v>
      </c>
      <c r="C52" s="112">
        <f t="shared" si="108"/>
        <v>2330549</v>
      </c>
      <c r="D52" s="112">
        <f t="shared" si="108"/>
        <v>1041753</v>
      </c>
      <c r="E52" s="112">
        <f t="shared" si="108"/>
        <v>762675</v>
      </c>
      <c r="F52" s="112">
        <f t="shared" si="108"/>
        <v>1096541</v>
      </c>
      <c r="G52" s="112">
        <f t="shared" ref="G52" si="115">SUM(G13,G26,G39)</f>
        <v>1636465</v>
      </c>
      <c r="H52" s="112">
        <f t="shared" ref="H52:I52" si="116">SUM(H13,H26,H39)</f>
        <v>3865490</v>
      </c>
      <c r="I52" s="112">
        <f t="shared" si="116"/>
        <v>3101652</v>
      </c>
      <c r="J52" s="112">
        <f t="shared" ref="J52:K52" si="117">SUM(J13,J26,J39)</f>
        <v>2776714</v>
      </c>
      <c r="K52" s="112">
        <f t="shared" si="117"/>
        <v>771844</v>
      </c>
      <c r="L52" s="110">
        <f>AN52</f>
        <v>376016</v>
      </c>
      <c r="M52" s="110"/>
      <c r="N52" s="110">
        <f t="shared" si="109"/>
        <v>949159</v>
      </c>
      <c r="O52" s="110">
        <f t="shared" si="109"/>
        <v>529486</v>
      </c>
      <c r="P52" s="110">
        <f t="shared" si="109"/>
        <v>812958</v>
      </c>
      <c r="Q52" s="110">
        <f t="shared" si="109"/>
        <v>762675</v>
      </c>
      <c r="R52" s="110">
        <f t="shared" si="109"/>
        <v>1762243</v>
      </c>
      <c r="S52" s="110">
        <f t="shared" si="109"/>
        <v>1540467</v>
      </c>
      <c r="T52" s="110">
        <f t="shared" si="109"/>
        <v>1867911</v>
      </c>
      <c r="U52" s="110">
        <f t="shared" si="109"/>
        <v>1096541</v>
      </c>
      <c r="V52" s="110">
        <f t="shared" si="109"/>
        <v>1257366</v>
      </c>
      <c r="W52" s="110">
        <f t="shared" si="109"/>
        <v>1366587</v>
      </c>
      <c r="X52" s="110">
        <f t="shared" ref="X52:AA52" si="118">SUM(X13,X26,X39)</f>
        <v>1797107</v>
      </c>
      <c r="Y52" s="110">
        <f t="shared" si="118"/>
        <v>1636465</v>
      </c>
      <c r="Z52" s="110">
        <f t="shared" si="118"/>
        <v>2697839</v>
      </c>
      <c r="AA52" s="110">
        <f t="shared" si="118"/>
        <v>1978686</v>
      </c>
      <c r="AB52" s="110">
        <f t="shared" ref="AB52:AE52" si="119">SUM(AB13,AB26,AB39)</f>
        <v>3155157</v>
      </c>
      <c r="AC52" s="110">
        <f t="shared" si="119"/>
        <v>3865490</v>
      </c>
      <c r="AD52" s="110">
        <f t="shared" si="119"/>
        <v>3865490</v>
      </c>
      <c r="AE52" s="110">
        <f t="shared" si="119"/>
        <v>3248943</v>
      </c>
      <c r="AF52" s="110">
        <f t="shared" ref="AF52:AH52" si="120">SUM(AF13,AF26,AF39)</f>
        <v>3511701</v>
      </c>
      <c r="AG52" s="110">
        <f t="shared" si="120"/>
        <v>3101652</v>
      </c>
      <c r="AH52" s="110">
        <f t="shared" si="120"/>
        <v>4133189</v>
      </c>
      <c r="AI52" s="110">
        <f t="shared" ref="AI52:AL52" si="121">SUM(AI13,AI26,AI39)</f>
        <v>4675122</v>
      </c>
      <c r="AJ52" s="110">
        <f t="shared" si="121"/>
        <v>3391804</v>
      </c>
      <c r="AK52" s="110">
        <f t="shared" si="121"/>
        <v>2776714</v>
      </c>
      <c r="AL52" s="110">
        <f t="shared" si="121"/>
        <v>1874461</v>
      </c>
      <c r="AM52" s="110">
        <f t="shared" ref="AM52:AP52" si="122">SUM(AM13,AM26,AM39)</f>
        <v>1291613</v>
      </c>
      <c r="AN52" s="110">
        <f t="shared" si="122"/>
        <v>376016</v>
      </c>
      <c r="AO52" s="110">
        <f t="shared" si="122"/>
        <v>771844</v>
      </c>
      <c r="AP52" s="110">
        <f t="shared" si="122"/>
        <v>1553309</v>
      </c>
    </row>
    <row r="53" spans="1:42" s="105" customFormat="1">
      <c r="B53" s="107" t="s">
        <v>284</v>
      </c>
      <c r="C53" s="109">
        <f t="shared" ref="C53:G53" si="123">SUM(C51:C52)</f>
        <v>29051719</v>
      </c>
      <c r="D53" s="109">
        <f t="shared" si="123"/>
        <v>30909330</v>
      </c>
      <c r="E53" s="109">
        <f t="shared" si="123"/>
        <v>30554723</v>
      </c>
      <c r="F53" s="109">
        <f t="shared" si="123"/>
        <v>32317577</v>
      </c>
      <c r="G53" s="109">
        <f t="shared" si="123"/>
        <v>32718211</v>
      </c>
      <c r="H53" s="109">
        <f t="shared" ref="H53:I53" si="124">SUM(H51:H52)</f>
        <v>37579860</v>
      </c>
      <c r="I53" s="109">
        <f t="shared" si="124"/>
        <v>40379778</v>
      </c>
      <c r="J53" s="109">
        <f t="shared" ref="J53:K53" si="125">SUM(J51:J52)</f>
        <v>43076678</v>
      </c>
      <c r="K53" s="109">
        <f t="shared" si="125"/>
        <v>43725866</v>
      </c>
      <c r="L53" s="109">
        <f>SUM(L51:L52)</f>
        <v>43329738</v>
      </c>
      <c r="M53" s="109"/>
      <c r="N53" s="109">
        <f>SUM(N51:N52)</f>
        <v>31365549</v>
      </c>
      <c r="O53" s="109">
        <f t="shared" ref="O53:W53" si="126">SUM(O51:O52)</f>
        <v>29791831</v>
      </c>
      <c r="P53" s="109">
        <f t="shared" si="126"/>
        <v>30148998</v>
      </c>
      <c r="Q53" s="109">
        <f t="shared" si="126"/>
        <v>30554723</v>
      </c>
      <c r="R53" s="109">
        <f t="shared" si="126"/>
        <v>31556664</v>
      </c>
      <c r="S53" s="109">
        <f t="shared" si="126"/>
        <v>31692054</v>
      </c>
      <c r="T53" s="109">
        <f t="shared" si="126"/>
        <v>32019498</v>
      </c>
      <c r="U53" s="109">
        <f t="shared" si="126"/>
        <v>32317577</v>
      </c>
      <c r="V53" s="109">
        <f t="shared" si="126"/>
        <v>32849227</v>
      </c>
      <c r="W53" s="109">
        <f t="shared" si="126"/>
        <v>32961759</v>
      </c>
      <c r="X53" s="109">
        <f t="shared" ref="X53:AA53" si="127">SUM(X51:X52)</f>
        <v>33338668</v>
      </c>
      <c r="Y53" s="109">
        <f t="shared" si="127"/>
        <v>32718211</v>
      </c>
      <c r="Z53" s="109">
        <f t="shared" si="127"/>
        <v>34064690</v>
      </c>
      <c r="AA53" s="109">
        <f t="shared" si="127"/>
        <v>34066736</v>
      </c>
      <c r="AB53" s="109">
        <f t="shared" ref="AB53:AE53" si="128">SUM(AB51:AB52)</f>
        <v>35422083</v>
      </c>
      <c r="AC53" s="109">
        <f t="shared" si="128"/>
        <v>37579860</v>
      </c>
      <c r="AD53" s="109">
        <f t="shared" si="128"/>
        <v>37579860</v>
      </c>
      <c r="AE53" s="109">
        <f t="shared" si="128"/>
        <v>37855654</v>
      </c>
      <c r="AF53" s="109">
        <f t="shared" ref="AF53:AH53" si="129">SUM(AF51:AF52)</f>
        <v>40417661</v>
      </c>
      <c r="AG53" s="109">
        <f t="shared" si="129"/>
        <v>40379778</v>
      </c>
      <c r="AH53" s="109">
        <f t="shared" si="129"/>
        <v>41423104</v>
      </c>
      <c r="AI53" s="109">
        <f t="shared" ref="AI53:AL53" si="130">SUM(AI51:AI52)</f>
        <v>42468314</v>
      </c>
      <c r="AJ53" s="109">
        <f t="shared" si="130"/>
        <v>42468307</v>
      </c>
      <c r="AK53" s="109">
        <f t="shared" si="130"/>
        <v>43076678</v>
      </c>
      <c r="AL53" s="109">
        <f t="shared" si="130"/>
        <v>43076678</v>
      </c>
      <c r="AM53" s="109">
        <f t="shared" ref="AM53:AP53" si="131">SUM(AM51:AM52)</f>
        <v>43209656</v>
      </c>
      <c r="AN53" s="109">
        <f t="shared" si="131"/>
        <v>43329738</v>
      </c>
      <c r="AO53" s="109">
        <f t="shared" si="131"/>
        <v>43725866</v>
      </c>
      <c r="AP53" s="109">
        <f t="shared" si="131"/>
        <v>44507331</v>
      </c>
    </row>
    <row r="54" spans="1:42" s="99" customFormat="1" ht="13.5" customHeight="1">
      <c r="C54" s="101"/>
      <c r="D54" s="101"/>
      <c r="E54" s="101"/>
      <c r="F54" s="101"/>
      <c r="G54" s="101"/>
      <c r="H54" s="101"/>
      <c r="I54" s="101"/>
      <c r="J54" s="101"/>
      <c r="K54" s="101"/>
      <c r="L54" s="100"/>
      <c r="M54" s="100"/>
      <c r="N54" s="100"/>
      <c r="O54" s="100"/>
      <c r="P54" s="100"/>
      <c r="Q54" s="100"/>
      <c r="R54" s="100"/>
      <c r="S54" s="100"/>
      <c r="T54" s="100"/>
      <c r="U54" s="100"/>
      <c r="V54" s="100"/>
      <c r="W54" s="100"/>
      <c r="X54" s="100"/>
      <c r="Y54" s="100"/>
      <c r="Z54" s="100"/>
      <c r="AA54" s="100"/>
      <c r="AB54" s="100"/>
      <c r="AC54" s="100"/>
      <c r="AD54" s="100"/>
      <c r="AE54" s="100"/>
      <c r="AF54" s="100"/>
      <c r="AG54" s="100"/>
      <c r="AH54" s="100"/>
      <c r="AI54" s="100"/>
      <c r="AK54" s="100"/>
      <c r="AL54" s="100"/>
      <c r="AM54" s="100"/>
      <c r="AO54" s="100"/>
      <c r="AP54" s="100"/>
    </row>
    <row r="55" spans="1:42">
      <c r="B55" s="106" t="s">
        <v>285</v>
      </c>
      <c r="C55" s="112">
        <f t="shared" ref="C55:F57" si="132">SUM(C16,C29,C42)</f>
        <v>110867</v>
      </c>
      <c r="D55" s="112">
        <f t="shared" si="132"/>
        <v>46236</v>
      </c>
      <c r="E55" s="112">
        <f t="shared" si="132"/>
        <v>36805</v>
      </c>
      <c r="F55" s="112">
        <f t="shared" si="132"/>
        <v>54868</v>
      </c>
      <c r="G55" s="112">
        <f t="shared" ref="G55" si="133">SUM(G16,G29,G42)</f>
        <v>88272</v>
      </c>
      <c r="H55" s="112">
        <f t="shared" ref="H55:I55" si="134">SUM(H16,H29,H42)</f>
        <v>241684</v>
      </c>
      <c r="I55" s="112">
        <f t="shared" si="134"/>
        <v>57868.05</v>
      </c>
      <c r="J55" s="112">
        <f t="shared" ref="J55:K55" si="135">SUM(J16,J29,J42)</f>
        <v>214058</v>
      </c>
      <c r="K55" s="112">
        <f t="shared" si="135"/>
        <v>59042</v>
      </c>
      <c r="L55" s="110">
        <f>AN55</f>
        <v>29188</v>
      </c>
      <c r="M55" s="110"/>
      <c r="N55" s="110">
        <f t="shared" ref="N55:W57" si="136">SUM(N16,N29,N42)</f>
        <v>44966</v>
      </c>
      <c r="O55" s="110">
        <f t="shared" si="136"/>
        <v>24188</v>
      </c>
      <c r="P55" s="110">
        <f t="shared" si="136"/>
        <v>38721</v>
      </c>
      <c r="Q55" s="110">
        <f t="shared" si="136"/>
        <v>36805</v>
      </c>
      <c r="R55" s="110">
        <f t="shared" si="136"/>
        <v>93570</v>
      </c>
      <c r="S55" s="110">
        <f t="shared" si="136"/>
        <v>81739</v>
      </c>
      <c r="T55" s="110">
        <f t="shared" si="136"/>
        <v>96815</v>
      </c>
      <c r="U55" s="110">
        <f t="shared" si="136"/>
        <v>54868</v>
      </c>
      <c r="V55" s="110">
        <f t="shared" si="136"/>
        <v>68842</v>
      </c>
      <c r="W55" s="110">
        <f t="shared" si="136"/>
        <v>74523</v>
      </c>
      <c r="X55" s="110">
        <f t="shared" ref="X55:AA55" si="137">SUM(X16,X29,X42)</f>
        <v>98788</v>
      </c>
      <c r="Y55" s="110">
        <f t="shared" si="137"/>
        <v>88272</v>
      </c>
      <c r="Z55" s="110">
        <f t="shared" si="137"/>
        <v>150655</v>
      </c>
      <c r="AA55" s="110">
        <f t="shared" si="137"/>
        <v>111483</v>
      </c>
      <c r="AB55" s="110">
        <f t="shared" ref="AB55:AE55" si="138">SUM(AB16,AB29,AB42)</f>
        <v>188892</v>
      </c>
      <c r="AC55" s="110">
        <f t="shared" si="138"/>
        <v>241684</v>
      </c>
      <c r="AD55" s="110">
        <f t="shared" si="138"/>
        <v>241684</v>
      </c>
      <c r="AE55" s="110">
        <f t="shared" si="138"/>
        <v>205613</v>
      </c>
      <c r="AF55" s="110">
        <f t="shared" ref="AF55:AH55" si="139">SUM(AF16,AF29,AF42)</f>
        <v>234869</v>
      </c>
      <c r="AG55" s="110">
        <f t="shared" si="139"/>
        <v>57868.05</v>
      </c>
      <c r="AH55" s="110">
        <f t="shared" si="139"/>
        <v>288198</v>
      </c>
      <c r="AI55" s="110">
        <f t="shared" ref="AI55:AL55" si="140">SUM(AI16,AI29,AI42)</f>
        <v>338980</v>
      </c>
      <c r="AJ55" s="110">
        <f t="shared" si="140"/>
        <v>328944</v>
      </c>
      <c r="AK55" s="110">
        <f t="shared" si="140"/>
        <v>214058</v>
      </c>
      <c r="AL55" s="110">
        <f t="shared" si="140"/>
        <v>142561</v>
      </c>
      <c r="AM55" s="110">
        <f t="shared" ref="AM55:AP55" si="141">SUM(AM16,AM29,AM42)</f>
        <v>90956</v>
      </c>
      <c r="AN55" s="110">
        <f t="shared" si="141"/>
        <v>29188</v>
      </c>
      <c r="AO55" s="110">
        <f t="shared" si="141"/>
        <v>59042</v>
      </c>
      <c r="AP55" s="110">
        <f t="shared" si="141"/>
        <v>146728</v>
      </c>
    </row>
    <row r="56" spans="1:42">
      <c r="B56" s="106" t="s">
        <v>286</v>
      </c>
      <c r="C56" s="112">
        <f t="shared" si="132"/>
        <v>784</v>
      </c>
      <c r="D56" s="112">
        <f t="shared" si="132"/>
        <v>859.88</v>
      </c>
      <c r="E56" s="112">
        <f t="shared" si="132"/>
        <v>1008.1700000000001</v>
      </c>
      <c r="F56" s="112">
        <f t="shared" si="132"/>
        <v>906.18</v>
      </c>
      <c r="G56" s="112">
        <f t="shared" ref="G56" si="142">SUM(G17,G30,G43)</f>
        <v>895.65</v>
      </c>
      <c r="H56" s="112">
        <f t="shared" ref="H56:I56" si="143">SUM(H17,H30,H43)</f>
        <v>909.76</v>
      </c>
      <c r="I56" s="112">
        <f t="shared" si="143"/>
        <v>708.92000000000007</v>
      </c>
      <c r="J56" s="112">
        <f t="shared" ref="J56:K56" si="144">SUM(J17,J30,J43)</f>
        <v>657.87999999999988</v>
      </c>
      <c r="K56" s="112">
        <f t="shared" si="144"/>
        <v>1230.3000000000002</v>
      </c>
      <c r="L56" s="110">
        <f>AN56</f>
        <v>910.41000000000008</v>
      </c>
      <c r="M56" s="110"/>
      <c r="N56" s="110">
        <f t="shared" si="136"/>
        <v>868.41000000000008</v>
      </c>
      <c r="O56" s="110">
        <f t="shared" si="136"/>
        <v>858.11000000000013</v>
      </c>
      <c r="P56" s="110">
        <f t="shared" si="136"/>
        <v>920.72</v>
      </c>
      <c r="Q56" s="110">
        <f t="shared" si="136"/>
        <v>1008.1700000000001</v>
      </c>
      <c r="R56" s="110">
        <f t="shared" si="136"/>
        <v>959.67</v>
      </c>
      <c r="S56" s="110">
        <f t="shared" si="136"/>
        <v>959.67</v>
      </c>
      <c r="T56" s="110">
        <f t="shared" si="136"/>
        <v>948.20999999999992</v>
      </c>
      <c r="U56" s="110">
        <f t="shared" si="136"/>
        <v>906.18</v>
      </c>
      <c r="V56" s="110">
        <f t="shared" si="136"/>
        <v>956.12</v>
      </c>
      <c r="W56" s="110">
        <f t="shared" si="136"/>
        <v>859.79</v>
      </c>
      <c r="X56" s="110">
        <f t="shared" ref="X56:AA56" si="145">SUM(X17,X30,X43)</f>
        <v>937.99</v>
      </c>
      <c r="Y56" s="110">
        <f t="shared" si="145"/>
        <v>895.65</v>
      </c>
      <c r="Z56" s="110">
        <f t="shared" si="145"/>
        <v>1011.1600000000001</v>
      </c>
      <c r="AA56" s="110">
        <f t="shared" si="145"/>
        <v>970.65000000000009</v>
      </c>
      <c r="AB56" s="110">
        <f t="shared" ref="AB56:AE56" si="146">SUM(AB17,AB30,AB43)</f>
        <v>936.61999999999989</v>
      </c>
      <c r="AC56" s="110">
        <f t="shared" si="146"/>
        <v>909.76</v>
      </c>
      <c r="AD56" s="110">
        <f t="shared" si="146"/>
        <v>873.13</v>
      </c>
      <c r="AE56" s="110">
        <f t="shared" si="146"/>
        <v>863.77</v>
      </c>
      <c r="AF56" s="110">
        <f t="shared" ref="AF56:AH56" si="147">SUM(AF17,AF30,AF43)</f>
        <v>735.1400000000001</v>
      </c>
      <c r="AG56" s="110">
        <f t="shared" si="147"/>
        <v>708.92000000000007</v>
      </c>
      <c r="AH56" s="110">
        <f t="shared" si="147"/>
        <v>652.66999999999996</v>
      </c>
      <c r="AI56" s="110">
        <f t="shared" ref="AI56:AL56" si="148">SUM(AI17,AI30,AI43)</f>
        <v>579.45000000000005</v>
      </c>
      <c r="AJ56" s="110">
        <f t="shared" si="148"/>
        <v>667.77</v>
      </c>
      <c r="AK56" s="110">
        <f t="shared" si="148"/>
        <v>657.87999999999988</v>
      </c>
      <c r="AL56" s="110">
        <f t="shared" si="148"/>
        <v>773.89</v>
      </c>
      <c r="AM56" s="110">
        <f t="shared" ref="AM56:AP56" si="149">SUM(AM17,AM30,AM43)</f>
        <v>926.26</v>
      </c>
      <c r="AN56" s="110">
        <f t="shared" si="149"/>
        <v>910.41000000000008</v>
      </c>
      <c r="AO56" s="110">
        <f t="shared" si="149"/>
        <v>1230.3000000000002</v>
      </c>
      <c r="AP56" s="110">
        <f t="shared" si="149"/>
        <v>1195.7</v>
      </c>
    </row>
    <row r="57" spans="1:42">
      <c r="B57" s="106" t="s">
        <v>289</v>
      </c>
      <c r="C57" s="112">
        <f t="shared" si="132"/>
        <v>87633</v>
      </c>
      <c r="D57" s="112">
        <f t="shared" si="132"/>
        <v>92523</v>
      </c>
      <c r="E57" s="112">
        <f t="shared" si="132"/>
        <v>142979</v>
      </c>
      <c r="F57" s="112">
        <f t="shared" si="132"/>
        <v>124098</v>
      </c>
      <c r="G57" s="112">
        <f t="shared" ref="G57" si="150">SUM(G18,G31,G44)</f>
        <v>133863</v>
      </c>
      <c r="H57" s="112">
        <f t="shared" ref="H57:I57" si="151">SUM(H18,H31,H44)</f>
        <v>191282</v>
      </c>
      <c r="I57" s="112">
        <f t="shared" si="151"/>
        <v>105193.22</v>
      </c>
      <c r="J57" s="112">
        <f t="shared" ref="J57:L57" si="152">SUM(J18,J31,J44)</f>
        <v>114322</v>
      </c>
      <c r="K57" s="112">
        <f>SUM(K18,K31,K44)</f>
        <v>315650</v>
      </c>
      <c r="L57" s="112">
        <f t="shared" si="152"/>
        <v>293403</v>
      </c>
      <c r="M57" s="110"/>
      <c r="N57" s="110">
        <f t="shared" si="136"/>
        <v>93949</v>
      </c>
      <c r="O57" s="110">
        <f t="shared" si="136"/>
        <v>90860</v>
      </c>
      <c r="P57" s="110">
        <f t="shared" si="136"/>
        <v>109275</v>
      </c>
      <c r="Q57" s="110">
        <f t="shared" si="136"/>
        <v>142979</v>
      </c>
      <c r="R57" s="110">
        <f t="shared" si="136"/>
        <v>130258</v>
      </c>
      <c r="S57" s="110">
        <f t="shared" si="136"/>
        <v>130258</v>
      </c>
      <c r="T57" s="110">
        <f t="shared" si="136"/>
        <v>126426</v>
      </c>
      <c r="U57" s="110">
        <f t="shared" si="136"/>
        <v>124098</v>
      </c>
      <c r="V57" s="110">
        <f t="shared" si="136"/>
        <v>138953</v>
      </c>
      <c r="W57" s="110">
        <f t="shared" si="136"/>
        <v>131135</v>
      </c>
      <c r="X57" s="110">
        <f t="shared" ref="X57:AA57" si="153">SUM(X18,X31,X44)</f>
        <v>143196</v>
      </c>
      <c r="Y57" s="110">
        <f t="shared" si="153"/>
        <v>133863</v>
      </c>
      <c r="Z57" s="110">
        <f t="shared" si="153"/>
        <v>178291</v>
      </c>
      <c r="AA57" s="110">
        <f t="shared" si="153"/>
        <v>166483</v>
      </c>
      <c r="AB57" s="110">
        <f t="shared" ref="AB57:AE57" si="154">SUM(AB18,AB31,AB44)</f>
        <v>174079</v>
      </c>
      <c r="AC57" s="110">
        <f t="shared" si="154"/>
        <v>191282</v>
      </c>
      <c r="AD57" s="110">
        <f t="shared" si="154"/>
        <v>208905</v>
      </c>
      <c r="AE57" s="110">
        <f t="shared" si="154"/>
        <v>206580</v>
      </c>
      <c r="AF57" s="110">
        <f t="shared" ref="AF57:AH57" si="155">SUM(AF18,AF31,AF44)</f>
        <v>140100</v>
      </c>
      <c r="AG57" s="110">
        <f t="shared" si="155"/>
        <v>105193.22</v>
      </c>
      <c r="AH57" s="110">
        <f t="shared" si="155"/>
        <v>120416</v>
      </c>
      <c r="AI57" s="110">
        <f t="shared" ref="AI57:AL57" si="156">SUM(AI18,AI31,AI44)</f>
        <v>99798</v>
      </c>
      <c r="AJ57" s="110">
        <f t="shared" si="156"/>
        <v>110096</v>
      </c>
      <c r="AK57" s="110">
        <f t="shared" si="156"/>
        <v>114322</v>
      </c>
      <c r="AL57" s="110">
        <f t="shared" si="156"/>
        <v>159691</v>
      </c>
      <c r="AM57" s="110">
        <f t="shared" ref="AM57:AP57" si="157">SUM(AM18,AM31,AM44)</f>
        <v>204511</v>
      </c>
      <c r="AN57" s="110">
        <f t="shared" si="157"/>
        <v>198775</v>
      </c>
      <c r="AO57" s="110">
        <f t="shared" si="157"/>
        <v>315650</v>
      </c>
      <c r="AP57" s="110">
        <f t="shared" si="157"/>
        <v>293403</v>
      </c>
    </row>
    <row r="58" spans="1:42">
      <c r="B58" s="106"/>
      <c r="C58" s="111"/>
      <c r="D58" s="111"/>
      <c r="E58" s="111"/>
      <c r="F58" s="111"/>
      <c r="G58" s="111"/>
      <c r="H58" s="111"/>
      <c r="I58" s="111"/>
      <c r="J58" s="111"/>
      <c r="K58" s="111"/>
      <c r="L58" s="110"/>
      <c r="M58" s="110"/>
      <c r="N58" s="111"/>
      <c r="O58" s="111"/>
      <c r="P58" s="111"/>
      <c r="Q58" s="112"/>
      <c r="R58" s="111"/>
      <c r="S58" s="111"/>
      <c r="T58" s="111"/>
      <c r="U58" s="112"/>
      <c r="V58" s="111"/>
      <c r="W58" s="111"/>
      <c r="X58" s="111"/>
      <c r="Y58" s="112"/>
      <c r="Z58" s="111"/>
      <c r="AA58" s="111"/>
      <c r="AB58" s="111"/>
      <c r="AC58" s="112"/>
      <c r="AD58" s="111"/>
      <c r="AE58" s="111"/>
      <c r="AF58" s="111"/>
      <c r="AG58" s="112"/>
      <c r="AH58" s="111"/>
      <c r="AI58" s="111"/>
      <c r="AK58" s="112"/>
      <c r="AL58" s="111"/>
      <c r="AM58" s="111"/>
      <c r="AO58" s="112"/>
      <c r="AP58" s="111"/>
    </row>
    <row r="59" spans="1:42">
      <c r="B59" s="181" t="s">
        <v>292</v>
      </c>
      <c r="C59" s="101"/>
      <c r="D59" s="101"/>
      <c r="E59" s="101"/>
      <c r="F59" s="101"/>
      <c r="G59" s="101"/>
      <c r="H59" s="101"/>
      <c r="I59" s="101"/>
      <c r="J59" s="101"/>
      <c r="K59" s="101"/>
      <c r="L59" s="101"/>
      <c r="M59" s="101"/>
      <c r="N59" s="113"/>
      <c r="O59" s="113"/>
      <c r="P59" s="113"/>
      <c r="Q59" s="113"/>
      <c r="R59" s="113"/>
      <c r="S59" s="113"/>
      <c r="T59" s="113"/>
      <c r="U59" s="113"/>
      <c r="V59" s="113"/>
      <c r="W59" s="113"/>
      <c r="X59" s="113"/>
      <c r="Y59" s="113"/>
      <c r="Z59" s="113"/>
      <c r="AA59" s="113"/>
      <c r="AB59" s="113"/>
      <c r="AC59" s="113"/>
      <c r="AD59" s="113"/>
      <c r="AE59" s="113"/>
      <c r="AF59" s="113"/>
      <c r="AG59" s="113"/>
      <c r="AH59" s="113"/>
      <c r="AI59" s="113"/>
      <c r="AK59" s="113"/>
      <c r="AL59" s="113"/>
      <c r="AM59" s="113"/>
      <c r="AO59" s="113"/>
      <c r="AP59" s="113"/>
    </row>
    <row r="60" spans="1:42">
      <c r="B60" s="106" t="s">
        <v>293</v>
      </c>
      <c r="C60" s="111">
        <v>21283813</v>
      </c>
      <c r="D60" s="111">
        <v>25512153</v>
      </c>
      <c r="E60" s="111">
        <v>26320325</v>
      </c>
      <c r="F60" s="111">
        <v>28769289</v>
      </c>
      <c r="G60" s="111">
        <v>29759799</v>
      </c>
      <c r="H60" s="111">
        <v>31063694</v>
      </c>
      <c r="I60" s="111">
        <v>32542808</v>
      </c>
      <c r="J60" s="111">
        <v>36150182</v>
      </c>
      <c r="K60" s="111">
        <v>39137968</v>
      </c>
      <c r="L60" s="110">
        <f>AP60</f>
        <v>39832024</v>
      </c>
      <c r="M60" s="110"/>
      <c r="N60" s="111">
        <v>25850750</v>
      </c>
      <c r="O60" s="111">
        <v>25458170</v>
      </c>
      <c r="P60" s="111">
        <v>25458170</v>
      </c>
      <c r="Q60" s="112">
        <f>E60</f>
        <v>26320325</v>
      </c>
      <c r="R60" s="111">
        <v>26527562</v>
      </c>
      <c r="S60" s="111">
        <v>27529558</v>
      </c>
      <c r="T60" s="111">
        <v>28234554</v>
      </c>
      <c r="U60" s="112">
        <f>F60</f>
        <v>28769289</v>
      </c>
      <c r="V60" s="111">
        <v>29545962</v>
      </c>
      <c r="W60" s="111">
        <v>29618454</v>
      </c>
      <c r="X60" s="111">
        <v>29622619</v>
      </c>
      <c r="Y60" s="112">
        <f>G60</f>
        <v>29759799</v>
      </c>
      <c r="Z60" s="111">
        <v>29803180</v>
      </c>
      <c r="AA60" s="111">
        <v>29939714</v>
      </c>
      <c r="AB60" s="111">
        <v>29948606</v>
      </c>
      <c r="AC60" s="112">
        <f>H60</f>
        <v>31063694</v>
      </c>
      <c r="AD60" s="111">
        <v>31141980</v>
      </c>
      <c r="AE60" s="111">
        <v>31910575</v>
      </c>
      <c r="AF60" s="111">
        <v>32121834</v>
      </c>
      <c r="AG60" s="112">
        <f>I60</f>
        <v>32542808</v>
      </c>
      <c r="AH60" s="111">
        <v>33004534</v>
      </c>
      <c r="AI60" s="111">
        <v>33447743</v>
      </c>
      <c r="AJ60" s="111">
        <v>34746633</v>
      </c>
      <c r="AK60" s="112">
        <f t="shared" ref="AK60:AK61" si="158">J60</f>
        <v>36150182</v>
      </c>
      <c r="AL60" s="111">
        <v>36587884</v>
      </c>
      <c r="AM60" s="111">
        <v>36763804</v>
      </c>
      <c r="AN60" s="111">
        <v>37992894</v>
      </c>
      <c r="AO60" s="112">
        <f>K60</f>
        <v>39137968</v>
      </c>
      <c r="AP60" s="111">
        <v>39832024</v>
      </c>
    </row>
    <row r="61" spans="1:42" s="117" customFormat="1">
      <c r="A61" s="35"/>
      <c r="B61" s="106" t="s">
        <v>294</v>
      </c>
      <c r="C61" s="114">
        <v>0.95499999999999996</v>
      </c>
      <c r="D61" s="114">
        <v>0.98199999999999998</v>
      </c>
      <c r="E61" s="114">
        <v>0.97899999999999998</v>
      </c>
      <c r="F61" s="114">
        <v>0.92700000000000005</v>
      </c>
      <c r="G61" s="114">
        <v>0.94</v>
      </c>
      <c r="H61" s="114">
        <v>0.97199999999999998</v>
      </c>
      <c r="I61" s="114">
        <v>0.97</v>
      </c>
      <c r="J61" s="114">
        <v>0.97599999999999998</v>
      </c>
      <c r="K61" s="114">
        <v>0.95</v>
      </c>
      <c r="L61" s="115">
        <f>AP61</f>
        <v>0.95</v>
      </c>
      <c r="M61" s="115"/>
      <c r="N61" s="114">
        <v>0.98</v>
      </c>
      <c r="O61" s="114">
        <v>0.98099999999999998</v>
      </c>
      <c r="P61" s="114">
        <v>0.98099999999999998</v>
      </c>
      <c r="Q61" s="116">
        <f>E61</f>
        <v>0.97899999999999998</v>
      </c>
      <c r="R61" s="114">
        <v>0.97199999999999998</v>
      </c>
      <c r="S61" s="114">
        <v>0.96699999999999997</v>
      </c>
      <c r="T61" s="114">
        <v>0.94499999999999995</v>
      </c>
      <c r="U61" s="116">
        <f>F61</f>
        <v>0.92700000000000005</v>
      </c>
      <c r="V61" s="114">
        <v>0.91100000000000003</v>
      </c>
      <c r="W61" s="114">
        <v>0.93</v>
      </c>
      <c r="X61" s="114">
        <v>0.93500000000000005</v>
      </c>
      <c r="Y61" s="116">
        <f>G61</f>
        <v>0.94</v>
      </c>
      <c r="Z61" s="114">
        <v>0.94099999999999995</v>
      </c>
      <c r="AA61" s="114">
        <v>0.95699999999999996</v>
      </c>
      <c r="AB61" s="114">
        <v>0.96399999999999997</v>
      </c>
      <c r="AC61" s="116">
        <f>H61</f>
        <v>0.97199999999999998</v>
      </c>
      <c r="AD61" s="114">
        <v>0.96499999999999997</v>
      </c>
      <c r="AE61" s="114">
        <v>0.96699999999999997</v>
      </c>
      <c r="AF61" s="114">
        <v>0.97599999999999998</v>
      </c>
      <c r="AG61" s="116">
        <f>I61</f>
        <v>0.97</v>
      </c>
      <c r="AH61" s="114">
        <v>0.97399999999999998</v>
      </c>
      <c r="AI61" s="114">
        <v>0.97799999999999998</v>
      </c>
      <c r="AJ61" s="114">
        <v>0.98299999999999998</v>
      </c>
      <c r="AK61" s="116">
        <f t="shared" si="158"/>
        <v>0.97599999999999998</v>
      </c>
      <c r="AL61" s="114">
        <v>0.97399999999999998</v>
      </c>
      <c r="AM61" s="114">
        <v>0.97</v>
      </c>
      <c r="AN61" s="114">
        <v>0.94799999999999995</v>
      </c>
      <c r="AO61" s="116">
        <f>K61</f>
        <v>0.95</v>
      </c>
      <c r="AP61" s="114">
        <v>0.95</v>
      </c>
    </row>
    <row r="62" spans="1:42">
      <c r="B62" s="106"/>
      <c r="C62" s="111"/>
      <c r="D62" s="111"/>
      <c r="E62" s="111"/>
      <c r="F62" s="111"/>
      <c r="G62" s="111"/>
      <c r="H62" s="111"/>
      <c r="I62" s="111"/>
      <c r="J62" s="111"/>
      <c r="K62" s="111"/>
      <c r="L62" s="110"/>
      <c r="M62" s="110"/>
      <c r="N62" s="111"/>
      <c r="O62" s="111"/>
      <c r="P62" s="111"/>
      <c r="Q62" s="112"/>
      <c r="R62" s="111"/>
      <c r="S62" s="111"/>
      <c r="T62" s="111"/>
      <c r="U62" s="112"/>
      <c r="V62" s="111"/>
      <c r="W62" s="111"/>
      <c r="X62" s="111"/>
      <c r="Y62" s="112"/>
      <c r="Z62" s="111"/>
      <c r="AA62" s="111"/>
      <c r="AB62" s="111"/>
      <c r="AC62" s="112"/>
      <c r="AD62" s="111"/>
      <c r="AE62" s="111"/>
      <c r="AF62" s="111"/>
      <c r="AG62" s="112"/>
      <c r="AH62" s="111"/>
      <c r="AI62" s="111"/>
      <c r="AK62" s="112"/>
      <c r="AL62" s="111"/>
      <c r="AM62" s="111"/>
      <c r="AO62" s="112"/>
      <c r="AP62" s="111"/>
    </row>
    <row r="63" spans="1:42">
      <c r="B63" s="106" t="s">
        <v>295</v>
      </c>
      <c r="C63" s="111">
        <v>25536265</v>
      </c>
      <c r="D63" s="111">
        <v>27914997</v>
      </c>
      <c r="E63" s="111">
        <v>28779464</v>
      </c>
      <c r="F63" s="111">
        <v>31085421</v>
      </c>
      <c r="G63" s="111">
        <v>31032114</v>
      </c>
      <c r="H63" s="111">
        <v>32850684</v>
      </c>
      <c r="I63" s="111">
        <v>35923860</v>
      </c>
      <c r="J63" s="111">
        <v>39265296</v>
      </c>
      <c r="K63" s="111">
        <v>41164714</v>
      </c>
      <c r="L63" s="110">
        <f>AP63</f>
        <v>41250846</v>
      </c>
      <c r="M63" s="110"/>
      <c r="N63" s="111">
        <v>28165300</v>
      </c>
      <c r="O63" s="111">
        <v>27527064</v>
      </c>
      <c r="P63" s="111">
        <v>28232060</v>
      </c>
      <c r="Q63" s="112">
        <f>E63</f>
        <v>28779464</v>
      </c>
      <c r="R63" s="111">
        <v>29558829</v>
      </c>
      <c r="S63" s="111">
        <v>29637211</v>
      </c>
      <c r="T63" s="111">
        <v>29637211</v>
      </c>
      <c r="U63" s="112">
        <f>F63</f>
        <v>31085421</v>
      </c>
      <c r="V63" s="111">
        <v>31173214</v>
      </c>
      <c r="W63" s="111">
        <v>31304077</v>
      </c>
      <c r="X63" s="111">
        <v>31308242</v>
      </c>
      <c r="Y63" s="112">
        <f>G63</f>
        <v>31032114</v>
      </c>
      <c r="Z63" s="111">
        <v>31110400</v>
      </c>
      <c r="AA63" s="111">
        <v>31881231</v>
      </c>
      <c r="AB63" s="111">
        <v>32096942</v>
      </c>
      <c r="AC63" s="112">
        <f>H63</f>
        <v>32850684</v>
      </c>
      <c r="AD63" s="111">
        <v>33073658</v>
      </c>
      <c r="AE63" s="111">
        <v>33715097</v>
      </c>
      <c r="AF63" s="111">
        <v>34805657</v>
      </c>
      <c r="AG63" s="112">
        <f t="shared" ref="AG63:AG64" si="159">I63</f>
        <v>35923860</v>
      </c>
      <c r="AH63" s="111">
        <v>36082218</v>
      </c>
      <c r="AI63" s="111">
        <v>36808437</v>
      </c>
      <c r="AJ63" s="111">
        <v>38118104</v>
      </c>
      <c r="AK63" s="112">
        <f t="shared" ref="AK63:AK64" si="160">J63</f>
        <v>39265296</v>
      </c>
      <c r="AL63" s="111">
        <v>39959353</v>
      </c>
      <c r="AM63" s="111">
        <v>40205680</v>
      </c>
      <c r="AN63" s="111">
        <v>40819778</v>
      </c>
      <c r="AO63" s="112">
        <f>K63</f>
        <v>41164714</v>
      </c>
      <c r="AP63" s="111">
        <v>41250846</v>
      </c>
    </row>
    <row r="64" spans="1:42" s="117" customFormat="1">
      <c r="A64" s="35"/>
      <c r="B64" s="106" t="s">
        <v>294</v>
      </c>
      <c r="C64" s="114">
        <v>0.95299999999999996</v>
      </c>
      <c r="D64" s="114">
        <v>0.97199999999999998</v>
      </c>
      <c r="E64" s="114">
        <v>0.94699999999999995</v>
      </c>
      <c r="F64" s="114">
        <v>0.91100000000000003</v>
      </c>
      <c r="G64" s="114">
        <v>0.94299999999999995</v>
      </c>
      <c r="H64" s="114">
        <v>0.97299999999999998</v>
      </c>
      <c r="I64" s="114">
        <v>0.96699999999999997</v>
      </c>
      <c r="J64" s="114">
        <v>0.95499999999999996</v>
      </c>
      <c r="K64" s="114">
        <v>0.93600000000000005</v>
      </c>
      <c r="L64" s="115">
        <f>AP64</f>
        <v>0.93400000000000005</v>
      </c>
      <c r="M64" s="115"/>
      <c r="N64" s="114">
        <v>0.96799999999999997</v>
      </c>
      <c r="O64" s="114">
        <v>0.95399999999999996</v>
      </c>
      <c r="P64" s="114">
        <v>0.95599999999999996</v>
      </c>
      <c r="Q64" s="116">
        <f>E64</f>
        <v>0.94699999999999995</v>
      </c>
      <c r="R64" s="114">
        <v>0.93600000000000005</v>
      </c>
      <c r="S64" s="114">
        <v>0.93899999999999995</v>
      </c>
      <c r="T64" s="114">
        <v>0.91900000000000004</v>
      </c>
      <c r="U64" s="116">
        <f>F64</f>
        <v>0.91100000000000003</v>
      </c>
      <c r="V64" s="114">
        <v>0.90600000000000003</v>
      </c>
      <c r="W64" s="114">
        <v>0.92700000000000005</v>
      </c>
      <c r="X64" s="114">
        <v>0.93100000000000005</v>
      </c>
      <c r="Y64" s="116">
        <f>G64</f>
        <v>0.94299999999999995</v>
      </c>
      <c r="Z64" s="114">
        <v>0.94299999999999995</v>
      </c>
      <c r="AA64" s="114">
        <v>0.95899999999999996</v>
      </c>
      <c r="AB64" s="114">
        <v>0.96599999999999997</v>
      </c>
      <c r="AC64" s="116">
        <f>H64</f>
        <v>0.97299999999999998</v>
      </c>
      <c r="AD64" s="114">
        <v>0.96699999999999997</v>
      </c>
      <c r="AE64" s="114">
        <v>0.96899999999999997</v>
      </c>
      <c r="AF64" s="114">
        <v>0.97299999999999998</v>
      </c>
      <c r="AG64" s="116">
        <f t="shared" si="159"/>
        <v>0.96699999999999997</v>
      </c>
      <c r="AH64" s="114">
        <v>0.97099999999999997</v>
      </c>
      <c r="AI64" s="114">
        <v>0.97499999999999998</v>
      </c>
      <c r="AJ64" s="114">
        <v>0.95799999999999996</v>
      </c>
      <c r="AK64" s="116">
        <f t="shared" si="160"/>
        <v>0.95499999999999996</v>
      </c>
      <c r="AL64" s="114">
        <v>0.95299999999999996</v>
      </c>
      <c r="AM64" s="114">
        <v>0.95499999999999996</v>
      </c>
      <c r="AN64" s="114">
        <v>0.94299999999999995</v>
      </c>
      <c r="AO64" s="116">
        <f>K64</f>
        <v>0.93600000000000005</v>
      </c>
      <c r="AP64" s="114">
        <v>0.93400000000000005</v>
      </c>
    </row>
    <row r="65" spans="1:42">
      <c r="B65" s="106"/>
      <c r="C65" s="111"/>
      <c r="D65" s="111"/>
      <c r="E65" s="111"/>
      <c r="F65" s="111"/>
      <c r="G65" s="111"/>
      <c r="H65" s="111"/>
      <c r="I65" s="111"/>
      <c r="J65" s="111"/>
      <c r="K65" s="111"/>
      <c r="L65" s="110"/>
      <c r="M65" s="110"/>
      <c r="N65" s="111"/>
      <c r="O65" s="111"/>
      <c r="P65" s="111"/>
      <c r="Q65" s="112"/>
      <c r="R65" s="111"/>
      <c r="S65" s="111"/>
      <c r="T65" s="111"/>
      <c r="U65" s="112"/>
      <c r="V65" s="111"/>
      <c r="W65" s="111"/>
      <c r="X65" s="111"/>
      <c r="Y65" s="112"/>
      <c r="Z65" s="111"/>
      <c r="AA65" s="111"/>
      <c r="AB65" s="111"/>
      <c r="AC65" s="112"/>
      <c r="AD65" s="111"/>
      <c r="AE65" s="111"/>
      <c r="AF65" s="111"/>
      <c r="AG65" s="112"/>
      <c r="AH65" s="111"/>
      <c r="AI65" s="111"/>
      <c r="AK65" s="112"/>
      <c r="AL65" s="111"/>
      <c r="AM65" s="111"/>
      <c r="AO65" s="112"/>
      <c r="AP65" s="111"/>
    </row>
    <row r="66" spans="1:42">
      <c r="B66" s="106" t="s">
        <v>296</v>
      </c>
      <c r="C66" s="111">
        <v>26721171</v>
      </c>
      <c r="D66" s="111">
        <v>29867577</v>
      </c>
      <c r="E66" s="111">
        <v>29792047</v>
      </c>
      <c r="F66" s="111">
        <v>31221035</v>
      </c>
      <c r="G66" s="111">
        <v>31081746</v>
      </c>
      <c r="H66" s="111">
        <v>33714370</v>
      </c>
      <c r="I66" s="111">
        <v>37354498</v>
      </c>
      <c r="J66" s="111">
        <v>40299964</v>
      </c>
      <c r="K66" s="111">
        <v>42954022</v>
      </c>
      <c r="L66" s="110">
        <f>AP66</f>
        <v>42954021</v>
      </c>
      <c r="M66" s="110"/>
      <c r="N66" s="111">
        <v>30416390</v>
      </c>
      <c r="O66" s="111">
        <v>29262345</v>
      </c>
      <c r="P66" s="111">
        <v>29336039</v>
      </c>
      <c r="Q66" s="112">
        <f>E66</f>
        <v>29792047</v>
      </c>
      <c r="R66" s="111">
        <v>29794420</v>
      </c>
      <c r="S66" s="111">
        <v>30151586</v>
      </c>
      <c r="T66" s="111">
        <v>30151586</v>
      </c>
      <c r="U66" s="112">
        <f>F66</f>
        <v>31221035</v>
      </c>
      <c r="V66" s="111">
        <v>31591860</v>
      </c>
      <c r="W66" s="111">
        <v>31595172</v>
      </c>
      <c r="X66" s="111">
        <v>31648969</v>
      </c>
      <c r="Y66" s="112">
        <f>G66</f>
        <v>31081746</v>
      </c>
      <c r="Z66" s="111">
        <v>31366851</v>
      </c>
      <c r="AA66" s="111">
        <v>32088050</v>
      </c>
      <c r="AB66" s="111">
        <v>32266926</v>
      </c>
      <c r="AC66" s="112">
        <f>H66</f>
        <v>33714370</v>
      </c>
      <c r="AD66" s="111">
        <v>33714370</v>
      </c>
      <c r="AE66" s="111">
        <v>34606711</v>
      </c>
      <c r="AF66" s="111">
        <v>36905960</v>
      </c>
      <c r="AG66" s="112">
        <f t="shared" ref="AG66:AG68" si="161">I66</f>
        <v>37354498</v>
      </c>
      <c r="AH66" s="111">
        <v>37289914</v>
      </c>
      <c r="AI66" s="111">
        <v>37793191</v>
      </c>
      <c r="AJ66" s="111">
        <v>39076503</v>
      </c>
      <c r="AK66" s="112">
        <f t="shared" ref="AK66:AK68" si="162">J66</f>
        <v>40299964</v>
      </c>
      <c r="AL66" s="111">
        <v>41202217</v>
      </c>
      <c r="AM66" s="111">
        <v>41738043</v>
      </c>
      <c r="AN66" s="111">
        <v>42953722</v>
      </c>
      <c r="AO66" s="112">
        <f>K66</f>
        <v>42954022</v>
      </c>
      <c r="AP66" s="111">
        <v>42954021</v>
      </c>
    </row>
    <row r="67" spans="1:42" s="117" customFormat="1">
      <c r="A67" s="35"/>
      <c r="B67" s="106" t="s">
        <v>294</v>
      </c>
      <c r="C67" s="114">
        <v>0.92300000000000004</v>
      </c>
      <c r="D67" s="114">
        <v>0.91800000000000004</v>
      </c>
      <c r="E67" s="114">
        <v>0.91700000000000004</v>
      </c>
      <c r="F67" s="114">
        <v>0.90700000000000003</v>
      </c>
      <c r="G67" s="114">
        <v>0.94099999999999995</v>
      </c>
      <c r="H67" s="114">
        <v>0.95099999999999996</v>
      </c>
      <c r="I67" s="114">
        <v>0.93400000000000005</v>
      </c>
      <c r="J67" s="114">
        <v>0.93400000000000005</v>
      </c>
      <c r="K67" s="114">
        <v>0.89700000000000002</v>
      </c>
      <c r="L67" s="115">
        <f>AO67</f>
        <v>0.89700000000000002</v>
      </c>
      <c r="M67" s="115"/>
      <c r="N67" s="114">
        <v>0.90800000000000003</v>
      </c>
      <c r="O67" s="114">
        <v>0.91200000000000003</v>
      </c>
      <c r="P67" s="114">
        <v>0.92600000000000005</v>
      </c>
      <c r="Q67" s="116">
        <f>E67</f>
        <v>0.91700000000000004</v>
      </c>
      <c r="R67" s="114">
        <v>0.92900000000000005</v>
      </c>
      <c r="S67" s="114">
        <v>0.92300000000000004</v>
      </c>
      <c r="T67" s="114">
        <v>0.90500000000000003</v>
      </c>
      <c r="U67" s="116">
        <f>F67</f>
        <v>0.90700000000000003</v>
      </c>
      <c r="V67" s="114">
        <v>0.9</v>
      </c>
      <c r="W67" s="114">
        <v>0.92500000000000004</v>
      </c>
      <c r="X67" s="114">
        <v>0.92800000000000005</v>
      </c>
      <c r="Y67" s="116">
        <f>G67</f>
        <v>0.94099999999999995</v>
      </c>
      <c r="Z67" s="114">
        <v>0.93799999999999994</v>
      </c>
      <c r="AA67" s="114">
        <v>0.95799999999999996</v>
      </c>
      <c r="AB67" s="114">
        <v>0.96099999999999997</v>
      </c>
      <c r="AC67" s="116">
        <f>H67</f>
        <v>0.95099999999999996</v>
      </c>
      <c r="AD67" s="114">
        <v>0.95099999999999996</v>
      </c>
      <c r="AE67" s="114">
        <v>0.94699999999999995</v>
      </c>
      <c r="AF67" s="114">
        <v>0.92500000000000004</v>
      </c>
      <c r="AG67" s="116">
        <f t="shared" si="161"/>
        <v>0.93400000000000005</v>
      </c>
      <c r="AH67" s="114">
        <v>0.94</v>
      </c>
      <c r="AI67" s="114">
        <v>0.95</v>
      </c>
      <c r="AJ67" s="114">
        <v>0.93899999999999995</v>
      </c>
      <c r="AK67" s="116">
        <f t="shared" si="162"/>
        <v>0.93400000000000005</v>
      </c>
      <c r="AL67" s="114">
        <v>0.92800000000000005</v>
      </c>
      <c r="AM67" s="114">
        <v>0.92300000000000004</v>
      </c>
      <c r="AN67" s="114">
        <v>0.89700000000000002</v>
      </c>
      <c r="AO67" s="116">
        <f>K67</f>
        <v>0.89700000000000002</v>
      </c>
      <c r="AP67" s="114">
        <v>0.89700000000000002</v>
      </c>
    </row>
    <row r="68" spans="1:42">
      <c r="B68" s="106" t="s">
        <v>297</v>
      </c>
      <c r="C68" s="111">
        <v>0.38300000000000001</v>
      </c>
      <c r="D68" s="111">
        <v>0.41499999999999998</v>
      </c>
      <c r="E68" s="111">
        <v>0.41599999999999998</v>
      </c>
      <c r="F68" s="111">
        <v>0.439</v>
      </c>
      <c r="G68" s="111">
        <v>0.45400000000000001</v>
      </c>
      <c r="H68" s="111">
        <v>0.46500000000000002</v>
      </c>
      <c r="I68" s="111">
        <v>0.48</v>
      </c>
      <c r="J68" s="111">
        <v>5.1200000000000002E-2</v>
      </c>
      <c r="K68" s="111">
        <v>0.56000000000000005</v>
      </c>
      <c r="L68" s="110">
        <f>AO68</f>
        <v>0.56000000000000005</v>
      </c>
      <c r="M68" s="110"/>
      <c r="N68" s="111">
        <v>0.41899999999999998</v>
      </c>
      <c r="O68" s="111">
        <v>0.433</v>
      </c>
      <c r="P68" s="111">
        <v>0.42599999999999999</v>
      </c>
      <c r="Q68" s="112">
        <f>E68</f>
        <v>0.41599999999999998</v>
      </c>
      <c r="R68" s="111">
        <v>0.43</v>
      </c>
      <c r="S68" s="111">
        <v>0.42299999999999999</v>
      </c>
      <c r="T68" s="111">
        <v>0.442</v>
      </c>
      <c r="U68" s="112">
        <f>F68</f>
        <v>0.439</v>
      </c>
      <c r="V68" s="111">
        <v>0.433</v>
      </c>
      <c r="W68" s="111">
        <v>0.44900000000000001</v>
      </c>
      <c r="X68" s="111">
        <v>0.44900000000000001</v>
      </c>
      <c r="Y68" s="112">
        <f>G68</f>
        <v>0.45400000000000001</v>
      </c>
      <c r="Z68" s="111">
        <v>0.45100000000000001</v>
      </c>
      <c r="AA68" s="111">
        <v>0.44800000000000001</v>
      </c>
      <c r="AB68" s="111">
        <v>0.46</v>
      </c>
      <c r="AC68" s="112">
        <f>H68</f>
        <v>0.46500000000000002</v>
      </c>
      <c r="AD68" s="111">
        <v>0.48799999999999999</v>
      </c>
      <c r="AE68" s="111">
        <v>0.495</v>
      </c>
      <c r="AF68" s="111">
        <v>0.504</v>
      </c>
      <c r="AG68" s="112">
        <f t="shared" si="161"/>
        <v>0.48</v>
      </c>
      <c r="AH68" s="111">
        <v>0.53100000000000003</v>
      </c>
      <c r="AI68" s="111">
        <v>0.26800000000000002</v>
      </c>
      <c r="AJ68" s="111">
        <v>0.53100000000000003</v>
      </c>
      <c r="AK68" s="112">
        <f t="shared" si="162"/>
        <v>5.1200000000000002E-2</v>
      </c>
      <c r="AL68" s="111">
        <v>0.52800000000000002</v>
      </c>
      <c r="AM68" s="111">
        <v>0.53800000000000003</v>
      </c>
      <c r="AN68" s="111">
        <v>0.57199999999999995</v>
      </c>
      <c r="AO68" s="112">
        <f>K68</f>
        <v>0.56000000000000005</v>
      </c>
      <c r="AP68" s="111">
        <v>0.59099999999999997</v>
      </c>
    </row>
    <row r="69" spans="1:42">
      <c r="B69" s="106"/>
      <c r="C69" s="111"/>
      <c r="D69" s="111"/>
      <c r="E69" s="111"/>
      <c r="F69" s="111"/>
      <c r="G69" s="111"/>
      <c r="H69" s="111"/>
      <c r="I69" s="111"/>
      <c r="J69" s="111"/>
      <c r="K69" s="111"/>
      <c r="L69" s="110"/>
      <c r="M69" s="110"/>
      <c r="N69" s="111"/>
      <c r="O69" s="111"/>
      <c r="P69" s="111"/>
      <c r="Q69" s="112"/>
      <c r="R69" s="111"/>
      <c r="S69" s="111"/>
      <c r="T69" s="111"/>
      <c r="U69" s="112"/>
      <c r="V69" s="111"/>
      <c r="W69" s="111"/>
      <c r="X69" s="111"/>
      <c r="Y69" s="112"/>
      <c r="Z69" s="111"/>
      <c r="AA69" s="111"/>
      <c r="AB69" s="111"/>
      <c r="AC69" s="112"/>
      <c r="AD69" s="111"/>
      <c r="AE69" s="111"/>
      <c r="AF69" s="111"/>
      <c r="AG69" s="112"/>
      <c r="AH69" s="111"/>
      <c r="AI69" s="111"/>
      <c r="AK69" s="112"/>
      <c r="AL69" s="111"/>
      <c r="AM69" s="111"/>
      <c r="AO69" s="112"/>
      <c r="AP69" s="111"/>
    </row>
    <row r="70" spans="1:42" s="39" customFormat="1">
      <c r="B70" s="181" t="s">
        <v>298</v>
      </c>
      <c r="C70" s="118"/>
      <c r="D70" s="118"/>
      <c r="E70" s="118"/>
      <c r="F70" s="118"/>
      <c r="G70" s="118"/>
      <c r="H70" s="118"/>
      <c r="I70" s="118"/>
      <c r="J70" s="118"/>
      <c r="K70" s="118"/>
      <c r="L70" s="110"/>
      <c r="M70" s="110"/>
      <c r="N70" s="118"/>
      <c r="O70" s="118"/>
      <c r="P70" s="118"/>
      <c r="Q70" s="119"/>
      <c r="R70" s="118"/>
      <c r="S70" s="118"/>
      <c r="T70" s="118"/>
      <c r="U70" s="119"/>
      <c r="V70" s="118"/>
      <c r="W70" s="118"/>
      <c r="X70" s="118"/>
      <c r="Y70" s="119"/>
      <c r="Z70" s="118"/>
      <c r="AA70" s="118"/>
      <c r="AB70" s="118"/>
      <c r="AC70" s="119"/>
      <c r="AD70" s="118"/>
      <c r="AE70" s="118"/>
      <c r="AF70" s="118"/>
      <c r="AG70" s="119"/>
      <c r="AH70" s="118"/>
      <c r="AI70" s="118"/>
      <c r="AK70" s="119"/>
      <c r="AL70" s="118"/>
      <c r="AM70" s="118"/>
      <c r="AO70" s="119"/>
      <c r="AP70" s="118"/>
    </row>
    <row r="71" spans="1:42" s="39" customFormat="1">
      <c r="B71" s="108" t="s">
        <v>299</v>
      </c>
      <c r="C71" s="118"/>
      <c r="D71" s="118"/>
      <c r="E71" s="118"/>
      <c r="F71" s="118"/>
      <c r="G71" s="118"/>
      <c r="H71" s="118"/>
      <c r="I71" s="118"/>
      <c r="J71" s="118"/>
    </row>
    <row r="72" spans="1:42">
      <c r="B72" s="108" t="s">
        <v>278</v>
      </c>
      <c r="C72" s="111">
        <v>4324743</v>
      </c>
      <c r="D72" s="111">
        <v>6659361</v>
      </c>
      <c r="E72" s="111">
        <v>7660230</v>
      </c>
      <c r="F72" s="111">
        <v>8548146</v>
      </c>
      <c r="G72" s="111">
        <v>8386153</v>
      </c>
      <c r="H72" s="111">
        <v>9255796</v>
      </c>
      <c r="I72" s="111">
        <v>9520026</v>
      </c>
      <c r="J72" s="111">
        <v>11081992</v>
      </c>
      <c r="K72" s="111">
        <v>11081992</v>
      </c>
      <c r="L72" s="110">
        <f>AP72</f>
        <v>12909934</v>
      </c>
      <c r="M72" s="110"/>
      <c r="N72" s="111">
        <v>6701361</v>
      </c>
      <c r="O72" s="111">
        <v>7228950</v>
      </c>
      <c r="P72" s="111">
        <v>7228950</v>
      </c>
      <c r="Q72" s="112">
        <f>E72</f>
        <v>7660230</v>
      </c>
      <c r="R72" s="111">
        <v>7660230</v>
      </c>
      <c r="S72" s="111">
        <v>8016067</v>
      </c>
      <c r="T72" s="111">
        <v>8524190</v>
      </c>
      <c r="U72" s="112">
        <f>F72</f>
        <v>8548146</v>
      </c>
      <c r="V72" s="111">
        <v>8856503</v>
      </c>
      <c r="W72" s="111">
        <v>8925082</v>
      </c>
      <c r="X72" s="111">
        <v>8925082</v>
      </c>
      <c r="Y72" s="112">
        <f>G72</f>
        <v>8386153</v>
      </c>
      <c r="Z72" s="111">
        <v>8386153</v>
      </c>
      <c r="AA72" s="111">
        <v>8386153</v>
      </c>
      <c r="AB72" s="111">
        <v>8386153</v>
      </c>
      <c r="AC72" s="112">
        <f>H72</f>
        <v>9255796</v>
      </c>
      <c r="AD72" s="111">
        <v>9255796</v>
      </c>
      <c r="AE72" s="111">
        <v>9421603</v>
      </c>
      <c r="AF72" s="111">
        <v>9633004</v>
      </c>
      <c r="AG72" s="112">
        <f t="shared" ref="AG72:AG74" si="163">I72</f>
        <v>9520026</v>
      </c>
      <c r="AH72" s="111">
        <v>10046335</v>
      </c>
      <c r="AI72" s="111">
        <v>10297622</v>
      </c>
      <c r="AJ72" s="111">
        <v>11032620</v>
      </c>
      <c r="AK72" s="112">
        <f t="shared" ref="AK72:AK74" si="164">J72</f>
        <v>11081992</v>
      </c>
      <c r="AL72" s="111">
        <v>11304934</v>
      </c>
      <c r="AM72" s="111">
        <v>11480854</v>
      </c>
      <c r="AN72" s="111">
        <v>12432776</v>
      </c>
      <c r="AO72" s="112">
        <f>K72</f>
        <v>11081992</v>
      </c>
      <c r="AP72" s="111">
        <v>12909934</v>
      </c>
    </row>
    <row r="73" spans="1:42">
      <c r="B73" s="108" t="s">
        <v>288</v>
      </c>
      <c r="C73" s="111">
        <v>10621342</v>
      </c>
      <c r="D73" s="111">
        <v>12121907</v>
      </c>
      <c r="E73" s="111">
        <v>12166035</v>
      </c>
      <c r="F73" s="111">
        <v>13735537</v>
      </c>
      <c r="G73" s="111">
        <v>14545350</v>
      </c>
      <c r="H73" s="111">
        <v>14816411</v>
      </c>
      <c r="I73" s="111">
        <v>15842844</v>
      </c>
      <c r="J73" s="111">
        <v>17811881</v>
      </c>
      <c r="K73" s="111">
        <v>18598536</v>
      </c>
      <c r="L73" s="110">
        <f>AP73</f>
        <v>18815625</v>
      </c>
      <c r="M73" s="110"/>
      <c r="N73" s="111">
        <v>12236862</v>
      </c>
      <c r="O73" s="111">
        <v>11945367</v>
      </c>
      <c r="P73" s="111">
        <v>11945368</v>
      </c>
      <c r="Q73" s="112">
        <f>E73</f>
        <v>12166035</v>
      </c>
      <c r="R73" s="111">
        <v>12373118</v>
      </c>
      <c r="S73" s="111">
        <v>13019277</v>
      </c>
      <c r="T73" s="111">
        <v>13216151</v>
      </c>
      <c r="U73" s="112">
        <f>F73</f>
        <v>13735537</v>
      </c>
      <c r="V73" s="111">
        <v>14203853</v>
      </c>
      <c r="W73" s="111">
        <v>14207767</v>
      </c>
      <c r="X73" s="111">
        <v>14207766</v>
      </c>
      <c r="Y73" s="112">
        <f>G73</f>
        <v>14545350</v>
      </c>
      <c r="Z73" s="111">
        <v>14545350</v>
      </c>
      <c r="AA73" s="111">
        <v>14545350</v>
      </c>
      <c r="AB73" s="111">
        <v>14554242</v>
      </c>
      <c r="AC73" s="112">
        <f>H73</f>
        <v>14816411</v>
      </c>
      <c r="AD73" s="111">
        <v>14894697</v>
      </c>
      <c r="AE73" s="111">
        <v>15496388</v>
      </c>
      <c r="AF73" s="111">
        <v>15496009</v>
      </c>
      <c r="AG73" s="112">
        <f t="shared" si="163"/>
        <v>15842844</v>
      </c>
      <c r="AH73" s="111">
        <v>15778261</v>
      </c>
      <c r="AI73" s="111">
        <v>15970183</v>
      </c>
      <c r="AJ73" s="111">
        <v>16534075</v>
      </c>
      <c r="AK73" s="112">
        <f t="shared" si="164"/>
        <v>17811881</v>
      </c>
      <c r="AL73" s="111">
        <v>18026641</v>
      </c>
      <c r="AM73" s="111">
        <v>18026641</v>
      </c>
      <c r="AN73" s="111">
        <v>18303810</v>
      </c>
      <c r="AO73" s="112">
        <f t="shared" ref="AO73:AO74" si="165">K73</f>
        <v>18598536</v>
      </c>
      <c r="AP73" s="111">
        <v>18815625</v>
      </c>
    </row>
    <row r="74" spans="1:42">
      <c r="B74" s="108" t="s">
        <v>290</v>
      </c>
      <c r="C74" s="111">
        <v>6337728</v>
      </c>
      <c r="D74" s="111">
        <v>6730884</v>
      </c>
      <c r="E74" s="111">
        <v>6494060</v>
      </c>
      <c r="F74" s="111">
        <v>6485605</v>
      </c>
      <c r="G74" s="111">
        <v>6828296</v>
      </c>
      <c r="H74" s="111">
        <v>6991487</v>
      </c>
      <c r="I74" s="111">
        <v>7179938</v>
      </c>
      <c r="J74" s="111">
        <v>7256309</v>
      </c>
      <c r="K74" s="111">
        <v>8106466</v>
      </c>
      <c r="L74" s="110">
        <f>AP74</f>
        <v>8106466</v>
      </c>
      <c r="M74" s="110"/>
      <c r="N74" s="111">
        <v>6912526</v>
      </c>
      <c r="O74" s="111">
        <v>6283853</v>
      </c>
      <c r="P74" s="111">
        <v>6283853</v>
      </c>
      <c r="Q74" s="112">
        <f>E74</f>
        <v>6494060</v>
      </c>
      <c r="R74" s="111">
        <v>6494214</v>
      </c>
      <c r="S74" s="111">
        <v>6494214</v>
      </c>
      <c r="T74" s="111">
        <v>6494213</v>
      </c>
      <c r="U74" s="112">
        <f>F74</f>
        <v>6485605</v>
      </c>
      <c r="V74" s="111">
        <v>6485605</v>
      </c>
      <c r="W74" s="111">
        <v>6485605</v>
      </c>
      <c r="X74" s="111">
        <v>6489771</v>
      </c>
      <c r="Y74" s="112">
        <f>G74</f>
        <v>6828296</v>
      </c>
      <c r="Z74" s="111">
        <v>6871677</v>
      </c>
      <c r="AA74" s="111">
        <v>7008211</v>
      </c>
      <c r="AB74" s="111">
        <v>7008211</v>
      </c>
      <c r="AC74" s="112">
        <f>H74</f>
        <v>6991487</v>
      </c>
      <c r="AD74" s="111">
        <v>6991487</v>
      </c>
      <c r="AE74" s="111">
        <v>6992584</v>
      </c>
      <c r="AF74" s="111">
        <v>6992821</v>
      </c>
      <c r="AG74" s="112">
        <f t="shared" si="163"/>
        <v>7179938</v>
      </c>
      <c r="AH74" s="111">
        <v>7179938</v>
      </c>
      <c r="AI74" s="111">
        <v>7179938</v>
      </c>
      <c r="AJ74" s="111">
        <v>7179938</v>
      </c>
      <c r="AK74" s="112">
        <f t="shared" si="164"/>
        <v>7256309</v>
      </c>
      <c r="AL74" s="111">
        <v>7256309</v>
      </c>
      <c r="AM74" s="111">
        <v>7256309</v>
      </c>
      <c r="AN74" s="111">
        <v>7256308</v>
      </c>
      <c r="AO74" s="112">
        <f t="shared" si="165"/>
        <v>8106466</v>
      </c>
      <c r="AP74" s="111">
        <v>8106466</v>
      </c>
    </row>
    <row r="75" spans="1:42" s="99" customFormat="1" ht="13.5" customHeight="1">
      <c r="C75" s="101"/>
      <c r="D75" s="101"/>
      <c r="E75" s="101"/>
      <c r="F75" s="101"/>
      <c r="G75" s="101"/>
      <c r="H75" s="101"/>
      <c r="I75" s="101"/>
      <c r="J75" s="101"/>
      <c r="K75" s="101"/>
      <c r="L75" s="120"/>
      <c r="M75" s="120"/>
      <c r="N75" s="101"/>
      <c r="O75" s="101"/>
      <c r="P75" s="101"/>
      <c r="Q75" s="100"/>
      <c r="R75" s="101"/>
      <c r="S75" s="101"/>
      <c r="T75" s="101"/>
      <c r="U75" s="100"/>
      <c r="V75" s="101"/>
      <c r="W75" s="101"/>
      <c r="X75" s="101"/>
      <c r="Y75" s="100"/>
      <c r="Z75" s="101"/>
      <c r="AA75" s="101"/>
      <c r="AB75" s="101"/>
      <c r="AC75" s="100"/>
      <c r="AD75" s="101"/>
      <c r="AE75" s="101"/>
      <c r="AF75" s="101"/>
      <c r="AG75" s="100"/>
      <c r="AH75" s="101"/>
      <c r="AI75" s="101"/>
      <c r="AK75" s="100"/>
      <c r="AL75" s="101"/>
      <c r="AM75" s="101"/>
      <c r="AO75" s="100"/>
      <c r="AP75" s="101"/>
    </row>
    <row r="76" spans="1:42" s="39" customFormat="1">
      <c r="B76" s="108" t="s">
        <v>300</v>
      </c>
      <c r="C76" s="118"/>
      <c r="D76" s="118"/>
      <c r="E76" s="118"/>
      <c r="F76" s="118"/>
      <c r="G76" s="118"/>
      <c r="H76" s="118"/>
      <c r="I76" s="118"/>
      <c r="J76" s="118"/>
      <c r="K76" s="118"/>
      <c r="L76" s="110"/>
      <c r="M76" s="110"/>
      <c r="N76" s="118"/>
      <c r="O76" s="118"/>
      <c r="P76" s="118"/>
      <c r="Q76" s="119"/>
      <c r="R76" s="118"/>
      <c r="S76" s="118"/>
      <c r="T76" s="118"/>
      <c r="U76" s="119"/>
      <c r="V76" s="118"/>
      <c r="W76" s="118"/>
      <c r="X76" s="118"/>
      <c r="Y76" s="119"/>
      <c r="Z76" s="118"/>
      <c r="AA76" s="118"/>
      <c r="AB76" s="118"/>
      <c r="AC76" s="119"/>
      <c r="AD76" s="118"/>
      <c r="AE76" s="118"/>
      <c r="AF76" s="118"/>
      <c r="AG76" s="119"/>
      <c r="AH76" s="118"/>
      <c r="AI76" s="118"/>
      <c r="AK76" s="119"/>
      <c r="AL76" s="118"/>
      <c r="AM76" s="118"/>
      <c r="AO76" s="119"/>
      <c r="AP76" s="118"/>
    </row>
    <row r="77" spans="1:42">
      <c r="B77" s="108" t="s">
        <v>278</v>
      </c>
      <c r="C77" s="114">
        <v>0.93400000000000005</v>
      </c>
      <c r="D77" s="114">
        <v>0.99099999999999999</v>
      </c>
      <c r="E77" s="114">
        <v>0.999</v>
      </c>
      <c r="F77" s="114">
        <v>0.95399999999999996</v>
      </c>
      <c r="G77" s="114">
        <v>0.99299999999999999</v>
      </c>
      <c r="H77" s="114">
        <v>1</v>
      </c>
      <c r="I77" s="114">
        <v>0.98099999999999998</v>
      </c>
      <c r="J77" s="114">
        <v>0.98099999999999998</v>
      </c>
      <c r="K77" s="114">
        <v>0.91400000000000003</v>
      </c>
      <c r="L77" s="115">
        <f t="shared" ref="L77:L79" si="166">AO77</f>
        <v>0.91400000000000003</v>
      </c>
      <c r="M77" s="115"/>
      <c r="N77" s="114">
        <v>0.99199999999999999</v>
      </c>
      <c r="O77" s="114">
        <v>0.99199999999999999</v>
      </c>
      <c r="P77" s="114">
        <v>0.999</v>
      </c>
      <c r="Q77" s="116">
        <f>E77</f>
        <v>0.999</v>
      </c>
      <c r="R77" s="114">
        <v>0.98599999999999999</v>
      </c>
      <c r="S77" s="114">
        <v>0.99099999999999999</v>
      </c>
      <c r="T77" s="114">
        <v>0.95499999999999996</v>
      </c>
      <c r="U77" s="116">
        <f>F77</f>
        <v>0.95399999999999996</v>
      </c>
      <c r="V77" s="114">
        <v>0.97199999999999998</v>
      </c>
      <c r="W77" s="114">
        <v>0.99</v>
      </c>
      <c r="X77" s="114">
        <v>0.98899999999999999</v>
      </c>
      <c r="Y77" s="116">
        <f>G77</f>
        <v>0.99299999999999999</v>
      </c>
      <c r="Z77" s="114">
        <v>0.99299999999999999</v>
      </c>
      <c r="AA77" s="114">
        <v>1</v>
      </c>
      <c r="AB77" s="114">
        <v>1</v>
      </c>
      <c r="AC77" s="116">
        <f>H77</f>
        <v>1</v>
      </c>
      <c r="AD77" s="114">
        <v>1</v>
      </c>
      <c r="AE77" s="114">
        <v>1</v>
      </c>
      <c r="AF77" s="114">
        <v>1</v>
      </c>
      <c r="AG77" s="116">
        <f t="shared" ref="AG77:AG79" si="167">I77</f>
        <v>0.98099999999999998</v>
      </c>
      <c r="AH77" s="114">
        <v>0.99</v>
      </c>
      <c r="AI77" s="114">
        <v>0.99299999999999999</v>
      </c>
      <c r="AJ77" s="114">
        <v>0.99399999999999999</v>
      </c>
      <c r="AK77" s="116">
        <f t="shared" ref="AK77:AK79" si="168">J77</f>
        <v>0.98099999999999998</v>
      </c>
      <c r="AL77" s="114">
        <v>0.97199999999999998</v>
      </c>
      <c r="AM77" s="114">
        <v>0.97099999999999997</v>
      </c>
      <c r="AN77" s="114">
        <v>0.91300000000000003</v>
      </c>
      <c r="AO77" s="116">
        <f>K77</f>
        <v>0.91400000000000003</v>
      </c>
      <c r="AP77" s="114">
        <v>0.93</v>
      </c>
    </row>
    <row r="78" spans="1:42">
      <c r="B78" s="108" t="s">
        <v>288</v>
      </c>
      <c r="C78" s="114">
        <v>0.96</v>
      </c>
      <c r="D78" s="114">
        <v>0.99299999999999999</v>
      </c>
      <c r="E78" s="114">
        <v>0.99</v>
      </c>
      <c r="F78" s="114">
        <v>0.92200000000000004</v>
      </c>
      <c r="G78" s="114">
        <v>0.90600000000000003</v>
      </c>
      <c r="H78" s="114">
        <v>0.94499999999999995</v>
      </c>
      <c r="I78" s="114">
        <v>0.96299999999999997</v>
      </c>
      <c r="J78" s="114">
        <v>0.96399999999999997</v>
      </c>
      <c r="K78" s="114">
        <v>0.95199999999999996</v>
      </c>
      <c r="L78" s="115">
        <f t="shared" si="166"/>
        <v>0.95199999999999996</v>
      </c>
      <c r="M78" s="115"/>
      <c r="N78" s="114">
        <v>0.98799999999999999</v>
      </c>
      <c r="O78" s="114">
        <v>0.98799999999999999</v>
      </c>
      <c r="P78" s="114">
        <v>0.98899999999999999</v>
      </c>
      <c r="Q78" s="116">
        <f>E78</f>
        <v>0.99</v>
      </c>
      <c r="R78" s="114">
        <v>0.97799999999999998</v>
      </c>
      <c r="S78" s="114">
        <v>0.97</v>
      </c>
      <c r="T78" s="114">
        <v>0.96099999999999997</v>
      </c>
      <c r="U78" s="116">
        <f>F78</f>
        <v>0.92200000000000004</v>
      </c>
      <c r="V78" s="114">
        <v>0.89400000000000002</v>
      </c>
      <c r="W78" s="114">
        <v>0.91800000000000004</v>
      </c>
      <c r="X78" s="114">
        <v>0.91800000000000004</v>
      </c>
      <c r="Y78" s="116">
        <f>G78</f>
        <v>0.90600000000000003</v>
      </c>
      <c r="Z78" s="114">
        <v>0.90100000000000002</v>
      </c>
      <c r="AA78" s="114">
        <v>0.91800000000000004</v>
      </c>
      <c r="AB78" s="114">
        <v>0.93</v>
      </c>
      <c r="AC78" s="116">
        <f>H78</f>
        <v>0.94499999999999995</v>
      </c>
      <c r="AD78" s="114">
        <v>0.93700000000000006</v>
      </c>
      <c r="AE78" s="114">
        <v>0.95299999999999996</v>
      </c>
      <c r="AF78" s="114">
        <v>0.96299999999999997</v>
      </c>
      <c r="AG78" s="116">
        <f t="shared" si="167"/>
        <v>0.96299999999999997</v>
      </c>
      <c r="AH78" s="114">
        <v>0.95499999999999996</v>
      </c>
      <c r="AI78" s="114">
        <v>0.95799999999999996</v>
      </c>
      <c r="AJ78" s="114">
        <v>0.96699999999999997</v>
      </c>
      <c r="AK78" s="116">
        <f t="shared" si="168"/>
        <v>0.96399999999999997</v>
      </c>
      <c r="AL78" s="114">
        <v>0.96399999999999997</v>
      </c>
      <c r="AM78" s="114">
        <v>0.95799999999999996</v>
      </c>
      <c r="AN78" s="114">
        <v>0.95</v>
      </c>
      <c r="AO78" s="116">
        <f t="shared" ref="AO78:AO79" si="169">K78</f>
        <v>0.95199999999999996</v>
      </c>
      <c r="AP78" s="114">
        <v>0.94199999999999995</v>
      </c>
    </row>
    <row r="79" spans="1:42">
      <c r="B79" s="108" t="s">
        <v>290</v>
      </c>
      <c r="C79" s="114">
        <v>0.96</v>
      </c>
      <c r="D79" s="114">
        <v>0.95299999999999996</v>
      </c>
      <c r="E79" s="114">
        <v>0.94299999999999995</v>
      </c>
      <c r="F79" s="114">
        <v>0.90100000000000002</v>
      </c>
      <c r="G79" s="114">
        <v>0.94899999999999995</v>
      </c>
      <c r="H79" s="114">
        <v>0.99</v>
      </c>
      <c r="I79" s="114">
        <v>0.97199999999999998</v>
      </c>
      <c r="J79" s="114">
        <v>1</v>
      </c>
      <c r="K79" s="114">
        <v>1</v>
      </c>
      <c r="L79" s="115">
        <f t="shared" si="166"/>
        <v>1</v>
      </c>
      <c r="M79" s="115"/>
      <c r="N79" s="114">
        <v>0.95399999999999996</v>
      </c>
      <c r="O79" s="114">
        <v>0.95199999999999996</v>
      </c>
      <c r="P79" s="114">
        <v>0.94599999999999995</v>
      </c>
      <c r="Q79" s="116">
        <f>E79</f>
        <v>0.94299999999999995</v>
      </c>
      <c r="R79" s="114">
        <v>0.94299999999999995</v>
      </c>
      <c r="S79" s="114">
        <v>0.93100000000000005</v>
      </c>
      <c r="T79" s="114">
        <v>0.89900000000000002</v>
      </c>
      <c r="U79" s="116">
        <f>F79</f>
        <v>0.90100000000000002</v>
      </c>
      <c r="V79" s="114">
        <v>0.86699999999999999</v>
      </c>
      <c r="W79" s="114">
        <v>0.875</v>
      </c>
      <c r="X79" s="114">
        <v>0.89700000000000002</v>
      </c>
      <c r="Y79" s="116">
        <f>G79</f>
        <v>0.94899999999999995</v>
      </c>
      <c r="Z79" s="114">
        <v>0.96099999999999997</v>
      </c>
      <c r="AA79" s="114">
        <v>0.98499999999999999</v>
      </c>
      <c r="AB79" s="114">
        <v>0.99</v>
      </c>
      <c r="AC79" s="116">
        <f>H79</f>
        <v>0.99</v>
      </c>
      <c r="AD79" s="114">
        <v>0.97699999999999998</v>
      </c>
      <c r="AE79" s="114">
        <v>0.95299999999999996</v>
      </c>
      <c r="AF79" s="114">
        <v>0.97199999999999998</v>
      </c>
      <c r="AG79" s="116">
        <f t="shared" si="167"/>
        <v>0.97199999999999998</v>
      </c>
      <c r="AH79" s="114">
        <v>0.99099999999999999</v>
      </c>
      <c r="AI79" s="114">
        <v>1</v>
      </c>
      <c r="AJ79" s="114">
        <v>1</v>
      </c>
      <c r="AK79" s="116">
        <f t="shared" si="168"/>
        <v>1</v>
      </c>
      <c r="AL79" s="114">
        <v>1</v>
      </c>
      <c r="AM79" s="114">
        <v>1</v>
      </c>
      <c r="AN79" s="114">
        <v>1</v>
      </c>
      <c r="AO79" s="116">
        <f t="shared" si="169"/>
        <v>1</v>
      </c>
      <c r="AP79" s="114">
        <v>1</v>
      </c>
    </row>
    <row r="80" spans="1:42" s="99" customFormat="1" ht="13.5" customHeight="1">
      <c r="C80" s="101"/>
      <c r="D80" s="101"/>
      <c r="E80" s="101"/>
      <c r="F80" s="101"/>
      <c r="G80" s="101"/>
      <c r="H80" s="101"/>
      <c r="I80" s="101"/>
      <c r="J80" s="101"/>
      <c r="K80" s="101"/>
      <c r="L80" s="120"/>
      <c r="M80" s="120"/>
      <c r="N80" s="101"/>
      <c r="O80" s="101"/>
      <c r="P80" s="101"/>
      <c r="Q80" s="100"/>
      <c r="R80" s="101"/>
      <c r="S80" s="101"/>
      <c r="T80" s="101"/>
      <c r="U80" s="100"/>
      <c r="V80" s="101"/>
      <c r="W80" s="101"/>
      <c r="X80" s="101"/>
      <c r="Y80" s="100"/>
      <c r="Z80" s="101"/>
      <c r="AA80" s="101"/>
      <c r="AB80" s="101"/>
      <c r="AC80" s="100"/>
      <c r="AD80" s="101"/>
      <c r="AE80" s="101"/>
      <c r="AF80" s="101"/>
      <c r="AG80" s="100"/>
      <c r="AH80" s="101"/>
      <c r="AI80" s="101"/>
      <c r="AK80" s="100"/>
      <c r="AL80" s="101"/>
      <c r="AM80" s="101"/>
      <c r="AO80" s="100"/>
      <c r="AP80" s="101"/>
    </row>
    <row r="81" spans="2:42" s="39" customFormat="1">
      <c r="B81" s="108" t="s">
        <v>295</v>
      </c>
      <c r="C81" s="118"/>
      <c r="D81" s="118"/>
      <c r="E81" s="118"/>
      <c r="F81" s="118"/>
      <c r="G81" s="118"/>
      <c r="H81" s="118"/>
      <c r="I81" s="118"/>
      <c r="J81" s="118"/>
      <c r="K81" s="118"/>
      <c r="L81" s="110"/>
      <c r="M81" s="110"/>
      <c r="N81" s="118"/>
      <c r="O81" s="118"/>
      <c r="P81" s="118"/>
      <c r="Q81" s="119"/>
      <c r="R81" s="118"/>
      <c r="S81" s="118"/>
      <c r="T81" s="118"/>
      <c r="U81" s="119"/>
      <c r="V81" s="118"/>
      <c r="W81" s="118"/>
      <c r="X81" s="118"/>
      <c r="Y81" s="119"/>
      <c r="Z81" s="118"/>
      <c r="AA81" s="118"/>
      <c r="AB81" s="118"/>
      <c r="AC81" s="119"/>
      <c r="AD81" s="118"/>
      <c r="AE81" s="118"/>
      <c r="AF81" s="118"/>
      <c r="AG81" s="119"/>
      <c r="AH81" s="118"/>
      <c r="AI81" s="118"/>
      <c r="AK81" s="119"/>
      <c r="AL81" s="118"/>
      <c r="AM81" s="118"/>
      <c r="AO81" s="119"/>
      <c r="AP81" s="118"/>
    </row>
    <row r="82" spans="2:42" s="39" customFormat="1">
      <c r="B82" s="108" t="s">
        <v>299</v>
      </c>
      <c r="C82" s="118"/>
      <c r="D82" s="118"/>
      <c r="E82" s="118"/>
      <c r="F82" s="118"/>
      <c r="G82" s="118"/>
      <c r="H82" s="118"/>
      <c r="I82" s="118"/>
      <c r="J82" s="118"/>
      <c r="K82" s="118"/>
      <c r="L82" s="110"/>
      <c r="M82" s="110"/>
      <c r="N82" s="118"/>
      <c r="O82" s="118"/>
      <c r="P82" s="118"/>
      <c r="Q82" s="119"/>
      <c r="R82" s="118"/>
      <c r="S82" s="118"/>
      <c r="T82" s="118"/>
      <c r="U82" s="119"/>
      <c r="V82" s="118"/>
      <c r="W82" s="118"/>
      <c r="X82" s="118"/>
      <c r="Y82" s="119"/>
      <c r="Z82" s="118"/>
      <c r="AA82" s="118"/>
      <c r="AB82" s="118"/>
      <c r="AC82" s="119"/>
      <c r="AD82" s="118"/>
      <c r="AE82" s="118"/>
      <c r="AF82" s="118"/>
      <c r="AG82" s="119"/>
      <c r="AH82" s="118"/>
      <c r="AI82" s="118"/>
      <c r="AK82" s="119"/>
      <c r="AL82" s="118"/>
      <c r="AM82" s="118"/>
      <c r="AO82" s="119"/>
      <c r="AP82" s="118"/>
    </row>
    <row r="83" spans="2:42">
      <c r="B83" s="108" t="s">
        <v>278</v>
      </c>
      <c r="C83" s="111">
        <v>6659416</v>
      </c>
      <c r="D83" s="111">
        <v>7444828</v>
      </c>
      <c r="E83" s="111">
        <v>8544028</v>
      </c>
      <c r="F83" s="111">
        <v>9078485</v>
      </c>
      <c r="G83" s="111">
        <v>9253507</v>
      </c>
      <c r="H83" s="111">
        <v>10352575</v>
      </c>
      <c r="I83" s="111">
        <v>10871194</v>
      </c>
      <c r="J83" s="111">
        <v>12560400</v>
      </c>
      <c r="K83" s="111">
        <v>13140859</v>
      </c>
      <c r="L83" s="110">
        <f>AP83</f>
        <v>13140863</v>
      </c>
      <c r="M83" s="110"/>
      <c r="N83" s="111">
        <v>7660084</v>
      </c>
      <c r="O83" s="111">
        <v>8015851</v>
      </c>
      <c r="P83" s="111">
        <v>8523974</v>
      </c>
      <c r="Q83" s="112">
        <f>E83</f>
        <v>8544028</v>
      </c>
      <c r="R83" s="111">
        <v>8852385</v>
      </c>
      <c r="S83" s="111">
        <v>8930767</v>
      </c>
      <c r="T83" s="111">
        <v>8930767</v>
      </c>
      <c r="U83" s="112">
        <f>F83</f>
        <v>9078485</v>
      </c>
      <c r="V83" s="111">
        <v>9078485</v>
      </c>
      <c r="W83" s="111">
        <v>9069820</v>
      </c>
      <c r="X83" s="111">
        <v>9069820</v>
      </c>
      <c r="Y83" s="112">
        <f>G83</f>
        <v>9253507</v>
      </c>
      <c r="Z83" s="111">
        <v>9253507</v>
      </c>
      <c r="AA83" s="111">
        <v>9421736</v>
      </c>
      <c r="AB83" s="111">
        <v>9628555</v>
      </c>
      <c r="AC83" s="112">
        <f>H83</f>
        <v>10352575</v>
      </c>
      <c r="AD83" s="111">
        <v>10051831</v>
      </c>
      <c r="AE83" s="111">
        <v>10500250</v>
      </c>
      <c r="AF83" s="111">
        <v>11027030</v>
      </c>
      <c r="AG83" s="112">
        <f t="shared" ref="AG83:AG85" si="170">I83</f>
        <v>10871194</v>
      </c>
      <c r="AH83" s="111">
        <v>11094136</v>
      </c>
      <c r="AI83" s="111">
        <v>11527878</v>
      </c>
      <c r="AJ83" s="111">
        <v>12560402</v>
      </c>
      <c r="AK83" s="112">
        <f t="shared" ref="AK83:AK85" si="171">J83</f>
        <v>12560400</v>
      </c>
      <c r="AL83" s="111">
        <v>13037364</v>
      </c>
      <c r="AM83" s="111">
        <v>12990342</v>
      </c>
      <c r="AN83" s="111">
        <v>13140669</v>
      </c>
      <c r="AO83" s="112">
        <f>K83</f>
        <v>13140859</v>
      </c>
      <c r="AP83" s="111">
        <v>13140863</v>
      </c>
    </row>
    <row r="84" spans="2:42">
      <c r="B84" s="108" t="s">
        <v>288</v>
      </c>
      <c r="C84" s="111">
        <v>12145861</v>
      </c>
      <c r="D84" s="111">
        <v>13347436</v>
      </c>
      <c r="E84" s="111">
        <v>13741377</v>
      </c>
      <c r="F84" s="111">
        <v>15182807</v>
      </c>
      <c r="G84" s="111">
        <v>14771316</v>
      </c>
      <c r="H84" s="111">
        <v>16183191</v>
      </c>
      <c r="I84" s="111">
        <v>17796356</v>
      </c>
      <c r="J84" s="111">
        <v>18598539</v>
      </c>
      <c r="K84" s="111">
        <v>19533038</v>
      </c>
      <c r="L84" s="110">
        <f>AP84</f>
        <v>19533034</v>
      </c>
      <c r="M84" s="110"/>
      <c r="N84" s="111">
        <v>13382483</v>
      </c>
      <c r="O84" s="111">
        <v>13017153</v>
      </c>
      <c r="P84" s="111">
        <v>13214027</v>
      </c>
      <c r="Q84" s="112">
        <f>E84</f>
        <v>13741377</v>
      </c>
      <c r="R84" s="111">
        <v>14212231</v>
      </c>
      <c r="S84" s="111">
        <v>14212231</v>
      </c>
      <c r="T84" s="111">
        <v>14212231</v>
      </c>
      <c r="U84" s="112">
        <f>F84</f>
        <v>15182807</v>
      </c>
      <c r="V84" s="111">
        <v>15227219</v>
      </c>
      <c r="W84" s="111">
        <v>15231132</v>
      </c>
      <c r="X84" s="111">
        <v>15231131</v>
      </c>
      <c r="Y84" s="112">
        <f>G84</f>
        <v>14771316</v>
      </c>
      <c r="Z84" s="111">
        <v>14849602</v>
      </c>
      <c r="AA84" s="111">
        <v>15451284</v>
      </c>
      <c r="AB84" s="111">
        <v>15460176</v>
      </c>
      <c r="AC84" s="112">
        <f>H84</f>
        <v>16183191</v>
      </c>
      <c r="AD84" s="111">
        <v>15843223</v>
      </c>
      <c r="AE84" s="111">
        <v>16035145</v>
      </c>
      <c r="AF84" s="111">
        <v>16598688</v>
      </c>
      <c r="AG84" s="112">
        <f t="shared" si="170"/>
        <v>17796356</v>
      </c>
      <c r="AH84" s="111">
        <v>17731773</v>
      </c>
      <c r="AI84" s="111">
        <v>18024250</v>
      </c>
      <c r="AJ84" s="111">
        <v>18301392</v>
      </c>
      <c r="AK84" s="112">
        <f t="shared" si="171"/>
        <v>18598539</v>
      </c>
      <c r="AL84" s="111">
        <v>18815632</v>
      </c>
      <c r="AM84" s="111">
        <v>18937695</v>
      </c>
      <c r="AN84" s="111">
        <v>19401467</v>
      </c>
      <c r="AO84" s="112">
        <f t="shared" ref="AO84:AO85" si="172">K84</f>
        <v>19533038</v>
      </c>
      <c r="AP84" s="111">
        <v>19533034</v>
      </c>
    </row>
    <row r="85" spans="2:42">
      <c r="B85" s="108" t="s">
        <v>290</v>
      </c>
      <c r="C85" s="111">
        <v>6730988</v>
      </c>
      <c r="D85" s="111">
        <v>7122733</v>
      </c>
      <c r="E85" s="111">
        <v>6494060</v>
      </c>
      <c r="F85" s="111">
        <v>6824130</v>
      </c>
      <c r="G85" s="111">
        <v>7007291</v>
      </c>
      <c r="H85" s="111">
        <v>7178604</v>
      </c>
      <c r="I85" s="111">
        <v>7256310</v>
      </c>
      <c r="J85" s="111">
        <v>8106357</v>
      </c>
      <c r="K85" s="111">
        <v>8490817</v>
      </c>
      <c r="L85" s="110">
        <f>AP85</f>
        <v>8576950</v>
      </c>
      <c r="M85" s="110"/>
      <c r="N85" s="111">
        <v>7122733</v>
      </c>
      <c r="O85" s="111">
        <v>6494060</v>
      </c>
      <c r="P85" s="111">
        <v>6494060</v>
      </c>
      <c r="Q85" s="112">
        <f>E85</f>
        <v>6494060</v>
      </c>
      <c r="R85" s="111">
        <v>6494214</v>
      </c>
      <c r="S85" s="111">
        <v>6494214</v>
      </c>
      <c r="T85" s="111">
        <v>6494214</v>
      </c>
      <c r="U85" s="112">
        <f>F85</f>
        <v>6824130</v>
      </c>
      <c r="V85" s="111">
        <v>6867511</v>
      </c>
      <c r="W85" s="111">
        <v>70003125</v>
      </c>
      <c r="X85" s="111">
        <v>7007291</v>
      </c>
      <c r="Y85" s="112">
        <f>G85</f>
        <v>7007291</v>
      </c>
      <c r="Z85" s="111">
        <v>7007291</v>
      </c>
      <c r="AA85" s="111">
        <v>7008211</v>
      </c>
      <c r="AB85" s="111">
        <v>7008211</v>
      </c>
      <c r="AC85" s="112">
        <f>H85</f>
        <v>7178604</v>
      </c>
      <c r="AD85" s="111">
        <v>7178604</v>
      </c>
      <c r="AE85" s="111">
        <v>7179701</v>
      </c>
      <c r="AF85" s="111">
        <v>7179938</v>
      </c>
      <c r="AG85" s="112">
        <f t="shared" si="170"/>
        <v>7256310</v>
      </c>
      <c r="AH85" s="111">
        <v>7256310</v>
      </c>
      <c r="AI85" s="111">
        <v>7256310</v>
      </c>
      <c r="AJ85" s="111">
        <v>7256310</v>
      </c>
      <c r="AK85" s="112">
        <f t="shared" si="171"/>
        <v>8106357</v>
      </c>
      <c r="AL85" s="111">
        <v>8106357</v>
      </c>
      <c r="AM85" s="111">
        <v>8277643</v>
      </c>
      <c r="AN85" s="111">
        <v>8277642</v>
      </c>
      <c r="AO85" s="112">
        <f t="shared" si="172"/>
        <v>8490817</v>
      </c>
      <c r="AP85" s="111">
        <v>8576950</v>
      </c>
    </row>
    <row r="86" spans="2:42" s="99" customFormat="1" ht="13.5" customHeight="1">
      <c r="C86" s="101"/>
      <c r="D86" s="101"/>
      <c r="E86" s="101"/>
      <c r="F86" s="101"/>
      <c r="G86" s="101"/>
      <c r="H86" s="101"/>
      <c r="I86" s="101"/>
      <c r="J86" s="101"/>
      <c r="K86" s="101"/>
      <c r="L86" s="120"/>
      <c r="M86" s="120"/>
      <c r="N86" s="101"/>
      <c r="O86" s="101"/>
      <c r="P86" s="101"/>
      <c r="Q86" s="100"/>
      <c r="R86" s="101"/>
      <c r="S86" s="101"/>
      <c r="T86" s="101"/>
      <c r="U86" s="100"/>
      <c r="V86" s="101"/>
      <c r="W86" s="101"/>
      <c r="X86" s="101"/>
      <c r="Y86" s="100"/>
      <c r="Z86" s="101"/>
      <c r="AA86" s="101"/>
      <c r="AB86" s="101"/>
      <c r="AC86" s="100"/>
      <c r="AD86" s="101"/>
      <c r="AE86" s="101"/>
      <c r="AF86" s="101"/>
      <c r="AG86" s="100"/>
      <c r="AH86" s="101"/>
      <c r="AI86" s="101"/>
      <c r="AK86" s="100"/>
      <c r="AL86" s="101"/>
      <c r="AM86" s="101"/>
      <c r="AO86" s="100"/>
      <c r="AP86" s="101"/>
    </row>
    <row r="87" spans="2:42" s="39" customFormat="1">
      <c r="B87" s="108" t="s">
        <v>300</v>
      </c>
      <c r="C87" s="118"/>
      <c r="D87" s="118"/>
      <c r="E87" s="118"/>
      <c r="F87" s="118"/>
      <c r="G87" s="118"/>
      <c r="H87" s="118"/>
      <c r="I87" s="118"/>
      <c r="J87" s="118"/>
      <c r="K87" s="118"/>
      <c r="L87" s="110"/>
      <c r="M87" s="110"/>
      <c r="N87" s="118"/>
      <c r="O87" s="118"/>
      <c r="P87" s="118"/>
      <c r="Q87" s="119"/>
      <c r="R87" s="118"/>
      <c r="S87" s="118"/>
      <c r="T87" s="118"/>
      <c r="U87" s="119"/>
      <c r="V87" s="118"/>
      <c r="W87" s="118"/>
      <c r="X87" s="118"/>
      <c r="Y87" s="119"/>
      <c r="Z87" s="118"/>
      <c r="AA87" s="118"/>
      <c r="AB87" s="118"/>
      <c r="AC87" s="119"/>
      <c r="AD87" s="118"/>
      <c r="AE87" s="118"/>
      <c r="AF87" s="118"/>
      <c r="AG87" s="119"/>
      <c r="AH87" s="118"/>
      <c r="AI87" s="118"/>
      <c r="AK87" s="119"/>
      <c r="AL87" s="118"/>
      <c r="AM87" s="118"/>
      <c r="AO87" s="119"/>
      <c r="AP87" s="118"/>
    </row>
    <row r="88" spans="2:42" s="105" customFormat="1">
      <c r="B88" s="108" t="s">
        <v>278</v>
      </c>
      <c r="C88" s="114">
        <v>0.95699999999999996</v>
      </c>
      <c r="D88" s="114">
        <v>0.98099999999999998</v>
      </c>
      <c r="E88" s="114">
        <v>0.98299999999999998</v>
      </c>
      <c r="F88" s="114">
        <v>0.95599999999999996</v>
      </c>
      <c r="G88" s="114">
        <v>0.99399999999999999</v>
      </c>
      <c r="H88" s="114">
        <v>0.95799999999999996</v>
      </c>
      <c r="I88" s="114">
        <v>0.98299999999999998</v>
      </c>
      <c r="J88" s="114">
        <v>0.92300000000000004</v>
      </c>
      <c r="K88" s="114">
        <v>0.91800000000000004</v>
      </c>
      <c r="L88" s="115">
        <f t="shared" ref="L88:L90" si="173">AO88</f>
        <v>0.91800000000000004</v>
      </c>
      <c r="M88" s="115"/>
      <c r="N88" s="114">
        <v>0.99299999999999999</v>
      </c>
      <c r="O88" s="114">
        <v>0.99199999999999999</v>
      </c>
      <c r="P88" s="114">
        <v>0.98299999999999998</v>
      </c>
      <c r="Q88" s="116">
        <f>E88</f>
        <v>0.98299999999999998</v>
      </c>
      <c r="R88" s="114">
        <v>0.98799999999999999</v>
      </c>
      <c r="S88" s="114">
        <v>0.99199999999999999</v>
      </c>
      <c r="T88" s="114">
        <v>0.95699999999999996</v>
      </c>
      <c r="U88" s="116">
        <f>F88</f>
        <v>0.95599999999999996</v>
      </c>
      <c r="V88" s="114">
        <v>0.96599999999999997</v>
      </c>
      <c r="W88" s="114">
        <v>0.99</v>
      </c>
      <c r="X88" s="114">
        <v>0.98899999999999999</v>
      </c>
      <c r="Y88" s="116">
        <f>G88</f>
        <v>0.99399999999999999</v>
      </c>
      <c r="Z88" s="114">
        <v>0.99399999999999999</v>
      </c>
      <c r="AA88" s="114">
        <v>1</v>
      </c>
      <c r="AB88" s="114">
        <v>1</v>
      </c>
      <c r="AC88" s="116">
        <f>H88</f>
        <v>0.95799999999999996</v>
      </c>
      <c r="AD88" s="114">
        <v>1</v>
      </c>
      <c r="AE88" s="114">
        <v>1</v>
      </c>
      <c r="AF88" s="114">
        <v>1</v>
      </c>
      <c r="AG88" s="116">
        <f t="shared" ref="AG88:AG90" si="174">I88</f>
        <v>0.98299999999999998</v>
      </c>
      <c r="AH88" s="114">
        <v>0.99099999999999999</v>
      </c>
      <c r="AI88" s="114">
        <v>0.99399999999999999</v>
      </c>
      <c r="AJ88" s="114">
        <v>0.93500000000000005</v>
      </c>
      <c r="AK88" s="116">
        <f t="shared" ref="AK88:AK90" si="175">J88</f>
        <v>0.92300000000000004</v>
      </c>
      <c r="AL88" s="114">
        <v>0.91800000000000004</v>
      </c>
      <c r="AM88" s="114">
        <v>0.91800000000000004</v>
      </c>
      <c r="AN88" s="114">
        <v>0.91800000000000004</v>
      </c>
      <c r="AO88" s="116">
        <f>K88</f>
        <v>0.91800000000000004</v>
      </c>
      <c r="AP88" s="114">
        <v>0.93100000000000005</v>
      </c>
    </row>
    <row r="89" spans="2:42" s="105" customFormat="1">
      <c r="B89" s="108" t="s">
        <v>288</v>
      </c>
      <c r="C89" s="114">
        <v>0.95199999999999996</v>
      </c>
      <c r="D89" s="114">
        <v>0.98799999999999999</v>
      </c>
      <c r="E89" s="114">
        <v>0.94799999999999995</v>
      </c>
      <c r="F89" s="114">
        <v>0.88600000000000001</v>
      </c>
      <c r="G89" s="114">
        <v>0.90700000000000003</v>
      </c>
      <c r="H89" s="114">
        <v>0.92900000000000005</v>
      </c>
      <c r="I89" s="114">
        <v>0.95399999999999996</v>
      </c>
      <c r="J89" s="114">
        <v>0.95599999999999996</v>
      </c>
      <c r="K89" s="114">
        <v>0.93200000000000005</v>
      </c>
      <c r="L89" s="115">
        <f t="shared" si="173"/>
        <v>0.93200000000000005</v>
      </c>
      <c r="M89" s="115"/>
      <c r="N89" s="114">
        <v>0.97199999999999998</v>
      </c>
      <c r="O89" s="114">
        <v>0.97199999999999998</v>
      </c>
      <c r="P89" s="114">
        <v>0.94699999999999995</v>
      </c>
      <c r="Q89" s="116">
        <f>E89</f>
        <v>0.94799999999999995</v>
      </c>
      <c r="R89" s="114">
        <v>0.90100000000000002</v>
      </c>
      <c r="S89" s="114">
        <v>0.90900000000000003</v>
      </c>
      <c r="T89" s="114">
        <v>0.90500000000000003</v>
      </c>
      <c r="U89" s="116">
        <f>F89</f>
        <v>0.88600000000000001</v>
      </c>
      <c r="V89" s="114">
        <v>0.88500000000000001</v>
      </c>
      <c r="W89" s="114">
        <v>0.90800000000000003</v>
      </c>
      <c r="X89" s="114">
        <v>0.90800000000000003</v>
      </c>
      <c r="Y89" s="116">
        <f>G89</f>
        <v>0.90700000000000003</v>
      </c>
      <c r="Z89" s="114">
        <v>0.90300000000000002</v>
      </c>
      <c r="AA89" s="114">
        <v>0.92300000000000004</v>
      </c>
      <c r="AB89" s="114">
        <v>0.93400000000000005</v>
      </c>
      <c r="AC89" s="116">
        <f>H89</f>
        <v>0.92900000000000005</v>
      </c>
      <c r="AD89" s="114">
        <v>0.94099999999999995</v>
      </c>
      <c r="AE89" s="114">
        <v>0.95499999999999996</v>
      </c>
      <c r="AF89" s="114">
        <v>0.95499999999999996</v>
      </c>
      <c r="AG89" s="116">
        <f t="shared" si="174"/>
        <v>0.95399999999999996</v>
      </c>
      <c r="AH89" s="114">
        <v>0.95099999999999996</v>
      </c>
      <c r="AI89" s="114">
        <v>0.95399999999999996</v>
      </c>
      <c r="AJ89" s="114">
        <v>0.95799999999999996</v>
      </c>
      <c r="AK89" s="116">
        <f t="shared" si="175"/>
        <v>0.95599999999999996</v>
      </c>
      <c r="AL89" s="114">
        <v>0.95699999999999996</v>
      </c>
      <c r="AM89" s="114">
        <v>0.96</v>
      </c>
      <c r="AN89" s="114">
        <v>0.93700000000000006</v>
      </c>
      <c r="AO89" s="116">
        <f t="shared" ref="AO89:AO90" si="176">K89</f>
        <v>0.93200000000000005</v>
      </c>
      <c r="AP89" s="114">
        <v>0.92200000000000004</v>
      </c>
    </row>
    <row r="90" spans="2:42" s="105" customFormat="1">
      <c r="B90" s="108" t="s">
        <v>290</v>
      </c>
      <c r="C90" s="114">
        <v>0.95099999999999996</v>
      </c>
      <c r="D90" s="114">
        <v>0.93400000000000005</v>
      </c>
      <c r="E90" s="114">
        <v>0.94</v>
      </c>
      <c r="F90" s="114">
        <v>0.90600000000000003</v>
      </c>
      <c r="G90" s="114">
        <v>0.95099999999999996</v>
      </c>
      <c r="H90" s="114">
        <v>0.99099999999999999</v>
      </c>
      <c r="I90" s="114">
        <v>0.97199999999999998</v>
      </c>
      <c r="J90" s="114">
        <v>1</v>
      </c>
      <c r="K90" s="114">
        <v>0.97499999999999998</v>
      </c>
      <c r="L90" s="115">
        <f t="shared" si="173"/>
        <v>0.97499999999999998</v>
      </c>
      <c r="M90" s="115"/>
      <c r="N90" s="114">
        <v>0.93400000000000005</v>
      </c>
      <c r="O90" s="114">
        <v>0.92900000000000005</v>
      </c>
      <c r="P90" s="114">
        <v>0.94</v>
      </c>
      <c r="Q90" s="116">
        <f>E90</f>
        <v>0.94</v>
      </c>
      <c r="R90" s="114">
        <v>0.94299999999999995</v>
      </c>
      <c r="S90" s="114">
        <v>0.93100000000000005</v>
      </c>
      <c r="T90" s="114">
        <v>0.89900000000000002</v>
      </c>
      <c r="U90" s="116">
        <f>F90</f>
        <v>0.90600000000000003</v>
      </c>
      <c r="V90" s="114">
        <v>0.874</v>
      </c>
      <c r="W90" s="114">
        <v>0.88400000000000001</v>
      </c>
      <c r="X90" s="114">
        <v>0.90500000000000003</v>
      </c>
      <c r="Y90" s="116">
        <f>G90</f>
        <v>0.95099999999999996</v>
      </c>
      <c r="Z90" s="114">
        <v>0.96199999999999997</v>
      </c>
      <c r="AA90" s="114">
        <v>0.98499999999999999</v>
      </c>
      <c r="AB90" s="114">
        <v>0.99</v>
      </c>
      <c r="AC90" s="116">
        <f>H90</f>
        <v>0.99099999999999999</v>
      </c>
      <c r="AD90" s="114">
        <v>0.97799999999999998</v>
      </c>
      <c r="AE90" s="114">
        <v>0.95399999999999996</v>
      </c>
      <c r="AF90" s="114">
        <v>0.97199999999999998</v>
      </c>
      <c r="AG90" s="116">
        <f t="shared" si="174"/>
        <v>0.97199999999999998</v>
      </c>
      <c r="AH90" s="114">
        <v>0.99099999999999999</v>
      </c>
      <c r="AI90" s="114">
        <v>1</v>
      </c>
      <c r="AJ90" s="114">
        <v>1</v>
      </c>
      <c r="AK90" s="116">
        <f t="shared" si="175"/>
        <v>1</v>
      </c>
      <c r="AL90" s="114">
        <v>1</v>
      </c>
      <c r="AM90" s="114">
        <v>1</v>
      </c>
      <c r="AN90" s="114">
        <v>1</v>
      </c>
      <c r="AO90" s="116">
        <f t="shared" si="176"/>
        <v>0.97499999999999998</v>
      </c>
      <c r="AP90" s="114">
        <v>0.96499999999999997</v>
      </c>
    </row>
    <row r="91" spans="2:42" s="99" customFormat="1" ht="13.5" customHeight="1">
      <c r="C91" s="101"/>
      <c r="D91" s="101"/>
      <c r="E91" s="101"/>
      <c r="F91" s="101"/>
      <c r="G91" s="101"/>
      <c r="H91" s="101"/>
      <c r="I91" s="101"/>
      <c r="J91" s="101"/>
      <c r="K91" s="101"/>
      <c r="L91" s="120"/>
      <c r="M91" s="120"/>
      <c r="N91" s="101"/>
      <c r="O91" s="101"/>
      <c r="P91" s="101"/>
      <c r="Q91" s="100"/>
      <c r="R91" s="101"/>
      <c r="S91" s="101"/>
      <c r="T91" s="101"/>
      <c r="U91" s="100"/>
      <c r="V91" s="101"/>
      <c r="W91" s="101"/>
      <c r="X91" s="101"/>
      <c r="Y91" s="100"/>
      <c r="Z91" s="101"/>
      <c r="AA91" s="101"/>
      <c r="AB91" s="101"/>
      <c r="AC91" s="100"/>
      <c r="AD91" s="101"/>
      <c r="AE91" s="101"/>
      <c r="AF91" s="101"/>
      <c r="AG91" s="100"/>
      <c r="AH91" s="101"/>
      <c r="AI91" s="101"/>
      <c r="AK91" s="100"/>
      <c r="AL91" s="101"/>
      <c r="AM91" s="101"/>
      <c r="AO91" s="100"/>
      <c r="AP91" s="101"/>
    </row>
    <row r="92" spans="2:42" s="39" customFormat="1">
      <c r="B92" s="108" t="s">
        <v>296</v>
      </c>
      <c r="C92" s="118"/>
      <c r="D92" s="118"/>
      <c r="E92" s="118"/>
      <c r="F92" s="118"/>
      <c r="G92" s="118"/>
      <c r="H92" s="118"/>
      <c r="I92" s="118"/>
      <c r="J92" s="118"/>
      <c r="K92" s="118"/>
      <c r="L92" s="110"/>
      <c r="M92" s="110"/>
      <c r="N92" s="118"/>
      <c r="O92" s="118"/>
      <c r="P92" s="118"/>
      <c r="Q92" s="119"/>
      <c r="R92" s="118"/>
      <c r="S92" s="118"/>
      <c r="T92" s="118"/>
      <c r="U92" s="119"/>
      <c r="V92" s="118"/>
      <c r="W92" s="118"/>
      <c r="X92" s="118"/>
      <c r="Y92" s="119"/>
      <c r="Z92" s="118"/>
      <c r="AA92" s="118"/>
      <c r="AB92" s="118"/>
      <c r="AC92" s="119"/>
      <c r="AD92" s="118"/>
      <c r="AE92" s="118"/>
      <c r="AF92" s="118"/>
      <c r="AG92" s="119"/>
      <c r="AH92" s="118"/>
      <c r="AI92" s="118"/>
      <c r="AK92" s="119"/>
      <c r="AL92" s="118"/>
      <c r="AM92" s="118"/>
      <c r="AO92" s="119"/>
      <c r="AP92" s="118"/>
    </row>
    <row r="93" spans="2:42" s="39" customFormat="1">
      <c r="B93" s="108" t="s">
        <v>299</v>
      </c>
      <c r="C93" s="118"/>
      <c r="D93" s="118"/>
      <c r="E93" s="118"/>
      <c r="F93" s="118"/>
      <c r="G93" s="118"/>
      <c r="H93" s="118"/>
      <c r="I93" s="118"/>
      <c r="J93" s="118"/>
      <c r="K93" s="118"/>
      <c r="L93" s="110"/>
      <c r="M93" s="110"/>
      <c r="N93" s="118"/>
      <c r="O93" s="118"/>
      <c r="P93" s="118"/>
      <c r="Q93" s="119"/>
      <c r="R93" s="118"/>
      <c r="S93" s="118"/>
      <c r="T93" s="118"/>
      <c r="U93" s="119"/>
      <c r="V93" s="118"/>
      <c r="W93" s="118"/>
      <c r="X93" s="118"/>
      <c r="Y93" s="119"/>
      <c r="Z93" s="118"/>
      <c r="AA93" s="118"/>
      <c r="AB93" s="118"/>
      <c r="AC93" s="119"/>
      <c r="AD93" s="118"/>
      <c r="AE93" s="118"/>
      <c r="AF93" s="118"/>
      <c r="AG93" s="119"/>
      <c r="AH93" s="118"/>
      <c r="AI93" s="118"/>
      <c r="AK93" s="119"/>
      <c r="AL93" s="118"/>
      <c r="AM93" s="118"/>
      <c r="AO93" s="119"/>
      <c r="AP93" s="118"/>
    </row>
    <row r="94" spans="2:42">
      <c r="B94" s="108" t="s">
        <v>278</v>
      </c>
      <c r="C94" s="111">
        <v>6875440</v>
      </c>
      <c r="D94" s="111">
        <v>7996798</v>
      </c>
      <c r="E94" s="111">
        <v>8852290</v>
      </c>
      <c r="F94" s="111">
        <v>9078485</v>
      </c>
      <c r="G94" s="111">
        <v>9303139</v>
      </c>
      <c r="H94" s="111">
        <v>9628555</v>
      </c>
      <c r="I94" s="111">
        <v>12070580</v>
      </c>
      <c r="J94" s="111">
        <v>12786657</v>
      </c>
      <c r="K94" s="111">
        <v>14283183</v>
      </c>
      <c r="L94" s="110">
        <f>AP94</f>
        <v>14283187</v>
      </c>
      <c r="M94" s="110"/>
      <c r="N94" s="111">
        <v>8212054</v>
      </c>
      <c r="O94" s="111">
        <v>8631873</v>
      </c>
      <c r="P94" s="111">
        <v>8631873</v>
      </c>
      <c r="Q94" s="112">
        <f>E94</f>
        <v>8852290</v>
      </c>
      <c r="R94" s="111">
        <v>8852385</v>
      </c>
      <c r="S94" s="111">
        <v>9074369</v>
      </c>
      <c r="T94" s="111">
        <v>9074369</v>
      </c>
      <c r="U94" s="112">
        <f>F94</f>
        <v>9078485</v>
      </c>
      <c r="V94" s="111">
        <v>9361517</v>
      </c>
      <c r="W94" s="111">
        <v>9360915</v>
      </c>
      <c r="X94" s="111">
        <v>9410547</v>
      </c>
      <c r="Y94" s="112">
        <f>G94</f>
        <v>9303139</v>
      </c>
      <c r="Z94" s="111">
        <v>9509958</v>
      </c>
      <c r="AA94" s="111">
        <v>9628555</v>
      </c>
      <c r="AB94" s="111">
        <v>9628555</v>
      </c>
      <c r="AC94" s="112">
        <f>H94</f>
        <v>9628555</v>
      </c>
      <c r="AD94" s="111">
        <v>10352575</v>
      </c>
      <c r="AE94" s="111">
        <v>10657963</v>
      </c>
      <c r="AF94" s="111">
        <v>12384129</v>
      </c>
      <c r="AG94" s="112">
        <f t="shared" ref="AG94:AG96" si="177">I94</f>
        <v>12070580</v>
      </c>
      <c r="AH94" s="111">
        <v>12070580</v>
      </c>
      <c r="AI94" s="111">
        <v>12281380</v>
      </c>
      <c r="AJ94" s="111">
        <v>12786659</v>
      </c>
      <c r="AK94" s="112">
        <f t="shared" ref="AK94:AK96" si="178">J94</f>
        <v>12786657</v>
      </c>
      <c r="AL94" s="111">
        <v>13263621</v>
      </c>
      <c r="AM94" s="111">
        <v>13628161</v>
      </c>
      <c r="AN94" s="111">
        <v>14282993</v>
      </c>
      <c r="AO94" s="112">
        <f t="shared" ref="AO94:AO96" si="179">K94</f>
        <v>14283183</v>
      </c>
      <c r="AP94" s="111">
        <v>14283187</v>
      </c>
    </row>
    <row r="95" spans="2:42">
      <c r="B95" s="108" t="s">
        <v>288</v>
      </c>
      <c r="C95" s="111">
        <v>12722893</v>
      </c>
      <c r="D95" s="111">
        <v>14748046</v>
      </c>
      <c r="E95" s="111">
        <v>14445698</v>
      </c>
      <c r="F95" s="111">
        <v>15182807</v>
      </c>
      <c r="G95" s="111">
        <v>14771316</v>
      </c>
      <c r="H95" s="111">
        <v>15630160</v>
      </c>
      <c r="I95" s="111">
        <v>18027608</v>
      </c>
      <c r="J95" s="111">
        <v>19193885</v>
      </c>
      <c r="K95" s="111">
        <v>20093889</v>
      </c>
      <c r="L95" s="110">
        <f>AP95</f>
        <v>20093885</v>
      </c>
      <c r="M95" s="110"/>
      <c r="N95" s="111">
        <v>15081603</v>
      </c>
      <c r="O95" s="111">
        <v>14136412</v>
      </c>
      <c r="P95" s="111">
        <v>14210107</v>
      </c>
      <c r="Q95" s="112">
        <f>E95</f>
        <v>14445698</v>
      </c>
      <c r="R95" s="111">
        <v>14447822</v>
      </c>
      <c r="S95" s="111">
        <v>14447822</v>
      </c>
      <c r="T95" s="111">
        <v>14447822</v>
      </c>
      <c r="U95" s="112">
        <f>F95</f>
        <v>15182807</v>
      </c>
      <c r="V95" s="111">
        <v>15227219</v>
      </c>
      <c r="W95" s="111">
        <v>15231132</v>
      </c>
      <c r="X95" s="111">
        <v>15231131</v>
      </c>
      <c r="Y95" s="112">
        <f>G95</f>
        <v>14771316</v>
      </c>
      <c r="Z95" s="111">
        <v>14849602</v>
      </c>
      <c r="AA95" s="111">
        <v>15451284</v>
      </c>
      <c r="AB95" s="111">
        <v>15630160</v>
      </c>
      <c r="AC95" s="112">
        <f>H95</f>
        <v>15630160</v>
      </c>
      <c r="AD95" s="111">
        <v>16183191</v>
      </c>
      <c r="AE95" s="111">
        <v>16769047</v>
      </c>
      <c r="AF95" s="111">
        <v>17341893</v>
      </c>
      <c r="AG95" s="112">
        <f t="shared" si="177"/>
        <v>18027608</v>
      </c>
      <c r="AH95" s="111">
        <v>17963025</v>
      </c>
      <c r="AI95" s="111">
        <v>18255502</v>
      </c>
      <c r="AJ95" s="111">
        <v>19033534</v>
      </c>
      <c r="AK95" s="112">
        <f t="shared" si="178"/>
        <v>19193885</v>
      </c>
      <c r="AL95" s="111">
        <v>19533041</v>
      </c>
      <c r="AM95" s="111">
        <v>19533041</v>
      </c>
      <c r="AN95" s="111">
        <v>20093889</v>
      </c>
      <c r="AO95" s="112">
        <f t="shared" si="179"/>
        <v>20093889</v>
      </c>
      <c r="AP95" s="111">
        <v>20093885</v>
      </c>
    </row>
    <row r="96" spans="2:42">
      <c r="B96" s="108" t="s">
        <v>290</v>
      </c>
      <c r="C96" s="111">
        <v>7122837</v>
      </c>
      <c r="D96" s="111">
        <v>7122733</v>
      </c>
      <c r="E96" s="111">
        <v>6494060</v>
      </c>
      <c r="F96" s="111">
        <v>6959744</v>
      </c>
      <c r="G96" s="111">
        <v>7007291</v>
      </c>
      <c r="H96" s="111">
        <v>7008211</v>
      </c>
      <c r="I96" s="111">
        <v>7256310</v>
      </c>
      <c r="J96" s="111">
        <v>8319422</v>
      </c>
      <c r="K96" s="111">
        <v>8576950</v>
      </c>
      <c r="L96" s="110">
        <f>AP96</f>
        <v>8576950</v>
      </c>
      <c r="M96" s="110"/>
      <c r="N96" s="111">
        <v>7122733</v>
      </c>
      <c r="O96" s="111">
        <v>6494060</v>
      </c>
      <c r="P96" s="111">
        <v>6494060</v>
      </c>
      <c r="Q96" s="112">
        <f>E96</f>
        <v>6494060</v>
      </c>
      <c r="R96" s="111">
        <v>6494214</v>
      </c>
      <c r="S96" s="111">
        <v>6629396</v>
      </c>
      <c r="T96" s="111">
        <v>6629396</v>
      </c>
      <c r="U96" s="112">
        <f>F96</f>
        <v>6959744</v>
      </c>
      <c r="V96" s="111">
        <v>7003125</v>
      </c>
      <c r="W96" s="111">
        <v>7003125</v>
      </c>
      <c r="X96" s="111">
        <v>7007291</v>
      </c>
      <c r="Y96" s="112">
        <f>G96</f>
        <v>7007291</v>
      </c>
      <c r="Z96" s="111">
        <v>7007291</v>
      </c>
      <c r="AA96" s="111">
        <v>7008211</v>
      </c>
      <c r="AB96" s="111">
        <v>7008211</v>
      </c>
      <c r="AC96" s="112">
        <f>H96</f>
        <v>7008211</v>
      </c>
      <c r="AD96" s="111">
        <v>7178604</v>
      </c>
      <c r="AE96" s="111">
        <v>7179701</v>
      </c>
      <c r="AF96" s="111">
        <v>7179938</v>
      </c>
      <c r="AG96" s="112">
        <f t="shared" si="177"/>
        <v>7256310</v>
      </c>
      <c r="AH96" s="111">
        <v>7256310</v>
      </c>
      <c r="AI96" s="111">
        <v>7256310</v>
      </c>
      <c r="AJ96" s="111">
        <v>7256310</v>
      </c>
      <c r="AK96" s="112">
        <f t="shared" si="178"/>
        <v>8319422</v>
      </c>
      <c r="AL96" s="111">
        <v>8405555</v>
      </c>
      <c r="AM96" s="111">
        <v>8576841</v>
      </c>
      <c r="AN96" s="111">
        <v>8576840</v>
      </c>
      <c r="AO96" s="112">
        <f t="shared" si="179"/>
        <v>8576950</v>
      </c>
      <c r="AP96" s="111">
        <v>8576950</v>
      </c>
    </row>
    <row r="97" spans="2:42" s="99" customFormat="1" ht="13.5" customHeight="1">
      <c r="C97" s="101"/>
      <c r="D97" s="101"/>
      <c r="E97" s="101"/>
      <c r="F97" s="101"/>
      <c r="G97" s="101"/>
      <c r="H97" s="101"/>
      <c r="I97" s="101"/>
      <c r="J97" s="101"/>
      <c r="K97" s="101"/>
      <c r="L97" s="120"/>
      <c r="M97" s="120"/>
      <c r="N97" s="101"/>
      <c r="O97" s="101"/>
      <c r="P97" s="101"/>
      <c r="Q97" s="100"/>
      <c r="R97" s="101"/>
      <c r="S97" s="101"/>
      <c r="T97" s="101"/>
      <c r="U97" s="100"/>
      <c r="V97" s="101"/>
      <c r="W97" s="101"/>
      <c r="X97" s="101"/>
      <c r="Y97" s="100"/>
      <c r="Z97" s="101"/>
      <c r="AA97" s="101"/>
      <c r="AB97" s="101"/>
      <c r="AC97" s="100"/>
      <c r="AD97" s="101"/>
      <c r="AE97" s="101"/>
      <c r="AF97" s="101"/>
      <c r="AG97" s="100"/>
      <c r="AH97" s="101"/>
      <c r="AI97" s="101"/>
      <c r="AK97" s="100"/>
      <c r="AL97" s="101"/>
      <c r="AM97" s="101"/>
      <c r="AO97" s="100"/>
      <c r="AP97" s="101"/>
    </row>
    <row r="98" spans="2:42" s="39" customFormat="1">
      <c r="B98" s="108" t="s">
        <v>300</v>
      </c>
      <c r="C98" s="118"/>
      <c r="D98" s="118"/>
      <c r="E98" s="118"/>
      <c r="F98" s="118"/>
      <c r="G98" s="118"/>
      <c r="H98" s="118"/>
      <c r="I98" s="118"/>
      <c r="J98" s="118"/>
      <c r="K98" s="118"/>
      <c r="L98" s="110"/>
      <c r="M98" s="110"/>
      <c r="N98" s="118"/>
      <c r="O98" s="118"/>
      <c r="P98" s="118"/>
      <c r="Q98" s="119"/>
      <c r="R98" s="118"/>
      <c r="S98" s="118"/>
      <c r="T98" s="118"/>
      <c r="U98" s="119"/>
      <c r="V98" s="118"/>
      <c r="W98" s="118"/>
      <c r="X98" s="118"/>
      <c r="Y98" s="119"/>
      <c r="Z98" s="118"/>
      <c r="AA98" s="118"/>
      <c r="AB98" s="118"/>
      <c r="AC98" s="119"/>
      <c r="AD98" s="118"/>
      <c r="AE98" s="118"/>
      <c r="AF98" s="118"/>
      <c r="AG98" s="119"/>
      <c r="AH98" s="118"/>
      <c r="AI98" s="118"/>
      <c r="AK98" s="119"/>
      <c r="AL98" s="118"/>
      <c r="AM98" s="118"/>
      <c r="AO98" s="119"/>
      <c r="AP98" s="118"/>
    </row>
    <row r="99" spans="2:42" s="105" customFormat="1">
      <c r="B99" s="108" t="s">
        <v>278</v>
      </c>
      <c r="C99" s="114">
        <v>0.92700000000000005</v>
      </c>
      <c r="D99" s="114">
        <v>0.94899999999999995</v>
      </c>
      <c r="E99" s="114">
        <v>0.97799999999999998</v>
      </c>
      <c r="F99" s="114">
        <v>0.95599999999999996</v>
      </c>
      <c r="G99" s="114">
        <v>0.98899999999999999</v>
      </c>
      <c r="H99" s="114">
        <v>1</v>
      </c>
      <c r="I99" s="114">
        <v>0.89800000000000002</v>
      </c>
      <c r="J99" s="114">
        <v>0.90700000000000003</v>
      </c>
      <c r="K99" s="114">
        <v>0.84499999999999997</v>
      </c>
      <c r="L99" s="115">
        <f t="shared" ref="L99:L101" si="180">AO99</f>
        <v>0.84499999999999997</v>
      </c>
      <c r="M99" s="115"/>
      <c r="N99" s="114">
        <v>0.96099999999999997</v>
      </c>
      <c r="O99" s="114">
        <v>0.96199999999999997</v>
      </c>
      <c r="P99" s="114">
        <v>0.97799999999999998</v>
      </c>
      <c r="Q99" s="116">
        <f>E99</f>
        <v>0.97799999999999998</v>
      </c>
      <c r="R99" s="114">
        <v>0.98799999999999999</v>
      </c>
      <c r="S99" s="114">
        <v>0.97699999999999998</v>
      </c>
      <c r="T99" s="114">
        <v>0.94699999999999995</v>
      </c>
      <c r="U99" s="116">
        <f>F99</f>
        <v>0.95599999999999996</v>
      </c>
      <c r="V99" s="114">
        <v>0.95499999999999996</v>
      </c>
      <c r="W99" s="114">
        <v>0.98399999999999999</v>
      </c>
      <c r="X99" s="114">
        <v>0.97699999999999998</v>
      </c>
      <c r="Y99" s="116">
        <f>G99</f>
        <v>0.98899999999999999</v>
      </c>
      <c r="Z99" s="114">
        <v>0.97399999999999998</v>
      </c>
      <c r="AA99" s="114">
        <v>0.995</v>
      </c>
      <c r="AB99" s="114">
        <v>1</v>
      </c>
      <c r="AC99" s="116">
        <f>H99</f>
        <v>1</v>
      </c>
      <c r="AD99" s="114">
        <v>0.97899999999999998</v>
      </c>
      <c r="AE99" s="114">
        <v>0.995</v>
      </c>
      <c r="AF99" s="114">
        <v>0.89900000000000002</v>
      </c>
      <c r="AG99" s="116">
        <f t="shared" ref="AG99:AG101" si="181">I99</f>
        <v>0.89800000000000002</v>
      </c>
      <c r="AH99" s="114">
        <v>0.91100000000000003</v>
      </c>
      <c r="AI99" s="114">
        <v>0.93300000000000005</v>
      </c>
      <c r="AJ99" s="114">
        <v>0.91800000000000004</v>
      </c>
      <c r="AK99" s="116">
        <f t="shared" ref="AK99:AK101" si="182">J99</f>
        <v>0.90700000000000003</v>
      </c>
      <c r="AL99" s="114">
        <v>0.90200000000000002</v>
      </c>
      <c r="AM99" s="114">
        <v>0.875</v>
      </c>
      <c r="AN99" s="114">
        <v>0.84399999999999997</v>
      </c>
      <c r="AO99" s="116">
        <f t="shared" ref="AO99:AO101" si="183">K99</f>
        <v>0.84499999999999997</v>
      </c>
      <c r="AP99" s="114">
        <v>0.85599999999999998</v>
      </c>
    </row>
    <row r="100" spans="2:42" s="105" customFormat="1">
      <c r="B100" s="108" t="s">
        <v>288</v>
      </c>
      <c r="C100" s="114">
        <v>0.92100000000000004</v>
      </c>
      <c r="D100" s="114">
        <v>0.89400000000000002</v>
      </c>
      <c r="E100" s="114">
        <v>0.88900000000000001</v>
      </c>
      <c r="F100" s="114">
        <v>0.88600000000000001</v>
      </c>
      <c r="G100" s="114">
        <v>0.90700000000000003</v>
      </c>
      <c r="H100" s="114">
        <v>0.92400000000000004</v>
      </c>
      <c r="I100" s="114">
        <v>0.94199999999999995</v>
      </c>
      <c r="J100" s="114">
        <v>0.93500000000000005</v>
      </c>
      <c r="K100" s="114">
        <v>0.90600000000000003</v>
      </c>
      <c r="L100" s="115">
        <f t="shared" si="180"/>
        <v>0.90600000000000003</v>
      </c>
      <c r="M100" s="115"/>
      <c r="N100" s="114">
        <v>0.86799999999999999</v>
      </c>
      <c r="O100" s="114">
        <v>0.86499999999999999</v>
      </c>
      <c r="P100" s="114">
        <v>0.88900000000000001</v>
      </c>
      <c r="Q100" s="116">
        <f>E100</f>
        <v>0.88900000000000001</v>
      </c>
      <c r="R100" s="114">
        <v>0.88600000000000001</v>
      </c>
      <c r="S100" s="114">
        <v>0.89400000000000002</v>
      </c>
      <c r="T100" s="114">
        <v>0.89</v>
      </c>
      <c r="U100" s="116">
        <f>F100</f>
        <v>0.88600000000000001</v>
      </c>
      <c r="V100" s="114">
        <v>0.88500000000000001</v>
      </c>
      <c r="W100" s="114">
        <v>0.90800000000000003</v>
      </c>
      <c r="X100" s="114">
        <v>0.90800000000000003</v>
      </c>
      <c r="Y100" s="116">
        <f>G100</f>
        <v>0.90700000000000003</v>
      </c>
      <c r="Z100" s="114">
        <v>0.90300000000000002</v>
      </c>
      <c r="AA100" s="114">
        <v>0.92300000000000004</v>
      </c>
      <c r="AB100" s="114">
        <v>0.92400000000000004</v>
      </c>
      <c r="AC100" s="116">
        <f>H100</f>
        <v>0.92400000000000004</v>
      </c>
      <c r="AD100" s="114">
        <v>0.92100000000000004</v>
      </c>
      <c r="AE100" s="114">
        <v>0.91300000000000003</v>
      </c>
      <c r="AF100" s="114">
        <v>0.92300000000000004</v>
      </c>
      <c r="AG100" s="116">
        <f t="shared" si="181"/>
        <v>0.94199999999999995</v>
      </c>
      <c r="AH100" s="114">
        <v>0.93899999999999995</v>
      </c>
      <c r="AI100" s="114">
        <v>0.94199999999999995</v>
      </c>
      <c r="AJ100" s="114">
        <v>0.92900000000000005</v>
      </c>
      <c r="AK100" s="116">
        <f t="shared" si="182"/>
        <v>0.93500000000000005</v>
      </c>
      <c r="AL100" s="114">
        <v>0.92900000000000005</v>
      </c>
      <c r="AM100" s="114">
        <v>0.93899999999999995</v>
      </c>
      <c r="AN100" s="114">
        <v>0.90500000000000003</v>
      </c>
      <c r="AO100" s="116">
        <f t="shared" si="183"/>
        <v>0.90600000000000003</v>
      </c>
      <c r="AP100" s="114">
        <v>0.89600000000000002</v>
      </c>
    </row>
    <row r="101" spans="2:42" s="105" customFormat="1">
      <c r="B101" s="108" t="s">
        <v>290</v>
      </c>
      <c r="C101" s="114">
        <v>0.92</v>
      </c>
      <c r="D101" s="114">
        <v>0.93400000000000005</v>
      </c>
      <c r="E101" s="114">
        <v>0.94</v>
      </c>
      <c r="F101" s="114">
        <v>0.88800000000000001</v>
      </c>
      <c r="G101" s="114">
        <v>0.95099999999999996</v>
      </c>
      <c r="H101" s="114">
        <v>0.99099999999999999</v>
      </c>
      <c r="I101" s="114">
        <v>0.97199999999999998</v>
      </c>
      <c r="J101" s="114">
        <v>0.97399999999999998</v>
      </c>
      <c r="K101" s="114">
        <v>0.96499999999999997</v>
      </c>
      <c r="L101" s="115">
        <f t="shared" si="180"/>
        <v>0.96499999999999997</v>
      </c>
      <c r="M101" s="115"/>
      <c r="N101" s="114">
        <v>0.93400000000000005</v>
      </c>
      <c r="O101" s="114">
        <v>0.92900000000000005</v>
      </c>
      <c r="P101" s="114">
        <v>0.94</v>
      </c>
      <c r="Q101" s="116">
        <f>E101</f>
        <v>0.94</v>
      </c>
      <c r="R101" s="114">
        <v>0.94299999999999995</v>
      </c>
      <c r="S101" s="114">
        <v>0.91200000000000003</v>
      </c>
      <c r="T101" s="114">
        <v>0.88100000000000001</v>
      </c>
      <c r="U101" s="116">
        <f>F101</f>
        <v>0.88800000000000001</v>
      </c>
      <c r="V101" s="114">
        <v>0.85699999999999998</v>
      </c>
      <c r="W101" s="114">
        <v>0.88400000000000001</v>
      </c>
      <c r="X101" s="114">
        <v>0.90500000000000003</v>
      </c>
      <c r="Y101" s="116">
        <f>G101</f>
        <v>0.95099999999999996</v>
      </c>
      <c r="Z101" s="114">
        <v>0.96199999999999997</v>
      </c>
      <c r="AA101" s="114">
        <v>0.98499999999999999</v>
      </c>
      <c r="AB101" s="114">
        <v>0.99</v>
      </c>
      <c r="AC101" s="116">
        <f>H101</f>
        <v>0.99099999999999999</v>
      </c>
      <c r="AD101" s="114">
        <v>0.97799999999999998</v>
      </c>
      <c r="AE101" s="114">
        <v>0.95399999999999996</v>
      </c>
      <c r="AF101" s="114">
        <v>0.97199999999999998</v>
      </c>
      <c r="AG101" s="116">
        <f t="shared" si="181"/>
        <v>0.97199999999999998</v>
      </c>
      <c r="AH101" s="114">
        <v>0.99099999999999999</v>
      </c>
      <c r="AI101" s="114">
        <v>1</v>
      </c>
      <c r="AJ101" s="114">
        <v>1</v>
      </c>
      <c r="AK101" s="116">
        <f t="shared" si="182"/>
        <v>0.97399999999999998</v>
      </c>
      <c r="AL101" s="114">
        <v>0.96399999999999997</v>
      </c>
      <c r="AM101" s="114">
        <v>0.96499999999999997</v>
      </c>
      <c r="AN101" s="114">
        <v>0.96499999999999997</v>
      </c>
      <c r="AO101" s="116">
        <f t="shared" si="183"/>
        <v>0.96499999999999997</v>
      </c>
      <c r="AP101" s="114">
        <v>0.96499999999999997</v>
      </c>
    </row>
    <row r="102" spans="2:42" s="99" customFormat="1" ht="13.5" customHeight="1">
      <c r="C102" s="101"/>
      <c r="D102" s="101"/>
      <c r="E102" s="101"/>
      <c r="F102" s="101"/>
      <c r="G102" s="101"/>
      <c r="H102" s="101"/>
      <c r="I102" s="101"/>
      <c r="J102" s="101"/>
      <c r="K102" s="101"/>
      <c r="L102" s="120"/>
      <c r="M102" s="120"/>
      <c r="N102" s="101"/>
      <c r="O102" s="101"/>
      <c r="P102" s="101"/>
      <c r="Q102" s="100"/>
      <c r="R102" s="101"/>
      <c r="S102" s="101"/>
      <c r="T102" s="101"/>
      <c r="U102" s="100"/>
      <c r="V102" s="101"/>
      <c r="W102" s="101"/>
      <c r="X102" s="101"/>
      <c r="Y102" s="100"/>
      <c r="Z102" s="101"/>
      <c r="AA102" s="101"/>
      <c r="AB102" s="101"/>
      <c r="AC102" s="100"/>
      <c r="AD102" s="101"/>
      <c r="AE102" s="101"/>
      <c r="AF102" s="101"/>
      <c r="AG102" s="100"/>
      <c r="AH102" s="101"/>
      <c r="AI102" s="101"/>
      <c r="AK102" s="100"/>
      <c r="AL102" s="101"/>
      <c r="AM102" s="101"/>
      <c r="AO102" s="100"/>
      <c r="AP102" s="101"/>
    </row>
    <row r="103" spans="2:42" s="39" customFormat="1">
      <c r="B103" s="181" t="s">
        <v>301</v>
      </c>
      <c r="C103" s="118"/>
      <c r="D103" s="118"/>
      <c r="E103" s="118"/>
      <c r="F103" s="118"/>
      <c r="G103" s="118"/>
      <c r="H103" s="118"/>
      <c r="I103" s="118"/>
      <c r="J103" s="118"/>
      <c r="K103" s="118"/>
      <c r="L103" s="110"/>
      <c r="M103" s="110"/>
      <c r="N103" s="118"/>
      <c r="O103" s="118"/>
      <c r="P103" s="118"/>
      <c r="Q103" s="119"/>
      <c r="R103" s="118"/>
      <c r="S103" s="118"/>
      <c r="T103" s="118"/>
      <c r="U103" s="119"/>
      <c r="V103" s="118"/>
      <c r="W103" s="118"/>
      <c r="X103" s="118"/>
      <c r="Y103" s="119"/>
      <c r="Z103" s="118"/>
      <c r="AA103" s="118"/>
      <c r="AB103" s="118"/>
      <c r="AC103" s="119"/>
      <c r="AD103" s="118"/>
      <c r="AE103" s="118"/>
      <c r="AF103" s="118"/>
      <c r="AG103" s="119"/>
      <c r="AH103" s="118"/>
      <c r="AI103" s="118"/>
      <c r="AK103" s="119"/>
      <c r="AL103" s="118"/>
      <c r="AM103" s="118"/>
      <c r="AO103" s="119"/>
      <c r="AP103" s="118"/>
    </row>
    <row r="104" spans="2:42">
      <c r="B104" s="108" t="s">
        <v>278</v>
      </c>
      <c r="C104" s="111">
        <v>6265774</v>
      </c>
      <c r="D104" s="111">
        <v>10014292</v>
      </c>
      <c r="E104" s="111">
        <v>11196135</v>
      </c>
      <c r="F104" s="111">
        <v>12212514</v>
      </c>
      <c r="G104" s="111">
        <v>12920126</v>
      </c>
      <c r="H104" s="111">
        <v>14406347</v>
      </c>
      <c r="I104" s="111">
        <v>17347807</v>
      </c>
      <c r="J104" s="111">
        <v>20239465</v>
      </c>
      <c r="K104" s="111">
        <v>24327900</v>
      </c>
      <c r="L104" s="110">
        <f>AP104</f>
        <v>22073278</v>
      </c>
      <c r="M104" s="110"/>
      <c r="N104" s="111">
        <v>10324459</v>
      </c>
      <c r="O104" s="111">
        <v>10654755</v>
      </c>
      <c r="P104" s="111">
        <v>10935012</v>
      </c>
      <c r="Q104" s="112">
        <f>(E104)</f>
        <v>11196135</v>
      </c>
      <c r="R104" s="111">
        <v>11658887</v>
      </c>
      <c r="S104" s="111">
        <v>11863274</v>
      </c>
      <c r="T104" s="111">
        <v>12111955</v>
      </c>
      <c r="U104" s="112">
        <f>(F104)</f>
        <v>12212514</v>
      </c>
      <c r="V104" s="111">
        <v>12254811</v>
      </c>
      <c r="W104" s="111">
        <v>12567569</v>
      </c>
      <c r="X104" s="111">
        <v>12989936</v>
      </c>
      <c r="Y104" s="112">
        <f>(G104)</f>
        <v>12920126</v>
      </c>
      <c r="Z104" s="111">
        <v>12974761</v>
      </c>
      <c r="AA104" s="111">
        <v>13385902</v>
      </c>
      <c r="AB104" s="111">
        <v>13942665</v>
      </c>
      <c r="AC104" s="112">
        <f>(H104)</f>
        <v>14406347</v>
      </c>
      <c r="AD104" s="111">
        <v>15025100</v>
      </c>
      <c r="AE104" s="111">
        <v>15678228</v>
      </c>
      <c r="AF104" s="111">
        <v>16833472</v>
      </c>
      <c r="AG104" s="112">
        <f>(I104)</f>
        <v>17347807</v>
      </c>
      <c r="AH104" s="126">
        <v>18093366</v>
      </c>
      <c r="AI104" s="126">
        <v>19067082</v>
      </c>
      <c r="AJ104" s="111">
        <v>19761866</v>
      </c>
      <c r="AK104" s="112">
        <f>(J104)</f>
        <v>20239465</v>
      </c>
      <c r="AL104" s="126">
        <v>20283722</v>
      </c>
      <c r="AM104" s="126">
        <v>20370308</v>
      </c>
      <c r="AN104" s="111">
        <v>22068097</v>
      </c>
      <c r="AO104" s="112">
        <f t="shared" ref="AO104" si="184">K104</f>
        <v>24327900</v>
      </c>
      <c r="AP104" s="126">
        <v>22073278</v>
      </c>
    </row>
    <row r="105" spans="2:42">
      <c r="B105" s="108" t="s">
        <v>288</v>
      </c>
      <c r="C105" s="111">
        <v>13979459</v>
      </c>
      <c r="D105" s="111">
        <v>15889657</v>
      </c>
      <c r="E105" s="111">
        <v>16156351.999999998</v>
      </c>
      <c r="F105" s="111">
        <v>16968220.000000004</v>
      </c>
      <c r="G105" s="111">
        <v>18404280</v>
      </c>
      <c r="H105" s="111">
        <v>20231832</v>
      </c>
      <c r="I105" s="111">
        <v>24610156</v>
      </c>
      <c r="J105" s="111">
        <v>27664786</v>
      </c>
      <c r="K105" s="111">
        <v>30276148</v>
      </c>
      <c r="L105" s="110">
        <f>AP105</f>
        <v>30022656</v>
      </c>
      <c r="M105" s="110"/>
      <c r="N105" s="111">
        <v>16045884</v>
      </c>
      <c r="O105" s="111">
        <v>16059984</v>
      </c>
      <c r="P105" s="111">
        <v>16173797</v>
      </c>
      <c r="Q105" s="112">
        <f>(E105)</f>
        <v>16156351.999999998</v>
      </c>
      <c r="R105" s="111">
        <v>16465329</v>
      </c>
      <c r="S105" s="111">
        <v>16074286</v>
      </c>
      <c r="T105" s="111">
        <v>16655276</v>
      </c>
      <c r="U105" s="112">
        <f>(F105)</f>
        <v>16968220.000000004</v>
      </c>
      <c r="V105" s="111">
        <v>17035685</v>
      </c>
      <c r="W105" s="111">
        <v>17802015</v>
      </c>
      <c r="X105" s="111">
        <v>18324729</v>
      </c>
      <c r="Y105" s="112">
        <f>(G105)</f>
        <v>18404280</v>
      </c>
      <c r="Z105" s="111">
        <v>18099701</v>
      </c>
      <c r="AA105" s="111">
        <v>18589077</v>
      </c>
      <c r="AB105" s="111">
        <v>19587749</v>
      </c>
      <c r="AC105" s="112">
        <f>(H105)</f>
        <v>20231832</v>
      </c>
      <c r="AD105" s="111">
        <v>21358648</v>
      </c>
      <c r="AE105" s="111">
        <v>22172650</v>
      </c>
      <c r="AF105" s="111">
        <v>23887704</v>
      </c>
      <c r="AG105" s="112">
        <f>(I105)</f>
        <v>24610156</v>
      </c>
      <c r="AH105" s="111">
        <v>26237209</v>
      </c>
      <c r="AI105" s="111">
        <v>26538972</v>
      </c>
      <c r="AJ105" s="111">
        <v>26814216</v>
      </c>
      <c r="AK105" s="112">
        <f>(J105)</f>
        <v>27664786</v>
      </c>
      <c r="AL105" s="111">
        <v>28352615</v>
      </c>
      <c r="AM105" s="111">
        <v>28895076</v>
      </c>
      <c r="AN105" s="111">
        <v>28959340</v>
      </c>
      <c r="AO105" s="112">
        <f t="shared" ref="AO105:AO106" si="185">K105</f>
        <v>30276148</v>
      </c>
      <c r="AP105" s="111">
        <v>30022656</v>
      </c>
    </row>
    <row r="106" spans="2:42">
      <c r="B106" s="108" t="s">
        <v>290</v>
      </c>
      <c r="C106" s="111">
        <v>8071027.0000000009</v>
      </c>
      <c r="D106" s="111">
        <v>8212355.0000000009</v>
      </c>
      <c r="E106" s="111">
        <v>7663446</v>
      </c>
      <c r="F106" s="111">
        <v>7418320</v>
      </c>
      <c r="G106" s="111">
        <v>8528368</v>
      </c>
      <c r="H106" s="111">
        <v>10079241</v>
      </c>
      <c r="I106" s="111">
        <v>11019595</v>
      </c>
      <c r="J106" s="111">
        <v>11988047</v>
      </c>
      <c r="K106" s="111">
        <v>15695860</v>
      </c>
      <c r="L106" s="110">
        <f>AP106</f>
        <v>16135326</v>
      </c>
      <c r="M106" s="110"/>
      <c r="N106" s="111">
        <v>8357627.0000000009</v>
      </c>
      <c r="O106" s="111">
        <v>7921241</v>
      </c>
      <c r="P106" s="111">
        <v>7620910</v>
      </c>
      <c r="Q106" s="112">
        <f>(E106)</f>
        <v>7663446</v>
      </c>
      <c r="R106" s="111">
        <v>7805125</v>
      </c>
      <c r="S106" s="111">
        <v>7415582</v>
      </c>
      <c r="T106" s="111">
        <v>7418033</v>
      </c>
      <c r="U106" s="112">
        <f>(F106)</f>
        <v>7418320</v>
      </c>
      <c r="V106" s="111">
        <v>7179250</v>
      </c>
      <c r="W106" s="111">
        <v>7869896</v>
      </c>
      <c r="X106" s="111">
        <v>8210607</v>
      </c>
      <c r="Y106" s="112">
        <f>(G106)</f>
        <v>8528368</v>
      </c>
      <c r="Z106" s="111">
        <v>8765076</v>
      </c>
      <c r="AA106" s="111">
        <v>9365885</v>
      </c>
      <c r="AB106" s="111">
        <v>9279052</v>
      </c>
      <c r="AC106" s="112">
        <f>(H106)</f>
        <v>10079241</v>
      </c>
      <c r="AD106" s="111">
        <v>10592384</v>
      </c>
      <c r="AE106" s="111">
        <v>10842863</v>
      </c>
      <c r="AF106" s="111">
        <v>10891895</v>
      </c>
      <c r="AG106" s="112">
        <f>(I106)</f>
        <v>11019595</v>
      </c>
      <c r="AH106" s="111">
        <v>11478135</v>
      </c>
      <c r="AI106" s="111">
        <v>12061964</v>
      </c>
      <c r="AJ106" s="111">
        <v>11801040</v>
      </c>
      <c r="AK106" s="112">
        <f>(J106)</f>
        <v>11988047</v>
      </c>
      <c r="AL106" s="111">
        <v>11936378</v>
      </c>
      <c r="AM106" s="111">
        <v>12974059</v>
      </c>
      <c r="AN106" s="111">
        <v>15016486</v>
      </c>
      <c r="AO106" s="112">
        <f t="shared" si="185"/>
        <v>15695860</v>
      </c>
      <c r="AP106" s="111">
        <v>16135326</v>
      </c>
    </row>
    <row r="107" spans="2:42">
      <c r="B107" s="108"/>
      <c r="C107" s="111"/>
      <c r="D107" s="111"/>
      <c r="E107" s="111"/>
      <c r="F107" s="111"/>
      <c r="G107" s="111"/>
      <c r="H107" s="111"/>
      <c r="I107" s="111"/>
      <c r="J107" s="111"/>
      <c r="K107" s="111"/>
      <c r="L107" s="120"/>
      <c r="M107" s="110"/>
      <c r="N107" s="111"/>
      <c r="O107" s="111"/>
      <c r="P107" s="111"/>
      <c r="Q107" s="112"/>
      <c r="R107" s="111"/>
      <c r="S107" s="111"/>
      <c r="T107" s="111"/>
      <c r="U107" s="112"/>
      <c r="V107" s="111"/>
      <c r="W107" s="111"/>
      <c r="X107" s="111"/>
      <c r="Y107" s="112"/>
      <c r="Z107" s="111"/>
      <c r="AA107" s="111"/>
      <c r="AB107" s="111"/>
      <c r="AC107" s="112"/>
      <c r="AD107" s="111"/>
      <c r="AE107" s="111"/>
      <c r="AF107" s="111"/>
      <c r="AG107" s="112"/>
      <c r="AH107" s="111"/>
      <c r="AI107" s="111"/>
      <c r="AK107" s="112"/>
      <c r="AL107" s="111"/>
      <c r="AM107" s="111"/>
      <c r="AO107" s="112"/>
      <c r="AP107" s="111"/>
    </row>
    <row r="108" spans="2:42">
      <c r="L108" s="110"/>
    </row>
    <row r="109" spans="2:42">
      <c r="L109" s="115"/>
    </row>
    <row r="110" spans="2:42">
      <c r="L110" s="115"/>
    </row>
    <row r="111" spans="2:42">
      <c r="L111" s="115"/>
    </row>
  </sheetData>
  <pageMargins left="0.7" right="0.7" top="0.75" bottom="0.75" header="0.3" footer="0.3"/>
  <pageSetup orientation="portrait" horizontalDpi="90" verticalDpi="90" r:id="rId1"/>
  <headerFooter>
    <oddFooter>&amp;C_x000D_&amp;1#&amp;"Aptos"&amp;10&amp;K000000 Barings-Corporate</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A00EECCAA3DB94895FACE15614ECBE0" ma:contentTypeVersion="3" ma:contentTypeDescription="Create a new document." ma:contentTypeScope="" ma:versionID="df48d4251bee182ecc7fb5dcb95088a2">
  <xsd:schema xmlns:xsd="http://www.w3.org/2001/XMLSchema" xmlns:xs="http://www.w3.org/2001/XMLSchema" xmlns:p="http://schemas.microsoft.com/office/2006/metadata/properties" xmlns:ns2="aa33d72f-12a9-4590-815a-2b1f92f4a722" targetNamespace="http://schemas.microsoft.com/office/2006/metadata/properties" ma:root="true" ma:fieldsID="e53bcbeb5cc26077ba81130311515115" ns2:_="">
    <xsd:import namespace="aa33d72f-12a9-4590-815a-2b1f92f4a72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33d72f-12a9-4590-815a-2b1f92f4a7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E722A8-12F0-4A3E-BD52-4698C240E853}"/>
</file>

<file path=customXml/itemProps2.xml><?xml version="1.0" encoding="utf-8"?>
<ds:datastoreItem xmlns:ds="http://schemas.openxmlformats.org/officeDocument/2006/customXml" ds:itemID="{9D6CBA0A-1B2D-44E7-A895-A6E55C82229E}"/>
</file>

<file path=customXml/itemProps3.xml><?xml version="1.0" encoding="utf-8"?>
<ds:datastoreItem xmlns:ds="http://schemas.openxmlformats.org/officeDocument/2006/customXml" ds:itemID="{D29C09EE-9F16-4F6C-8EB4-FD8A9595CECE}"/>
</file>

<file path=docProps/app.xml><?xml version="1.0" encoding="utf-8"?>
<Properties xmlns="http://schemas.openxmlformats.org/officeDocument/2006/extended-properties" xmlns:vt="http://schemas.openxmlformats.org/officeDocument/2006/docPropsVTypes">
  <Application>Microsoft Excel Online</Application>
  <Manager/>
  <Company>MassMutual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MAB</dc:creator>
  <cp:keywords/>
  <dc:description/>
  <cp:lastModifiedBy/>
  <cp:revision/>
  <dcterms:created xsi:type="dcterms:W3CDTF">2008-03-12T15:44:19Z</dcterms:created>
  <dcterms:modified xsi:type="dcterms:W3CDTF">2026-09-09T16:12:23Z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{7259EA4D-B0FF-4B67-B3B9-C4BFD77D0FED}</vt:lpwstr>
  </property>
  <property fmtid="{D5CDD505-2E9C-101B-9397-08002B2CF9AE}" pid="3" name="MSIP_Label_8c63c790-1b4f-473b-b88f-a693ca173b52_Enabled">
    <vt:lpwstr>true</vt:lpwstr>
  </property>
  <property fmtid="{D5CDD505-2E9C-101B-9397-08002B2CF9AE}" pid="4" name="MSIP_Label_8c63c790-1b4f-473b-b88f-a693ca173b52_SetDate">
    <vt:lpwstr>2021-11-08T08:00:59Z</vt:lpwstr>
  </property>
  <property fmtid="{D5CDD505-2E9C-101B-9397-08002B2CF9AE}" pid="5" name="MSIP_Label_8c63c790-1b4f-473b-b88f-a693ca173b52_Method">
    <vt:lpwstr>Privileged</vt:lpwstr>
  </property>
  <property fmtid="{D5CDD505-2E9C-101B-9397-08002B2CF9AE}" pid="6" name="MSIP_Label_8c63c790-1b4f-473b-b88f-a693ca173b52_Name">
    <vt:lpwstr>Internal</vt:lpwstr>
  </property>
  <property fmtid="{D5CDD505-2E9C-101B-9397-08002B2CF9AE}" pid="7" name="MSIP_Label_8c63c790-1b4f-473b-b88f-a693ca173b52_SiteId">
    <vt:lpwstr>4d8b04bf-7a7c-48a0-b6e3-38da5008297e</vt:lpwstr>
  </property>
  <property fmtid="{D5CDD505-2E9C-101B-9397-08002B2CF9AE}" pid="8" name="MSIP_Label_8c63c790-1b4f-473b-b88f-a693ca173b52_ActionId">
    <vt:lpwstr>629b0e86-9c76-4bb9-ad44-bda35baa8b6d</vt:lpwstr>
  </property>
  <property fmtid="{D5CDD505-2E9C-101B-9397-08002B2CF9AE}" pid="9" name="MSIP_Label_8c63c790-1b4f-473b-b88f-a693ca173b52_ContentBits">
    <vt:lpwstr>0</vt:lpwstr>
  </property>
  <property fmtid="{D5CDD505-2E9C-101B-9397-08002B2CF9AE}" pid="10" name="ContentTypeId">
    <vt:lpwstr>0x0101003A00EECCAA3DB94895FACE15614ECBE0</vt:lpwstr>
  </property>
  <property fmtid="{D5CDD505-2E9C-101B-9397-08002B2CF9AE}" pid="11" name="MSIP_Label_e23aaa83-1940-48a9-a4d6-4a193a1929ec_Enabled">
    <vt:lpwstr>true</vt:lpwstr>
  </property>
  <property fmtid="{D5CDD505-2E9C-101B-9397-08002B2CF9AE}" pid="12" name="MSIP_Label_e23aaa83-1940-48a9-a4d6-4a193a1929ec_SetDate">
    <vt:lpwstr>2026-09-09T16:12:05Z</vt:lpwstr>
  </property>
  <property fmtid="{D5CDD505-2E9C-101B-9397-08002B2CF9AE}" pid="13" name="MSIP_Label_e23aaa83-1940-48a9-a4d6-4a193a1929ec_Method">
    <vt:lpwstr>Standard</vt:lpwstr>
  </property>
  <property fmtid="{D5CDD505-2E9C-101B-9397-08002B2CF9AE}" pid="14" name="MSIP_Label_e23aaa83-1940-48a9-a4d6-4a193a1929ec_Name">
    <vt:lpwstr>Corporate</vt:lpwstr>
  </property>
  <property fmtid="{D5CDD505-2E9C-101B-9397-08002B2CF9AE}" pid="15" name="MSIP_Label_e23aaa83-1940-48a9-a4d6-4a193a1929ec_SiteId">
    <vt:lpwstr>ce78e7b0-e32a-4428-9390-1c2ec8a59c47</vt:lpwstr>
  </property>
  <property fmtid="{D5CDD505-2E9C-101B-9397-08002B2CF9AE}" pid="16" name="MSIP_Label_e23aaa83-1940-48a9-a4d6-4a193a1929ec_ActionId">
    <vt:lpwstr>42c2a48f-35d0-4e35-aacd-b5e119acc541</vt:lpwstr>
  </property>
  <property fmtid="{D5CDD505-2E9C-101B-9397-08002B2CF9AE}" pid="17" name="MSIP_Label_e23aaa83-1940-48a9-a4d6-4a193a1929ec_ContentBits">
    <vt:lpwstr>2</vt:lpwstr>
  </property>
  <property fmtid="{D5CDD505-2E9C-101B-9397-08002B2CF9AE}" pid="18" name="MSIP_Label_e23aaa83-1940-48a9-a4d6-4a193a1929ec_Tag">
    <vt:lpwstr>10, 3, 0, 2</vt:lpwstr>
  </property>
</Properties>
</file>